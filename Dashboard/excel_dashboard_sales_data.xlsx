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24226"/>
  <mc:AlternateContent xmlns:mc="http://schemas.openxmlformats.org/markup-compatibility/2006">
    <mc:Choice Requires="x15">
      <x15ac:absPath xmlns:x15ac="http://schemas.microsoft.com/office/spreadsheetml/2010/11/ac" url="https://d.docs.live.net/42e92ec380b6191d/Desktop/"/>
    </mc:Choice>
  </mc:AlternateContent>
  <xr:revisionPtr revIDLastSave="21" documentId="11_3E2E5BC2BAE056C56E48BBE2F935287D589CB87B" xr6:coauthVersionLast="47" xr6:coauthVersionMax="47" xr10:uidLastSave="{9B422183-5C92-4B63-A4CF-8588DF09A127}"/>
  <bookViews>
    <workbookView xWindow="-120" yWindow="-120" windowWidth="24240" windowHeight="13740" firstSheet="4" activeTab="9" xr2:uid="{00000000-000D-0000-FFFF-FFFF00000000}"/>
  </bookViews>
  <sheets>
    <sheet name="Sheet6" sheetId="7" r:id="rId1"/>
    <sheet name="Sheet7" sheetId="8" r:id="rId2"/>
    <sheet name="Sheet8" sheetId="9" r:id="rId3"/>
    <sheet name="Sheet9" sheetId="10" r:id="rId4"/>
    <sheet name="Sheet1" sheetId="11" r:id="rId5"/>
    <sheet name="Sheet2" sheetId="12" r:id="rId6"/>
    <sheet name="Sheet5" sheetId="15" r:id="rId7"/>
    <sheet name="Sheet4" sheetId="14" r:id="rId8"/>
    <sheet name="Raw_Data" sheetId="1" r:id="rId9"/>
    <sheet name="Dashboard" sheetId="4" r:id="rId10"/>
    <sheet name="Sheet3" sheetId="13" r:id="rId11"/>
  </sheets>
  <definedNames>
    <definedName name="Slicer_Category">#N/A</definedName>
    <definedName name="Slicer_Channel">#N/A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4" l="1"/>
  <c r="C4" i="4"/>
  <c r="G4" i="4"/>
  <c r="E4" i="4"/>
  <c r="I4" i="4" l="1"/>
</calcChain>
</file>

<file path=xl/sharedStrings.xml><?xml version="1.0" encoding="utf-8"?>
<sst xmlns="http://schemas.openxmlformats.org/spreadsheetml/2006/main" count="48102" uniqueCount="116">
  <si>
    <t>Order_ID</t>
  </si>
  <si>
    <t>Order_Date</t>
  </si>
  <si>
    <t>City</t>
  </si>
  <si>
    <t>Region</t>
  </si>
  <si>
    <t>Category</t>
  </si>
  <si>
    <t>Product</t>
  </si>
  <si>
    <t>Channel</t>
  </si>
  <si>
    <t>Customer_Segment</t>
  </si>
  <si>
    <t>Quantity</t>
  </si>
  <si>
    <t>Unit_Price</t>
  </si>
  <si>
    <t>Discount</t>
  </si>
  <si>
    <t>Revenue</t>
  </si>
  <si>
    <t>Cost</t>
  </si>
  <si>
    <t>Profit</t>
  </si>
  <si>
    <t>Payment_Method</t>
  </si>
  <si>
    <t>Salesperson</t>
  </si>
  <si>
    <t>Chennai</t>
  </si>
  <si>
    <t>Kolkata</t>
  </si>
  <si>
    <t>Ahmedabad</t>
  </si>
  <si>
    <t>Pune</t>
  </si>
  <si>
    <t>Mumbai</t>
  </si>
  <si>
    <t>Bengaluru</t>
  </si>
  <si>
    <t>Hyderabad</t>
  </si>
  <si>
    <t>Delhi</t>
  </si>
  <si>
    <t>South</t>
  </si>
  <si>
    <t>East</t>
  </si>
  <si>
    <t>West</t>
  </si>
  <si>
    <t>North</t>
  </si>
  <si>
    <t>Stationery</t>
  </si>
  <si>
    <t>Sports</t>
  </si>
  <si>
    <t>Electronics</t>
  </si>
  <si>
    <t>Grocery</t>
  </si>
  <si>
    <t>Home Appliances</t>
  </si>
  <si>
    <t>Furniture</t>
  </si>
  <si>
    <t>Beauty</t>
  </si>
  <si>
    <t>Marker Set</t>
  </si>
  <si>
    <t>Dumbbells</t>
  </si>
  <si>
    <t>Headphones</t>
  </si>
  <si>
    <t>Coffee</t>
  </si>
  <si>
    <t>Microwave</t>
  </si>
  <si>
    <t>Monitor</t>
  </si>
  <si>
    <t>Bedside Table</t>
  </si>
  <si>
    <t>Cricket Bat</t>
  </si>
  <si>
    <t>Perfume</t>
  </si>
  <si>
    <t>Keyboard</t>
  </si>
  <si>
    <t>Running Shoes</t>
  </si>
  <si>
    <t>Sofa</t>
  </si>
  <si>
    <t>Cooking Oil</t>
  </si>
  <si>
    <t>Mixer</t>
  </si>
  <si>
    <t>Air Fryer</t>
  </si>
  <si>
    <t>Biscuits</t>
  </si>
  <si>
    <t>Face Wash</t>
  </si>
  <si>
    <t>Desk</t>
  </si>
  <si>
    <t>Football</t>
  </si>
  <si>
    <t>Calculator</t>
  </si>
  <si>
    <t>Sunscreen</t>
  </si>
  <si>
    <t>Laptop</t>
  </si>
  <si>
    <t>Yoga Mat</t>
  </si>
  <si>
    <t>Pen Set</t>
  </si>
  <si>
    <t>Bookshelf</t>
  </si>
  <si>
    <t>Office Chair</t>
  </si>
  <si>
    <t>Notebook</t>
  </si>
  <si>
    <t>Fan</t>
  </si>
  <si>
    <t>File Folder</t>
  </si>
  <si>
    <t>Smartphone</t>
  </si>
  <si>
    <t>Moisturizer</t>
  </si>
  <si>
    <t>Vacuum Cleaner</t>
  </si>
  <si>
    <t>Rice</t>
  </si>
  <si>
    <t>Shampoo</t>
  </si>
  <si>
    <t>Tea</t>
  </si>
  <si>
    <t>Marketplace</t>
  </si>
  <si>
    <t>Online</t>
  </si>
  <si>
    <t>Store</t>
  </si>
  <si>
    <t>Corporate</t>
  </si>
  <si>
    <t>Consumer</t>
  </si>
  <si>
    <t>Small Business</t>
  </si>
  <si>
    <t>Net Banking</t>
  </si>
  <si>
    <t>Debit Card</t>
  </si>
  <si>
    <t>Credit Card</t>
  </si>
  <si>
    <t>UPI</t>
  </si>
  <si>
    <t>Cash</t>
  </si>
  <si>
    <t>Diya</t>
  </si>
  <si>
    <t>Meera</t>
  </si>
  <si>
    <t>Aarav</t>
  </si>
  <si>
    <t>Kabir</t>
  </si>
  <si>
    <t>Vikram</t>
  </si>
  <si>
    <t>Anaya</t>
  </si>
  <si>
    <t>Sara</t>
  </si>
  <si>
    <t>Rohan</t>
  </si>
  <si>
    <t>Row Labels</t>
  </si>
  <si>
    <t>Grand Total</t>
  </si>
  <si>
    <t>Sum of Revenue</t>
  </si>
  <si>
    <t>Total Revenue</t>
  </si>
  <si>
    <t>Total Profit</t>
  </si>
  <si>
    <t>Total Order</t>
  </si>
  <si>
    <t>Total Quantity</t>
  </si>
  <si>
    <t>Profit Margin</t>
  </si>
  <si>
    <t>Jan</t>
  </si>
  <si>
    <t>Feb</t>
  </si>
  <si>
    <t>Mar</t>
  </si>
  <si>
    <t>Apr</t>
  </si>
  <si>
    <t>May</t>
  </si>
  <si>
    <t>Jun</t>
  </si>
  <si>
    <t>Jul</t>
  </si>
  <si>
    <t>Aug</t>
  </si>
  <si>
    <t>Sep</t>
  </si>
  <si>
    <t>Oct</t>
  </si>
  <si>
    <t>Nov</t>
  </si>
  <si>
    <t>Dec</t>
  </si>
  <si>
    <t>2025</t>
  </si>
  <si>
    <t>Sum of Profit</t>
  </si>
  <si>
    <t>SALES PERFORMANCE DASHBOARD</t>
  </si>
  <si>
    <t>Sum of Quantity</t>
  </si>
  <si>
    <t>Count of Order_ID</t>
  </si>
  <si>
    <t>Average of Revenue</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</si>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</sst>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yyyy\-mm\-dd\ hh:mm:ss"/>
    <numFmt numFmtId="165" formatCode="\₹0.0,,&quot;M&quot;"/>
    <numFmt numFmtId="166" formatCode="#,##0,&quot;M&quot;"/>
    <numFmt numFmtId="167" formatCode="#,##0.0"/>
  </numFmts>
  <fonts count="8" x14ac:knownFonts="1">
    <font>
      <sz val="11"/>
      <color theme="1"/>
      <name val="Calibri"/>
      <family val="2"/>
      <scheme val="minor"/>
    </font>
    <font>
      <b/>
      <sz val="11"/>
      <color theme="1"/>
      <name val="Calibri"/>
      <family val="2"/>
      <scheme val="minor"/>
    </font>
    <font>
      <sz val="16"/>
      <color theme="1"/>
      <name val="Calibri"/>
      <family val="2"/>
      <scheme val="minor"/>
    </font>
    <font>
      <b/>
      <sz val="20"/>
      <color theme="0"/>
      <name val="Calibri"/>
      <family val="2"/>
      <scheme val="minor"/>
    </font>
    <font>
      <sz val="11"/>
      <color theme="1"/>
      <name val="Calibri"/>
      <family val="2"/>
      <scheme val="minor"/>
    </font>
    <font>
      <b/>
      <sz val="18"/>
      <color theme="0"/>
      <name val="Calibri"/>
      <family val="2"/>
      <scheme val="minor"/>
    </font>
    <font>
      <sz val="11"/>
      <color theme="1"/>
      <name val="Bookman Old Style"/>
      <family val="1"/>
    </font>
    <font>
      <sz val="24"/>
      <color theme="1"/>
      <name val="Bookman Old Style"/>
      <family val="1"/>
    </font>
  </fonts>
  <fills count="6">
    <fill>
      <patternFill patternType="none"/>
    </fill>
    <fill>
      <patternFill patternType="gray125"/>
    </fill>
    <fill>
      <patternFill patternType="solid">
        <fgColor theme="3" tint="0.39997558519241921"/>
        <bgColor indexed="64"/>
      </patternFill>
    </fill>
    <fill>
      <patternFill patternType="solid">
        <fgColor rgb="FFFF0000"/>
        <bgColor indexed="64"/>
      </patternFill>
    </fill>
    <fill>
      <patternFill patternType="solid">
        <fgColor theme="0"/>
        <bgColor indexed="64"/>
      </patternFill>
    </fill>
    <fill>
      <patternFill patternType="solid">
        <fgColor theme="1"/>
        <bgColor indexed="64"/>
      </patternFill>
    </fill>
  </fills>
  <borders count="12">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theme="0"/>
      </top>
      <bottom style="thin">
        <color theme="0"/>
      </bottom>
      <diagonal/>
    </border>
    <border>
      <left style="thin">
        <color theme="0"/>
      </left>
      <right/>
      <top/>
      <bottom/>
      <diagonal/>
    </border>
    <border>
      <left style="thin">
        <color theme="0"/>
      </left>
      <right style="thin">
        <color theme="0"/>
      </right>
      <top style="thin">
        <color theme="0"/>
      </top>
      <bottom style="thin">
        <color theme="0"/>
      </bottom>
      <diagonal/>
    </border>
    <border>
      <left/>
      <right/>
      <top/>
      <bottom style="thin">
        <color theme="0"/>
      </bottom>
      <diagonal/>
    </border>
    <border>
      <left style="thin">
        <color auto="1"/>
      </left>
      <right/>
      <top/>
      <bottom/>
      <diagonal/>
    </border>
    <border>
      <left style="thin">
        <color theme="0"/>
      </left>
      <right style="thin">
        <color theme="0"/>
      </right>
      <top/>
      <bottom style="thin">
        <color theme="0"/>
      </bottom>
      <diagonal/>
    </border>
    <border>
      <left style="thin">
        <color theme="0"/>
      </left>
      <right/>
      <top style="thin">
        <color theme="0"/>
      </top>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44" fontId="4" fillId="0" borderId="0" applyFont="0" applyFill="0" applyBorder="0" applyAlignment="0" applyProtection="0"/>
  </cellStyleXfs>
  <cellXfs count="35">
    <xf numFmtId="0" fontId="0" fillId="0" borderId="0" xfId="0"/>
    <xf numFmtId="164" fontId="0" fillId="0" borderId="0" xfId="0" applyNumberFormat="1"/>
    <xf numFmtId="1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5" borderId="0" xfId="0" applyFill="1"/>
    <xf numFmtId="2" fontId="2" fillId="5" borderId="2" xfId="0" applyNumberFormat="1" applyFont="1" applyFill="1" applyBorder="1" applyAlignment="1">
      <alignment horizontal="center"/>
    </xf>
    <xf numFmtId="10" fontId="2" fillId="5" borderId="2" xfId="0" applyNumberFormat="1" applyFont="1" applyFill="1" applyBorder="1" applyAlignment="1">
      <alignment horizontal="center"/>
    </xf>
    <xf numFmtId="10" fontId="0" fillId="5" borderId="0" xfId="0" applyNumberFormat="1" applyFill="1"/>
    <xf numFmtId="165" fontId="2" fillId="4" borderId="3" xfId="1" applyNumberFormat="1" applyFont="1" applyFill="1" applyBorder="1" applyAlignment="1">
      <alignment horizontal="center"/>
    </xf>
    <xf numFmtId="0" fontId="3" fillId="5" borderId="4" xfId="0" applyFont="1" applyFill="1" applyBorder="1" applyAlignment="1">
      <alignment horizontal="center"/>
    </xf>
    <xf numFmtId="2" fontId="2" fillId="5" borderId="4" xfId="0" applyNumberFormat="1" applyFont="1" applyFill="1" applyBorder="1" applyAlignment="1">
      <alignment horizontal="center"/>
    </xf>
    <xf numFmtId="165" fontId="2" fillId="4" borderId="5" xfId="1" applyNumberFormat="1" applyFont="1" applyFill="1" applyBorder="1" applyAlignment="1">
      <alignment horizontal="center"/>
    </xf>
    <xf numFmtId="0" fontId="5" fillId="3" borderId="5" xfId="0" applyFont="1" applyFill="1" applyBorder="1" applyAlignment="1">
      <alignment horizontal="left"/>
    </xf>
    <xf numFmtId="0" fontId="5" fillId="3" borderId="7" xfId="0" applyFont="1" applyFill="1" applyBorder="1" applyAlignment="1">
      <alignment horizontal="left"/>
    </xf>
    <xf numFmtId="0" fontId="5" fillId="3" borderId="8" xfId="0" applyFont="1" applyFill="1" applyBorder="1" applyAlignment="1">
      <alignment horizontal="left"/>
    </xf>
    <xf numFmtId="0" fontId="3" fillId="5" borderId="1" xfId="0" applyFont="1" applyFill="1" applyBorder="1" applyAlignment="1">
      <alignment horizontal="center"/>
    </xf>
    <xf numFmtId="0" fontId="5" fillId="3" borderId="9" xfId="0" applyFont="1" applyFill="1" applyBorder="1" applyAlignment="1">
      <alignment horizontal="left"/>
    </xf>
    <xf numFmtId="2" fontId="2" fillId="4" borderId="10" xfId="0" applyNumberFormat="1" applyFont="1" applyFill="1" applyBorder="1" applyAlignment="1">
      <alignment horizontal="center"/>
    </xf>
    <xf numFmtId="0" fontId="0" fillId="5" borderId="4" xfId="0" applyFill="1" applyBorder="1"/>
    <xf numFmtId="3" fontId="2" fillId="4" borderId="5" xfId="0" applyNumberFormat="1" applyFont="1" applyFill="1" applyBorder="1" applyAlignment="1">
      <alignment horizontal="center"/>
    </xf>
    <xf numFmtId="0" fontId="0" fillId="5" borderId="9" xfId="0" applyFill="1" applyBorder="1"/>
    <xf numFmtId="0" fontId="0" fillId="5" borderId="11" xfId="0" applyFill="1" applyBorder="1"/>
    <xf numFmtId="10" fontId="2" fillId="4" borderId="10" xfId="0" applyNumberFormat="1" applyFont="1" applyFill="1" applyBorder="1" applyAlignment="1">
      <alignment horizontal="center"/>
    </xf>
    <xf numFmtId="0" fontId="5" fillId="3" borderId="10" xfId="0" applyFont="1" applyFill="1" applyBorder="1" applyAlignment="1">
      <alignment horizontal="left"/>
    </xf>
    <xf numFmtId="0" fontId="0" fillId="5" borderId="9" xfId="1" applyNumberFormat="1" applyFont="1" applyFill="1" applyBorder="1"/>
    <xf numFmtId="0" fontId="0" fillId="5" borderId="8" xfId="0" applyFill="1" applyBorder="1"/>
    <xf numFmtId="166" fontId="0" fillId="0" borderId="0" xfId="0" applyNumberFormat="1"/>
    <xf numFmtId="167" fontId="0" fillId="0" borderId="0" xfId="0" applyNumberFormat="1"/>
    <xf numFmtId="0" fontId="7" fillId="2" borderId="0" xfId="0" applyFont="1" applyFill="1" applyAlignment="1">
      <alignment horizontal="center"/>
    </xf>
    <xf numFmtId="0" fontId="6" fillId="2" borderId="0" xfId="0" applyFont="1" applyFill="1" applyAlignment="1">
      <alignment horizontal="center"/>
    </xf>
    <xf numFmtId="0" fontId="6" fillId="2" borderId="6" xfId="0" applyFont="1" applyFill="1" applyBorder="1" applyAlignment="1">
      <alignment horizontal="center"/>
    </xf>
    <xf numFmtId="0" fontId="0" fillId="0" borderId="0" xfId="0" applyNumberFormat="1"/>
  </cellXfs>
  <cellStyles count="2">
    <cellStyle name="Currency" xfId="1" builtinId="4"/>
    <cellStyle name="Normal" xfId="0" builtinId="0"/>
  </cellStyles>
  <dxfs count="68">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7" formatCode="#,##0.0"/>
    </dxf>
    <dxf>
      <numFmt numFmtId="166" formatCode="#,##0,&quot;M&quot;"/>
    </dxf>
    <dxf>
      <numFmt numFmtId="167" formatCode="#,##0.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7" formatCode="#,##0.0"/>
    </dxf>
    <dxf>
      <numFmt numFmtId="166" formatCode="#,##0,&quot;M&quot;"/>
    </dxf>
    <dxf>
      <numFmt numFmtId="167" formatCode="#,##0.0"/>
    </dxf>
    <dxf>
      <numFmt numFmtId="19" formatCode="m/d/yyyy"/>
    </dxf>
  </dxfs>
  <tableStyles count="0" defaultTableStyle="TableStyleMedium9" defaultPivotStyle="PivotStyleLight16"/>
  <colors>
    <mruColors>
      <color rgb="FF111509"/>
      <color rgb="FF090B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[excel_dashboard_sales_data.xlsx]Sheet2!PivotTable2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West</c:v>
                </c:pt>
                <c:pt idx="1">
                  <c:v>South</c:v>
                </c:pt>
                <c:pt idx="2">
                  <c:v>North</c:v>
                </c:pt>
                <c:pt idx="3">
                  <c:v>East</c:v>
                </c:pt>
              </c:strCache>
            </c:strRef>
          </c:cat>
          <c:val>
            <c:numRef>
              <c:f>Sheet2!$B$4:$B$8</c:f>
              <c:numCache>
                <c:formatCode>General</c:formatCode>
                <c:ptCount val="4"/>
                <c:pt idx="0">
                  <c:v>18312591.620000008</c:v>
                </c:pt>
                <c:pt idx="1">
                  <c:v>15039517.200000001</c:v>
                </c:pt>
                <c:pt idx="2">
                  <c:v>6422429.4100000029</c:v>
                </c:pt>
                <c:pt idx="3">
                  <c:v>3493320.8000000003</c:v>
                </c:pt>
              </c:numCache>
            </c:numRef>
          </c:val>
          <c:extLst>
            <c:ext xmlns:c16="http://schemas.microsoft.com/office/drawing/2014/chart" uri="{C3380CC4-5D6E-409C-BE32-E72D297353CC}">
              <c16:uniqueId val="{00000000-21B0-4B9B-A976-77B5CEA238ED}"/>
            </c:ext>
          </c:extLst>
        </c:ser>
        <c:dLbls>
          <c:showLegendKey val="0"/>
          <c:showVal val="0"/>
          <c:showCatName val="0"/>
          <c:showSerName val="0"/>
          <c:showPercent val="0"/>
          <c:showBubbleSize val="0"/>
        </c:dLbls>
        <c:gapWidth val="219"/>
        <c:overlap val="-27"/>
        <c:axId val="805994592"/>
        <c:axId val="805994176"/>
      </c:barChart>
      <c:catAx>
        <c:axId val="80599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994176"/>
        <c:crosses val="autoZero"/>
        <c:auto val="1"/>
        <c:lblAlgn val="ctr"/>
        <c:lblOffset val="100"/>
        <c:noMultiLvlLbl val="0"/>
      </c:catAx>
      <c:valAx>
        <c:axId val="80599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99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[excel_dashboard_sales_data.xlsx]Sheet7!PivotTable4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Sheet7!$A$4:$A$8</c:f>
              <c:strCache>
                <c:ptCount val="4"/>
                <c:pt idx="0">
                  <c:v>East</c:v>
                </c:pt>
                <c:pt idx="1">
                  <c:v>North</c:v>
                </c:pt>
                <c:pt idx="2">
                  <c:v>South</c:v>
                </c:pt>
                <c:pt idx="3">
                  <c:v>West</c:v>
                </c:pt>
              </c:strCache>
            </c:strRef>
          </c:cat>
          <c:val>
            <c:numRef>
              <c:f>Sheet7!$B$4:$B$8</c:f>
              <c:numCache>
                <c:formatCode>General</c:formatCode>
                <c:ptCount val="4"/>
                <c:pt idx="0">
                  <c:v>11660328.350000003</c:v>
                </c:pt>
                <c:pt idx="1">
                  <c:v>23145863.049999997</c:v>
                </c:pt>
                <c:pt idx="2">
                  <c:v>53630436.150000013</c:v>
                </c:pt>
                <c:pt idx="3">
                  <c:v>65299108.799999967</c:v>
                </c:pt>
              </c:numCache>
            </c:numRef>
          </c:val>
          <c:extLst>
            <c:ext xmlns:c16="http://schemas.microsoft.com/office/drawing/2014/chart" uri="{C3380CC4-5D6E-409C-BE32-E72D297353CC}">
              <c16:uniqueId val="{00000000-1CD1-48D3-B580-6C57468B2AAE}"/>
            </c:ext>
          </c:extLst>
        </c:ser>
        <c:dLbls>
          <c:showLegendKey val="0"/>
          <c:showVal val="0"/>
          <c:showCatName val="0"/>
          <c:showSerName val="0"/>
          <c:showPercent val="0"/>
          <c:showBubbleSize val="0"/>
        </c:dLbls>
        <c:gapWidth val="115"/>
        <c:overlap val="-20"/>
        <c:axId val="254295871"/>
        <c:axId val="254297119"/>
      </c:barChart>
      <c:catAx>
        <c:axId val="2542958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4297119"/>
        <c:crosses val="autoZero"/>
        <c:auto val="1"/>
        <c:lblAlgn val="ctr"/>
        <c:lblOffset val="100"/>
        <c:noMultiLvlLbl val="0"/>
      </c:catAx>
      <c:valAx>
        <c:axId val="2542971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429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[excel_dashboard_sales_data.xlsx]Sheet8!PivotTable5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Sheet8!$A$4:$A$17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Sheet8!$B$4:$B$17</c:f>
              <c:numCache>
                <c:formatCode>General</c:formatCode>
                <c:ptCount val="12"/>
                <c:pt idx="0">
                  <c:v>13395211.000000002</c:v>
                </c:pt>
                <c:pt idx="1">
                  <c:v>13198232.449999996</c:v>
                </c:pt>
                <c:pt idx="2">
                  <c:v>11548969.850000003</c:v>
                </c:pt>
                <c:pt idx="3">
                  <c:v>15258352.849999998</c:v>
                </c:pt>
                <c:pt idx="4">
                  <c:v>13521470.899999995</c:v>
                </c:pt>
                <c:pt idx="5">
                  <c:v>9756395.6999999993</c:v>
                </c:pt>
                <c:pt idx="6">
                  <c:v>10121022.5</c:v>
                </c:pt>
                <c:pt idx="7">
                  <c:v>14487438.149999993</c:v>
                </c:pt>
                <c:pt idx="8">
                  <c:v>13640039.799999999</c:v>
                </c:pt>
                <c:pt idx="9">
                  <c:v>12957275.200000005</c:v>
                </c:pt>
                <c:pt idx="10">
                  <c:v>13446326.050000006</c:v>
                </c:pt>
                <c:pt idx="11">
                  <c:v>12405001.899999999</c:v>
                </c:pt>
              </c:numCache>
            </c:numRef>
          </c:val>
          <c:smooth val="0"/>
          <c:extLst>
            <c:ext xmlns:c16="http://schemas.microsoft.com/office/drawing/2014/chart" uri="{C3380CC4-5D6E-409C-BE32-E72D297353CC}">
              <c16:uniqueId val="{00000000-8F56-4D7A-B505-F352C56A47E1}"/>
            </c:ext>
          </c:extLst>
        </c:ser>
        <c:dLbls>
          <c:dLblPos val="t"/>
          <c:showLegendKey val="0"/>
          <c:showVal val="0"/>
          <c:showCatName val="0"/>
          <c:showSerName val="0"/>
          <c:showPercent val="0"/>
          <c:showBubbleSize val="0"/>
        </c:dLbls>
        <c:marker val="1"/>
        <c:smooth val="0"/>
        <c:axId val="748964895"/>
        <c:axId val="748964063"/>
      </c:lineChart>
      <c:catAx>
        <c:axId val="7489648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8964063"/>
        <c:crosses val="autoZero"/>
        <c:auto val="1"/>
        <c:lblAlgn val="ctr"/>
        <c:lblOffset val="100"/>
        <c:noMultiLvlLbl val="0"/>
      </c:catAx>
      <c:valAx>
        <c:axId val="7489640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896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[excel_dashboard_sales_data.xlsx]Sheet9!PivotTable6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Channel</a:t>
            </a:r>
          </a:p>
        </c:rich>
      </c:tx>
      <c:layout>
        <c:manualLayout>
          <c:xMode val="edge"/>
          <c:yMode val="edge"/>
          <c:x val="0.3526044165894533"/>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Sheet9!$B$3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2B3-44B8-9D7C-6C0D98956A4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2B3-44B8-9D7C-6C0D98956A4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2B3-44B8-9D7C-6C0D98956A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Sheet9!$A$4:$A$7</c:f>
              <c:strCache>
                <c:ptCount val="3"/>
                <c:pt idx="0">
                  <c:v>Marketplace</c:v>
                </c:pt>
                <c:pt idx="1">
                  <c:v>Online</c:v>
                </c:pt>
                <c:pt idx="2">
                  <c:v>Store</c:v>
                </c:pt>
              </c:strCache>
            </c:strRef>
          </c:cat>
          <c:val>
            <c:numRef>
              <c:f>Sheet9!$B$4:$B$7</c:f>
              <c:numCache>
                <c:formatCode>General</c:formatCode>
                <c:ptCount val="3"/>
                <c:pt idx="0">
                  <c:v>52418356.299999997</c:v>
                </c:pt>
                <c:pt idx="1">
                  <c:v>53269712.100000024</c:v>
                </c:pt>
                <c:pt idx="2">
                  <c:v>48047667.949999973</c:v>
                </c:pt>
              </c:numCache>
            </c:numRef>
          </c:val>
          <c:extLst>
            <c:ext xmlns:c16="http://schemas.microsoft.com/office/drawing/2014/chart" uri="{C3380CC4-5D6E-409C-BE32-E72D297353CC}">
              <c16:uniqueId val="{00000006-12B3-44B8-9D7C-6C0D98956A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[excel_dashboard_sales_data.xlsx]Sheet1!PivotTable1</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10 Products by Revenue</a:t>
            </a:r>
          </a:p>
        </c:rich>
      </c:tx>
      <c:layout>
        <c:manualLayout>
          <c:xMode val="edge"/>
          <c:yMode val="edge"/>
          <c:x val="0.34841947974324994"/>
          <c:y val="5.916447944006999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Sheet1!$A$4:$A$14</c:f>
              <c:strCache>
                <c:ptCount val="10"/>
                <c:pt idx="0">
                  <c:v>Monitor</c:v>
                </c:pt>
                <c:pt idx="1">
                  <c:v>Keyboard</c:v>
                </c:pt>
                <c:pt idx="2">
                  <c:v>Bedside Table</c:v>
                </c:pt>
                <c:pt idx="3">
                  <c:v>Laptop</c:v>
                </c:pt>
                <c:pt idx="4">
                  <c:v>Headphones</c:v>
                </c:pt>
                <c:pt idx="5">
                  <c:v>Smartphone</c:v>
                </c:pt>
                <c:pt idx="6">
                  <c:v>Sofa</c:v>
                </c:pt>
                <c:pt idx="7">
                  <c:v>Bookshelf</c:v>
                </c:pt>
                <c:pt idx="8">
                  <c:v>Desk</c:v>
                </c:pt>
                <c:pt idx="9">
                  <c:v>Office Chair</c:v>
                </c:pt>
              </c:strCache>
            </c:strRef>
          </c:cat>
          <c:val>
            <c:numRef>
              <c:f>Sheet1!$B$4:$B$14</c:f>
              <c:numCache>
                <c:formatCode>General</c:formatCode>
                <c:ptCount val="10"/>
                <c:pt idx="0">
                  <c:v>13212426.650000002</c:v>
                </c:pt>
                <c:pt idx="1">
                  <c:v>12582412.349999998</c:v>
                </c:pt>
                <c:pt idx="2">
                  <c:v>11293785.35</c:v>
                </c:pt>
                <c:pt idx="3">
                  <c:v>11004373.349999998</c:v>
                </c:pt>
                <c:pt idx="4">
                  <c:v>10931220.549999999</c:v>
                </c:pt>
                <c:pt idx="5">
                  <c:v>10811550.750000002</c:v>
                </c:pt>
                <c:pt idx="6">
                  <c:v>10657040.6</c:v>
                </c:pt>
                <c:pt idx="7">
                  <c:v>9684849.1499999985</c:v>
                </c:pt>
                <c:pt idx="8">
                  <c:v>9648062.8499999996</c:v>
                </c:pt>
                <c:pt idx="9">
                  <c:v>8748895.3499999978</c:v>
                </c:pt>
              </c:numCache>
            </c:numRef>
          </c:val>
          <c:extLst>
            <c:ext xmlns:c16="http://schemas.microsoft.com/office/drawing/2014/chart" uri="{C3380CC4-5D6E-409C-BE32-E72D297353CC}">
              <c16:uniqueId val="{00000000-283D-4FE6-A7B8-045A8BCDD011}"/>
            </c:ext>
          </c:extLst>
        </c:ser>
        <c:dLbls>
          <c:showLegendKey val="0"/>
          <c:showVal val="0"/>
          <c:showCatName val="0"/>
          <c:showSerName val="0"/>
          <c:showPercent val="0"/>
          <c:showBubbleSize val="0"/>
        </c:dLbls>
        <c:gapWidth val="315"/>
        <c:overlap val="-40"/>
        <c:axId val="81543568"/>
        <c:axId val="81545648"/>
      </c:barChart>
      <c:catAx>
        <c:axId val="815435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545648"/>
        <c:crosses val="autoZero"/>
        <c:auto val="1"/>
        <c:lblAlgn val="ctr"/>
        <c:lblOffset val="100"/>
        <c:noMultiLvlLbl val="0"/>
      </c:catAx>
      <c:valAx>
        <c:axId val="815456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54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[excel_dashboard_sales_data.xlsx]Sheet6!PivotTable3</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3"/>
            </a:solidFill>
            <a:miter lim="800000"/>
          </a:ln>
          <a:effectLst>
            <a:glow rad="63500">
              <a:schemeClr val="accent3">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Sheet6!$A$2:$A$9</c:f>
              <c:strCache>
                <c:ptCount val="7"/>
                <c:pt idx="0">
                  <c:v>Electronics</c:v>
                </c:pt>
                <c:pt idx="1">
                  <c:v>Furniture</c:v>
                </c:pt>
                <c:pt idx="2">
                  <c:v>Home Appliances</c:v>
                </c:pt>
                <c:pt idx="3">
                  <c:v>Sports</c:v>
                </c:pt>
                <c:pt idx="4">
                  <c:v>Beauty</c:v>
                </c:pt>
                <c:pt idx="5">
                  <c:v>Stationery</c:v>
                </c:pt>
                <c:pt idx="6">
                  <c:v>Grocery</c:v>
                </c:pt>
              </c:strCache>
            </c:strRef>
          </c:cat>
          <c:val>
            <c:numRef>
              <c:f>Sheet6!$B$2:$B$9</c:f>
              <c:numCache>
                <c:formatCode>General</c:formatCode>
                <c:ptCount val="7"/>
                <c:pt idx="0">
                  <c:v>58541983.649999991</c:v>
                </c:pt>
                <c:pt idx="1">
                  <c:v>50032633.300000027</c:v>
                </c:pt>
                <c:pt idx="2">
                  <c:v>23764236.599999994</c:v>
                </c:pt>
                <c:pt idx="3">
                  <c:v>11242005.449999999</c:v>
                </c:pt>
                <c:pt idx="4">
                  <c:v>5728406.6999999974</c:v>
                </c:pt>
                <c:pt idx="5">
                  <c:v>2296024.1000000006</c:v>
                </c:pt>
                <c:pt idx="6">
                  <c:v>2130446.5499999998</c:v>
                </c:pt>
              </c:numCache>
            </c:numRef>
          </c:val>
          <c:extLst>
            <c:ext xmlns:c16="http://schemas.microsoft.com/office/drawing/2014/chart" uri="{C3380CC4-5D6E-409C-BE32-E72D297353CC}">
              <c16:uniqueId val="{00000000-DFF3-4B5A-B196-1F467579D104}"/>
            </c:ext>
          </c:extLst>
        </c:ser>
        <c:dLbls>
          <c:dLblPos val="outEnd"/>
          <c:showLegendKey val="0"/>
          <c:showVal val="1"/>
          <c:showCatName val="0"/>
          <c:showSerName val="0"/>
          <c:showPercent val="0"/>
          <c:showBubbleSize val="0"/>
        </c:dLbls>
        <c:gapWidth val="315"/>
        <c:overlap val="-40"/>
        <c:axId val="2031876687"/>
        <c:axId val="2031875439"/>
      </c:barChart>
      <c:catAx>
        <c:axId val="20318766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1875439"/>
        <c:crosses val="autoZero"/>
        <c:auto val="1"/>
        <c:lblAlgn val="ctr"/>
        <c:lblOffset val="100"/>
        <c:noMultiLvlLbl val="0"/>
      </c:catAx>
      <c:valAx>
        <c:axId val="20318754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187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4.xml"/><Relationship Id="rId7" Type="http://schemas.openxmlformats.org/officeDocument/2006/relationships/image" Target="../media/image3.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png"/><Relationship Id="rId5" Type="http://schemas.openxmlformats.org/officeDocument/2006/relationships/image" Target="../media/image1.png"/><Relationship Id="rId10"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323850</xdr:colOff>
      <xdr:row>2</xdr:row>
      <xdr:rowOff>61912</xdr:rowOff>
    </xdr:from>
    <xdr:to>
      <xdr:col>12</xdr:col>
      <xdr:colOff>19050</xdr:colOff>
      <xdr:row>16</xdr:row>
      <xdr:rowOff>138112</xdr:rowOff>
    </xdr:to>
    <xdr:graphicFrame macro="">
      <xdr:nvGraphicFramePr>
        <xdr:cNvPr id="3" name="Chart 2">
          <a:extLst>
            <a:ext uri="{FF2B5EF4-FFF2-40B4-BE49-F238E27FC236}">
              <a16:creationId xmlns:a16="http://schemas.microsoft.com/office/drawing/2014/main" id="{41A62964-5308-4B66-942E-E831F2627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1543050</xdr:colOff>
      <xdr:row>4</xdr:row>
      <xdr:rowOff>152401</xdr:rowOff>
    </xdr:from>
    <xdr:to>
      <xdr:col>14</xdr:col>
      <xdr:colOff>352425</xdr:colOff>
      <xdr:row>19</xdr:row>
      <xdr:rowOff>108859</xdr:rowOff>
    </xdr:to>
    <xdr:graphicFrame macro="">
      <xdr:nvGraphicFramePr>
        <xdr:cNvPr id="3" name="Chart 2">
          <a:extLst>
            <a:ext uri="{FF2B5EF4-FFF2-40B4-BE49-F238E27FC236}">
              <a16:creationId xmlns:a16="http://schemas.microsoft.com/office/drawing/2014/main" id="{C8F49F3E-5A39-4EA0-BF02-F1E01B726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190499</xdr:colOff>
      <xdr:row>20</xdr:row>
      <xdr:rowOff>114300</xdr:rowOff>
    </xdr:from>
    <xdr:to>
      <xdr:col>6</xdr:col>
      <xdr:colOff>231320</xdr:colOff>
      <xdr:row>35</xdr:row>
      <xdr:rowOff>0</xdr:rowOff>
    </xdr:to>
    <xdr:graphicFrame macro="">
      <xdr:nvGraphicFramePr>
        <xdr:cNvPr id="4" name="Chart 3">
          <a:extLst>
            <a:ext uri="{FF2B5EF4-FFF2-40B4-BE49-F238E27FC236}">
              <a16:creationId xmlns:a16="http://schemas.microsoft.com/office/drawing/2014/main" id="{2210E8F6-C010-45E4-91B3-9A357FB93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1575707</xdr:colOff>
      <xdr:row>20</xdr:row>
      <xdr:rowOff>87085</xdr:rowOff>
    </xdr:from>
    <xdr:to>
      <xdr:col>14</xdr:col>
      <xdr:colOff>466726</xdr:colOff>
      <xdr:row>34</xdr:row>
      <xdr:rowOff>163285</xdr:rowOff>
    </xdr:to>
    <xdr:graphicFrame macro="">
      <xdr:nvGraphicFramePr>
        <xdr:cNvPr id="5" name="Chart 4">
          <a:extLst>
            <a:ext uri="{FF2B5EF4-FFF2-40B4-BE49-F238E27FC236}">
              <a16:creationId xmlns:a16="http://schemas.microsoft.com/office/drawing/2014/main" id="{49AAB377-1564-4321-AE45-F896CFC17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209550</xdr:colOff>
      <xdr:row>36</xdr:row>
      <xdr:rowOff>9525</xdr:rowOff>
    </xdr:from>
    <xdr:to>
      <xdr:col>6</xdr:col>
      <xdr:colOff>1047750</xdr:colOff>
      <xdr:row>50</xdr:row>
      <xdr:rowOff>85725</xdr:rowOff>
    </xdr:to>
    <xdr:graphicFrame macro="">
      <xdr:nvGraphicFramePr>
        <xdr:cNvPr id="6" name="Chart 5">
          <a:extLst>
            <a:ext uri="{FF2B5EF4-FFF2-40B4-BE49-F238E27FC236}">
              <a16:creationId xmlns:a16="http://schemas.microsoft.com/office/drawing/2014/main" id="{96DD8508-6212-4BE2-8176-E87E7E88F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257175</xdr:colOff>
      <xdr:row>37</xdr:row>
      <xdr:rowOff>57150</xdr:rowOff>
    </xdr:from>
    <xdr:to>
      <xdr:col>14</xdr:col>
      <xdr:colOff>257175</xdr:colOff>
      <xdr:row>50</xdr:row>
      <xdr:rowOff>104775</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F661CA58-2113-4448-8A64-1A7E2CC5B82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553950" y="7658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923925</xdr:colOff>
      <xdr:row>37</xdr:row>
      <xdr:rowOff>38100</xdr:rowOff>
    </xdr:from>
    <xdr:to>
      <xdr:col>10</xdr:col>
      <xdr:colOff>447675</xdr:colOff>
      <xdr:row>50</xdr:row>
      <xdr:rowOff>85725</xdr:rowOff>
    </xdr:to>
    <mc:AlternateContent xmlns:mc="http://schemas.openxmlformats.org/markup-compatibility/2006" xmlns:a14="http://schemas.microsoft.com/office/drawing/2010/main">
      <mc:Choice Requires="a14">
        <xdr:graphicFrame macro="">
          <xdr:nvGraphicFramePr>
            <xdr:cNvPr id="12" name="Channel">
              <a:extLst>
                <a:ext uri="{FF2B5EF4-FFF2-40B4-BE49-F238E27FC236}">
                  <a16:creationId xmlns:a16="http://schemas.microsoft.com/office/drawing/2014/main" id="{79CAD1CC-DA49-4100-B39F-97E96AA72DA8}"/>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0306050" y="7639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1419227</xdr:colOff>
      <xdr:row>2</xdr:row>
      <xdr:rowOff>28577</xdr:rowOff>
    </xdr:from>
    <xdr:to>
      <xdr:col>0</xdr:col>
      <xdr:colOff>1771651</xdr:colOff>
      <xdr:row>2</xdr:row>
      <xdr:rowOff>381001</xdr:rowOff>
    </xdr:to>
    <xdr:pic>
      <xdr:nvPicPr>
        <xdr:cNvPr id="8" name="Picture 7">
          <a:extLst>
            <a:ext uri="{FF2B5EF4-FFF2-40B4-BE49-F238E27FC236}">
              <a16:creationId xmlns:a16="http://schemas.microsoft.com/office/drawing/2014/main" id="{38A5579B-9C31-4674-9FF0-696029862E0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19227" y="409577"/>
          <a:ext cx="352424" cy="352424"/>
        </a:xfrm>
        <a:prstGeom prst="rect">
          <a:avLst/>
        </a:prstGeom>
      </xdr:spPr>
    </xdr:pic>
    <xdr:clientData/>
  </xdr:twoCellAnchor>
  <xdr:twoCellAnchor editAs="oneCell">
    <xdr:from>
      <xdr:col>2</xdr:col>
      <xdr:colOff>1095374</xdr:colOff>
      <xdr:row>2</xdr:row>
      <xdr:rowOff>152400</xdr:rowOff>
    </xdr:from>
    <xdr:to>
      <xdr:col>2</xdr:col>
      <xdr:colOff>1619252</xdr:colOff>
      <xdr:row>2</xdr:row>
      <xdr:rowOff>409575</xdr:rowOff>
    </xdr:to>
    <xdr:pic>
      <xdr:nvPicPr>
        <xdr:cNvPr id="13" name="Picture 12">
          <a:extLst>
            <a:ext uri="{FF2B5EF4-FFF2-40B4-BE49-F238E27FC236}">
              <a16:creationId xmlns:a16="http://schemas.microsoft.com/office/drawing/2014/main" id="{CEBD5842-6719-4715-9822-D0505D53772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571874" y="533400"/>
          <a:ext cx="523878" cy="257175"/>
        </a:xfrm>
        <a:prstGeom prst="rect">
          <a:avLst/>
        </a:prstGeom>
      </xdr:spPr>
    </xdr:pic>
    <xdr:clientData/>
  </xdr:twoCellAnchor>
  <xdr:twoCellAnchor editAs="oneCell">
    <xdr:from>
      <xdr:col>4</xdr:col>
      <xdr:colOff>1143001</xdr:colOff>
      <xdr:row>2</xdr:row>
      <xdr:rowOff>104776</xdr:rowOff>
    </xdr:from>
    <xdr:to>
      <xdr:col>4</xdr:col>
      <xdr:colOff>1504950</xdr:colOff>
      <xdr:row>3</xdr:row>
      <xdr:rowOff>28575</xdr:rowOff>
    </xdr:to>
    <xdr:pic>
      <xdr:nvPicPr>
        <xdr:cNvPr id="15" name="Picture 14">
          <a:extLst>
            <a:ext uri="{FF2B5EF4-FFF2-40B4-BE49-F238E27FC236}">
              <a16:creationId xmlns:a16="http://schemas.microsoft.com/office/drawing/2014/main" id="{178CE783-D79C-4CDD-B324-75675964EE7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819776" y="485776"/>
          <a:ext cx="361949" cy="361949"/>
        </a:xfrm>
        <a:prstGeom prst="rect">
          <a:avLst/>
        </a:prstGeom>
      </xdr:spPr>
    </xdr:pic>
    <xdr:clientData/>
  </xdr:twoCellAnchor>
  <xdr:twoCellAnchor editAs="oneCell">
    <xdr:from>
      <xdr:col>6</xdr:col>
      <xdr:colOff>1476376</xdr:colOff>
      <xdr:row>2</xdr:row>
      <xdr:rowOff>28576</xdr:rowOff>
    </xdr:from>
    <xdr:to>
      <xdr:col>6</xdr:col>
      <xdr:colOff>1866900</xdr:colOff>
      <xdr:row>2</xdr:row>
      <xdr:rowOff>419100</xdr:rowOff>
    </xdr:to>
    <xdr:pic>
      <xdr:nvPicPr>
        <xdr:cNvPr id="17" name="Picture 16">
          <a:extLst>
            <a:ext uri="{FF2B5EF4-FFF2-40B4-BE49-F238E27FC236}">
              <a16:creationId xmlns:a16="http://schemas.microsoft.com/office/drawing/2014/main" id="{3271C32F-0351-4ECD-80BD-E67F2E2992D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334376" y="409576"/>
          <a:ext cx="390524" cy="390524"/>
        </a:xfrm>
        <a:prstGeom prst="rect">
          <a:avLst/>
        </a:prstGeom>
      </xdr:spPr>
    </xdr:pic>
    <xdr:clientData/>
  </xdr:twoCellAnchor>
  <xdr:twoCellAnchor editAs="oneCell">
    <xdr:from>
      <xdr:col>8</xdr:col>
      <xdr:colOff>1314452</xdr:colOff>
      <xdr:row>2</xdr:row>
      <xdr:rowOff>57152</xdr:rowOff>
    </xdr:from>
    <xdr:to>
      <xdr:col>8</xdr:col>
      <xdr:colOff>1685926</xdr:colOff>
      <xdr:row>2</xdr:row>
      <xdr:rowOff>428626</xdr:rowOff>
    </xdr:to>
    <xdr:pic>
      <xdr:nvPicPr>
        <xdr:cNvPr id="19" name="Picture 18">
          <a:extLst>
            <a:ext uri="{FF2B5EF4-FFF2-40B4-BE49-F238E27FC236}">
              <a16:creationId xmlns:a16="http://schemas.microsoft.com/office/drawing/2014/main" id="{F0616987-1C25-40B2-B35A-02802021AC1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696577" y="438152"/>
          <a:ext cx="371474" cy="371474"/>
        </a:xfrm>
        <a:prstGeom prst="rect">
          <a:avLst/>
        </a:prstGeom>
      </xdr:spPr>
    </xdr:pic>
    <xdr:clientData/>
  </xdr:twoCellAnchor>
  <xdr:twoCellAnchor>
    <xdr:from>
      <xdr:col>0</xdr:col>
      <xdr:colOff>95250</xdr:colOff>
      <xdr:row>5</xdr:row>
      <xdr:rowOff>0</xdr:rowOff>
    </xdr:from>
    <xdr:to>
      <xdr:col>6</xdr:col>
      <xdr:colOff>190499</xdr:colOff>
      <xdr:row>19</xdr:row>
      <xdr:rowOff>76200</xdr:rowOff>
    </xdr:to>
    <xdr:graphicFrame macro="">
      <xdr:nvGraphicFramePr>
        <xdr:cNvPr id="20" name="Chart 19">
          <a:extLst>
            <a:ext uri="{FF2B5EF4-FFF2-40B4-BE49-F238E27FC236}">
              <a16:creationId xmlns:a16="http://schemas.microsoft.com/office/drawing/2014/main" id="{16B2DB47-8424-4B9D-A02A-B3B4D3B31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6</xdr:col>
      <xdr:colOff>1238250</xdr:colOff>
      <xdr:row>37</xdr:row>
      <xdr:rowOff>38100</xdr:rowOff>
    </xdr:from>
    <xdr:to>
      <xdr:col>8</xdr:col>
      <xdr:colOff>542925</xdr:colOff>
      <xdr:row>50</xdr:row>
      <xdr:rowOff>85725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8127794D-948F-46CF-AC29-0386BA8D9B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96250" y="7639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1</xdr:rowOff>
    </xdr:from>
    <xdr:to>
      <xdr:col>28</xdr:col>
      <xdr:colOff>171450</xdr:colOff>
      <xdr:row>32</xdr:row>
      <xdr:rowOff>95251</xdr:rowOff>
    </xdr:to>
    <xdr:sp macro="" textlink="">
      <xdr:nvSpPr>
        <xdr:cNvPr id="4" name="Rectangle 3">
          <a:extLst>
            <a:ext uri="{FF2B5EF4-FFF2-40B4-BE49-F238E27FC236}">
              <a16:creationId xmlns:a16="http://schemas.microsoft.com/office/drawing/2014/main" id="{91C8E824-5666-4B40-9868-798EDD887125}"/>
            </a:ext>
          </a:extLst>
        </xdr:cNvPr>
        <xdr:cNvSpPr/>
      </xdr:nvSpPr>
      <xdr:spPr>
        <a:xfrm>
          <a:off x="1400175" y="190501"/>
          <a:ext cx="15411450" cy="6000750"/>
        </a:xfrm>
        <a:prstGeom prst="rect">
          <a:avLst/>
        </a:prstGeom>
        <a:solidFill>
          <a:schemeClr val="accent3">
            <a:lumMod val="60000"/>
            <a:lumOff val="40000"/>
          </a:schemeClr>
        </a:solidFill>
        <a:effectLst>
          <a:outerShdw blurRad="50800" dist="38100" algn="l" rotWithShape="0">
            <a:prstClr val="black">
              <a:alpha val="40000"/>
            </a:prst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9526</xdr:colOff>
      <xdr:row>0</xdr:row>
      <xdr:rowOff>9524</xdr:rowOff>
    </xdr:from>
    <xdr:to>
      <xdr:col>2</xdr:col>
      <xdr:colOff>133350</xdr:colOff>
      <xdr:row>30</xdr:row>
      <xdr:rowOff>95249</xdr:rowOff>
    </xdr:to>
    <xdr:sp macro="" textlink="">
      <xdr:nvSpPr>
        <xdr:cNvPr id="3" name="Rectangle 2">
          <a:extLst>
            <a:ext uri="{FF2B5EF4-FFF2-40B4-BE49-F238E27FC236}">
              <a16:creationId xmlns:a16="http://schemas.microsoft.com/office/drawing/2014/main" id="{CD72EF64-59D3-4974-BF7A-AA4C5EE1A322}"/>
            </a:ext>
          </a:extLst>
        </xdr:cNvPr>
        <xdr:cNvSpPr/>
      </xdr:nvSpPr>
      <xdr:spPr>
        <a:xfrm>
          <a:off x="9526" y="9524"/>
          <a:ext cx="1381124" cy="5800725"/>
        </a:xfrm>
        <a:prstGeom prst="rect">
          <a:avLst/>
        </a:prstGeom>
        <a:solidFill>
          <a:srgbClr val="111509"/>
        </a:solidFill>
        <a:effectLst>
          <a:outerShdw blurRad="50800" dist="38100" algn="l" rotWithShape="0">
            <a:prstClr val="black">
              <a:alpha val="40000"/>
            </a:prst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3</xdr:row>
      <xdr:rowOff>19050</xdr:rowOff>
    </xdr:from>
    <xdr:to>
      <xdr:col>1</xdr:col>
      <xdr:colOff>1057275</xdr:colOff>
      <xdr:row>7</xdr:row>
      <xdr:rowOff>0</xdr:rowOff>
    </xdr:to>
    <xdr:sp macro="" textlink="">
      <xdr:nvSpPr>
        <xdr:cNvPr id="2" name="Rectangle 1">
          <a:extLst>
            <a:ext uri="{FF2B5EF4-FFF2-40B4-BE49-F238E27FC236}">
              <a16:creationId xmlns:a16="http://schemas.microsoft.com/office/drawing/2014/main" id="{1EC2AD2E-D99C-4664-83CE-442D4638BEF9}"/>
            </a:ext>
          </a:extLst>
        </xdr:cNvPr>
        <xdr:cNvSpPr/>
      </xdr:nvSpPr>
      <xdr:spPr>
        <a:xfrm>
          <a:off x="57150" y="590550"/>
          <a:ext cx="1143000" cy="7429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5.514745138891" createdVersion="7" refreshedVersion="7" minRefreshableVersion="3" recordCount="3000" xr:uid="{3B25B90A-8F7C-4D60-AD79-BA7A542108FB}">
  <cacheSource type="worksheet">
    <worksheetSource name="Table2"/>
  </cacheSource>
  <cacheFields count="17">
    <cacheField name="Order_ID" numFmtId="0">
      <sharedItems containsSemiMixedTypes="0" containsString="0" containsNumber="1" containsInteger="1" minValue="1" maxValue="3000" count="3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sharedItems>
    </cacheField>
    <cacheField name="Order_Date" numFmtId="0">
      <sharedItems containsSemiMixedTypes="0" containsNonDate="0" containsDate="1" containsString="0" minDate="2025-01-01T00:00:00" maxDate="2026-01-01T00:00:00" count="365">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12-12T00:00:00"/>
        <d v="2025-12-15T00:00:00"/>
        <d v="2025-12-07T00:00:00"/>
        <d v="2025-06-09T00:00:00"/>
        <d v="2025-10-29T00:00:00"/>
        <d v="2025-08-05T00:00:00"/>
        <d v="2025-07-02T00:00:00"/>
        <d v="2025-09-22T00:00:00"/>
        <d v="2025-06-19T00:00:00"/>
        <d v="2025-12-30T00:00:00"/>
        <d v="2025-12-14T00:00:00"/>
        <d v="2025-08-01T00:00:00"/>
        <d v="2025-01-12T00:00:00"/>
        <d v="2025-05-25T00:00:00"/>
        <d v="2025-12-31T00:00:00"/>
        <d v="2025-06-22T00:00:00"/>
        <d v="2025-08-10T00:00:00"/>
        <d v="2025-12-01T00:00:00"/>
        <d v="2025-08-23T00:00:00"/>
        <d v="2025-03-19T00:00:00"/>
        <d v="2025-09-10T00:00:00"/>
        <d v="2025-10-21T00:00:00"/>
        <d v="2025-05-26T00:00:00"/>
        <d v="2025-05-30T00:00:00"/>
        <d v="2025-08-08T00:00:00"/>
        <d v="2025-05-20T00:00:00"/>
        <d v="2025-11-17T00:00:00"/>
        <d v="2025-02-04T00:00:00"/>
        <d v="2025-10-23T00:00:00"/>
        <d v="2025-05-14T00:00:00"/>
        <d v="2025-10-16T00:00:00"/>
        <d v="2025-10-19T00:00:00"/>
        <d v="2025-09-24T00:00:00"/>
        <d v="2025-11-09T00:00:00"/>
        <d v="2025-06-28T00:00:00"/>
        <d v="2025-10-13T00:00:00"/>
        <d v="2025-09-23T00:00:00"/>
        <d v="2025-08-17T00:00:00"/>
        <d v="2025-11-26T00:00:00"/>
        <d v="2025-02-03T00:00:00"/>
        <d v="2025-06-13T00:00:00"/>
        <d v="2025-12-03T00:00:00"/>
        <d v="2025-08-03T00:00:00"/>
        <d v="2025-09-27T00:00:00"/>
        <d v="2025-07-07T00:00:00"/>
        <d v="2025-11-07T00:00:00"/>
        <d v="2025-12-25T00:00:00"/>
        <d v="2025-12-10T00:00:00"/>
        <d v="2025-02-28T00:00:00"/>
        <d v="2025-02-16T00:00:00"/>
        <d v="2025-03-09T00:00:00"/>
        <d v="2025-08-14T00:00:00"/>
        <d v="2025-11-19T00:00:00"/>
        <d v="2025-05-13T00:00:00"/>
        <d v="2025-06-04T00:00:00"/>
        <d v="2025-07-15T00:00:00"/>
        <d v="2025-04-09T00:00:00"/>
        <d v="2025-03-25T00:00:00"/>
        <d v="2025-01-27T00:00:00"/>
        <d v="2025-02-15T00:00:00"/>
        <d v="2025-10-04T00:00:00"/>
        <d v="2025-06-10T00:00:00"/>
        <d v="2025-11-24T00:00:00"/>
        <d v="2025-12-28T00:00:00"/>
        <d v="2025-07-30T00:00:00"/>
        <d v="2025-01-24T00:00:00"/>
        <d v="2025-09-19T00:00:00"/>
        <d v="2025-11-30T00:00:00"/>
        <d v="2025-12-11T00:00:00"/>
        <d v="2025-08-30T00:00:00"/>
        <d v="2025-05-09T00:00:00"/>
        <d v="2025-01-01T00:00:00"/>
        <d v="2025-06-08T00:00:00"/>
        <d v="2025-05-23T00:00:00"/>
        <d v="2025-01-21T00:00:00"/>
        <d v="2025-08-27T00:00:00"/>
        <d v="2025-10-25T00:00:00"/>
        <d v="2025-09-28T00:00:00"/>
        <d v="2025-09-11T00:00:00"/>
        <d v="2025-10-27T00:00:00"/>
        <d v="2025-07-27T00:00:00"/>
        <d v="2025-08-19T00:00:00"/>
        <d v="2025-03-23T00:00:00"/>
        <d v="2025-10-08T00:00:00"/>
        <d v="2025-11-12T00:00:00"/>
        <d v="2025-03-24T00:00:00"/>
        <d v="2025-11-10T00:00:00"/>
        <d v="2025-09-13T00:00:00"/>
        <d v="2025-01-17T00:00:00"/>
        <d v="2025-12-09T00:00:00"/>
        <d v="2025-02-18T00:00:00"/>
        <d v="2025-01-11T00:00:00"/>
        <d v="2025-01-22T00:00:00"/>
        <d v="2025-01-10T00:00:00"/>
        <d v="2025-01-20T00:00:00"/>
        <d v="2025-09-17T00:00:00"/>
        <d v="2025-08-28T00:00:00"/>
        <d v="2025-05-06T00:00:00"/>
        <d v="2025-12-08T00:00:00"/>
        <d v="2025-03-27T00:00:00"/>
        <d v="2025-08-31T00:00:00"/>
        <d v="2025-06-17T00:00:00"/>
        <d v="2025-07-16T00:00:00"/>
        <d v="2025-09-25T00:00:00"/>
        <d v="2025-09-03T00:00:00"/>
        <d v="2025-12-04T00:00:00"/>
        <d v="2025-08-13T00:00:00"/>
        <d v="2025-08-15T00:00:00"/>
        <d v="2025-03-06T00:00:00"/>
        <d v="2025-03-02T00:00:00"/>
        <d v="2025-09-07T00:00:00"/>
        <d v="2025-07-29T00:00:00"/>
        <d v="2025-06-11T00:00:00"/>
        <d v="2025-04-02T00:00:00"/>
        <d v="2025-10-11T00:00:00"/>
        <d v="2025-07-03T00:00:00"/>
        <d v="2025-07-11T00:00:00"/>
        <d v="2025-02-23T00:00:00"/>
        <d v="2025-05-24T00:00:00"/>
        <d v="2025-02-22T00:00:00"/>
        <d v="2025-09-05T00:00:00"/>
        <d v="2025-11-16T00:00:00"/>
        <d v="2025-08-06T00:00:00"/>
        <d v="2025-11-22T00:00:00"/>
        <d v="2025-01-13T00:00:00"/>
        <d v="2025-04-06T00:00:00"/>
        <d v="2025-01-15T00:00:00"/>
        <d v="2025-07-28T00:00:00"/>
        <d v="2025-05-19T00:00:00"/>
        <d v="2025-01-08T00:00:00"/>
        <d v="2025-08-04T00:00:00"/>
        <d v="2025-06-03T00:00:00"/>
        <d v="2025-05-27T00:00:00"/>
        <d v="2025-10-17T00:00:00"/>
        <d v="2025-05-18T00:00:00"/>
        <d v="2025-01-30T00:00:00"/>
        <d v="2025-02-01T00:00:00"/>
        <d v="2025-05-21T00:00:00"/>
        <d v="2025-12-18T00:00:00"/>
        <d v="2025-04-07T00:00:00"/>
        <d v="2025-11-14T00:00:00"/>
        <d v="2025-08-18T00:00:00"/>
        <d v="2025-09-01T00:00:00"/>
        <d v="2025-05-31T00:00:00"/>
        <d v="2025-02-07T00:00:00"/>
        <d v="2025-09-09T00:00:00"/>
        <d v="2025-07-26T00:00:00"/>
        <d v="2025-10-30T00:00:00"/>
        <d v="2025-04-04T00:00:00"/>
        <d v="2025-06-01T00:00:00"/>
        <d v="2025-03-03T00:00:00"/>
        <d v="2025-12-02T00:00:00"/>
        <d v="2025-08-09T00:00:00"/>
        <d v="2025-12-22T00:00:00"/>
        <d v="2025-07-06T00:00:00"/>
        <d v="2025-12-21T00:00:00"/>
        <d v="2025-01-28T00:00:00"/>
        <d v="2025-07-01T00:00:00"/>
        <d v="2025-08-02T00:00:00"/>
        <d v="2025-03-31T00:00:00"/>
        <d v="2025-02-14T00:00:00"/>
        <d v="2025-10-03T00:00:00"/>
        <d v="2025-02-21T00:00:00"/>
        <d v="2025-02-08T00:00:00"/>
        <d v="2025-03-30T00:00:00"/>
        <d v="2025-09-06T00:00:00"/>
        <d v="2025-07-25T00:00:00"/>
        <d v="2025-10-06T00:00:00"/>
        <d v="2025-02-11T00:00:00"/>
        <d v="2025-12-17T00:00:00"/>
        <d v="2025-01-18T00:00:00"/>
        <d v="2025-08-25T00:00:00"/>
        <d v="2025-01-14T00:00:00"/>
        <d v="2025-01-26T00:00:00"/>
        <d v="2025-12-16T00:00:00"/>
        <d v="2025-01-03T00:00:00"/>
        <d v="2025-03-13T00:00:00"/>
        <d v="2025-03-17T00:00:00"/>
        <d v="2025-05-28T00:00:00"/>
        <d v="2025-10-05T00:00:00"/>
        <d v="2025-12-05T00:00:00"/>
        <d v="2025-11-23T00:00:00"/>
        <d v="2025-11-02T00:00:00"/>
        <d v="2025-03-14T00:00:00"/>
        <d v="2025-09-02T00:00:00"/>
        <d v="2025-02-27T00:00:00"/>
        <d v="2025-10-02T00:00:00"/>
        <d v="2025-10-26T00:00:00"/>
        <d v="2025-02-20T00:00:00"/>
        <d v="2025-01-07T00:00:00"/>
        <d v="2025-05-12T00:00:00"/>
        <d v="2025-06-05T00:00:00"/>
        <d v="2025-09-12T00:00:00"/>
        <d v="2025-02-02T00:00:00"/>
        <d v="2025-10-01T00:00:00"/>
        <d v="2025-07-04T00:00:00"/>
        <d v="2025-01-25T00:00:00"/>
        <d v="2025-05-15T00:00:00"/>
        <d v="2025-07-09T00:00:00"/>
        <d v="2025-03-10T00:00:00"/>
        <d v="2025-06-06T00:00:00"/>
        <d v="2025-05-10T00:00:00"/>
        <d v="2025-12-29T00:00:00"/>
        <d v="2025-09-20T00:00:00"/>
        <d v="2025-05-08T00:00:00"/>
        <d v="2025-07-31T00:00:00"/>
        <d v="2025-10-18T00:00:00"/>
        <d v="2025-02-05T00:00:00"/>
        <d v="2025-03-12T00:00:00"/>
        <d v="2025-07-10T00:00:00"/>
        <d v="2025-09-04T00:00:00"/>
        <d v="2025-03-28T00:00:00"/>
        <d v="2025-08-26T00:00:00"/>
        <d v="2025-05-29T00:00:00"/>
        <d v="2025-09-15T00:00:00"/>
        <d v="2025-11-29T00:00:00"/>
        <d v="2025-01-04T00:00:00"/>
        <d v="2025-08-21T00:00:00"/>
        <d v="2025-02-26T00:00:00"/>
        <d v="2025-07-23T00:00:00"/>
        <d v="2025-02-25T00:00:00"/>
        <d v="2025-11-04T00:00:00"/>
        <d v="2025-07-08T00:00:00"/>
        <d v="2025-03-05T00:00:00"/>
        <d v="2025-06-15T00:00:00"/>
        <d v="2025-07-12T00:00:00"/>
        <d v="2025-06-18T00:00:00"/>
        <d v="2025-01-29T00:00:00"/>
        <d v="2025-12-20T00:00:00"/>
        <d v="2025-01-31T00:00:00"/>
        <d v="2025-04-11T00:00:00"/>
        <d v="2025-11-03T00:00:00"/>
        <d v="2025-06-27T00:00:00"/>
        <d v="2025-01-16T00:00:00"/>
        <d v="2025-12-13T00:00:00"/>
        <d v="2025-09-30T00:00:00"/>
        <d v="2025-04-10T00:00:00"/>
        <d v="2025-11-27T00:00:00"/>
        <d v="2025-10-07T00:00:00"/>
        <d v="2025-05-07T00:00:00"/>
        <d v="2025-08-11T00:00:00"/>
        <d v="2025-07-19T00:00:00"/>
        <d v="2025-09-21T00:00:00"/>
        <d v="2025-07-14T00:00:00"/>
        <d v="2025-04-03T00:00:00"/>
        <d v="2025-03-26T00:00:00"/>
        <d v="2025-02-06T00:00:00"/>
        <d v="2025-06-25T00:00:00"/>
        <d v="2025-05-11T00:00:00"/>
        <d v="2025-08-16T00:00:00"/>
        <d v="2025-12-19T00:00:00"/>
        <d v="2025-02-17T00:00:00"/>
        <d v="2025-07-20T00:00:00"/>
        <d v="2025-11-13T00:00:00"/>
        <d v="2025-07-24T00:00:00"/>
        <d v="2025-11-25T00:00:00"/>
        <d v="2025-06-26T00:00:00"/>
        <d v="2025-03-08T00:00:00"/>
        <d v="2025-10-10T00:00:00"/>
        <d v="2025-12-23T00:00:00"/>
        <d v="2025-01-02T00:00:00"/>
        <d v="2025-09-14T00:00:00"/>
        <d v="2025-11-28T00:00:00"/>
        <d v="2025-03-29T00:00:00"/>
        <d v="2025-06-30T00:00:00"/>
        <d v="2025-10-20T00:00:00"/>
        <d v="2025-03-21T00:00:00"/>
        <d v="2025-09-26T00:00:00"/>
        <d v="2025-10-28T00:00:00"/>
        <d v="2025-02-24T00:00:00"/>
        <d v="2025-09-29T00:00:00"/>
        <d v="2025-09-16T00:00:00"/>
        <d v="2025-03-01T00:00:00"/>
        <d v="2025-04-08T00:00:00"/>
        <d v="2025-06-14T00:00:00"/>
        <d v="2025-10-31T00:00:00"/>
        <d v="2025-06-29T00:00:00"/>
        <d v="2025-11-15T00:00:00"/>
        <d v="2025-05-17T00:00:00"/>
        <d v="2025-11-06T00:00:00"/>
        <d v="2025-11-05T00:00:00"/>
        <d v="2025-09-08T00:00:00"/>
        <d v="2025-03-07T00:00:00"/>
        <d v="2025-06-24T00:00:00"/>
        <d v="2025-02-10T00:00:00"/>
        <d v="2025-01-05T00:00:00"/>
        <d v="2025-07-05T00:00:00"/>
        <d v="2025-02-13T00:00:00"/>
        <d v="2025-03-18T00:00:00"/>
        <d v="2025-07-13T00:00:00"/>
        <d v="2025-08-29T00:00:00"/>
        <d v="2025-01-23T00:00:00"/>
        <d v="2025-03-04T00:00:00"/>
        <d v="2025-02-12T00:00:00"/>
        <d v="2025-02-09T00:00:00"/>
        <d v="2025-07-21T00:00:00"/>
        <d v="2025-03-22T00:00:00"/>
        <d v="2025-06-16T00:00:00"/>
        <d v="2025-11-20T00:00:00"/>
        <d v="2025-08-24T00:00:00"/>
        <d v="2025-01-09T00:00:00"/>
        <d v="2025-10-22T00:00:00"/>
        <d v="2025-12-27T00:00:00"/>
        <d v="2025-09-18T00:00:00"/>
        <d v="2025-02-19T00:00:00"/>
        <d v="2025-10-24T00:00:00"/>
        <d v="2025-06-20T00:00:00"/>
        <d v="2025-08-12T00:00:00"/>
        <d v="2025-03-16T00:00:00"/>
        <d v="2025-06-07T00:00:00"/>
        <d v="2025-11-18T00:00:00"/>
        <d v="2025-07-18T00:00:00"/>
        <d v="2025-08-22T00:00:00"/>
        <d v="2025-08-07T00:00:00"/>
        <d v="2025-05-16T00:00:00"/>
        <d v="2025-06-02T00:00:00"/>
        <d v="2025-11-08T00:00:00"/>
        <d v="2025-01-19T00:00:00"/>
        <d v="2025-05-22T00:00:00"/>
        <d v="2025-06-12T00:00:00"/>
        <d v="2025-11-21T00:00:00"/>
        <d v="2025-12-06T00:00:00"/>
        <d v="2025-11-11T00:00:00"/>
        <d v="2025-10-12T00:00:00"/>
        <d v="2025-06-21T00:00:00"/>
        <d v="2025-08-20T00:00:00"/>
        <d v="2025-12-26T00:00:00"/>
        <d v="2025-06-23T00:00:00"/>
        <d v="2025-10-14T00:00:00"/>
        <d v="2025-12-24T00:00:00"/>
        <d v="2025-07-22T00:00:00"/>
        <d v="2025-04-05T00:00:00"/>
        <d v="2025-04-12T00:00:00"/>
        <d v="2025-03-11T00:00:00"/>
        <d v="2025-10-15T00:00:00"/>
        <d v="2025-11-01T00:00:00"/>
        <d v="2025-01-06T00:00:00"/>
        <d v="2025-04-01T00:00:00"/>
        <d v="2025-03-15T00:00:00"/>
        <d v="2025-07-17T00:00:00"/>
        <d v="2025-03-20T00:00:00"/>
        <d v="2025-10-09T00:00:00"/>
      </sharedItems>
      <fieldGroup par="16" base="1">
        <rangePr groupBy="months" startDate="2025-01-01T00:00:00" endDate="2026-01-01T00:00:00"/>
        <groupItems count="14">
          <s v="&lt;1/1/2025"/>
          <s v="Jan"/>
          <s v="Feb"/>
          <s v="Mar"/>
          <s v="Apr"/>
          <s v="May"/>
          <s v="Jun"/>
          <s v="Jul"/>
          <s v="Aug"/>
          <s v="Sep"/>
          <s v="Oct"/>
          <s v="Nov"/>
          <s v="Dec"/>
          <s v="&gt;1/1/2026"/>
        </groupItems>
      </fieldGroup>
    </cacheField>
    <cacheField name="City" numFmtId="0">
      <sharedItems/>
    </cacheField>
    <cacheField name="Region" numFmtId="0">
      <sharedItems count="4">
        <s v="South"/>
        <s v="East"/>
        <s v="West"/>
        <s v="North"/>
      </sharedItems>
    </cacheField>
    <cacheField name="Category" numFmtId="0">
      <sharedItems count="7">
        <s v="Stationery"/>
        <s v="Sports"/>
        <s v="Electronics"/>
        <s v="Grocery"/>
        <s v="Home Appliances"/>
        <s v="Furniture"/>
        <s v="Beauty"/>
      </sharedItems>
    </cacheField>
    <cacheField name="Product" numFmtId="0">
      <sharedItems count="35">
        <s v="Marker Set"/>
        <s v="Dumbbells"/>
        <s v="Headphones"/>
        <s v="Coffee"/>
        <s v="Microwave"/>
        <s v="Monitor"/>
        <s v="Bedside Table"/>
        <s v="Cricket Bat"/>
        <s v="Perfume"/>
        <s v="Keyboard"/>
        <s v="Running Shoes"/>
        <s v="Sofa"/>
        <s v="Cooking Oil"/>
        <s v="Mixer"/>
        <s v="Air Fryer"/>
        <s v="Biscuits"/>
        <s v="Face Wash"/>
        <s v="Desk"/>
        <s v="Football"/>
        <s v="Calculator"/>
        <s v="Sunscreen"/>
        <s v="Laptop"/>
        <s v="Yoga Mat"/>
        <s v="Pen Set"/>
        <s v="Bookshelf"/>
        <s v="Office Chair"/>
        <s v="Notebook"/>
        <s v="Fan"/>
        <s v="File Folder"/>
        <s v="Smartphone"/>
        <s v="Moisturizer"/>
        <s v="Vacuum Cleaner"/>
        <s v="Rice"/>
        <s v="Shampoo"/>
        <s v="Tea"/>
      </sharedItems>
    </cacheField>
    <cacheField name="Channel" numFmtId="0">
      <sharedItems count="3">
        <s v="Marketplace"/>
        <s v="Online"/>
        <s v="Store"/>
      </sharedItems>
    </cacheField>
    <cacheField name="Customer_Segment" numFmtId="0">
      <sharedItems/>
    </cacheField>
    <cacheField name="Quantity" numFmtId="0">
      <sharedItems containsSemiMixedTypes="0" containsString="0" containsNumber="1" containsInteger="1" minValue="1" maxValue="8"/>
    </cacheField>
    <cacheField name="Unit_Price" numFmtId="0">
      <sharedItems containsSemiMixedTypes="0" containsString="0" containsNumber="1" containsInteger="1" minValue="83" maxValue="69962"/>
    </cacheField>
    <cacheField name="Discount" numFmtId="0">
      <sharedItems containsSemiMixedTypes="0" containsString="0" containsNumber="1" minValue="0" maxValue="0.2"/>
    </cacheField>
    <cacheField name="Revenue" numFmtId="0">
      <sharedItems containsSemiMixedTypes="0" containsString="0" containsNumber="1" minValue="119.7" maxValue="557624" count="2962">
        <n v="16834"/>
        <n v="82771.199999999997"/>
        <n v="21560"/>
        <n v="10588.5"/>
        <n v="19789.2"/>
        <n v="38269.800000000003"/>
        <n v="47807.8"/>
        <n v="5534"/>
        <n v="20610.8"/>
        <n v="86632"/>
        <n v="15045"/>
        <n v="2236.3000000000002"/>
        <n v="42710.400000000001"/>
        <n v="76024"/>
        <n v="15472.8"/>
        <n v="92369.7"/>
        <n v="35970.300000000003"/>
        <n v="18926.099999999999"/>
        <n v="13089.6"/>
        <n v="3184.2"/>
        <n v="337488"/>
        <n v="17250.099999999999"/>
        <n v="2796.8"/>
        <n v="2410.6"/>
        <n v="10206.799999999999"/>
        <n v="154658.70000000001"/>
        <n v="4687.2"/>
        <n v="50744.25"/>
        <n v="76486.399999999994"/>
        <n v="53740.55"/>
        <n v="21848.1"/>
        <n v="29403"/>
        <n v="76241.600000000006"/>
        <n v="41673.599999999999"/>
        <n v="2185"/>
        <n v="4007.1"/>
        <n v="54864.4"/>
        <n v="15633"/>
        <n v="18838.5"/>
        <n v="336096.8"/>
        <n v="616.54999999999995"/>
        <n v="184969.75"/>
        <n v="5571.75"/>
        <n v="123781"/>
        <n v="61311.6"/>
        <n v="13158"/>
        <n v="3760.4"/>
        <n v="15108.8"/>
        <n v="12887"/>
        <n v="68772"/>
        <n v="10488"/>
        <n v="44215.199999999997"/>
        <n v="28114"/>
        <n v="23745.599999999999"/>
        <n v="52407"/>
        <n v="59673.599999999999"/>
        <n v="7826.1"/>
        <n v="47840.4"/>
        <n v="185831.4"/>
        <n v="22779"/>
        <n v="410955.3"/>
        <n v="128736"/>
        <n v="7010.8"/>
        <n v="28228.5"/>
        <n v="45592"/>
        <n v="395252.55"/>
        <n v="1512.15"/>
        <n v="34614"/>
        <n v="311370"/>
        <n v="11239.2"/>
        <n v="8294.4"/>
        <n v="7934.4"/>
        <n v="4313"/>
        <n v="26360"/>
        <n v="15548.4"/>
        <n v="1298.7"/>
        <n v="70227"/>
        <n v="118825"/>
        <n v="106299"/>
        <n v="155803.5"/>
        <n v="2922"/>
        <n v="67309.8"/>
        <n v="12074"/>
        <n v="3360"/>
        <n v="99835"/>
        <n v="43389"/>
        <n v="147481.79999999999"/>
        <n v="3940"/>
        <n v="8904"/>
        <n v="6978.5"/>
        <n v="21378"/>
        <n v="4033"/>
        <n v="42744.3"/>
        <n v="98135"/>
        <n v="7189.6"/>
        <n v="115900.05"/>
        <n v="3277.8"/>
        <n v="103684"/>
        <n v="185445"/>
        <n v="6523.2"/>
        <n v="64434.6"/>
        <n v="9698.4"/>
        <n v="115635"/>
        <n v="7323.6"/>
        <n v="4415.6000000000004"/>
        <n v="8681.1"/>
        <n v="22900.5"/>
        <n v="54611.199999999997"/>
        <n v="560.5"/>
        <n v="20376"/>
        <n v="12835.8"/>
        <n v="2196"/>
        <n v="72403.199999999997"/>
        <n v="8094.6"/>
        <n v="33727.5"/>
        <n v="5335"/>
        <n v="61938"/>
        <n v="275107.59999999998"/>
        <n v="68241.600000000006"/>
        <n v="43937.599999999999"/>
        <n v="33812.400000000001"/>
        <n v="1515.6"/>
        <n v="49452"/>
        <n v="51807"/>
        <n v="34716"/>
        <n v="2577.1999999999998"/>
        <n v="19565"/>
        <n v="20985.5"/>
        <n v="3406.7"/>
        <n v="97323.7"/>
        <n v="210412.79999999999"/>
        <n v="4055.55"/>
        <n v="445.55"/>
        <n v="325500"/>
        <n v="8514"/>
        <n v="7617.6"/>
        <n v="3219.3"/>
        <n v="9123.2999999999993"/>
        <n v="200263.5"/>
        <n v="3362.4"/>
        <n v="95715.9"/>
        <n v="19851.3"/>
        <n v="4022.4"/>
        <n v="53779.5"/>
        <n v="4584"/>
        <n v="200018.7"/>
        <n v="104996.85"/>
        <n v="124300"/>
        <n v="40594.5"/>
        <n v="8300"/>
        <n v="8424"/>
        <n v="98187.25"/>
        <n v="17563.599999999999"/>
        <n v="13194"/>
        <n v="150930"/>
        <n v="87674.4"/>
        <n v="35398.800000000003"/>
        <n v="287075"/>
        <n v="7136.6"/>
        <n v="15291"/>
        <n v="51209.1"/>
        <n v="13664"/>
        <n v="14392"/>
        <n v="119271.6"/>
        <n v="2619"/>
        <n v="9205.5"/>
        <n v="105852.8"/>
        <n v="41879.800000000003"/>
        <n v="173933.6"/>
        <n v="326358"/>
        <n v="1969.2"/>
        <n v="286308.05"/>
        <n v="220813.25"/>
        <n v="318999.90000000002"/>
        <n v="170042.4"/>
        <n v="15545.6"/>
        <n v="37920"/>
        <n v="668.8"/>
        <n v="23310"/>
        <n v="15770"/>
        <n v="2371.1999999999998"/>
        <n v="28750.799999999999"/>
        <n v="44574.3"/>
        <n v="35708.5"/>
        <n v="36416"/>
        <n v="187964.75"/>
        <n v="6728.4"/>
        <n v="19635"/>
        <n v="208224"/>
        <n v="41612"/>
        <n v="88553"/>
        <n v="7878.35"/>
        <n v="267.2"/>
        <n v="115035"/>
        <n v="7567.2"/>
        <n v="13584"/>
        <n v="62077.2"/>
        <n v="147777"/>
        <n v="5217.3"/>
        <n v="13018.8"/>
        <n v="48763.199999999997"/>
        <n v="1876"/>
        <n v="70399.8"/>
        <n v="9364.7999999999993"/>
        <n v="12096.35"/>
        <n v="5041.3500000000004"/>
        <n v="76932.899999999994"/>
        <n v="136388.70000000001"/>
        <n v="5435.1"/>
        <n v="204454.75"/>
        <n v="71676"/>
        <n v="6080"/>
        <n v="7263"/>
        <n v="51553.65"/>
        <n v="1564.2"/>
        <n v="3998.4"/>
        <n v="5095.75"/>
        <n v="7922.85"/>
        <n v="4816.95"/>
        <n v="9490"/>
        <n v="804.6"/>
        <n v="17822"/>
        <n v="76989.600000000006"/>
        <n v="228031.2"/>
        <n v="5066"/>
        <n v="27232.799999999999"/>
        <n v="439.2"/>
        <n v="810.9"/>
        <n v="11720.8"/>
        <n v="70706.399999999994"/>
        <n v="2485.1999999999998"/>
        <n v="30852.9"/>
        <n v="178590.5"/>
        <n v="155030.39999999999"/>
        <n v="22400"/>
        <n v="194724"/>
        <n v="33056.1"/>
        <n v="278337.59999999998"/>
        <n v="151335"/>
        <n v="4320.6000000000004"/>
        <n v="47820.15"/>
        <n v="17328"/>
        <n v="128936.85"/>
        <n v="158070.25"/>
        <n v="32599.8"/>
        <n v="90326"/>
        <n v="74519.899999999994"/>
        <n v="38195.199999999997"/>
        <n v="42501.599999999999"/>
        <n v="59945.4"/>
        <n v="3249"/>
        <n v="88443.9"/>
        <n v="4985"/>
        <n v="261829.5"/>
        <n v="14596.75"/>
        <n v="203288.4"/>
        <n v="4502.05"/>
        <n v="6385.5"/>
        <n v="7305"/>
        <n v="25330.799999999999"/>
        <n v="179800.8"/>
        <n v="8456.4"/>
        <n v="34320"/>
        <n v="60789.599999999999"/>
        <n v="18117.900000000001"/>
        <n v="190163.4"/>
        <n v="48588"/>
        <n v="5146.2"/>
        <n v="273241.84999999998"/>
        <n v="43268.7"/>
        <n v="51980.4"/>
        <n v="35051"/>
        <n v="10040.549999999999"/>
        <n v="11311.65"/>
        <n v="94645.8"/>
        <n v="66959.600000000006"/>
        <n v="5510.55"/>
        <n v="332530"/>
        <n v="10536"/>
        <n v="3495"/>
        <n v="143238"/>
        <n v="5587.05"/>
        <n v="318336"/>
        <n v="3510"/>
        <n v="111558.6"/>
        <n v="274177.59999999998"/>
        <n v="2291.4"/>
        <n v="4080"/>
        <n v="66983"/>
        <n v="31833.599999999999"/>
        <n v="1729"/>
        <n v="3402"/>
        <n v="1000.8"/>
        <n v="8685"/>
        <n v="67309.399999999994"/>
        <n v="157348.79999999999"/>
        <n v="12636"/>
        <n v="2004"/>
        <n v="161098.79999999999"/>
        <n v="15066"/>
        <n v="2516"/>
        <n v="26875.8"/>
        <n v="183521.7"/>
        <n v="216059.8"/>
        <n v="16187.4"/>
        <n v="11540"/>
        <n v="464500.8"/>
        <n v="5268.3"/>
        <n v="33213.599999999999"/>
        <n v="7694.05"/>
        <n v="4077"/>
        <n v="16190.8"/>
        <n v="22436.1"/>
        <n v="46569"/>
        <n v="12076.2"/>
        <n v="11065.6"/>
        <n v="120949.2"/>
        <n v="319773.59999999998"/>
        <n v="146805.4"/>
        <n v="15041.6"/>
        <n v="9098.1"/>
        <n v="32547"/>
        <n v="40311"/>
        <n v="5218.3500000000004"/>
        <n v="7200"/>
        <n v="224610"/>
        <n v="5297.4"/>
        <n v="2251.5"/>
        <n v="6022"/>
        <n v="5187.55"/>
        <n v="175598"/>
        <n v="43137.599999999999"/>
        <n v="6170.15"/>
        <n v="75322.8"/>
        <n v="20777.400000000001"/>
        <n v="3799.5"/>
        <n v="25546.5"/>
        <n v="16647.3"/>
        <n v="11699.4"/>
        <n v="7780.5"/>
        <n v="99458.5"/>
        <n v="6403"/>
        <n v="22370.400000000001"/>
        <n v="7369.5"/>
        <n v="9288"/>
        <n v="49901.599999999999"/>
        <n v="2218.5"/>
        <n v="3421.8"/>
        <n v="2482.85"/>
        <n v="38507.4"/>
        <n v="8386.2000000000007"/>
        <n v="280764"/>
        <n v="20111.400000000001"/>
        <n v="4227.2"/>
        <n v="216693"/>
        <n v="823.5"/>
        <n v="104454.8"/>
        <n v="705.85"/>
        <n v="240.3"/>
        <n v="1591.2"/>
        <n v="162.35"/>
        <n v="167803.6"/>
        <n v="16319.1"/>
        <n v="152490.6"/>
        <n v="5574.6"/>
        <n v="4776"/>
        <n v="164092.5"/>
        <n v="69348"/>
        <n v="302.39999999999998"/>
        <n v="10431"/>
        <n v="12684.4"/>
        <n v="173340.79999999999"/>
        <n v="11662.2"/>
        <n v="16729.2"/>
        <n v="11736.3"/>
        <n v="29851.200000000001"/>
        <n v="775.2"/>
        <n v="61922"/>
        <n v="2548.8000000000002"/>
        <n v="11305.6"/>
        <n v="58639.5"/>
        <n v="1400"/>
        <n v="3992"/>
        <n v="1541.7"/>
        <n v="101286.85"/>
        <n v="1622.6"/>
        <n v="27451.599999999999"/>
        <n v="920"/>
        <n v="5627.8"/>
        <n v="23271.200000000001"/>
        <n v="76272"/>
        <n v="11325"/>
        <n v="35037"/>
        <n v="113346"/>
        <n v="8845.1"/>
        <n v="66994.2"/>
        <n v="29526"/>
        <n v="13030"/>
        <n v="11214.75"/>
        <n v="1504"/>
        <n v="34134"/>
        <n v="165191.4"/>
        <n v="1655.1"/>
        <n v="7055"/>
        <n v="1269"/>
        <n v="14857.15"/>
        <n v="29495.85"/>
        <n v="10257.6"/>
        <n v="3858"/>
        <n v="2508.8000000000002"/>
        <n v="9936"/>
        <n v="39216"/>
        <n v="85825"/>
        <n v="4014.9"/>
        <n v="41361.1"/>
        <n v="99043"/>
        <n v="11699.25"/>
        <n v="56948.7"/>
        <n v="257138.4"/>
        <n v="4321.8"/>
        <n v="57478.8"/>
        <n v="2077"/>
        <n v="4684.8"/>
        <n v="312952.5"/>
        <n v="8672"/>
        <n v="174859.2"/>
        <n v="2008.3"/>
        <n v="10417.5"/>
        <n v="30776"/>
        <n v="19730.55"/>
        <n v="101711.85"/>
        <n v="19497.3"/>
        <n v="29078.5"/>
        <n v="1137"/>
        <n v="180082"/>
        <n v="56706.45"/>
        <n v="33739.050000000003"/>
        <n v="8328"/>
        <n v="21591.599999999999"/>
        <n v="7695"/>
        <n v="358192"/>
        <n v="51030.6"/>
        <n v="334383"/>
        <n v="78120"/>
        <n v="3105.9"/>
        <n v="31578"/>
        <n v="24643"/>
        <n v="55895.4"/>
        <n v="100695"/>
        <n v="299888.40000000002"/>
        <n v="144504"/>
        <n v="33986.25"/>
        <n v="78621.600000000006"/>
        <n v="47100"/>
        <n v="89388"/>
        <n v="22709.75"/>
        <n v="13838.65"/>
        <n v="8333.4"/>
        <n v="158460.4"/>
        <n v="70642.8"/>
        <n v="5936"/>
        <n v="142925.6"/>
        <n v="170596.8"/>
        <n v="1016.5"/>
        <n v="14522"/>
        <n v="145046"/>
        <n v="7754.4"/>
        <n v="10739.75"/>
        <n v="4400.3999999999996"/>
        <n v="28719.8"/>
        <n v="135468"/>
        <n v="244950.3"/>
        <n v="3819.6"/>
        <n v="27675.15"/>
        <n v="218.45"/>
        <n v="91465.2"/>
        <n v="170981"/>
        <n v="2138"/>
        <n v="87876"/>
        <n v="10602"/>
        <n v="117345.9"/>
        <n v="46770.400000000001"/>
        <n v="379125.6"/>
        <n v="17442"/>
        <n v="9296"/>
        <n v="78467.399999999994"/>
        <n v="7929"/>
        <n v="11509.85"/>
        <n v="45780"/>
        <n v="51248"/>
        <n v="2404.8000000000002"/>
        <n v="43683.85"/>
        <n v="63279"/>
        <n v="2168"/>
        <n v="4881"/>
        <n v="32111.9"/>
        <n v="75270.399999999994"/>
        <n v="48328"/>
        <n v="2601.1"/>
        <n v="4975.1499999999996"/>
        <n v="2649.45"/>
        <n v="84907.199999999997"/>
        <n v="10940.4"/>
        <n v="17544.599999999999"/>
        <n v="767"/>
        <n v="19508"/>
        <n v="26208.6"/>
        <n v="67442.399999999994"/>
        <n v="6375"/>
        <n v="116888"/>
        <n v="354422.8"/>
        <n v="55903.5"/>
        <n v="54966.6"/>
        <n v="1234"/>
        <n v="6224.4"/>
        <n v="40584.1"/>
        <n v="30926.7"/>
        <n v="37060"/>
        <n v="7074"/>
        <n v="11392"/>
        <n v="2899.4"/>
        <n v="566"/>
        <n v="70041.600000000006"/>
        <n v="33746.400000000001"/>
        <n v="19981.8"/>
        <n v="22227.5"/>
        <n v="18450"/>
        <n v="28490.400000000001"/>
        <n v="26248.85"/>
        <n v="7030.8"/>
        <n v="11257.6"/>
        <n v="10465.200000000001"/>
        <n v="3899.8"/>
        <n v="16866.900000000001"/>
        <n v="4970"/>
        <n v="77256"/>
        <n v="60562.8"/>
        <n v="52896"/>
        <n v="4014"/>
        <n v="31927.599999999999"/>
        <n v="61724"/>
        <n v="8600"/>
        <n v="121317"/>
        <n v="16651.5"/>
        <n v="7559.1"/>
        <n v="4169"/>
        <n v="17944"/>
        <n v="178174.8"/>
        <n v="58370.400000000001"/>
        <n v="92043.6"/>
        <n v="5504"/>
        <n v="8901.5"/>
        <n v="4339.6000000000004"/>
        <n v="3696"/>
        <n v="29370.6"/>
        <n v="891.9"/>
        <n v="2745.9"/>
        <n v="122190.9"/>
        <n v="321.3"/>
        <n v="36787.800000000003"/>
        <n v="15897"/>
        <n v="87061.8"/>
        <n v="8718.15"/>
        <n v="14169.6"/>
        <n v="1466.25"/>
        <n v="35535"/>
        <n v="5496.1"/>
        <n v="23142"/>
        <n v="28683"/>
        <n v="7449"/>
        <n v="12358"/>
        <n v="1878.4"/>
        <n v="20267.400000000001"/>
        <n v="10108"/>
        <n v="12772"/>
        <n v="3311.7"/>
        <n v="2257.1999999999998"/>
        <n v="4725.3"/>
        <n v="1791"/>
        <n v="46264"/>
        <n v="1597"/>
        <n v="88150.5"/>
        <n v="2039.4"/>
        <n v="187788.4"/>
        <n v="92288.7"/>
        <n v="8884.7999999999993"/>
        <n v="1035.3"/>
        <n v="3076"/>
        <n v="3997.8"/>
        <n v="15270.3"/>
        <n v="12694.5"/>
        <n v="4590"/>
        <n v="3015.3"/>
        <n v="61304"/>
        <n v="1303"/>
        <n v="33649.199999999997"/>
        <n v="428644.8"/>
        <n v="4365.25"/>
        <n v="3499.8"/>
        <n v="21206.85"/>
        <n v="21762.6"/>
        <n v="125625.60000000001"/>
        <n v="20129"/>
        <n v="93664"/>
        <n v="10951.2"/>
        <n v="30433.4"/>
        <n v="6331.5"/>
        <n v="84988.800000000003"/>
        <n v="5232.6000000000004"/>
        <n v="95126.399999999994"/>
        <n v="31761.1"/>
        <n v="70471"/>
        <n v="45402"/>
        <n v="17989.2"/>
        <n v="1315.8"/>
        <n v="166768"/>
        <n v="9690"/>
        <n v="15120"/>
        <n v="1442.4"/>
        <n v="5935.5"/>
        <n v="366570.8"/>
        <n v="23054.400000000001"/>
        <n v="23700.6"/>
        <n v="2880"/>
        <n v="117356.4"/>
        <n v="48355"/>
        <n v="8542.5"/>
        <n v="7944"/>
        <n v="3094"/>
        <n v="124540.8"/>
        <n v="1960"/>
        <n v="83734"/>
        <n v="1225.8"/>
        <n v="49772.4"/>
        <n v="7897.5"/>
        <n v="190006.65"/>
        <n v="31446.9"/>
        <n v="759.6"/>
        <n v="5072"/>
        <n v="88114.4"/>
        <n v="71299.399999999994"/>
        <n v="348619.6"/>
        <n v="14136"/>
        <n v="4333"/>
        <n v="6957.25"/>
        <n v="10908"/>
        <n v="6251"/>
        <n v="87768"/>
        <n v="621.9"/>
        <n v="9256"/>
        <n v="51552.9"/>
        <n v="1500.25"/>
        <n v="31011.4"/>
        <n v="9009"/>
        <n v="43683.3"/>
        <n v="1866"/>
        <n v="24463.8"/>
        <n v="2930.75"/>
        <n v="9795.6"/>
        <n v="39730"/>
        <n v="37850.400000000001"/>
        <n v="2772"/>
        <n v="15897.6"/>
        <n v="2657.15"/>
        <n v="3098.7"/>
        <n v="6777.3"/>
        <n v="15314"/>
        <n v="5820.8"/>
        <n v="41416.199999999997"/>
        <n v="258711.6"/>
        <n v="10936.8"/>
        <n v="18411"/>
        <n v="51367.5"/>
        <n v="26393.4"/>
        <n v="25912"/>
        <n v="180816"/>
        <n v="1207"/>
        <n v="288731.59999999998"/>
        <n v="2262"/>
        <n v="3411"/>
        <n v="13500"/>
        <n v="2073"/>
        <n v="189871.2"/>
        <n v="26568"/>
        <n v="1660.5"/>
        <n v="6775.2"/>
        <n v="32889"/>
        <n v="159110.39999999999"/>
        <n v="216124.4"/>
        <n v="169299"/>
        <n v="14452.55"/>
        <n v="312574.5"/>
        <n v="133158"/>
        <n v="74732"/>
        <n v="172796.4"/>
        <n v="15309.25"/>
        <n v="65358.1"/>
        <n v="1223.1500000000001"/>
        <n v="14204.4"/>
        <n v="1141.2"/>
        <n v="115476.3"/>
        <n v="42597"/>
        <n v="80879.399999999994"/>
        <n v="7804.25"/>
        <n v="2273"/>
        <n v="87214.75"/>
        <n v="289151.09999999998"/>
        <n v="48395.6"/>
        <n v="40256"/>
        <n v="6671.7"/>
        <n v="3506.25"/>
        <n v="35805.599999999999"/>
        <n v="12298.65"/>
        <n v="51310.8"/>
        <n v="211878"/>
        <n v="244849.5"/>
        <n v="5655.6"/>
        <n v="5252.4"/>
        <n v="79772.399999999994"/>
        <n v="153904"/>
        <n v="3330"/>
        <n v="1997.1"/>
        <n v="9490.25"/>
        <n v="15850.75"/>
        <n v="2532.6"/>
        <n v="24470.65"/>
        <n v="2277"/>
        <n v="7008.15"/>
        <n v="46631.7"/>
        <n v="1345.2"/>
        <n v="12269.25"/>
        <n v="957.6"/>
        <n v="36387"/>
        <n v="18900"/>
        <n v="3723.3"/>
        <n v="9319.5"/>
        <n v="225696"/>
        <n v="104271.3"/>
        <n v="1832.4"/>
        <n v="9479.7000000000007"/>
        <n v="63587.65"/>
        <n v="963.9"/>
        <n v="57280"/>
        <n v="8347.5"/>
        <n v="10812"/>
        <n v="24287"/>
        <n v="4711.05"/>
        <n v="3178.7"/>
        <n v="18529.75"/>
        <n v="1662.6"/>
        <n v="97164"/>
        <n v="5542"/>
        <n v="11276.5"/>
        <n v="24771.25"/>
        <n v="57477"/>
        <n v="4353"/>
        <n v="3460.5"/>
        <n v="256275.8"/>
        <n v="2979"/>
        <n v="25576.5"/>
        <n v="77625"/>
        <n v="3824.1"/>
        <n v="56209.5"/>
        <n v="24214.799999999999"/>
        <n v="6797.7"/>
        <n v="10948"/>
        <n v="324393.65000000002"/>
        <n v="19423.8"/>
        <n v="79214.8"/>
        <n v="1284"/>
        <n v="116382.6"/>
        <n v="2695.5"/>
        <n v="3633.75"/>
        <n v="10170"/>
        <n v="12391.8"/>
        <n v="3490.2"/>
        <n v="30307.599999999999"/>
        <n v="7494.4"/>
        <n v="38129.199999999997"/>
        <n v="75156.399999999994"/>
        <n v="294675"/>
        <n v="1699.15"/>
        <n v="13327.15"/>
        <n v="168525"/>
        <n v="247097.55"/>
        <n v="6545"/>
        <n v="2854"/>
        <n v="97203.05"/>
        <n v="45604"/>
        <n v="278129.59999999998"/>
        <n v="22433.200000000001"/>
        <n v="4810"/>
        <n v="18806"/>
        <n v="4680"/>
        <n v="5451"/>
        <n v="5395.05"/>
        <n v="17728.900000000001"/>
        <n v="228394.25"/>
        <n v="3033"/>
        <n v="345823.2"/>
        <n v="10201.5"/>
        <n v="1975"/>
        <n v="14467"/>
        <n v="220"/>
        <n v="186904"/>
        <n v="23317.75"/>
        <n v="5779.8"/>
        <n v="37387.25"/>
        <n v="83337.8"/>
        <n v="36998.800000000003"/>
        <n v="73494.399999999994"/>
        <n v="16058"/>
        <n v="122797"/>
        <n v="22422"/>
        <n v="8211"/>
        <n v="6135.3"/>
        <n v="21057.05"/>
        <n v="30679.3"/>
        <n v="11362"/>
        <n v="3897.25"/>
        <n v="4356.25"/>
        <n v="555"/>
        <n v="5190.8"/>
        <n v="7025.4"/>
        <n v="59907"/>
        <n v="194479.2"/>
        <n v="6744.6"/>
        <n v="16275.4"/>
        <n v="1785.6"/>
        <n v="35991"/>
        <n v="59658"/>
        <n v="58122"/>
        <n v="188608"/>
        <n v="1128.8"/>
        <n v="68044.5"/>
        <n v="56591.5"/>
        <n v="50604.75"/>
        <n v="8086.4"/>
        <n v="33694"/>
        <n v="36543.199999999997"/>
        <n v="31456"/>
        <n v="34689.25"/>
        <n v="3735.4"/>
        <n v="140601.60000000001"/>
        <n v="16324.2"/>
        <n v="4471.2"/>
        <n v="388332.7"/>
        <n v="2608"/>
        <n v="57891.8"/>
        <n v="4305.3999999999996"/>
        <n v="5640.6"/>
        <n v="20304"/>
        <n v="2080"/>
        <n v="31066.2"/>
        <n v="6760.2"/>
        <n v="3849.3"/>
        <n v="57481.65"/>
        <n v="8459.2000000000007"/>
        <n v="102001.5"/>
        <n v="43336"/>
        <n v="71492"/>
        <n v="3818"/>
        <n v="45602.85"/>
        <n v="6691.8"/>
        <n v="12396"/>
        <n v="37080"/>
        <n v="13545"/>
        <n v="104888"/>
        <n v="7101.75"/>
        <n v="137818.79999999999"/>
        <n v="60694.55"/>
        <n v="241535.6"/>
        <n v="34507.449999999997"/>
        <n v="131518.79999999999"/>
        <n v="6606"/>
        <n v="12081.9"/>
        <n v="14490"/>
        <n v="10140.299999999999"/>
        <n v="127858.6"/>
        <n v="7843.2"/>
        <n v="1522.35"/>
        <n v="27452"/>
        <n v="34360.400000000001"/>
        <n v="77293.899999999994"/>
        <n v="3531"/>
        <n v="21074.05"/>
        <n v="14982.45"/>
        <n v="67493.7"/>
        <n v="8252"/>
        <n v="72131.600000000006"/>
        <n v="29934"/>
        <n v="6051"/>
        <n v="4910.3999999999996"/>
        <n v="36050.400000000001"/>
        <n v="150462.9"/>
        <n v="32210.7"/>
        <n v="102312"/>
        <n v="318130"/>
        <n v="19162.8"/>
        <n v="7211.2"/>
        <n v="30681"/>
        <n v="7194.6"/>
        <n v="4970.3999999999996"/>
        <n v="90628.2"/>
        <n v="3763.8"/>
        <n v="122925.6"/>
        <n v="15006.6"/>
        <n v="32335.200000000001"/>
        <n v="24906"/>
        <n v="174060"/>
        <n v="50872"/>
        <n v="7224"/>
        <n v="1134"/>
        <n v="5263"/>
        <n v="11484"/>
        <n v="23165.75"/>
        <n v="21677.1"/>
        <n v="101694"/>
        <n v="3912.3"/>
        <n v="7883.1"/>
        <n v="975.6"/>
        <n v="113097.60000000001"/>
        <n v="337360"/>
        <n v="138753"/>
        <n v="2150.8000000000002"/>
        <n v="25906.5"/>
        <n v="1778"/>
        <n v="14747.8"/>
        <n v="161416.79999999999"/>
        <n v="155468.4"/>
        <n v="22960.2"/>
        <n v="192225.8"/>
        <n v="29876.400000000001"/>
        <n v="26610.95"/>
        <n v="17740.8"/>
        <n v="305411.40000000002"/>
        <n v="138003"/>
        <n v="11813.25"/>
        <n v="115178.4"/>
        <n v="16324.8"/>
        <n v="7588.8"/>
        <n v="177741"/>
        <n v="6096.6"/>
        <n v="10899"/>
        <n v="59551"/>
        <n v="52932.6"/>
        <n v="10870"/>
        <n v="28904"/>
        <n v="62072.1"/>
        <n v="33452.800000000003"/>
        <n v="269872.2"/>
        <n v="2522.8000000000002"/>
        <n v="18156.400000000001"/>
        <n v="5800.4"/>
        <n v="5980.5"/>
        <n v="1932.9"/>
        <n v="379.8"/>
        <n v="63290.15"/>
        <n v="111585.60000000001"/>
        <n v="36607.800000000003"/>
        <n v="6396.8"/>
        <n v="32327.200000000001"/>
        <n v="3830.4"/>
        <n v="3291.75"/>
        <n v="118614"/>
        <n v="1831.6"/>
        <n v="992.7"/>
        <n v="12555"/>
        <n v="5373.2"/>
        <n v="14604"/>
        <n v="1767"/>
        <n v="122774.39999999999"/>
        <n v="163533.6"/>
        <n v="11985.3"/>
        <n v="43404.4"/>
        <n v="258343.2"/>
        <n v="3276"/>
        <n v="1656.8"/>
        <n v="24837.75"/>
        <n v="13645.8"/>
        <n v="42646.5"/>
        <n v="22834.2"/>
        <n v="13345.85"/>
        <n v="11152"/>
        <n v="21578.400000000001"/>
        <n v="39020.300000000003"/>
        <n v="176.4"/>
        <n v="4930.2"/>
        <n v="72689.399999999994"/>
        <n v="20685.599999999999"/>
        <n v="3376.3"/>
        <n v="41028.6"/>
        <n v="4431.6000000000004"/>
        <n v="8758.7999999999993"/>
        <n v="14634.9"/>
        <n v="260999.2"/>
        <n v="8629.7999999999993"/>
        <n v="2570.4"/>
        <n v="26800"/>
        <n v="93020.2"/>
        <n v="141379"/>
        <n v="24222"/>
        <n v="6782.4"/>
        <n v="172593"/>
        <n v="511384"/>
        <n v="27811.8"/>
        <n v="2130.1"/>
        <n v="11983.3"/>
        <n v="90916"/>
        <n v="4428.8999999999996"/>
        <n v="66207.399999999994"/>
        <n v="375"/>
        <n v="4188"/>
        <n v="14436"/>
        <n v="65274.5"/>
        <n v="155214.79999999999"/>
        <n v="79240"/>
        <n v="87512.6"/>
        <n v="5264.9"/>
        <n v="69832"/>
        <n v="144066"/>
        <n v="9880"/>
        <n v="173887.2"/>
        <n v="3720"/>
        <n v="5022"/>
        <n v="5684"/>
        <n v="1629.9"/>
        <n v="466"/>
        <n v="51010.25"/>
        <n v="28960.2"/>
        <n v="71593.2"/>
        <n v="2009.7"/>
        <n v="21588"/>
        <n v="163353.60000000001"/>
        <n v="1368"/>
        <n v="216520.5"/>
        <n v="135332"/>
        <n v="8223.2000000000007"/>
        <n v="89378.1"/>
        <n v="44407.75"/>
        <n v="13801.5"/>
        <n v="235392"/>
        <n v="117925.2"/>
        <n v="78327"/>
        <n v="8515.7999999999993"/>
        <n v="7310"/>
        <n v="4170"/>
        <n v="65485"/>
        <n v="42954.75"/>
        <n v="618.29999999999995"/>
        <n v="18366.3"/>
        <n v="14798"/>
        <n v="44485.2"/>
        <n v="14545"/>
        <n v="1122.8499999999999"/>
        <n v="2770.2"/>
        <n v="70186.95"/>
        <n v="18624"/>
        <n v="40959"/>
        <n v="1680.55"/>
        <n v="2152.8000000000002"/>
        <n v="3088.8"/>
        <n v="62624"/>
        <n v="10429.5"/>
        <n v="23873.1"/>
        <n v="5240.25"/>
        <n v="76372.2"/>
        <n v="250695.6"/>
        <n v="33078"/>
        <n v="3910.5"/>
        <n v="27915.7"/>
        <n v="136074"/>
        <n v="1728.9"/>
        <n v="4363.3500000000004"/>
        <n v="8874"/>
        <n v="7403"/>
        <n v="51886.8"/>
        <n v="21807.599999999999"/>
        <n v="49536"/>
        <n v="83604"/>
        <n v="8715.9"/>
        <n v="19328"/>
        <n v="83904"/>
        <n v="1266"/>
        <n v="181693.8"/>
        <n v="4411.5"/>
        <n v="1108.8"/>
        <n v="3702.6"/>
        <n v="8035.2"/>
        <n v="22372"/>
        <n v="103816"/>
        <n v="241408.8"/>
        <n v="40926"/>
        <n v="30191"/>
        <n v="3689.8"/>
        <n v="8334"/>
        <n v="90340"/>
        <n v="11101.85"/>
        <n v="1748"/>
        <n v="4130.6000000000004"/>
        <n v="2424.4"/>
        <n v="40160"/>
        <n v="11466"/>
        <n v="14322"/>
        <n v="161790"/>
        <n v="11352.6"/>
        <n v="34368"/>
        <n v="6905.4"/>
        <n v="16257.6"/>
        <n v="10982"/>
        <n v="8280"/>
        <n v="10098"/>
        <n v="35721"/>
        <n v="26362.5"/>
        <n v="16013.2"/>
        <n v="50454"/>
        <n v="3874.1"/>
        <n v="81240"/>
        <n v="4476"/>
        <n v="3646.8"/>
        <n v="3927.3"/>
        <n v="13127.1"/>
        <n v="13175"/>
        <n v="876.35"/>
        <n v="38211.85"/>
        <n v="67564"/>
        <n v="131021.1"/>
        <n v="120298.8"/>
        <n v="132918.29999999999"/>
        <n v="45516"/>
        <n v="59629.5"/>
        <n v="53076.6"/>
        <n v="74331"/>
        <n v="18516.45"/>
        <n v="70780.5"/>
        <n v="17193.8"/>
        <n v="1862"/>
        <n v="94343.55"/>
        <n v="8326.75"/>
        <n v="113874.6"/>
        <n v="6926.65"/>
        <n v="4692"/>
        <n v="4500"/>
        <n v="121192.2"/>
        <n v="49115"/>
        <n v="31495.35"/>
        <n v="9884.7999999999993"/>
        <n v="1383.8"/>
        <n v="3328.6"/>
        <n v="77328"/>
        <n v="3690.9"/>
        <n v="16888"/>
        <n v="36730.800000000003"/>
        <n v="120636"/>
        <n v="45611.4"/>
        <n v="9508.5499999999993"/>
        <n v="1174.5"/>
        <n v="122963.4"/>
        <n v="4932"/>
        <n v="262982.8"/>
        <n v="83087"/>
        <n v="71645.2"/>
        <n v="21261"/>
        <n v="3019.1"/>
        <n v="25422"/>
        <n v="1147.5"/>
        <n v="71353.8"/>
        <n v="26915"/>
        <n v="1100.7"/>
        <n v="28743.200000000001"/>
        <n v="116468.7"/>
        <n v="75433.8"/>
        <n v="4440.3999999999996"/>
        <n v="37173.599999999999"/>
        <n v="38494"/>
        <n v="11107.8"/>
        <n v="16837.8"/>
        <n v="26740"/>
        <n v="44134.400000000001"/>
        <n v="125564"/>
        <n v="227881.25"/>
        <n v="32464.35"/>
        <n v="758.7"/>
        <n v="11823.7"/>
        <n v="25788.6"/>
        <n v="45637.35"/>
        <n v="13387.4"/>
        <n v="105036"/>
        <n v="11068.45"/>
        <n v="12354.3"/>
        <n v="130768"/>
        <n v="24040"/>
        <n v="4275.5"/>
        <n v="1348"/>
        <n v="295267"/>
        <n v="92408.4"/>
        <n v="778.5"/>
        <n v="76604.399999999994"/>
        <n v="17625.599999999999"/>
        <n v="4222.75"/>
        <n v="752.4"/>
        <n v="66957.899999999994"/>
        <n v="196152"/>
        <n v="64616.4"/>
        <n v="59884.2"/>
        <n v="12289.2"/>
        <n v="3927"/>
        <n v="530"/>
        <n v="40516"/>
        <n v="7002"/>
        <n v="2300.9"/>
        <n v="412.3"/>
        <n v="3651"/>
        <n v="68096.899999999994"/>
        <n v="5178"/>
        <n v="256363.2"/>
        <n v="25001.9"/>
        <n v="3528.9"/>
        <n v="321153"/>
        <n v="32433.45"/>
        <n v="9298.6"/>
        <n v="14184"/>
        <n v="26002.799999999999"/>
        <n v="40156"/>
        <n v="30076.400000000001"/>
        <n v="9348.2999999999993"/>
        <n v="17919"/>
        <n v="4518"/>
        <n v="7706.4"/>
        <n v="10060.200000000001"/>
        <n v="7164.9"/>
        <n v="1024"/>
        <n v="10125"/>
        <n v="203148"/>
        <n v="16761.599999999999"/>
        <n v="12300.6"/>
        <n v="4029.6"/>
        <n v="14303.8"/>
        <n v="597.6"/>
        <n v="1212"/>
        <n v="39343.5"/>
        <n v="140315"/>
        <n v="848"/>
        <n v="40256.25"/>
        <n v="5107.5"/>
        <n v="212576.75"/>
        <n v="2553.6"/>
        <n v="186743.4"/>
        <n v="239818.95"/>
        <n v="27356.400000000001"/>
        <n v="29241"/>
        <n v="85408"/>
        <n v="3588"/>
        <n v="142905"/>
        <n v="161367"/>
        <n v="516"/>
        <n v="255.6"/>
        <n v="21598.2"/>
        <n v="81828"/>
        <n v="24242.1"/>
        <n v="13275.3"/>
        <n v="2986.9"/>
        <n v="2700"/>
        <n v="2233.8000000000002"/>
        <n v="272405.7"/>
        <n v="4545.75"/>
        <n v="98059.5"/>
        <n v="7765.2"/>
        <n v="54469.2"/>
        <n v="4624.6000000000004"/>
        <n v="11187"/>
        <n v="77900"/>
        <n v="3846.6"/>
        <n v="24600"/>
        <n v="2315.15"/>
        <n v="53773.8"/>
        <n v="1636.85"/>
        <n v="67416"/>
        <n v="116188.8"/>
        <n v="259279.2"/>
        <n v="14262.4"/>
        <n v="128616"/>
        <n v="101051.4"/>
        <n v="78904"/>
        <n v="11790.35"/>
        <n v="823"/>
        <n v="45000"/>
        <n v="26069.5"/>
        <n v="46135"/>
        <n v="7708"/>
        <n v="131668.20000000001"/>
        <n v="864"/>
        <n v="34064.1"/>
        <n v="134952"/>
        <n v="260042.4"/>
        <n v="3188"/>
        <n v="91885"/>
        <n v="246.6"/>
        <n v="85156.4"/>
        <n v="130187.05"/>
        <n v="992.75"/>
        <n v="13678.2"/>
        <n v="121832"/>
        <n v="20708"/>
        <n v="31312"/>
        <n v="9410"/>
        <n v="44730"/>
        <n v="4147.2"/>
        <n v="38283.300000000003"/>
        <n v="12014.75"/>
        <n v="4879.2"/>
        <n v="110685"/>
        <n v="62953.2"/>
        <n v="9715"/>
        <n v="2019.6"/>
        <n v="18540.2"/>
        <n v="50160.95"/>
        <n v="557624"/>
        <n v="154052"/>
        <n v="22675.200000000001"/>
        <n v="5818.5"/>
        <n v="15755.6"/>
        <n v="11472"/>
        <n v="6509.4"/>
        <n v="3300"/>
        <n v="10581"/>
        <n v="35750"/>
        <n v="14212"/>
        <n v="6678.5"/>
        <n v="27146"/>
        <n v="22024"/>
        <n v="10464"/>
        <n v="3762"/>
        <n v="3051"/>
        <n v="345369.59999999998"/>
        <n v="7840.8"/>
        <n v="31859.200000000001"/>
        <n v="3038"/>
        <n v="3196.8"/>
        <n v="27968.400000000001"/>
        <n v="18249.5"/>
        <n v="13345"/>
        <n v="5057.1000000000004"/>
        <n v="15716.7"/>
        <n v="39026"/>
        <n v="4304"/>
        <n v="59540"/>
        <n v="12400.35"/>
        <n v="160914.6"/>
        <n v="262145"/>
        <n v="38010"/>
        <n v="7755.8"/>
        <n v="225523.20000000001"/>
        <n v="110001.45"/>
        <n v="285"/>
        <n v="8660.65"/>
        <n v="7232.4"/>
        <n v="69680"/>
        <n v="30684.15"/>
        <n v="1118.5999999999999"/>
        <n v="331.2"/>
        <n v="32400"/>
        <n v="1987.4"/>
        <n v="25249.5"/>
        <n v="184401"/>
        <n v="28469.9"/>
        <n v="22302.2"/>
        <n v="56424.6"/>
        <n v="200793.60000000001"/>
        <n v="1901.9"/>
        <n v="56863.199999999997"/>
        <n v="37641.599999999999"/>
        <n v="1052.5999999999999"/>
        <n v="45991.4"/>
        <n v="48731.4"/>
        <n v="3364"/>
        <n v="1309.5"/>
        <n v="53831.75"/>
        <n v="4267.3999999999996"/>
        <n v="128829.4"/>
        <n v="143301"/>
        <n v="8127"/>
        <n v="27996.5"/>
        <n v="10930.5"/>
        <n v="8958.6"/>
        <n v="59697"/>
        <n v="29232"/>
        <n v="11004"/>
        <n v="39130"/>
        <n v="87728.7"/>
        <n v="11176"/>
        <n v="136705"/>
        <n v="67992"/>
        <n v="267580.79999999999"/>
        <n v="38654"/>
        <n v="1955.1"/>
        <n v="7547.75"/>
        <n v="3153.6"/>
        <n v="19206.599999999999"/>
        <n v="2568"/>
        <n v="24174"/>
        <n v="11457"/>
        <n v="27639"/>
        <n v="5499.5"/>
        <n v="6501.6"/>
        <n v="12558"/>
        <n v="103285.8"/>
        <n v="13448"/>
        <n v="6383.5"/>
        <n v="1864.85"/>
        <n v="30267"/>
        <n v="428941.8"/>
        <n v="974"/>
        <n v="18889.8"/>
        <n v="62400.800000000003"/>
        <n v="10879.4"/>
        <n v="2256"/>
        <n v="294083"/>
        <n v="12564"/>
        <n v="1621.65"/>
        <n v="43227.9"/>
        <n v="24100.2"/>
        <n v="15215.2"/>
        <n v="10656"/>
        <n v="54655.199999999997"/>
        <n v="42523.199999999997"/>
        <n v="15709.2"/>
        <n v="1648.8"/>
        <n v="4822.2"/>
        <n v="815.4"/>
        <n v="3758.4"/>
        <n v="111972.2"/>
        <n v="24112"/>
        <n v="6805.8"/>
        <n v="2420"/>
        <n v="18281.8"/>
        <n v="27489"/>
        <n v="17452.8"/>
        <n v="6370"/>
        <n v="40509.9"/>
        <n v="108494.75"/>
        <n v="85940.1"/>
        <n v="7740"/>
        <n v="374246.8"/>
        <n v="209970"/>
        <n v="36578.800000000003"/>
        <n v="7983"/>
        <n v="6056.1"/>
        <n v="2037.6"/>
        <n v="100075.85"/>
        <n v="34482"/>
        <n v="66291.5"/>
        <n v="6401.7"/>
        <n v="57135"/>
        <n v="2824.2"/>
        <n v="45828"/>
        <n v="11658.4"/>
        <n v="101365"/>
        <n v="33111"/>
        <n v="7966.8"/>
        <n v="2135"/>
        <n v="120946"/>
        <n v="4824"/>
        <n v="213150"/>
        <n v="111314"/>
        <n v="16471.8"/>
        <n v="58732.800000000003"/>
        <n v="1417.8"/>
        <n v="76377.600000000006"/>
        <n v="39605"/>
        <n v="3937.2"/>
        <n v="2297"/>
        <n v="53899.199999999997"/>
        <n v="2055.8000000000002"/>
        <n v="11386.7"/>
        <n v="3546"/>
        <n v="213949.5"/>
        <n v="291180.79999999999"/>
        <n v="35449.25"/>
        <n v="51376.95"/>
        <n v="3171.35"/>
        <n v="116265"/>
        <n v="3691.8"/>
        <n v="34914.400000000001"/>
        <n v="12491.1"/>
        <n v="5335.2"/>
        <n v="8413.2000000000007"/>
        <n v="6737.4"/>
        <n v="503208"/>
        <n v="282727.59999999998"/>
        <n v="116758.8"/>
        <n v="3870"/>
        <n v="14422.8"/>
        <n v="11191.95"/>
        <n v="33228"/>
        <n v="11865.15"/>
        <n v="13243"/>
        <n v="6089.4"/>
        <n v="5742"/>
        <n v="2495.6999999999998"/>
        <n v="15071.35"/>
        <n v="5980.8"/>
        <n v="11682"/>
        <n v="31228.2"/>
        <n v="97024"/>
        <n v="4588.5"/>
        <n v="26560.1"/>
        <n v="31563"/>
        <n v="149867.75"/>
        <n v="4282.2"/>
        <n v="136491.25"/>
        <n v="242227.20000000001"/>
        <n v="1208"/>
        <n v="14444"/>
        <n v="227970"/>
        <n v="2388.5"/>
        <n v="14855.4"/>
        <n v="4536"/>
        <n v="15543"/>
        <n v="18679.599999999999"/>
        <n v="69400.800000000003"/>
        <n v="20391"/>
        <n v="110471.7"/>
        <n v="70900.2"/>
        <n v="6084"/>
        <n v="289082.15000000002"/>
        <n v="13608"/>
        <n v="15014.4"/>
        <n v="72504"/>
        <n v="14104"/>
        <n v="30880"/>
        <n v="8544.2999999999993"/>
        <n v="2781"/>
        <n v="3569.4"/>
        <n v="67622.399999999994"/>
        <n v="25602.85"/>
        <n v="116561.2"/>
        <n v="36699.300000000003"/>
        <n v="175572"/>
        <n v="11328.75"/>
        <n v="30345"/>
        <n v="7072"/>
        <n v="39162"/>
        <n v="10483.25"/>
        <n v="69897.2"/>
        <n v="16877.7"/>
        <n v="1475"/>
        <n v="14040.3"/>
        <n v="3335.4"/>
        <n v="7963.2"/>
        <n v="8899.2000000000007"/>
        <n v="314685"/>
        <n v="90681.3"/>
        <n v="66786.899999999994"/>
        <n v="7711.2"/>
        <n v="565.20000000000005"/>
        <n v="4543.8500000000004"/>
        <n v="5969.8"/>
        <n v="105930.4"/>
        <n v="2986.2"/>
        <n v="4206"/>
        <n v="554.20000000000005"/>
        <n v="15998.7"/>
        <n v="18871.2"/>
        <n v="4636"/>
        <n v="2496"/>
        <n v="103275"/>
        <n v="203867.4"/>
        <n v="9865.7999999999993"/>
        <n v="38199.599999999999"/>
        <n v="120768"/>
        <n v="208512"/>
        <n v="2002"/>
        <n v="9453.6"/>
        <n v="4385.2"/>
        <n v="13466.4"/>
        <n v="70295.25"/>
        <n v="36197"/>
        <n v="13801.6"/>
        <n v="6592.6"/>
        <n v="3855.6"/>
        <n v="3553"/>
        <n v="6009"/>
        <n v="10333.799999999999"/>
        <n v="1774.8"/>
        <n v="557.65"/>
        <n v="43629.7"/>
        <n v="1568"/>
        <n v="31131"/>
        <n v="5448"/>
        <n v="32008"/>
        <n v="8441.7000000000007"/>
        <n v="148773.6"/>
        <n v="1016"/>
        <n v="7398"/>
        <n v="115693.5"/>
        <n v="4756.5"/>
        <n v="48169.75"/>
        <n v="979.2"/>
        <n v="36384"/>
        <n v="22366.799999999999"/>
        <n v="2051.9"/>
        <n v="104402.1"/>
        <n v="20820"/>
        <n v="143528"/>
        <n v="142828.79999999999"/>
        <n v="24319.05"/>
        <n v="21344.6"/>
        <n v="38106.400000000001"/>
        <n v="17592.45"/>
        <n v="106212"/>
        <n v="30723"/>
        <n v="5306.55"/>
        <n v="192682.8"/>
        <n v="26163"/>
        <n v="169694.85"/>
        <n v="209480"/>
        <n v="56856.5"/>
        <n v="1350.4"/>
        <n v="162848.70000000001"/>
        <n v="73341.399999999994"/>
        <n v="1508.6"/>
        <n v="81350.399999999994"/>
        <n v="10004.4"/>
        <n v="1622"/>
        <n v="15168.65"/>
        <n v="453196.79999999999"/>
        <n v="932.45"/>
        <n v="9080.5499999999993"/>
        <n v="124355"/>
        <n v="12067.2"/>
        <n v="14088.75"/>
        <n v="19735.2"/>
        <n v="28108.799999999999"/>
        <n v="10080"/>
        <n v="4908.75"/>
        <n v="6608.2"/>
        <n v="116872.2"/>
        <n v="1638"/>
        <n v="5890.95"/>
        <n v="28064"/>
        <n v="50209.599999999999"/>
        <n v="19479.599999999999"/>
        <n v="36248.25"/>
        <n v="6809.6"/>
        <n v="21093.8"/>
        <n v="89926.2"/>
        <n v="109587.1"/>
        <n v="8323.2000000000007"/>
        <n v="30512.1"/>
        <n v="58033.8"/>
        <n v="69438"/>
        <n v="5882"/>
        <n v="15570.9"/>
        <n v="625.5"/>
        <n v="131841"/>
        <n v="3283.2"/>
        <n v="76291.199999999997"/>
        <n v="369990.8"/>
        <n v="4720"/>
        <n v="40874.400000000001"/>
        <n v="12366"/>
        <n v="4433.6000000000004"/>
        <n v="63855.4"/>
        <n v="12396.4"/>
        <n v="30790.799999999999"/>
        <n v="20244"/>
        <n v="2743.2"/>
        <n v="9888"/>
        <n v="477372"/>
        <n v="12384"/>
        <n v="12740"/>
        <n v="16497"/>
        <n v="24867"/>
        <n v="52440"/>
        <n v="6330.8"/>
        <n v="8776"/>
        <n v="151864"/>
        <n v="2120"/>
        <n v="26054.7"/>
        <n v="409.7"/>
        <n v="197028.3"/>
        <n v="54225"/>
        <n v="8800.7999999999993"/>
        <n v="3049.5"/>
        <n v="149458.75"/>
        <n v="8019.75"/>
        <n v="8588.4"/>
        <n v="3911.7"/>
        <n v="211660"/>
        <n v="4993.2"/>
        <n v="12628"/>
        <n v="5072.8"/>
        <n v="19410"/>
        <n v="44898"/>
        <n v="5054"/>
        <n v="8697.6"/>
        <n v="241.4"/>
        <n v="760"/>
        <n v="123735.6"/>
        <n v="465247.3"/>
        <n v="150400.79999999999"/>
        <n v="17696"/>
        <n v="1574.2"/>
        <n v="12380.4"/>
        <n v="227152.6"/>
        <n v="17178"/>
        <n v="67565.899999999994"/>
        <n v="29852"/>
        <n v="9606.7000000000007"/>
        <n v="13218"/>
        <n v="33245.25"/>
        <n v="8141.5"/>
        <n v="72154.8"/>
        <n v="2031"/>
        <n v="52608"/>
        <n v="7977.6"/>
        <n v="13270.2"/>
        <n v="100495.5"/>
        <n v="68924.800000000003"/>
        <n v="6769.7"/>
        <n v="38266"/>
        <n v="17653.650000000001"/>
        <n v="3052"/>
        <n v="3796.2"/>
        <n v="34068"/>
        <n v="19368.599999999999"/>
        <n v="6306.3"/>
        <n v="5278.5"/>
        <n v="718.2"/>
        <n v="2435.1999999999998"/>
        <n v="15416"/>
        <n v="1401.6"/>
        <n v="163124"/>
        <n v="12950"/>
        <n v="7664.4"/>
        <n v="9072"/>
        <n v="47714.400000000001"/>
        <n v="1437"/>
        <n v="5144"/>
        <n v="221144"/>
        <n v="3729.6"/>
        <n v="5893.8"/>
        <n v="2250"/>
        <n v="5169"/>
        <n v="357124.95"/>
        <n v="1058.3"/>
        <n v="11782.8"/>
        <n v="12949.2"/>
        <n v="795.6"/>
        <n v="65228.9"/>
        <n v="13834.8"/>
        <n v="15125.4"/>
        <n v="28507.599999999999"/>
        <n v="26759.599999999999"/>
        <n v="21935.5"/>
        <n v="2179.8000000000002"/>
        <n v="278834.84999999998"/>
        <n v="16564.8"/>
        <n v="32906.1"/>
        <n v="30626.1"/>
        <n v="9583.2000000000007"/>
        <n v="229546.8"/>
        <n v="29291"/>
        <n v="3139.2"/>
        <n v="37336.800000000003"/>
        <n v="41517.9"/>
        <n v="37012"/>
        <n v="22549.200000000001"/>
        <n v="19236.349999999999"/>
        <n v="78861.399999999994"/>
        <n v="18857.25"/>
        <n v="8221.5"/>
        <n v="52264.25"/>
        <n v="6780"/>
        <n v="34976"/>
        <n v="49362.9"/>
        <n v="57319.199999999997"/>
        <n v="8451.2000000000007"/>
        <n v="358165.2"/>
        <n v="10438"/>
        <n v="1036.8"/>
        <n v="139039.20000000001"/>
        <n v="81096"/>
        <n v="11505.6"/>
        <n v="1809.75"/>
        <n v="19203.2"/>
        <n v="70673.399999999994"/>
        <n v="65838.8"/>
        <n v="4648"/>
        <n v="10846.85"/>
        <n v="23322"/>
        <n v="5303.85"/>
        <n v="2604.9"/>
        <n v="296969.40000000002"/>
        <n v="5745.6"/>
        <n v="216603.8"/>
        <n v="8175"/>
        <n v="25029.1"/>
        <n v="11586.6"/>
        <n v="30599.5"/>
        <n v="18397.400000000001"/>
        <n v="42202.8"/>
        <n v="89749.8"/>
        <n v="7176"/>
        <n v="3820.5"/>
        <n v="7894.8"/>
        <n v="13258"/>
        <n v="23982.75"/>
        <n v="18496.5"/>
        <n v="1439.1"/>
        <n v="177829.2"/>
        <n v="327976"/>
        <n v="74202.600000000006"/>
        <n v="9450.2999999999993"/>
        <n v="27197.45"/>
        <n v="18216"/>
        <n v="1786"/>
        <n v="25016"/>
        <n v="88566"/>
        <n v="1785"/>
        <n v="43573.5"/>
        <n v="16424.55"/>
        <n v="281425.5"/>
        <n v="58978.8"/>
        <n v="15166.8"/>
        <n v="86697"/>
        <n v="4140"/>
        <n v="9139"/>
        <n v="6705"/>
        <n v="4890.6000000000004"/>
        <n v="43646.400000000001"/>
        <n v="210573"/>
        <n v="184740.8"/>
        <n v="3964.4"/>
        <n v="28440"/>
        <n v="657.4"/>
        <n v="10179"/>
        <n v="71559.8"/>
        <n v="4752"/>
        <n v="31842"/>
        <n v="160555.5"/>
        <n v="99999.9"/>
        <n v="3606.55"/>
        <n v="8548.2000000000007"/>
        <n v="19089"/>
        <n v="175935.25"/>
        <n v="9787.75"/>
        <n v="10368.299999999999"/>
        <n v="18133.599999999999"/>
        <n v="11874"/>
        <n v="166018.20000000001"/>
        <n v="13868.1"/>
        <n v="74784"/>
        <n v="8681.4"/>
        <n v="24400"/>
        <n v="28126.65"/>
        <n v="7351.2"/>
        <n v="16956"/>
        <n v="45312"/>
        <n v="130363.2"/>
        <n v="15473"/>
        <n v="18510"/>
        <n v="35359"/>
        <n v="40304.699999999997"/>
        <n v="9044"/>
        <n v="67444"/>
        <n v="7242"/>
        <n v="47655.25"/>
        <n v="792"/>
        <n v="52675.6"/>
        <n v="2048.5"/>
        <n v="64300.5"/>
        <n v="141741.9"/>
        <n v="4249.6000000000004"/>
        <n v="10282.5"/>
        <n v="59767.199999999997"/>
        <n v="5058"/>
        <n v="37681"/>
        <n v="24436.799999999999"/>
        <n v="25674.25"/>
        <n v="11502"/>
        <n v="17702.3"/>
        <n v="131514"/>
        <n v="3160"/>
        <n v="31369.95"/>
        <n v="1478"/>
        <n v="5696"/>
        <n v="3348"/>
        <n v="3952"/>
        <n v="4880.7"/>
        <n v="19351.5"/>
        <n v="3337.35"/>
        <n v="179139.6"/>
        <n v="296441.59999999998"/>
        <n v="322299.59999999998"/>
        <n v="3358.8"/>
        <n v="66772.649999999994"/>
        <n v="2679"/>
        <n v="2179.4"/>
        <n v="11390.4"/>
        <n v="86797.8"/>
        <n v="3355.4"/>
        <n v="4347"/>
        <n v="97824"/>
        <n v="1815"/>
        <n v="15029"/>
        <n v="106963.15"/>
        <n v="13194.9"/>
        <n v="80956"/>
        <n v="42957"/>
        <n v="269108"/>
        <n v="43620"/>
        <n v="41301.25"/>
        <n v="228310"/>
        <n v="39781.800000000003"/>
        <n v="8024.4"/>
        <n v="88483.95"/>
        <n v="43092"/>
        <n v="18498"/>
        <n v="212506.2"/>
        <n v="17350.2"/>
        <n v="143368"/>
        <n v="676.8"/>
        <n v="255055.5"/>
        <n v="5130"/>
        <n v="3979.8"/>
        <n v="141445.5"/>
        <n v="1781.25"/>
        <n v="6562.6"/>
        <n v="8014.2"/>
        <n v="20508.599999999999"/>
        <n v="64481.25"/>
        <n v="4776.6000000000004"/>
        <n v="64041.4"/>
        <n v="57063.65"/>
        <n v="4813"/>
        <n v="12279.6"/>
        <n v="35052.15"/>
        <n v="110592"/>
        <n v="93108"/>
        <n v="10147.9"/>
        <n v="13896"/>
        <n v="2181.6"/>
        <n v="4427"/>
        <n v="15837"/>
        <n v="218115.1"/>
        <n v="15265.8"/>
        <n v="24198"/>
        <n v="83788.100000000006"/>
        <n v="54058.8"/>
        <n v="130473"/>
        <n v="264.10000000000002"/>
        <n v="1449"/>
        <n v="188894.2"/>
        <n v="98524.800000000003"/>
        <n v="3280"/>
        <n v="54702"/>
        <n v="2556.8000000000002"/>
        <n v="2044.8"/>
        <n v="52277.4"/>
        <n v="48394.8"/>
        <n v="35912"/>
        <n v="83682"/>
        <n v="10877"/>
        <n v="19742"/>
        <n v="5923.8"/>
        <n v="28877.4"/>
        <n v="22747.75"/>
        <n v="2080.8000000000002"/>
        <n v="1512.4"/>
        <n v="12112.8"/>
        <n v="77100.100000000006"/>
        <n v="82734.75"/>
        <n v="51292"/>
        <n v="115702"/>
        <n v="470.9"/>
        <n v="36145.599999999999"/>
        <n v="6615.8"/>
        <n v="105970"/>
        <n v="90182.399999999994"/>
        <n v="9168.9500000000007"/>
        <n v="63736"/>
        <n v="122597.2"/>
        <n v="11428.5"/>
        <n v="102290.3"/>
        <n v="31008"/>
        <n v="23430"/>
        <n v="182460.6"/>
        <n v="169328"/>
        <n v="50783.199999999997"/>
        <n v="471.2"/>
        <n v="285.60000000000002"/>
        <n v="6911.1"/>
        <n v="47699"/>
        <n v="8170"/>
        <n v="132536.4"/>
        <n v="77979"/>
        <n v="8971.2000000000007"/>
        <n v="47236"/>
        <n v="12763.6"/>
        <n v="29432.1"/>
        <n v="29357.1"/>
        <n v="4953.3"/>
        <n v="193503.6"/>
        <n v="1459.45"/>
        <n v="263902.40000000002"/>
        <n v="6330"/>
        <n v="3074.4"/>
        <n v="13251.6"/>
        <n v="25437"/>
        <n v="40219.199999999997"/>
        <n v="1057"/>
        <n v="206030.3"/>
        <n v="81394.2"/>
        <n v="5974.65"/>
        <n v="1431"/>
        <n v="3774.6"/>
        <n v="32520"/>
        <n v="28952"/>
        <n v="13110"/>
        <n v="7196.4"/>
        <n v="6868.5"/>
        <n v="14628.6"/>
        <n v="57553.2"/>
        <n v="72999"/>
        <n v="5455.8"/>
        <n v="222437.75"/>
        <n v="187716.2"/>
        <n v="190460.75"/>
        <n v="2218"/>
        <n v="4964.3999999999996"/>
        <n v="83914.2"/>
        <n v="2196.4"/>
        <n v="12679.2"/>
        <n v="36822"/>
        <n v="89553.600000000006"/>
        <n v="173389.5"/>
        <n v="11670.4"/>
        <n v="208680"/>
        <n v="7843.8"/>
        <n v="56367.75"/>
        <n v="32701.200000000001"/>
        <n v="388.8"/>
        <n v="9349.9"/>
        <n v="35140"/>
        <n v="3182.4"/>
        <n v="21216.6"/>
        <n v="258249.60000000001"/>
        <n v="38251.75"/>
        <n v="41942.5"/>
        <n v="61088"/>
        <n v="1139"/>
        <n v="5761.75"/>
        <n v="6930"/>
        <n v="21503.7"/>
        <n v="270886.5"/>
        <n v="61625.55"/>
        <n v="7571.2"/>
        <n v="334.4"/>
        <n v="15881.4"/>
        <n v="1070.6500000000001"/>
        <n v="11202.4"/>
        <n v="8082"/>
        <n v="143880"/>
        <n v="3544.5"/>
        <n v="21144"/>
        <n v="6885"/>
        <n v="627"/>
        <n v="67883.199999999997"/>
        <n v="8547.6"/>
        <n v="64771.199999999997"/>
        <n v="7106"/>
        <n v="29206"/>
        <n v="12278.75"/>
        <n v="36840"/>
        <n v="56160"/>
        <n v="73121.399999999994"/>
        <n v="18406"/>
        <n v="237362.25"/>
        <n v="30016"/>
        <n v="3032.1"/>
        <n v="117970"/>
        <n v="555.29999999999995"/>
        <n v="8547.2999999999993"/>
        <n v="11685"/>
        <n v="1100.0999999999999"/>
        <n v="251552.7"/>
        <n v="1108"/>
        <n v="9616.5"/>
        <n v="42674.400000000001"/>
        <n v="3432"/>
        <n v="28335.599999999999"/>
        <n v="17749.8"/>
        <n v="1377.5"/>
        <n v="6944.4"/>
        <n v="225545.2"/>
        <n v="9683.2000000000007"/>
        <n v="15636.6"/>
        <n v="2946"/>
        <n v="24669.599999999999"/>
        <n v="181839.5"/>
        <n v="12852"/>
        <n v="48712"/>
        <n v="19961.400000000001"/>
        <n v="136207.20000000001"/>
        <n v="75391.05"/>
        <n v="5572.8"/>
        <n v="49602"/>
        <n v="100968"/>
        <n v="67324.5"/>
        <n v="733.4"/>
        <n v="3823.2"/>
        <n v="11095.05"/>
        <n v="3808"/>
        <n v="1097.25"/>
        <n v="5004.8"/>
        <n v="11729.65"/>
        <n v="10120"/>
        <n v="119.7"/>
        <n v="1726.35"/>
        <n v="123820.2"/>
        <n v="12167.75"/>
        <n v="15600"/>
        <n v="5097.6000000000004"/>
        <n v="8688"/>
        <n v="37544.5"/>
        <n v="4909.6000000000004"/>
        <n v="11822"/>
        <n v="4154.3999999999996"/>
        <n v="32510.799999999999"/>
        <n v="39368"/>
        <n v="14847.3"/>
        <n v="827.9"/>
        <n v="22066"/>
        <n v="164709.6"/>
        <n v="4884.8999999999996"/>
        <n v="878.05"/>
        <n v="103868.1"/>
        <n v="41731.199999999997"/>
        <n v="4271.25"/>
        <n v="7551"/>
        <n v="4994.6000000000004"/>
        <n v="76832"/>
        <n v="8308.7999999999993"/>
        <n v="10254"/>
        <n v="69024.600000000006"/>
        <n v="107204.55"/>
        <n v="268914"/>
        <n v="28161.599999999999"/>
        <n v="446152"/>
        <n v="76188.600000000006"/>
        <n v="282732"/>
        <n v="57120"/>
        <n v="2616"/>
        <n v="30289.8"/>
        <n v="357417.9"/>
        <n v="133243.20000000001"/>
        <n v="6786.8"/>
        <n v="18992"/>
        <n v="2000"/>
        <n v="10589.4"/>
        <n v="77022"/>
        <n v="1517.4"/>
        <n v="17342.25"/>
        <n v="566.1"/>
        <n v="11223.3"/>
        <n v="19152"/>
        <n v="15041.7"/>
        <n v="74325.600000000006"/>
        <n v="184120.2"/>
        <n v="60297.3"/>
        <n v="4326"/>
        <n v="7429"/>
        <n v="54144.3"/>
        <n v="544104"/>
        <n v="20582.75"/>
        <n v="69258"/>
        <n v="40239"/>
        <n v="1252.8"/>
        <n v="33804"/>
        <n v="6358"/>
        <n v="35024.400000000001"/>
        <n v="6568"/>
        <n v="1276.2"/>
        <n v="276184"/>
        <n v="9120.5"/>
        <n v="19782.8"/>
        <n v="29575"/>
        <n v="57091.5"/>
        <n v="37844"/>
        <n v="28314.75"/>
        <n v="709.2"/>
        <n v="14396.4"/>
        <n v="164562.29999999999"/>
        <n v="342722"/>
        <n v="1188"/>
        <n v="28454.400000000001"/>
        <n v="182947.20000000001"/>
        <n v="221927.6"/>
        <n v="6579"/>
        <n v="1782"/>
        <n v="245590"/>
        <n v="2040.6"/>
        <n v="12428.85"/>
        <n v="253859"/>
        <n v="6717.55"/>
        <n v="52396.2"/>
        <n v="15864.8"/>
        <n v="49615.199999999997"/>
        <n v="31124"/>
        <n v="17370.75"/>
        <n v="77797.8"/>
        <n v="206032"/>
        <n v="22412.7"/>
        <n v="1558.9"/>
        <n v="33592.949999999997"/>
        <n v="78556.5"/>
        <n v="28023.1"/>
        <n v="55304.1"/>
        <n v="2238.9"/>
        <n v="294395.5"/>
        <n v="29713.15"/>
        <n v="18691.25"/>
        <n v="22259.200000000001"/>
        <n v="17584.2"/>
        <n v="21166.2"/>
        <n v="698.25"/>
        <n v="362798.1"/>
        <n v="154271.6"/>
        <n v="10180.799999999999"/>
        <n v="9432"/>
        <n v="145251.4"/>
        <n v="3734.4"/>
        <n v="1409.3"/>
        <n v="99516.3"/>
        <n v="208159.2"/>
        <n v="1744"/>
        <n v="125412.35"/>
        <n v="49305"/>
        <n v="331932"/>
        <n v="144079.20000000001"/>
        <n v="82419.399999999994"/>
        <n v="28625.4"/>
        <n v="966.6"/>
        <n v="108254.39999999999"/>
        <n v="188548.4"/>
        <n v="67798.8"/>
        <n v="143766.9"/>
        <n v="18929.5"/>
        <n v="188428.5"/>
        <n v="9876.6"/>
        <n v="13879.5"/>
        <n v="58852.3"/>
        <n v="10494"/>
        <n v="8517.6"/>
        <n v="61059.75"/>
        <n v="9471"/>
        <n v="20395.75"/>
        <n v="7124.4"/>
        <n v="227589.6"/>
        <n v="1850.4"/>
        <n v="253707.3"/>
        <n v="1037.4000000000001"/>
        <n v="41337.199999999997"/>
        <n v="68778"/>
        <n v="9820.7999999999993"/>
        <n v="15932"/>
        <n v="17911.3"/>
        <n v="166284.20000000001"/>
        <n v="26507.25"/>
        <n v="2198"/>
        <n v="19273.599999999999"/>
        <n v="14520.75"/>
        <n v="2008.8"/>
        <n v="110090.75"/>
        <n v="8110.8"/>
        <n v="2345.4"/>
        <n v="39636"/>
        <n v="2260.0500000000002"/>
        <n v="85222.8"/>
        <n v="22415.4"/>
        <n v="15275"/>
        <n v="109174"/>
        <n v="26511.3"/>
        <n v="43262"/>
        <n v="27350.5"/>
        <n v="3519"/>
        <n v="4223.7"/>
        <n v="20520"/>
        <n v="1806.9"/>
        <n v="128548.3"/>
        <n v="6267.6"/>
        <n v="98480"/>
        <n v="14054.4"/>
        <n v="2836.8"/>
        <n v="16660"/>
        <n v="50913"/>
        <n v="11979"/>
        <n v="14128.4"/>
        <n v="19756"/>
        <n v="75651.199999999997"/>
        <n v="13429.8"/>
        <n v="12102.3"/>
        <n v="3562"/>
        <n v="69131.5"/>
        <n v="147066"/>
        <n v="59033.599999999999"/>
        <n v="72025.2"/>
        <n v="27125.200000000001"/>
        <n v="1912.5"/>
        <n v="36512.1"/>
        <n v="10860.4"/>
        <n v="1917"/>
        <n v="13845.6"/>
        <n v="11521.6"/>
        <n v="9510"/>
        <n v="50473"/>
        <n v="1905"/>
        <n v="5176"/>
        <n v="1643.5"/>
        <n v="41443.199999999997"/>
        <n v="2970"/>
        <n v="25431"/>
        <n v="4050.8"/>
        <n v="52810.5"/>
        <n v="108634.4"/>
        <n v="1707.15"/>
        <n v="9973.9"/>
        <n v="3168.8"/>
        <n v="55540.800000000003"/>
        <n v="7816.6"/>
        <n v="7809"/>
        <n v="1617"/>
        <n v="5099.6000000000004"/>
        <n v="6811"/>
        <n v="23798"/>
        <n v="2161.25"/>
        <n v="7204.8"/>
        <n v="4261.5"/>
        <n v="133225.20000000001"/>
        <n v="68467.199999999997"/>
        <n v="14710"/>
        <n v="11585.25"/>
        <n v="2943"/>
        <n v="4968"/>
        <n v="78508.95"/>
        <n v="185500.79999999999"/>
        <n v="11431.65"/>
        <n v="16954"/>
        <n v="37040.5"/>
        <n v="233202.2"/>
        <n v="15480.2"/>
        <n v="232194.6"/>
        <n v="36256.5"/>
        <n v="7788"/>
        <n v="18594.349999999999"/>
        <n v="39181.800000000003"/>
        <n v="10334.1"/>
        <n v="15874.5"/>
        <n v="42941.15"/>
        <n v="74523"/>
        <n v="1820"/>
        <n v="251299.8"/>
        <n v="22011.599999999999"/>
        <n v="296622.90000000002"/>
        <n v="2488.8000000000002"/>
        <n v="28058.400000000001"/>
        <n v="3153.5"/>
        <n v="11025"/>
        <n v="34117.199999999997"/>
        <n v="23240"/>
        <n v="31545"/>
        <n v="2473.6"/>
        <n v="21196.799999999999"/>
        <n v="23167.599999999999"/>
        <n v="93913.2"/>
        <n v="34511.4"/>
        <n v="12777"/>
        <n v="2971.2"/>
        <n v="10629"/>
        <n v="13333.95"/>
        <n v="42024"/>
        <n v="8909.1"/>
        <n v="26077.5"/>
        <n v="1225.7"/>
        <n v="110161.8"/>
        <n v="9121.9"/>
        <n v="14486"/>
        <n v="8384.4"/>
        <n v="90739.199999999997"/>
        <n v="38260.800000000003"/>
        <n v="30696"/>
        <n v="113929.2"/>
        <n v="7680"/>
        <n v="10224"/>
        <n v="14177.7"/>
        <n v="3226.2"/>
        <n v="16018.2"/>
        <n v="5514.75"/>
        <n v="18036"/>
        <n v="4466"/>
        <n v="19630.8"/>
        <n v="349535"/>
        <n v="116589.4"/>
        <n v="11560"/>
        <n v="98568"/>
        <n v="1414"/>
        <n v="5899.5"/>
        <n v="59475.199999999997"/>
        <n v="38675"/>
        <n v="19694"/>
        <n v="3114"/>
        <n v="29966.799999999999"/>
        <n v="37500.300000000003"/>
        <n v="51952"/>
        <n v="24128.1"/>
        <n v="3736"/>
        <n v="3692"/>
        <n v="170680"/>
        <n v="3538.8"/>
        <n v="17178.3"/>
        <n v="800.85"/>
        <n v="61188"/>
        <n v="218124"/>
        <n v="32252.400000000001"/>
        <n v="6111"/>
        <n v="58905"/>
        <n v="154742.39999999999"/>
        <n v="6964"/>
        <n v="9342"/>
        <n v="3897.6"/>
        <n v="37924"/>
        <n v="19171.95"/>
        <n v="238650.3"/>
        <n v="31050"/>
        <n v="75481.2"/>
        <n v="7490"/>
        <n v="82511.199999999997"/>
        <n v="2962.8"/>
        <n v="6709.85"/>
        <n v="159446.39999999999"/>
        <n v="32649.599999999999"/>
        <n v="26325"/>
        <n v="22856.400000000001"/>
        <n v="5714.25"/>
        <n v="379960"/>
        <n v="10443.6"/>
        <n v="35766"/>
        <n v="12033"/>
        <n v="5346.6"/>
        <n v="468"/>
        <n v="87193.8"/>
        <n v="15739.2"/>
        <n v="16917.599999999999"/>
        <n v="7429.5"/>
        <n v="59316.3"/>
        <n v="180419.4"/>
        <n v="72942"/>
        <n v="20335.7"/>
        <n v="5326.65"/>
        <n v="142857.20000000001"/>
        <n v="45968.6"/>
        <n v="53294.400000000001"/>
        <n v="30097.8"/>
        <n v="133512"/>
        <n v="8074.05"/>
        <n v="52563.6"/>
        <n v="5567.4"/>
        <n v="17143.2"/>
        <n v="30870"/>
        <n v="13321.8"/>
        <n v="133223.25"/>
        <n v="4086"/>
        <n v="58646.7"/>
        <n v="2705.55"/>
        <n v="158122.79999999999"/>
        <n v="59243.4"/>
        <n v="8852.4"/>
        <n v="23254"/>
        <n v="63775.5"/>
        <n v="68637.600000000006"/>
        <n v="9261.6"/>
        <n v="8776.1"/>
        <n v="33409.599999999999"/>
        <n v="6084.3"/>
        <n v="20612"/>
        <n v="24637.3"/>
        <n v="20451"/>
        <n v="18003"/>
        <n v="26715.5"/>
        <n v="10212.5"/>
        <n v="3924"/>
        <n v="76878"/>
        <n v="2384"/>
        <n v="72507.600000000006"/>
        <n v="5243.4"/>
        <n v="653.4"/>
        <n v="3560"/>
        <n v="5965"/>
        <n v="347.7"/>
        <n v="13272.75"/>
        <n v="14180"/>
        <n v="10495.8"/>
        <n v="2732"/>
        <n v="83244.7"/>
        <n v="59688.9"/>
        <n v="1541.85"/>
        <n v="96230.399999999994"/>
        <n v="42642"/>
        <n v="5202"/>
        <n v="122010.4"/>
        <n v="3420.4"/>
        <n v="8166.6"/>
        <n v="5376.25"/>
        <n v="201376"/>
        <n v="56483"/>
        <n v="37175.599999999999"/>
        <n v="5268"/>
        <n v="8401.4"/>
        <n v="1525.75"/>
        <n v="6915"/>
        <n v="61540.05"/>
        <n v="138093.54999999999"/>
        <n v="37156.5"/>
        <n v="63511"/>
        <n v="81994.5"/>
        <n v="5750.25"/>
        <n v="6226.2"/>
        <n v="6921.6"/>
        <n v="12462"/>
        <n v="4233.6000000000004"/>
        <n v="22115"/>
        <n v="6433.2"/>
        <n v="5354.1"/>
        <n v="247"/>
        <n v="2764.8"/>
        <n v="64060.4"/>
        <n v="5712"/>
        <n v="236361.60000000001"/>
        <n v="43870.05"/>
        <n v="215838"/>
        <n v="7642.8"/>
        <n v="2247"/>
        <n v="438.6"/>
        <n v="22143.55"/>
        <n v="6923"/>
        <n v="5717.1"/>
        <n v="51845.4"/>
        <n v="756.9"/>
        <n v="10573.5"/>
        <n v="197378.65"/>
        <n v="77594.399999999994"/>
        <n v="22302"/>
        <n v="8530.2000000000007"/>
        <n v="194780.4"/>
        <n v="7077.6"/>
        <n v="141728"/>
        <n v="16502.400000000001"/>
        <n v="4888.8"/>
        <n v="4176"/>
        <n v="30076.05"/>
        <n v="1097.3499999999999"/>
        <n v="32395"/>
        <n v="4891.5"/>
        <n v="3991.6"/>
        <n v="16096"/>
        <n v="49464"/>
        <n v="59602"/>
        <n v="36861.300000000003"/>
        <n v="8183.7"/>
        <n v="2267.65"/>
        <n v="37624.5"/>
        <n v="11192"/>
        <n v="8755.2000000000007"/>
        <n v="164592"/>
        <n v="20548.8"/>
        <n v="3938.4"/>
        <n v="1407.6"/>
        <n v="4006.8"/>
        <n v="373111.55"/>
        <n v="106385.4"/>
        <n v="3273.35"/>
        <n v="22296.5"/>
        <n v="36195"/>
        <n v="189372"/>
        <n v="53785.2"/>
        <n v="2439"/>
        <n v="3906"/>
        <n v="21664.799999999999"/>
        <n v="3659.4"/>
        <n v="4609.3999999999996"/>
        <n v="84240"/>
        <n v="4998"/>
        <n v="8357.2000000000007"/>
        <n v="2737"/>
        <n v="630.79999999999995"/>
        <n v="16238.4"/>
        <n v="62674.75"/>
        <n v="1643"/>
        <n v="142575.29999999999"/>
        <n v="7672.2"/>
        <n v="15078"/>
        <n v="98567"/>
        <n v="3268"/>
        <n v="12408"/>
        <n v="8557.6"/>
        <n v="20640"/>
        <n v="165614.39999999999"/>
        <n v="4980"/>
        <n v="29638.65"/>
        <n v="244573.7"/>
        <n v="26169.3"/>
        <n v="22978.9"/>
        <n v="47610.2"/>
        <n v="42544.2"/>
        <n v="3924.45"/>
        <n v="37006.199999999997"/>
        <n v="8857.7999999999993"/>
        <n v="2096"/>
        <n v="78147"/>
        <n v="45598.5"/>
        <n v="191160.9"/>
        <n v="227592.6"/>
        <n v="776"/>
        <n v="1019.2"/>
        <n v="465675"/>
        <n v="22165.4"/>
        <n v="8632.7999999999993"/>
        <n v="24424.75"/>
        <n v="3320"/>
        <n v="12663"/>
        <n v="12555.9"/>
        <n v="5016"/>
        <n v="72583"/>
        <n v="6511.3"/>
        <n v="4715"/>
        <n v="680"/>
        <n v="3032.4"/>
        <n v="3469.5"/>
        <n v="7174.4"/>
        <n v="3104.6"/>
        <n v="25555.25"/>
        <n v="5019.25"/>
        <n v="18664.8"/>
        <n v="6929.3"/>
        <n v="13584.7"/>
        <n v="21946"/>
        <n v="935.1"/>
        <n v="2023.2"/>
        <n v="262880.09999999998"/>
        <n v="440"/>
        <n v="10596"/>
        <n v="5062.3999999999996"/>
        <n v="11620"/>
        <n v="5480.8"/>
        <n v="17766"/>
        <n v="20664"/>
        <n v="1311"/>
        <n v="7160.4"/>
        <n v="500"/>
        <n v="1875.6"/>
        <n v="103809.60000000001"/>
        <n v="193152"/>
        <n v="49821.9"/>
        <n v="17368"/>
        <n v="13628.7"/>
        <n v="49014"/>
        <n v="3567.45"/>
        <n v="4975"/>
        <n v="395182"/>
        <n v="9624"/>
        <n v="9584.6"/>
        <n v="789.3"/>
        <n v="10867.2"/>
        <n v="2359.8000000000002"/>
        <n v="48429.599999999999"/>
        <n v="36020.699999999997"/>
        <n v="23572.799999999999"/>
        <n v="150364.79999999999"/>
        <n v="1360"/>
        <n v="421104.6"/>
        <n v="13968"/>
        <n v="120740.4"/>
        <n v="58872.6"/>
        <n v="9210"/>
        <n v="21373.200000000001"/>
        <n v="459"/>
        <n v="144194.79999999999"/>
        <n v="13656"/>
        <n v="16974"/>
        <n v="1575.1"/>
        <n v="34307.35"/>
        <n v="40589.199999999997"/>
        <n v="600.29999999999995"/>
        <n v="3550"/>
        <n v="11309.25"/>
        <n v="17016"/>
        <n v="52493.4"/>
        <n v="50689.8"/>
        <n v="207328"/>
        <n v="9509.5"/>
        <n v="42908"/>
        <n v="14558.75"/>
        <n v="2244.85"/>
        <n v="2628.2"/>
        <n v="16275"/>
        <n v="28180.799999999999"/>
        <n v="19904"/>
        <n v="81410.399999999994"/>
        <n v="26985.7"/>
        <n v="6346"/>
        <n v="112829.6"/>
        <n v="11656.8"/>
        <n v="16419"/>
        <n v="9166.5"/>
        <n v="14688"/>
        <n v="28343.25"/>
        <n v="885"/>
        <n v="19460"/>
        <n v="16789.5"/>
        <n v="48971.7"/>
        <n v="32921.300000000003"/>
        <n v="4242.3500000000004"/>
        <n v="33120"/>
        <n v="222537.60000000001"/>
        <n v="229320"/>
        <n v="44387"/>
        <n v="20719.599999999999"/>
        <n v="26019"/>
        <n v="76116.600000000006"/>
        <n v="91532.7"/>
        <n v="2454.3000000000002"/>
        <n v="8928"/>
        <n v="924"/>
        <n v="15141.9"/>
        <n v="10051"/>
        <n v="1778.4"/>
        <n v="8597.5"/>
        <n v="1049.4000000000001"/>
        <n v="88752.8"/>
        <n v="29704.6"/>
        <n v="22488"/>
        <n v="46312"/>
        <n v="118655"/>
        <n v="60508.800000000003"/>
        <n v="44856"/>
        <n v="46892"/>
        <n v="16632.599999999999"/>
        <n v="1712.85"/>
        <n v="61112"/>
        <n v="13906"/>
        <n v="24760.5"/>
        <n v="306936"/>
        <n v="1703.4"/>
        <n v="52724.7"/>
        <n v="67802.399999999994"/>
        <n v="14483.7"/>
        <n v="3308.2"/>
        <n v="28660"/>
        <n v="15135"/>
        <n v="63240"/>
        <n v="177893.2"/>
        <n v="1871.1"/>
        <n v="619.20000000000005"/>
        <n v="18771.400000000001"/>
        <n v="33638.400000000001"/>
        <n v="4515"/>
        <n v="22344"/>
        <n v="57303.6"/>
        <n v="87939"/>
        <n v="168042"/>
        <n v="45949.599999999999"/>
        <n v="71040"/>
        <n v="66432.600000000006"/>
        <n v="1363.5"/>
        <n v="9344"/>
        <n v="15517.3"/>
        <n v="347160"/>
        <n v="511168.4"/>
        <n v="2514"/>
        <n v="36308.699999999997"/>
        <n v="9695"/>
        <n v="36658.800000000003"/>
        <n v="2793"/>
        <n v="73728.899999999994"/>
        <n v="56236"/>
        <n v="32583.599999999999"/>
        <n v="4880"/>
        <n v="30967.200000000001"/>
        <n v="106399.05"/>
        <n v="6629.1"/>
        <n v="143217.9"/>
        <n v="5329.5"/>
        <n v="13363.2"/>
        <n v="140490"/>
        <n v="2076.8000000000002"/>
        <n v="17271"/>
        <n v="66856"/>
        <n v="42376"/>
        <n v="10030"/>
        <n v="29730"/>
        <n v="34694.449999999997"/>
        <n v="4935.6000000000004"/>
        <n v="1995"/>
        <n v="232527.6"/>
        <n v="4948.2"/>
        <n v="13236.3"/>
        <n v="3294"/>
        <n v="18107.95"/>
        <n v="2948"/>
        <n v="36746"/>
        <n v="109951.2"/>
        <n v="3733.2"/>
        <n v="143585"/>
        <n v="4394.7"/>
        <n v="99172.800000000003"/>
        <n v="317557.45"/>
        <n v="619.4"/>
        <n v="52005.599999999999"/>
        <n v="74256"/>
        <n v="84855"/>
        <n v="222624"/>
        <n v="30168"/>
        <n v="1186.2"/>
        <n v="14506.5"/>
        <n v="11491.2"/>
        <n v="19536"/>
        <n v="1326.6"/>
        <n v="16820"/>
        <n v="94215.6"/>
        <n v="22110"/>
        <n v="2041.2"/>
        <n v="32272.799999999999"/>
        <n v="75060"/>
        <n v="1128.5999999999999"/>
        <n v="33628.5"/>
        <n v="31852.799999999999"/>
        <n v="2052"/>
        <n v="4968.25"/>
        <n v="210315.5"/>
        <n v="46265.599999999999"/>
        <n v="1702.4"/>
        <n v="59146.2"/>
        <n v="1980"/>
        <n v="889.2"/>
        <n v="13737.6"/>
        <n v="4728"/>
        <n v="21189.599999999999"/>
        <n v="8407.7999999999993"/>
        <n v="2489"/>
        <n v="30039"/>
        <n v="113781.5"/>
        <n v="3607.2"/>
        <n v="31492.5"/>
        <n v="4471.8500000000004"/>
        <n v="13125.7"/>
        <n v="844"/>
        <n v="211792.8"/>
        <n v="3136.5"/>
        <n v="207692.1"/>
        <n v="215882.1"/>
        <n v="715.5"/>
        <n v="13916"/>
        <n v="291864.59999999998"/>
        <n v="24023.599999999999"/>
        <n v="49968"/>
        <n v="297291.75"/>
        <n v="60354"/>
        <n v="73248"/>
        <n v="38852.65"/>
        <n v="132590.54999999999"/>
        <n v="89696.25"/>
        <n v="13130.1"/>
        <n v="17133.25"/>
        <n v="13920"/>
        <n v="547.4"/>
        <n v="17974"/>
        <n v="184085"/>
        <n v="72815.600000000006"/>
        <n v="34553.4"/>
        <n v="27032.55"/>
        <n v="131808.6"/>
        <n v="16054.05"/>
        <n v="53838.400000000001"/>
        <n v="132057"/>
        <n v="67102"/>
        <n v="42619"/>
        <n v="2508"/>
        <n v="6903"/>
        <n v="1720"/>
        <n v="62931"/>
        <n v="479.2"/>
        <n v="74120.399999999994"/>
        <n v="10992"/>
        <n v="922.5"/>
        <n v="567.20000000000005"/>
        <n v="69531"/>
        <n v="8872"/>
        <n v="9997.2000000000007"/>
        <n v="49939.199999999997"/>
        <n v="778.05"/>
        <n v="330373.75"/>
        <n v="1105.8"/>
        <n v="134373"/>
        <n v="2478.6"/>
        <n v="53827.199999999997"/>
        <n v="4412.75"/>
        <n v="7765.6"/>
        <n v="934.8"/>
        <n v="40562"/>
        <n v="41844.6"/>
        <n v="15440"/>
        <n v="13438.8"/>
        <n v="1734"/>
        <n v="3996"/>
        <n v="49322.1"/>
        <n v="3888"/>
        <n v="19271.7"/>
        <n v="28464.799999999999"/>
        <n v="11760"/>
        <n v="9279.9"/>
        <n v="2707.5"/>
        <n v="3450.4"/>
        <n v="288964.8"/>
        <n v="13239.2"/>
        <n v="7410.3"/>
        <n v="17322.3"/>
        <n v="65576"/>
        <n v="44324"/>
        <n v="36624"/>
        <n v="4924"/>
        <n v="75666.600000000006"/>
        <n v="357623.7"/>
        <n v="59752.15"/>
        <n v="15609.6"/>
        <n v="47061"/>
        <n v="146615.4"/>
        <n v="252258"/>
        <n v="10852.8"/>
        <n v="6040.8"/>
        <n v="32810.400000000001"/>
        <n v="180446.5"/>
        <n v="168823.6"/>
        <n v="31713.85"/>
        <n v="19488.599999999999"/>
        <n v="86152"/>
        <n v="134119.79999999999"/>
        <n v="164046"/>
        <n v="6651"/>
        <n v="5866.25"/>
        <n v="264218.40000000002"/>
        <n v="15166"/>
        <n v="2772.7"/>
        <n v="1256"/>
        <n v="4531.5"/>
        <n v="34531"/>
        <n v="48849.5"/>
        <n v="67788"/>
        <n v="21655"/>
        <n v="26578.799999999999"/>
        <n v="69011.199999999997"/>
      </sharedItems>
    </cacheField>
    <cacheField name="Cost" numFmtId="0">
      <sharedItems containsSemiMixedTypes="0" containsString="0" containsNumber="1" minValue="67.02" maxValue="435660.55"/>
    </cacheField>
    <cacheField name="Profit" numFmtId="0">
      <sharedItems containsSemiMixedTypes="0" containsString="0" containsNumber="1" minValue="38" maxValue="218219.66"/>
    </cacheField>
    <cacheField name="Payment_Method" numFmtId="0">
      <sharedItems/>
    </cacheField>
    <cacheField name="Salesperson" numFmtId="0">
      <sharedItems/>
    </cacheField>
    <cacheField name="Years" numFmtId="0" databaseField="0">
      <fieldGroup base="1">
        <rangePr groupBy="years" startDate="2025-01-01T00:00:00" endDate="2026-01-01T00:00:00"/>
        <groupItems count="4">
          <s v="&lt;1/1/2025"/>
          <s v="2025"/>
          <s v="2026"/>
          <s v="&gt;1/1/2026"/>
        </groupItems>
      </fieldGroup>
    </cacheField>
  </cacheFields>
  <extLst>
    <ext xmlns:x14="http://schemas.microsoft.com/office/spreadsheetml/2009/9/main" uri="{725AE2AE-9491-48be-B2B4-4EB974FC3084}">
      <x14:pivotCacheDefinition pivotCacheId="2140213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s v="Chennai"/>
    <x v="0"/>
    <x v="0"/>
    <x v="0"/>
    <x v="0"/>
    <s v="Corporate"/>
    <n v="8"/>
    <n v="2215"/>
    <n v="0.05"/>
    <x v="0"/>
    <n v="10052.36"/>
    <n v="6781.64"/>
    <s v="Net Banking"/>
    <s v="Diya"/>
  </r>
  <r>
    <x v="1"/>
    <x v="1"/>
    <s v="Kolkata"/>
    <x v="1"/>
    <x v="1"/>
    <x v="1"/>
    <x v="0"/>
    <s v="Corporate"/>
    <n v="8"/>
    <n v="11496"/>
    <n v="0.1"/>
    <x v="1"/>
    <n v="49334.36"/>
    <n v="33436.839999999997"/>
    <s v="Debit Card"/>
    <s v="Meera"/>
  </r>
  <r>
    <x v="2"/>
    <x v="2"/>
    <s v="Ahmedabad"/>
    <x v="2"/>
    <x v="2"/>
    <x v="2"/>
    <x v="1"/>
    <s v="Corporate"/>
    <n v="5"/>
    <n v="5390"/>
    <n v="0.2"/>
    <x v="2"/>
    <n v="17609.59"/>
    <n v="3950.41"/>
    <s v="Net Banking"/>
    <s v="Diya"/>
  </r>
  <r>
    <x v="3"/>
    <x v="3"/>
    <s v="Pune"/>
    <x v="2"/>
    <x v="3"/>
    <x v="3"/>
    <x v="2"/>
    <s v="Corporate"/>
    <n v="5"/>
    <n v="2353"/>
    <n v="0.1"/>
    <x v="3"/>
    <n v="6912.86"/>
    <n v="3675.64"/>
    <s v="Credit Card"/>
    <s v="Meera"/>
  </r>
  <r>
    <x v="4"/>
    <x v="4"/>
    <s v="Mumbai"/>
    <x v="2"/>
    <x v="4"/>
    <x v="4"/>
    <x v="2"/>
    <s v="Consumer"/>
    <n v="4"/>
    <n v="5497"/>
    <n v="0.1"/>
    <x v="4"/>
    <n v="14285.33"/>
    <n v="5503.87"/>
    <s v="Net Banking"/>
    <s v="Diya"/>
  </r>
  <r>
    <x v="5"/>
    <x v="5"/>
    <s v="Bengaluru"/>
    <x v="0"/>
    <x v="2"/>
    <x v="5"/>
    <x v="0"/>
    <s v="Small Business"/>
    <n v="4"/>
    <n v="10071"/>
    <n v="0.05"/>
    <x v="5"/>
    <n v="24754.86"/>
    <n v="13514.94"/>
    <s v="Debit Card"/>
    <s v="Aarav"/>
  </r>
  <r>
    <x v="6"/>
    <x v="6"/>
    <s v="Chennai"/>
    <x v="0"/>
    <x v="5"/>
    <x v="6"/>
    <x v="0"/>
    <s v="Corporate"/>
    <n v="2"/>
    <n v="25162"/>
    <n v="0.05"/>
    <x v="6"/>
    <n v="31424.57"/>
    <n v="16383.23"/>
    <s v="Debit Card"/>
    <s v="Kabir"/>
  </r>
  <r>
    <x v="7"/>
    <x v="7"/>
    <s v="Mumbai"/>
    <x v="2"/>
    <x v="1"/>
    <x v="7"/>
    <x v="0"/>
    <s v="Small Business"/>
    <n v="1"/>
    <n v="5534"/>
    <n v="0"/>
    <x v="7"/>
    <n v="3240.73"/>
    <n v="2293.27"/>
    <s v="UPI"/>
    <s v="Meera"/>
  </r>
  <r>
    <x v="8"/>
    <x v="8"/>
    <s v="Hyderabad"/>
    <x v="0"/>
    <x v="6"/>
    <x v="8"/>
    <x v="1"/>
    <s v="Consumer"/>
    <n v="7"/>
    <n v="3464"/>
    <n v="0.15"/>
    <x v="8"/>
    <n v="16832.419999999998"/>
    <n v="3778.38"/>
    <s v="Cash"/>
    <s v="Meera"/>
  </r>
  <r>
    <x v="9"/>
    <x v="9"/>
    <s v="Mumbai"/>
    <x v="2"/>
    <x v="1"/>
    <x v="7"/>
    <x v="1"/>
    <s v="Consumer"/>
    <n v="8"/>
    <n v="10829"/>
    <n v="0"/>
    <x v="9"/>
    <n v="59858"/>
    <n v="26774"/>
    <s v="Debit Card"/>
    <s v="Vikram"/>
  </r>
  <r>
    <x v="10"/>
    <x v="10"/>
    <s v="Bengaluru"/>
    <x v="0"/>
    <x v="2"/>
    <x v="9"/>
    <x v="2"/>
    <s v="Small Business"/>
    <n v="1"/>
    <n v="15045"/>
    <n v="0"/>
    <x v="10"/>
    <n v="9535.4"/>
    <n v="5509.6"/>
    <s v="Credit Card"/>
    <s v="Kabir"/>
  </r>
  <r>
    <x v="11"/>
    <x v="11"/>
    <s v="Mumbai"/>
    <x v="2"/>
    <x v="2"/>
    <x v="2"/>
    <x v="0"/>
    <s v="Small Business"/>
    <n v="1"/>
    <n v="2354"/>
    <n v="0.05"/>
    <x v="11"/>
    <n v="1637.99"/>
    <n v="598.30999999999995"/>
    <s v="Debit Card"/>
    <s v="Anaya"/>
  </r>
  <r>
    <x v="12"/>
    <x v="12"/>
    <s v="Pune"/>
    <x v="2"/>
    <x v="1"/>
    <x v="10"/>
    <x v="0"/>
    <s v="Small Business"/>
    <n v="4"/>
    <n v="11864"/>
    <n v="0.1"/>
    <x v="12"/>
    <n v="33297.81"/>
    <n v="9412.59"/>
    <s v="Cash"/>
    <s v="Kabir"/>
  </r>
  <r>
    <x v="13"/>
    <x v="13"/>
    <s v="Bengaluru"/>
    <x v="0"/>
    <x v="5"/>
    <x v="11"/>
    <x v="1"/>
    <s v="Consumer"/>
    <n v="8"/>
    <n v="11180"/>
    <n v="0.15"/>
    <x v="13"/>
    <n v="58764.86"/>
    <n v="17259.14"/>
    <s v="Credit Card"/>
    <s v="Vikram"/>
  </r>
  <r>
    <x v="14"/>
    <x v="14"/>
    <s v="Pune"/>
    <x v="2"/>
    <x v="3"/>
    <x v="12"/>
    <x v="0"/>
    <s v="Small Business"/>
    <n v="8"/>
    <n v="2149"/>
    <n v="0.1"/>
    <x v="14"/>
    <n v="10241.129999999999"/>
    <n v="5231.67"/>
    <s v="Debit Card"/>
    <s v="Meera"/>
  </r>
  <r>
    <x v="15"/>
    <x v="15"/>
    <s v="Delhi"/>
    <x v="3"/>
    <x v="2"/>
    <x v="5"/>
    <x v="2"/>
    <s v="Corporate"/>
    <n v="3"/>
    <n v="34211"/>
    <n v="0.1"/>
    <x v="15"/>
    <n v="50957.62"/>
    <n v="41412.080000000002"/>
    <s v="Credit Card"/>
    <s v="Sara"/>
  </r>
  <r>
    <x v="16"/>
    <x v="16"/>
    <s v="Hyderabad"/>
    <x v="0"/>
    <x v="2"/>
    <x v="5"/>
    <x v="1"/>
    <s v="Small Business"/>
    <n v="1"/>
    <n v="39967"/>
    <n v="0.1"/>
    <x v="16"/>
    <n v="28341.37"/>
    <n v="7628.93"/>
    <s v="Debit Card"/>
    <s v="Sara"/>
  </r>
  <r>
    <x v="17"/>
    <x v="17"/>
    <s v="Pune"/>
    <x v="2"/>
    <x v="1"/>
    <x v="10"/>
    <x v="0"/>
    <s v="Small Business"/>
    <n v="3"/>
    <n v="7422"/>
    <n v="0.15"/>
    <x v="17"/>
    <n v="11847"/>
    <n v="7079.1"/>
    <s v="UPI"/>
    <s v="Anaya"/>
  </r>
  <r>
    <x v="18"/>
    <x v="18"/>
    <s v="Ahmedabad"/>
    <x v="2"/>
    <x v="1"/>
    <x v="10"/>
    <x v="1"/>
    <s v="Small Business"/>
    <n v="6"/>
    <n v="2727"/>
    <n v="0.2"/>
    <x v="18"/>
    <n v="11361.7"/>
    <n v="1727.9"/>
    <s v="Net Banking"/>
    <s v="Rohan"/>
  </r>
  <r>
    <x v="19"/>
    <x v="19"/>
    <s v="Pune"/>
    <x v="2"/>
    <x v="4"/>
    <x v="13"/>
    <x v="2"/>
    <s v="Small Business"/>
    <n v="2"/>
    <n v="1769"/>
    <n v="0.1"/>
    <x v="19"/>
    <n v="2791.64"/>
    <n v="392.56"/>
    <s v="Debit Card"/>
    <s v="Diya"/>
  </r>
  <r>
    <x v="20"/>
    <x v="20"/>
    <s v="Kolkata"/>
    <x v="1"/>
    <x v="2"/>
    <x v="2"/>
    <x v="1"/>
    <s v="Consumer"/>
    <n v="6"/>
    <n v="56248"/>
    <n v="0"/>
    <x v="20"/>
    <n v="186195.84"/>
    <n v="151292.16"/>
    <s v="Cash"/>
    <s v="Kabir"/>
  </r>
  <r>
    <x v="21"/>
    <x v="21"/>
    <s v="Delhi"/>
    <x v="3"/>
    <x v="4"/>
    <x v="14"/>
    <x v="1"/>
    <s v="Consumer"/>
    <n v="1"/>
    <n v="18158"/>
    <n v="0.05"/>
    <x v="21"/>
    <n v="12544.91"/>
    <n v="4705.1899999999996"/>
    <s v="Net Banking"/>
    <s v="Meera"/>
  </r>
  <r>
    <x v="22"/>
    <x v="22"/>
    <s v="Hyderabad"/>
    <x v="0"/>
    <x v="3"/>
    <x v="15"/>
    <x v="0"/>
    <s v="Small Business"/>
    <n v="8"/>
    <n v="368"/>
    <n v="0.05"/>
    <x v="22"/>
    <n v="2272.15"/>
    <n v="524.65"/>
    <s v="Cash"/>
    <s v="Diya"/>
  </r>
  <r>
    <x v="23"/>
    <x v="23"/>
    <s v="Mumbai"/>
    <x v="2"/>
    <x v="6"/>
    <x v="16"/>
    <x v="1"/>
    <s v="Small Business"/>
    <n v="4"/>
    <n v="709"/>
    <n v="0.15"/>
    <x v="23"/>
    <n v="1833.57"/>
    <n v="577.03"/>
    <s v="Net Banking"/>
    <s v="Sara"/>
  </r>
  <r>
    <x v="24"/>
    <x v="24"/>
    <s v="Delhi"/>
    <x v="3"/>
    <x v="3"/>
    <x v="12"/>
    <x v="1"/>
    <s v="Corporate"/>
    <n v="8"/>
    <n v="1343"/>
    <n v="0.05"/>
    <x v="24"/>
    <n v="8912.9699999999993"/>
    <n v="1293.83"/>
    <s v="Credit Card"/>
    <s v="Anaya"/>
  </r>
  <r>
    <x v="25"/>
    <x v="25"/>
    <s v="Delhi"/>
    <x v="3"/>
    <x v="2"/>
    <x v="9"/>
    <x v="0"/>
    <s v="Corporate"/>
    <n v="7"/>
    <n v="24549"/>
    <n v="0.1"/>
    <x v="25"/>
    <n v="116493.71"/>
    <n v="38164.99"/>
    <s v="UPI"/>
    <s v="Meera"/>
  </r>
  <r>
    <x v="26"/>
    <x v="26"/>
    <s v="Ahmedabad"/>
    <x v="2"/>
    <x v="3"/>
    <x v="12"/>
    <x v="1"/>
    <s v="Consumer"/>
    <n v="3"/>
    <n v="1736"/>
    <n v="0.1"/>
    <x v="26"/>
    <n v="2897.65"/>
    <n v="1789.55"/>
    <s v="Cash"/>
    <s v="Vikram"/>
  </r>
  <r>
    <x v="27"/>
    <x v="27"/>
    <s v="Mumbai"/>
    <x v="2"/>
    <x v="5"/>
    <x v="17"/>
    <x v="1"/>
    <s v="Corporate"/>
    <n v="3"/>
    <n v="17805"/>
    <n v="0.05"/>
    <x v="27"/>
    <n v="29888.080000000002"/>
    <n v="20856.169999999998"/>
    <s v="Net Banking"/>
    <s v="Kabir"/>
  </r>
  <r>
    <x v="28"/>
    <x v="28"/>
    <s v="Chennai"/>
    <x v="0"/>
    <x v="2"/>
    <x v="5"/>
    <x v="0"/>
    <s v="Corporate"/>
    <n v="2"/>
    <n v="40256"/>
    <n v="0.05"/>
    <x v="28"/>
    <n v="61664.58"/>
    <n v="14821.82"/>
    <s v="Net Banking"/>
    <s v="Meera"/>
  </r>
  <r>
    <x v="29"/>
    <x v="29"/>
    <s v="Chennai"/>
    <x v="0"/>
    <x v="2"/>
    <x v="2"/>
    <x v="1"/>
    <s v="Consumer"/>
    <n v="1"/>
    <n v="56569"/>
    <n v="0.05"/>
    <x v="29"/>
    <n v="31330.47"/>
    <n v="22410.080000000002"/>
    <s v="Debit Card"/>
    <s v="Meera"/>
  </r>
  <r>
    <x v="30"/>
    <x v="30"/>
    <s v="Pune"/>
    <x v="2"/>
    <x v="1"/>
    <x v="18"/>
    <x v="1"/>
    <s v="Small Business"/>
    <n v="3"/>
    <n v="7666"/>
    <n v="0.05"/>
    <x v="30"/>
    <n v="16865.23"/>
    <n v="4982.87"/>
    <s v="UPI"/>
    <s v="Vikram"/>
  </r>
  <r>
    <x v="31"/>
    <x v="6"/>
    <s v="Ahmedabad"/>
    <x v="2"/>
    <x v="4"/>
    <x v="4"/>
    <x v="0"/>
    <s v="Corporate"/>
    <n v="5"/>
    <n v="6534"/>
    <n v="0.1"/>
    <x v="31"/>
    <n v="17152.84"/>
    <n v="12250.16"/>
    <s v="Net Banking"/>
    <s v="Anaya"/>
  </r>
  <r>
    <x v="32"/>
    <x v="31"/>
    <s v="Delhi"/>
    <x v="3"/>
    <x v="5"/>
    <x v="17"/>
    <x v="2"/>
    <s v="Small Business"/>
    <n v="2"/>
    <n v="44848"/>
    <n v="0.15"/>
    <x v="32"/>
    <n v="66740.399999999994"/>
    <n v="9501.2000000000007"/>
    <s v="Debit Card"/>
    <s v="Rohan"/>
  </r>
  <r>
    <x v="33"/>
    <x v="32"/>
    <s v="Bengaluru"/>
    <x v="0"/>
    <x v="5"/>
    <x v="17"/>
    <x v="0"/>
    <s v="Consumer"/>
    <n v="2"/>
    <n v="23152"/>
    <n v="0.1"/>
    <x v="33"/>
    <n v="33471.160000000003"/>
    <n v="8202.44"/>
    <s v="UPI"/>
    <s v="Kabir"/>
  </r>
  <r>
    <x v="34"/>
    <x v="33"/>
    <s v="Ahmedabad"/>
    <x v="2"/>
    <x v="0"/>
    <x v="19"/>
    <x v="1"/>
    <s v="Small Business"/>
    <n v="1"/>
    <n v="2185"/>
    <n v="0"/>
    <x v="34"/>
    <n v="1901.08"/>
    <n v="283.92"/>
    <s v="Net Banking"/>
    <s v="Anaya"/>
  </r>
  <r>
    <x v="35"/>
    <x v="34"/>
    <s v="Ahmedabad"/>
    <x v="2"/>
    <x v="6"/>
    <x v="20"/>
    <x v="2"/>
    <s v="Corporate"/>
    <n v="3"/>
    <n v="1406"/>
    <n v="0.05"/>
    <x v="35"/>
    <n v="3520.74"/>
    <n v="486.36"/>
    <s v="Debit Card"/>
    <s v="Anaya"/>
  </r>
  <r>
    <x v="36"/>
    <x v="35"/>
    <s v="Ahmedabad"/>
    <x v="2"/>
    <x v="1"/>
    <x v="18"/>
    <x v="1"/>
    <s v="Consumer"/>
    <n v="8"/>
    <n v="7219"/>
    <n v="0.05"/>
    <x v="36"/>
    <n v="34328.67"/>
    <n v="20535.73"/>
    <s v="Cash"/>
    <s v="Anaya"/>
  </r>
  <r>
    <x v="37"/>
    <x v="36"/>
    <s v="Pune"/>
    <x v="2"/>
    <x v="6"/>
    <x v="20"/>
    <x v="2"/>
    <s v="Corporate"/>
    <n v="5"/>
    <n v="3474"/>
    <n v="0.1"/>
    <x v="37"/>
    <n v="13340.08"/>
    <n v="2292.92"/>
    <s v="Credit Card"/>
    <s v="Kabir"/>
  </r>
  <r>
    <x v="38"/>
    <x v="37"/>
    <s v="Mumbai"/>
    <x v="2"/>
    <x v="2"/>
    <x v="21"/>
    <x v="1"/>
    <s v="Consumer"/>
    <n v="2"/>
    <n v="9915"/>
    <n v="0.05"/>
    <x v="38"/>
    <n v="15515.84"/>
    <n v="3322.66"/>
    <s v="UPI"/>
    <s v="Diya"/>
  </r>
  <r>
    <x v="39"/>
    <x v="2"/>
    <s v="Delhi"/>
    <x v="3"/>
    <x v="2"/>
    <x v="9"/>
    <x v="2"/>
    <s v="Consumer"/>
    <n v="8"/>
    <n v="49426"/>
    <n v="0.15"/>
    <x v="39"/>
    <n v="212287.1"/>
    <n v="123809.7"/>
    <s v="UPI"/>
    <s v="Kabir"/>
  </r>
  <r>
    <x v="40"/>
    <x v="38"/>
    <s v="Bengaluru"/>
    <x v="0"/>
    <x v="1"/>
    <x v="22"/>
    <x v="2"/>
    <s v="Consumer"/>
    <n v="1"/>
    <n v="649"/>
    <n v="0.05"/>
    <x v="40"/>
    <n v="508.25"/>
    <n v="108.3"/>
    <s v="Cash"/>
    <s v="Rohan"/>
  </r>
  <r>
    <x v="41"/>
    <x v="39"/>
    <s v="Chennai"/>
    <x v="0"/>
    <x v="2"/>
    <x v="9"/>
    <x v="1"/>
    <s v="Corporate"/>
    <n v="5"/>
    <n v="38941"/>
    <n v="0.05"/>
    <x v="41"/>
    <n v="156923.23000000001"/>
    <n v="28046.52"/>
    <s v="UPI"/>
    <s v="Anaya"/>
  </r>
  <r>
    <x v="42"/>
    <x v="40"/>
    <s v="Delhi"/>
    <x v="3"/>
    <x v="0"/>
    <x v="23"/>
    <x v="1"/>
    <s v="Corporate"/>
    <n v="3"/>
    <n v="1955"/>
    <n v="0.05"/>
    <x v="42"/>
    <n v="4866.43"/>
    <n v="705.32"/>
    <s v="Net Banking"/>
    <s v="Sara"/>
  </r>
  <r>
    <x v="43"/>
    <x v="41"/>
    <s v="Bengaluru"/>
    <x v="0"/>
    <x v="5"/>
    <x v="24"/>
    <x v="0"/>
    <s v="Small Business"/>
    <n v="7"/>
    <n v="17683"/>
    <n v="0"/>
    <x v="43"/>
    <n v="82199.27"/>
    <n v="41581.730000000003"/>
    <s v="Debit Card"/>
    <s v="Rohan"/>
  </r>
  <r>
    <x v="44"/>
    <x v="26"/>
    <s v="Mumbai"/>
    <x v="2"/>
    <x v="4"/>
    <x v="14"/>
    <x v="2"/>
    <s v="Corporate"/>
    <n v="3"/>
    <n v="22708"/>
    <n v="0.1"/>
    <x v="44"/>
    <n v="44534.28"/>
    <n v="16777.32"/>
    <s v="Credit Card"/>
    <s v="Aarav"/>
  </r>
  <r>
    <x v="45"/>
    <x v="42"/>
    <s v="Delhi"/>
    <x v="3"/>
    <x v="5"/>
    <x v="25"/>
    <x v="2"/>
    <s v="Consumer"/>
    <n v="2"/>
    <n v="7740"/>
    <n v="0.15"/>
    <x v="45"/>
    <n v="7502.11"/>
    <n v="5655.89"/>
    <s v="UPI"/>
    <s v="Kabir"/>
  </r>
  <r>
    <x v="46"/>
    <x v="43"/>
    <s v="Ahmedabad"/>
    <x v="2"/>
    <x v="0"/>
    <x v="23"/>
    <x v="0"/>
    <s v="Consumer"/>
    <n v="4"/>
    <n v="1106"/>
    <n v="0.15"/>
    <x v="46"/>
    <n v="2703.18"/>
    <n v="1057.22"/>
    <s v="Credit Card"/>
    <s v="Diya"/>
  </r>
  <r>
    <x v="47"/>
    <x v="44"/>
    <s v="Bengaluru"/>
    <x v="0"/>
    <x v="0"/>
    <x v="26"/>
    <x v="2"/>
    <s v="Small Business"/>
    <n v="7"/>
    <n v="2272"/>
    <n v="0.05"/>
    <x v="47"/>
    <n v="10673.01"/>
    <n v="4435.79"/>
    <s v="UPI"/>
    <s v="Rohan"/>
  </r>
  <r>
    <x v="48"/>
    <x v="45"/>
    <s v="Mumbai"/>
    <x v="2"/>
    <x v="0"/>
    <x v="23"/>
    <x v="2"/>
    <s v="Consumer"/>
    <n v="7"/>
    <n v="1841"/>
    <n v="0"/>
    <x v="48"/>
    <n v="9206.75"/>
    <n v="3680.25"/>
    <s v="UPI"/>
    <s v="Aarav"/>
  </r>
  <r>
    <x v="49"/>
    <x v="46"/>
    <s v="Pune"/>
    <x v="2"/>
    <x v="1"/>
    <x v="18"/>
    <x v="1"/>
    <s v="Small Business"/>
    <n v="6"/>
    <n v="11462"/>
    <n v="0"/>
    <x v="49"/>
    <n v="49728.26"/>
    <n v="19043.740000000002"/>
    <s v="Credit Card"/>
    <s v="Meera"/>
  </r>
  <r>
    <x v="50"/>
    <x v="47"/>
    <s v="Ahmedabad"/>
    <x v="2"/>
    <x v="0"/>
    <x v="26"/>
    <x v="0"/>
    <s v="Consumer"/>
    <n v="6"/>
    <n v="1748"/>
    <n v="0"/>
    <x v="50"/>
    <n v="6888.67"/>
    <n v="3599.33"/>
    <s v="Cash"/>
    <s v="Aarav"/>
  </r>
  <r>
    <x v="51"/>
    <x v="48"/>
    <s v="Mumbai"/>
    <x v="2"/>
    <x v="4"/>
    <x v="27"/>
    <x v="2"/>
    <s v="Consumer"/>
    <n v="6"/>
    <n v="8188"/>
    <n v="0.1"/>
    <x v="51"/>
    <n v="32327.69"/>
    <n v="11887.51"/>
    <s v="Credit Card"/>
    <s v="Meera"/>
  </r>
  <r>
    <x v="52"/>
    <x v="49"/>
    <s v="Mumbai"/>
    <x v="2"/>
    <x v="2"/>
    <x v="21"/>
    <x v="1"/>
    <s v="Corporate"/>
    <n v="1"/>
    <n v="28114"/>
    <n v="0"/>
    <x v="52"/>
    <n v="22243.41"/>
    <n v="5870.59"/>
    <s v="Cash"/>
    <s v="Kabir"/>
  </r>
  <r>
    <x v="53"/>
    <x v="50"/>
    <s v="Ahmedabad"/>
    <x v="2"/>
    <x v="1"/>
    <x v="18"/>
    <x v="1"/>
    <s v="Corporate"/>
    <n v="8"/>
    <n v="3298"/>
    <n v="0.1"/>
    <x v="53"/>
    <n v="15871.89"/>
    <n v="7873.71"/>
    <s v="UPI"/>
    <s v="Diya"/>
  </r>
  <r>
    <x v="54"/>
    <x v="51"/>
    <s v="Delhi"/>
    <x v="3"/>
    <x v="1"/>
    <x v="7"/>
    <x v="0"/>
    <s v="Small Business"/>
    <n v="5"/>
    <n v="11646"/>
    <n v="0.1"/>
    <x v="54"/>
    <n v="29975.98"/>
    <n v="22431.02"/>
    <s v="Debit Card"/>
    <s v="Sara"/>
  </r>
  <r>
    <x v="55"/>
    <x v="52"/>
    <s v="Delhi"/>
    <x v="3"/>
    <x v="5"/>
    <x v="17"/>
    <x v="1"/>
    <s v="Consumer"/>
    <n v="8"/>
    <n v="8288"/>
    <n v="0.1"/>
    <x v="55"/>
    <n v="52467.33"/>
    <n v="7206.27"/>
    <s v="Net Banking"/>
    <s v="Rohan"/>
  </r>
  <r>
    <x v="56"/>
    <x v="53"/>
    <s v="Mumbai"/>
    <x v="2"/>
    <x v="1"/>
    <x v="1"/>
    <x v="0"/>
    <s v="Small Business"/>
    <n v="2"/>
    <n v="4119"/>
    <n v="0.05"/>
    <x v="56"/>
    <n v="6297.83"/>
    <n v="1528.27"/>
    <s v="Debit Card"/>
    <s v="Kabir"/>
  </r>
  <r>
    <x v="57"/>
    <x v="54"/>
    <s v="Hyderabad"/>
    <x v="0"/>
    <x v="5"/>
    <x v="6"/>
    <x v="2"/>
    <s v="Corporate"/>
    <n v="4"/>
    <n v="13289"/>
    <n v="0.1"/>
    <x v="57"/>
    <n v="40707.94"/>
    <n v="7132.46"/>
    <s v="UPI"/>
    <s v="Aarav"/>
  </r>
  <r>
    <x v="58"/>
    <x v="8"/>
    <s v="Hyderabad"/>
    <x v="0"/>
    <x v="5"/>
    <x v="11"/>
    <x v="0"/>
    <s v="Consumer"/>
    <n v="4"/>
    <n v="48903"/>
    <n v="0.05"/>
    <x v="58"/>
    <n v="106433.84"/>
    <n v="79397.56"/>
    <s v="UPI"/>
    <s v="Sara"/>
  </r>
  <r>
    <x v="59"/>
    <x v="55"/>
    <s v="Delhi"/>
    <x v="3"/>
    <x v="1"/>
    <x v="10"/>
    <x v="1"/>
    <s v="Consumer"/>
    <n v="5"/>
    <n v="5062"/>
    <n v="0.1"/>
    <x v="59"/>
    <n v="15527.78"/>
    <n v="7251.22"/>
    <s v="UPI"/>
    <s v="Diya"/>
  </r>
  <r>
    <x v="60"/>
    <x v="56"/>
    <s v="Mumbai"/>
    <x v="2"/>
    <x v="2"/>
    <x v="2"/>
    <x v="0"/>
    <s v="Small Business"/>
    <n v="7"/>
    <n v="65231"/>
    <n v="0.1"/>
    <x v="60"/>
    <n v="287353.06"/>
    <n v="123602.24000000001"/>
    <s v="Cash"/>
    <s v="Kabir"/>
  </r>
  <r>
    <x v="61"/>
    <x v="57"/>
    <s v="Pune"/>
    <x v="2"/>
    <x v="2"/>
    <x v="5"/>
    <x v="1"/>
    <s v="Consumer"/>
    <n v="6"/>
    <n v="21456"/>
    <n v="0"/>
    <x v="61"/>
    <n v="92690.86"/>
    <n v="36045.14"/>
    <s v="UPI"/>
    <s v="Meera"/>
  </r>
  <r>
    <x v="62"/>
    <x v="15"/>
    <s v="Kolkata"/>
    <x v="1"/>
    <x v="0"/>
    <x v="28"/>
    <x v="1"/>
    <s v="Consumer"/>
    <n v="8"/>
    <n v="1031"/>
    <n v="0.15"/>
    <x v="62"/>
    <n v="4330.54"/>
    <n v="2680.26"/>
    <s v="Net Banking"/>
    <s v="Rohan"/>
  </r>
  <r>
    <x v="63"/>
    <x v="58"/>
    <s v="Kolkata"/>
    <x v="1"/>
    <x v="5"/>
    <x v="17"/>
    <x v="1"/>
    <s v="Small Business"/>
    <n v="1"/>
    <n v="31365"/>
    <n v="0.1"/>
    <x v="63"/>
    <n v="16484.990000000002"/>
    <n v="11743.51"/>
    <s v="Debit Card"/>
    <s v="Anaya"/>
  </r>
  <r>
    <x v="64"/>
    <x v="59"/>
    <s v="Pune"/>
    <x v="2"/>
    <x v="1"/>
    <x v="1"/>
    <x v="1"/>
    <s v="Corporate"/>
    <n v="4"/>
    <n v="11398"/>
    <n v="0"/>
    <x v="64"/>
    <n v="35184.47"/>
    <n v="10407.530000000001"/>
    <s v="UPI"/>
    <s v="Vikram"/>
  </r>
  <r>
    <x v="65"/>
    <x v="60"/>
    <s v="Mumbai"/>
    <x v="2"/>
    <x v="2"/>
    <x v="5"/>
    <x v="2"/>
    <s v="Small Business"/>
    <n v="7"/>
    <n v="66429"/>
    <n v="0.15"/>
    <x v="65"/>
    <n v="235790.68"/>
    <n v="159461.87"/>
    <s v="Credit Card"/>
    <s v="Vikram"/>
  </r>
  <r>
    <x v="66"/>
    <x v="61"/>
    <s v="Mumbai"/>
    <x v="2"/>
    <x v="0"/>
    <x v="28"/>
    <x v="0"/>
    <s v="Corporate"/>
    <n v="3"/>
    <n v="593"/>
    <n v="0.15"/>
    <x v="66"/>
    <n v="1143.44"/>
    <n v="368.71"/>
    <s v="Credit Card"/>
    <s v="Kabir"/>
  </r>
  <r>
    <x v="67"/>
    <x v="16"/>
    <s v="Pune"/>
    <x v="2"/>
    <x v="6"/>
    <x v="8"/>
    <x v="0"/>
    <s v="Corporate"/>
    <n v="6"/>
    <n v="5769"/>
    <n v="0"/>
    <x v="67"/>
    <n v="28957.88"/>
    <n v="5656.12"/>
    <s v="UPI"/>
    <s v="Diya"/>
  </r>
  <r>
    <x v="68"/>
    <x v="12"/>
    <s v="Bengaluru"/>
    <x v="0"/>
    <x v="2"/>
    <x v="29"/>
    <x v="1"/>
    <s v="Corporate"/>
    <n v="5"/>
    <n v="62274"/>
    <n v="0"/>
    <x v="68"/>
    <n v="265199.62"/>
    <n v="46170.38"/>
    <s v="Cash"/>
    <s v="Aarav"/>
  </r>
  <r>
    <x v="69"/>
    <x v="62"/>
    <s v="Bengaluru"/>
    <x v="0"/>
    <x v="2"/>
    <x v="29"/>
    <x v="1"/>
    <s v="Consumer"/>
    <n v="4"/>
    <n v="3122"/>
    <n v="0.1"/>
    <x v="69"/>
    <n v="7111.5"/>
    <n v="4127.7"/>
    <s v="Net Banking"/>
    <s v="Vikram"/>
  </r>
  <r>
    <x v="70"/>
    <x v="38"/>
    <s v="Kolkata"/>
    <x v="1"/>
    <x v="6"/>
    <x v="20"/>
    <x v="1"/>
    <s v="Small Business"/>
    <n v="6"/>
    <n v="1536"/>
    <n v="0.1"/>
    <x v="70"/>
    <n v="5233.4799999999996"/>
    <n v="3060.92"/>
    <s v="Debit Card"/>
    <s v="Anaya"/>
  </r>
  <r>
    <x v="71"/>
    <x v="63"/>
    <s v="Hyderabad"/>
    <x v="0"/>
    <x v="0"/>
    <x v="0"/>
    <x v="0"/>
    <s v="Small Business"/>
    <n v="6"/>
    <n v="1392"/>
    <n v="0.05"/>
    <x v="71"/>
    <n v="5777.42"/>
    <n v="2156.98"/>
    <s v="Cash"/>
    <s v="Kabir"/>
  </r>
  <r>
    <x v="72"/>
    <x v="64"/>
    <s v="Bengaluru"/>
    <x v="0"/>
    <x v="6"/>
    <x v="30"/>
    <x v="2"/>
    <s v="Consumer"/>
    <n v="2"/>
    <n v="2270"/>
    <n v="0.05"/>
    <x v="72"/>
    <n v="3375.46"/>
    <n v="937.54"/>
    <s v="Debit Card"/>
    <s v="Kabir"/>
  </r>
  <r>
    <x v="73"/>
    <x v="60"/>
    <s v="Mumbai"/>
    <x v="2"/>
    <x v="5"/>
    <x v="17"/>
    <x v="0"/>
    <s v="Small Business"/>
    <n v="4"/>
    <n v="6590"/>
    <n v="0"/>
    <x v="73"/>
    <n v="19211.89"/>
    <n v="7148.11"/>
    <s v="Net Banking"/>
    <s v="Aarav"/>
  </r>
  <r>
    <x v="74"/>
    <x v="65"/>
    <s v="Hyderabad"/>
    <x v="0"/>
    <x v="1"/>
    <x v="22"/>
    <x v="2"/>
    <s v="Consumer"/>
    <n v="2"/>
    <n v="8638"/>
    <n v="0.1"/>
    <x v="74"/>
    <n v="13679.27"/>
    <n v="1869.13"/>
    <s v="Credit Card"/>
    <s v="Vikram"/>
  </r>
  <r>
    <x v="75"/>
    <x v="66"/>
    <s v="Mumbai"/>
    <x v="2"/>
    <x v="0"/>
    <x v="26"/>
    <x v="2"/>
    <s v="Small Business"/>
    <n v="3"/>
    <n v="481"/>
    <n v="0.1"/>
    <x v="75"/>
    <n v="990.52"/>
    <n v="308.18"/>
    <s v="Debit Card"/>
    <s v="Meera"/>
  </r>
  <r>
    <x v="76"/>
    <x v="67"/>
    <s v="Bengaluru"/>
    <x v="0"/>
    <x v="5"/>
    <x v="6"/>
    <x v="1"/>
    <s v="Consumer"/>
    <n v="3"/>
    <n v="26010"/>
    <n v="0.1"/>
    <x v="76"/>
    <n v="55724.59"/>
    <n v="14502.41"/>
    <s v="Credit Card"/>
    <s v="Meera"/>
  </r>
  <r>
    <x v="77"/>
    <x v="68"/>
    <s v="Delhi"/>
    <x v="3"/>
    <x v="4"/>
    <x v="14"/>
    <x v="0"/>
    <s v="Consumer"/>
    <n v="7"/>
    <n v="16975"/>
    <n v="0"/>
    <x v="77"/>
    <n v="84167.06"/>
    <n v="34657.94"/>
    <s v="Credit Card"/>
    <s v="Sara"/>
  </r>
  <r>
    <x v="78"/>
    <x v="69"/>
    <s v="Bengaluru"/>
    <x v="0"/>
    <x v="2"/>
    <x v="21"/>
    <x v="1"/>
    <s v="Small Business"/>
    <n v="3"/>
    <n v="35433"/>
    <n v="0"/>
    <x v="78"/>
    <n v="93112.44"/>
    <n v="13186.56"/>
    <s v="UPI"/>
    <s v="Aarav"/>
  </r>
  <r>
    <x v="79"/>
    <x v="70"/>
    <s v="Mumbai"/>
    <x v="2"/>
    <x v="5"/>
    <x v="17"/>
    <x v="2"/>
    <s v="Consumer"/>
    <n v="5"/>
    <n v="34623"/>
    <n v="0.1"/>
    <x v="79"/>
    <n v="132157.03"/>
    <n v="23646.47"/>
    <s v="Cash"/>
    <s v="Meera"/>
  </r>
  <r>
    <x v="80"/>
    <x v="71"/>
    <s v="Delhi"/>
    <x v="3"/>
    <x v="6"/>
    <x v="8"/>
    <x v="2"/>
    <s v="Consumer"/>
    <n v="3"/>
    <n v="974"/>
    <n v="0"/>
    <x v="80"/>
    <n v="2358.8200000000002"/>
    <n v="563.17999999999995"/>
    <s v="Net Banking"/>
    <s v="Sara"/>
  </r>
  <r>
    <x v="81"/>
    <x v="72"/>
    <s v="Mumbai"/>
    <x v="2"/>
    <x v="2"/>
    <x v="2"/>
    <x v="1"/>
    <s v="Consumer"/>
    <n v="4"/>
    <n v="19797"/>
    <n v="0.15"/>
    <x v="81"/>
    <n v="47313.11"/>
    <n v="19996.689999999999"/>
    <s v="UPI"/>
    <s v="Aarav"/>
  </r>
  <r>
    <x v="82"/>
    <x v="73"/>
    <s v="Bengaluru"/>
    <x v="0"/>
    <x v="4"/>
    <x v="14"/>
    <x v="1"/>
    <s v="Consumer"/>
    <n v="1"/>
    <n v="12074"/>
    <n v="0"/>
    <x v="82"/>
    <n v="7951.78"/>
    <n v="4122.22"/>
    <s v="Debit Card"/>
    <s v="Kabir"/>
  </r>
  <r>
    <x v="83"/>
    <x v="74"/>
    <s v="Delhi"/>
    <x v="3"/>
    <x v="0"/>
    <x v="0"/>
    <x v="2"/>
    <s v="Consumer"/>
    <n v="5"/>
    <n v="672"/>
    <n v="0"/>
    <x v="83"/>
    <n v="2826.97"/>
    <n v="533.03"/>
    <s v="Debit Card"/>
    <s v="Diya"/>
  </r>
  <r>
    <x v="84"/>
    <x v="75"/>
    <s v="Delhi"/>
    <x v="3"/>
    <x v="4"/>
    <x v="14"/>
    <x v="0"/>
    <s v="Small Business"/>
    <n v="5"/>
    <n v="19967"/>
    <n v="0"/>
    <x v="84"/>
    <n v="85551.59"/>
    <n v="14283.41"/>
    <s v="Cash"/>
    <s v="Vikram"/>
  </r>
  <r>
    <x v="85"/>
    <x v="76"/>
    <s v="Kolkata"/>
    <x v="1"/>
    <x v="4"/>
    <x v="13"/>
    <x v="0"/>
    <s v="Corporate"/>
    <n v="3"/>
    <n v="16070"/>
    <n v="0.1"/>
    <x v="85"/>
    <n v="34697.74"/>
    <n v="8691.26"/>
    <s v="Net Banking"/>
    <s v="Sara"/>
  </r>
  <r>
    <x v="86"/>
    <x v="77"/>
    <s v="Ahmedabad"/>
    <x v="2"/>
    <x v="2"/>
    <x v="29"/>
    <x v="2"/>
    <s v="Consumer"/>
    <n v="4"/>
    <n v="38811"/>
    <n v="0.05"/>
    <x v="86"/>
    <n v="111904.06"/>
    <n v="35577.74"/>
    <s v="Net Banking"/>
    <s v="Sara"/>
  </r>
  <r>
    <x v="87"/>
    <x v="78"/>
    <s v="Mumbai"/>
    <x v="2"/>
    <x v="3"/>
    <x v="12"/>
    <x v="2"/>
    <s v="Small Business"/>
    <n v="4"/>
    <n v="985"/>
    <n v="0"/>
    <x v="87"/>
    <n v="3275.31"/>
    <n v="664.69"/>
    <s v="Net Banking"/>
    <s v="Meera"/>
  </r>
  <r>
    <x v="88"/>
    <x v="63"/>
    <s v="Hyderabad"/>
    <x v="0"/>
    <x v="3"/>
    <x v="15"/>
    <x v="2"/>
    <s v="Consumer"/>
    <n v="4"/>
    <n v="2226"/>
    <n v="0"/>
    <x v="88"/>
    <n v="5364.21"/>
    <n v="3539.79"/>
    <s v="Cash"/>
    <s v="Aarav"/>
  </r>
  <r>
    <x v="89"/>
    <x v="79"/>
    <s v="Delhi"/>
    <x v="3"/>
    <x v="0"/>
    <x v="28"/>
    <x v="1"/>
    <s v="Consumer"/>
    <n v="5"/>
    <n v="1642"/>
    <n v="0.15"/>
    <x v="89"/>
    <n v="6056.42"/>
    <n v="922.08"/>
    <s v="Net Banking"/>
    <s v="Kabir"/>
  </r>
  <r>
    <x v="90"/>
    <x v="80"/>
    <s v="Delhi"/>
    <x v="3"/>
    <x v="2"/>
    <x v="9"/>
    <x v="2"/>
    <s v="Small Business"/>
    <n v="3"/>
    <n v="7126"/>
    <n v="0"/>
    <x v="90"/>
    <n v="17882.28"/>
    <n v="3495.72"/>
    <s v="Cash"/>
    <s v="Anaya"/>
  </r>
  <r>
    <x v="91"/>
    <x v="81"/>
    <s v="Ahmedabad"/>
    <x v="2"/>
    <x v="1"/>
    <x v="22"/>
    <x v="1"/>
    <s v="Corporate"/>
    <n v="1"/>
    <n v="4033"/>
    <n v="0"/>
    <x v="91"/>
    <n v="3278.6"/>
    <n v="754.4"/>
    <s v="Debit Card"/>
    <s v="Meera"/>
  </r>
  <r>
    <x v="92"/>
    <x v="82"/>
    <s v="Delhi"/>
    <x v="3"/>
    <x v="1"/>
    <x v="22"/>
    <x v="0"/>
    <s v="Consumer"/>
    <n v="6"/>
    <n v="7499"/>
    <n v="0.05"/>
    <x v="92"/>
    <n v="31835.4"/>
    <n v="10908.9"/>
    <s v="UPI"/>
    <s v="Anaya"/>
  </r>
  <r>
    <x v="93"/>
    <x v="83"/>
    <s v="Mumbai"/>
    <x v="2"/>
    <x v="4"/>
    <x v="14"/>
    <x v="2"/>
    <s v="Small Business"/>
    <n v="5"/>
    <n v="19627"/>
    <n v="0"/>
    <x v="93"/>
    <n v="57303.14"/>
    <n v="40831.86"/>
    <s v="Cash"/>
    <s v="Meera"/>
  </r>
  <r>
    <x v="94"/>
    <x v="84"/>
    <s v="Bengaluru"/>
    <x v="0"/>
    <x v="4"/>
    <x v="31"/>
    <x v="2"/>
    <s v="Small Business"/>
    <n v="1"/>
    <n v="7568"/>
    <n v="0.05"/>
    <x v="94"/>
    <n v="4718.47"/>
    <n v="2471.13"/>
    <s v="Credit Card"/>
    <s v="Sara"/>
  </r>
  <r>
    <x v="95"/>
    <x v="19"/>
    <s v="Chennai"/>
    <x v="0"/>
    <x v="4"/>
    <x v="4"/>
    <x v="1"/>
    <s v="Corporate"/>
    <n v="7"/>
    <n v="19479"/>
    <n v="0.15"/>
    <x v="95"/>
    <n v="65732.77"/>
    <n v="50167.28"/>
    <s v="Cash"/>
    <s v="Anaya"/>
  </r>
  <r>
    <x v="96"/>
    <x v="85"/>
    <s v="Hyderabad"/>
    <x v="0"/>
    <x v="1"/>
    <x v="18"/>
    <x v="0"/>
    <s v="Small Business"/>
    <n v="6"/>
    <n v="607"/>
    <n v="0.1"/>
    <x v="96"/>
    <n v="2650.64"/>
    <n v="627.16"/>
    <s v="UPI"/>
    <s v="Meera"/>
  </r>
  <r>
    <x v="97"/>
    <x v="86"/>
    <s v="Delhi"/>
    <x v="3"/>
    <x v="4"/>
    <x v="31"/>
    <x v="0"/>
    <s v="Small Business"/>
    <n v="7"/>
    <n v="14812"/>
    <n v="0"/>
    <x v="97"/>
    <n v="84046.3"/>
    <n v="19637.7"/>
    <s v="Cash"/>
    <s v="Diya"/>
  </r>
  <r>
    <x v="98"/>
    <x v="87"/>
    <s v="Pune"/>
    <x v="2"/>
    <x v="2"/>
    <x v="2"/>
    <x v="1"/>
    <s v="Corporate"/>
    <n v="3"/>
    <n v="61815"/>
    <n v="0"/>
    <x v="98"/>
    <n v="153427.79"/>
    <n v="32017.21"/>
    <s v="Net Banking"/>
    <s v="Vikram"/>
  </r>
  <r>
    <x v="99"/>
    <x v="88"/>
    <s v="Delhi"/>
    <x v="3"/>
    <x v="3"/>
    <x v="3"/>
    <x v="2"/>
    <s v="Small Business"/>
    <n v="4"/>
    <n v="1812"/>
    <n v="0.1"/>
    <x v="99"/>
    <n v="4635.3900000000003"/>
    <n v="1887.81"/>
    <s v="Credit Card"/>
    <s v="Meera"/>
  </r>
  <r>
    <x v="100"/>
    <x v="89"/>
    <s v="Hyderabad"/>
    <x v="0"/>
    <x v="5"/>
    <x v="24"/>
    <x v="0"/>
    <s v="Corporate"/>
    <n v="2"/>
    <n v="35797"/>
    <n v="0.1"/>
    <x v="100"/>
    <n v="54768.17"/>
    <n v="9666.43"/>
    <s v="Cash"/>
    <s v="Sara"/>
  </r>
  <r>
    <x v="101"/>
    <x v="90"/>
    <s v="Bengaluru"/>
    <x v="0"/>
    <x v="6"/>
    <x v="8"/>
    <x v="0"/>
    <s v="Corporate"/>
    <n v="6"/>
    <n v="1796"/>
    <n v="0.1"/>
    <x v="101"/>
    <n v="7454.82"/>
    <n v="2243.58"/>
    <s v="UPI"/>
    <s v="Kabir"/>
  </r>
  <r>
    <x v="102"/>
    <x v="91"/>
    <s v="Ahmedabad"/>
    <x v="2"/>
    <x v="4"/>
    <x v="14"/>
    <x v="2"/>
    <s v="Corporate"/>
    <n v="5"/>
    <n v="23127"/>
    <n v="0"/>
    <x v="102"/>
    <n v="83433.59"/>
    <n v="32201.41"/>
    <s v="UPI"/>
    <s v="Aarav"/>
  </r>
  <r>
    <x v="103"/>
    <x v="76"/>
    <s v="Pune"/>
    <x v="2"/>
    <x v="5"/>
    <x v="11"/>
    <x v="0"/>
    <s v="Corporate"/>
    <n v="1"/>
    <n v="8616"/>
    <n v="0.15"/>
    <x v="103"/>
    <n v="5442.66"/>
    <n v="1880.94"/>
    <s v="Cash"/>
    <s v="Kabir"/>
  </r>
  <r>
    <x v="104"/>
    <x v="90"/>
    <s v="Mumbai"/>
    <x v="2"/>
    <x v="0"/>
    <x v="28"/>
    <x v="2"/>
    <s v="Corporate"/>
    <n v="4"/>
    <n v="1162"/>
    <n v="0.05"/>
    <x v="104"/>
    <n v="3167.7"/>
    <n v="1247.9000000000001"/>
    <s v="Cash"/>
    <s v="Rohan"/>
  </r>
  <r>
    <x v="105"/>
    <x v="92"/>
    <s v="Ahmedabad"/>
    <x v="2"/>
    <x v="5"/>
    <x v="17"/>
    <x v="2"/>
    <s v="Small Business"/>
    <n v="1"/>
    <n v="9138"/>
    <n v="0.05"/>
    <x v="105"/>
    <n v="6793.35"/>
    <n v="1887.75"/>
    <s v="Credit Card"/>
    <s v="Rohan"/>
  </r>
  <r>
    <x v="106"/>
    <x v="93"/>
    <s v="Chennai"/>
    <x v="0"/>
    <x v="6"/>
    <x v="8"/>
    <x v="1"/>
    <s v="Corporate"/>
    <n v="7"/>
    <n v="3635"/>
    <n v="0.1"/>
    <x v="106"/>
    <n v="12824.92"/>
    <n v="10075.58"/>
    <s v="Cash"/>
    <s v="Aarav"/>
  </r>
  <r>
    <x v="107"/>
    <x v="94"/>
    <s v="Mumbai"/>
    <x v="2"/>
    <x v="1"/>
    <x v="10"/>
    <x v="1"/>
    <s v="Consumer"/>
    <n v="8"/>
    <n v="8533"/>
    <n v="0.2"/>
    <x v="107"/>
    <n v="37369.33"/>
    <n v="17241.87"/>
    <s v="Net Banking"/>
    <s v="Rohan"/>
  </r>
  <r>
    <x v="108"/>
    <x v="95"/>
    <s v="Chennai"/>
    <x v="0"/>
    <x v="3"/>
    <x v="12"/>
    <x v="1"/>
    <s v="Corporate"/>
    <n v="5"/>
    <n v="118"/>
    <n v="0.05"/>
    <x v="108"/>
    <n v="468.99"/>
    <n v="91.51"/>
    <s v="UPI"/>
    <s v="Rohan"/>
  </r>
  <r>
    <x v="109"/>
    <x v="96"/>
    <s v="Hyderabad"/>
    <x v="0"/>
    <x v="4"/>
    <x v="27"/>
    <x v="2"/>
    <s v="Corporate"/>
    <n v="3"/>
    <n v="6792"/>
    <n v="0"/>
    <x v="109"/>
    <n v="15264.44"/>
    <n v="5111.5600000000004"/>
    <s v="Credit Card"/>
    <s v="Diya"/>
  </r>
  <r>
    <x v="110"/>
    <x v="30"/>
    <s v="Delhi"/>
    <x v="3"/>
    <x v="4"/>
    <x v="4"/>
    <x v="2"/>
    <s v="Corporate"/>
    <n v="6"/>
    <n v="2377"/>
    <n v="0.1"/>
    <x v="110"/>
    <n v="10299.59"/>
    <n v="2536.21"/>
    <s v="Credit Card"/>
    <s v="Meera"/>
  </r>
  <r>
    <x v="111"/>
    <x v="97"/>
    <s v="Mumbai"/>
    <x v="2"/>
    <x v="0"/>
    <x v="28"/>
    <x v="1"/>
    <s v="Corporate"/>
    <n v="4"/>
    <n v="549"/>
    <n v="0"/>
    <x v="111"/>
    <n v="1328.34"/>
    <n v="867.66"/>
    <s v="Debit Card"/>
    <s v="Rohan"/>
  </r>
  <r>
    <x v="112"/>
    <x v="98"/>
    <s v="Bengaluru"/>
    <x v="0"/>
    <x v="4"/>
    <x v="31"/>
    <x v="1"/>
    <s v="Small Business"/>
    <n v="6"/>
    <n v="13408"/>
    <n v="0.1"/>
    <x v="112"/>
    <n v="44156.88"/>
    <n v="28246.32"/>
    <s v="UPI"/>
    <s v="Diya"/>
  </r>
  <r>
    <x v="113"/>
    <x v="99"/>
    <s v="Ahmedabad"/>
    <x v="2"/>
    <x v="3"/>
    <x v="3"/>
    <x v="2"/>
    <s v="Consumer"/>
    <n v="6"/>
    <n v="1499"/>
    <n v="0.1"/>
    <x v="113"/>
    <n v="6640.26"/>
    <n v="1454.34"/>
    <s v="Credit Card"/>
    <s v="Aarav"/>
  </r>
  <r>
    <x v="114"/>
    <x v="100"/>
    <s v="Bengaluru"/>
    <x v="0"/>
    <x v="4"/>
    <x v="13"/>
    <x v="0"/>
    <s v="Corporate"/>
    <n v="5"/>
    <n v="7495"/>
    <n v="0.1"/>
    <x v="114"/>
    <n v="28023.759999999998"/>
    <n v="5703.74"/>
    <s v="UPI"/>
    <s v="Diya"/>
  </r>
  <r>
    <x v="115"/>
    <x v="63"/>
    <s v="Mumbai"/>
    <x v="2"/>
    <x v="0"/>
    <x v="23"/>
    <x v="1"/>
    <s v="Corporate"/>
    <n v="5"/>
    <n v="1067"/>
    <n v="0"/>
    <x v="115"/>
    <n v="4057.41"/>
    <n v="1277.5899999999999"/>
    <s v="Net Banking"/>
    <s v="Rohan"/>
  </r>
  <r>
    <x v="116"/>
    <x v="101"/>
    <s v="Mumbai"/>
    <x v="2"/>
    <x v="5"/>
    <x v="6"/>
    <x v="0"/>
    <s v="Consumer"/>
    <n v="2"/>
    <n v="34410"/>
    <n v="0.1"/>
    <x v="116"/>
    <n v="45887.86"/>
    <n v="16050.14"/>
    <s v="Cash"/>
    <s v="Anaya"/>
  </r>
  <r>
    <x v="117"/>
    <x v="60"/>
    <s v="Kolkata"/>
    <x v="1"/>
    <x v="5"/>
    <x v="25"/>
    <x v="1"/>
    <s v="Corporate"/>
    <n v="8"/>
    <n v="40457"/>
    <n v="0.15"/>
    <x v="117"/>
    <n v="172526.85"/>
    <n v="102580.75"/>
    <s v="Credit Card"/>
    <s v="Kabir"/>
  </r>
  <r>
    <x v="118"/>
    <x v="102"/>
    <s v="Delhi"/>
    <x v="3"/>
    <x v="5"/>
    <x v="17"/>
    <x v="0"/>
    <s v="Small Business"/>
    <n v="7"/>
    <n v="12186"/>
    <n v="0.2"/>
    <x v="118"/>
    <n v="41480.65"/>
    <n v="26760.95"/>
    <s v="UPI"/>
    <s v="Vikram"/>
  </r>
  <r>
    <x v="119"/>
    <x v="103"/>
    <s v="Delhi"/>
    <x v="3"/>
    <x v="1"/>
    <x v="22"/>
    <x v="1"/>
    <s v="Consumer"/>
    <n v="7"/>
    <n v="7846"/>
    <n v="0.2"/>
    <x v="119"/>
    <n v="24456.05"/>
    <n v="19481.55"/>
    <s v="Net Banking"/>
    <s v="Meera"/>
  </r>
  <r>
    <x v="120"/>
    <x v="104"/>
    <s v="Kolkata"/>
    <x v="1"/>
    <x v="6"/>
    <x v="20"/>
    <x v="1"/>
    <s v="Consumer"/>
    <n v="6"/>
    <n v="5932"/>
    <n v="0.05"/>
    <x v="120"/>
    <n v="22461.11"/>
    <n v="11351.29"/>
    <s v="UPI"/>
    <s v="Kabir"/>
  </r>
  <r>
    <x v="121"/>
    <x v="75"/>
    <s v="Delhi"/>
    <x v="3"/>
    <x v="0"/>
    <x v="23"/>
    <x v="0"/>
    <s v="Consumer"/>
    <n v="4"/>
    <n v="421"/>
    <n v="0.1"/>
    <x v="121"/>
    <n v="1029.1600000000001"/>
    <n v="486.44"/>
    <s v="Credit Card"/>
    <s v="Sara"/>
  </r>
  <r>
    <x v="122"/>
    <x v="105"/>
    <s v="Hyderabad"/>
    <x v="0"/>
    <x v="1"/>
    <x v="1"/>
    <x v="2"/>
    <s v="Corporate"/>
    <n v="6"/>
    <n v="8242"/>
    <n v="0"/>
    <x v="122"/>
    <n v="42821.31"/>
    <n v="6630.69"/>
    <s v="UPI"/>
    <s v="Diya"/>
  </r>
  <r>
    <x v="123"/>
    <x v="106"/>
    <s v="Delhi"/>
    <x v="3"/>
    <x v="2"/>
    <x v="5"/>
    <x v="1"/>
    <s v="Small Business"/>
    <n v="7"/>
    <n v="7401"/>
    <n v="0"/>
    <x v="123"/>
    <n v="44959.56"/>
    <n v="6847.44"/>
    <s v="Cash"/>
    <s v="Diya"/>
  </r>
  <r>
    <x v="124"/>
    <x v="107"/>
    <s v="Kolkata"/>
    <x v="1"/>
    <x v="6"/>
    <x v="30"/>
    <x v="1"/>
    <s v="Small Business"/>
    <n v="6"/>
    <n v="5786"/>
    <n v="0"/>
    <x v="124"/>
    <n v="30491.27"/>
    <n v="4224.7299999999996"/>
    <s v="UPI"/>
    <s v="Vikram"/>
  </r>
  <r>
    <x v="125"/>
    <x v="108"/>
    <s v="Mumbai"/>
    <x v="2"/>
    <x v="6"/>
    <x v="16"/>
    <x v="1"/>
    <s v="Corporate"/>
    <n v="4"/>
    <n v="758"/>
    <n v="0.15"/>
    <x v="125"/>
    <n v="1940.69"/>
    <n v="636.51"/>
    <s v="Credit Card"/>
    <s v="Vikram"/>
  </r>
  <r>
    <x v="126"/>
    <x v="13"/>
    <s v="Delhi"/>
    <x v="3"/>
    <x v="6"/>
    <x v="30"/>
    <x v="1"/>
    <s v="Corporate"/>
    <n v="7"/>
    <n v="2795"/>
    <n v="0"/>
    <x v="126"/>
    <n v="11624.65"/>
    <n v="7940.35"/>
    <s v="Net Banking"/>
    <s v="Diya"/>
  </r>
  <r>
    <x v="127"/>
    <x v="109"/>
    <s v="Mumbai"/>
    <x v="2"/>
    <x v="6"/>
    <x v="16"/>
    <x v="0"/>
    <s v="Small Business"/>
    <n v="5"/>
    <n v="4418"/>
    <n v="0.05"/>
    <x v="127"/>
    <n v="13383.1"/>
    <n v="7602.4"/>
    <s v="Net Banking"/>
    <s v="Meera"/>
  </r>
  <r>
    <x v="128"/>
    <x v="110"/>
    <s v="Mumbai"/>
    <x v="2"/>
    <x v="4"/>
    <x v="31"/>
    <x v="1"/>
    <s v="Consumer"/>
    <n v="2"/>
    <n v="1793"/>
    <n v="0.05"/>
    <x v="128"/>
    <n v="2756.21"/>
    <n v="650.49"/>
    <s v="UPI"/>
    <s v="Anaya"/>
  </r>
  <r>
    <x v="129"/>
    <x v="111"/>
    <s v="Hyderabad"/>
    <x v="0"/>
    <x v="2"/>
    <x v="21"/>
    <x v="2"/>
    <s v="Small Business"/>
    <n v="2"/>
    <n v="51223"/>
    <n v="0.05"/>
    <x v="129"/>
    <n v="73992.92"/>
    <n v="23330.78"/>
    <s v="UPI"/>
    <s v="Vikram"/>
  </r>
  <r>
    <x v="130"/>
    <x v="112"/>
    <s v="Bengaluru"/>
    <x v="0"/>
    <x v="5"/>
    <x v="6"/>
    <x v="0"/>
    <s v="Consumer"/>
    <n v="8"/>
    <n v="29224"/>
    <n v="0.1"/>
    <x v="130"/>
    <n v="120732.3"/>
    <n v="89680.5"/>
    <s v="Net Banking"/>
    <s v="Meera"/>
  </r>
  <r>
    <x v="131"/>
    <x v="83"/>
    <s v="Delhi"/>
    <x v="3"/>
    <x v="0"/>
    <x v="19"/>
    <x v="1"/>
    <s v="Small Business"/>
    <n v="3"/>
    <n v="1423"/>
    <n v="0.05"/>
    <x v="131"/>
    <n v="2341.12"/>
    <n v="1714.43"/>
    <s v="UPI"/>
    <s v="Aarav"/>
  </r>
  <r>
    <x v="132"/>
    <x v="113"/>
    <s v="Pune"/>
    <x v="2"/>
    <x v="3"/>
    <x v="32"/>
    <x v="1"/>
    <s v="Consumer"/>
    <n v="1"/>
    <n v="469"/>
    <n v="0.05"/>
    <x v="132"/>
    <n v="261.81"/>
    <n v="183.74"/>
    <s v="Cash"/>
    <s v="Diya"/>
  </r>
  <r>
    <x v="133"/>
    <x v="114"/>
    <s v="Mumbai"/>
    <x v="2"/>
    <x v="2"/>
    <x v="29"/>
    <x v="2"/>
    <s v="Consumer"/>
    <n v="7"/>
    <n v="46500"/>
    <n v="0"/>
    <x v="133"/>
    <n v="200236.29"/>
    <n v="125263.71"/>
    <s v="Net Banking"/>
    <s v="Kabir"/>
  </r>
  <r>
    <x v="134"/>
    <x v="19"/>
    <s v="Chennai"/>
    <x v="0"/>
    <x v="0"/>
    <x v="26"/>
    <x v="0"/>
    <s v="Corporate"/>
    <n v="4"/>
    <n v="2365"/>
    <n v="0.1"/>
    <x v="134"/>
    <n v="6526.27"/>
    <n v="1987.73"/>
    <s v="Debit Card"/>
    <s v="Aarav"/>
  </r>
  <r>
    <x v="135"/>
    <x v="115"/>
    <s v="Bengaluru"/>
    <x v="0"/>
    <x v="6"/>
    <x v="33"/>
    <x v="1"/>
    <s v="Consumer"/>
    <n v="2"/>
    <n v="4232"/>
    <n v="0.1"/>
    <x v="135"/>
    <n v="5552.76"/>
    <n v="2064.84"/>
    <s v="Debit Card"/>
    <s v="Vikram"/>
  </r>
  <r>
    <x v="136"/>
    <x v="15"/>
    <s v="Bengaluru"/>
    <x v="0"/>
    <x v="6"/>
    <x v="20"/>
    <x v="0"/>
    <s v="Corporate"/>
    <n v="7"/>
    <n v="511"/>
    <n v="0.1"/>
    <x v="136"/>
    <n v="2707.04"/>
    <n v="512.26"/>
    <s v="Credit Card"/>
    <s v="Kabir"/>
  </r>
  <r>
    <x v="137"/>
    <x v="116"/>
    <s v="Chennai"/>
    <x v="0"/>
    <x v="1"/>
    <x v="7"/>
    <x v="1"/>
    <s v="Corporate"/>
    <n v="3"/>
    <n v="3379"/>
    <n v="0.1"/>
    <x v="137"/>
    <n v="5124.13"/>
    <n v="3999.17"/>
    <s v="UPI"/>
    <s v="Diya"/>
  </r>
  <r>
    <x v="138"/>
    <x v="117"/>
    <s v="Delhi"/>
    <x v="3"/>
    <x v="5"/>
    <x v="24"/>
    <x v="0"/>
    <s v="Consumer"/>
    <n v="5"/>
    <n v="44503"/>
    <n v="0.1"/>
    <x v="138"/>
    <n v="110269.16"/>
    <n v="89994.34"/>
    <s v="Credit Card"/>
    <s v="Sara"/>
  </r>
  <r>
    <x v="139"/>
    <x v="118"/>
    <s v="Mumbai"/>
    <x v="2"/>
    <x v="6"/>
    <x v="20"/>
    <x v="2"/>
    <s v="Corporate"/>
    <n v="1"/>
    <n v="3736"/>
    <n v="0.1"/>
    <x v="139"/>
    <n v="1907.91"/>
    <n v="1454.49"/>
    <s v="Credit Card"/>
    <s v="Kabir"/>
  </r>
  <r>
    <x v="140"/>
    <x v="95"/>
    <s v="Mumbai"/>
    <x v="2"/>
    <x v="5"/>
    <x v="25"/>
    <x v="0"/>
    <s v="Consumer"/>
    <n v="7"/>
    <n v="15193"/>
    <n v="0.1"/>
    <x v="140"/>
    <n v="77553.13"/>
    <n v="18162.77"/>
    <s v="Cash"/>
    <s v="Sara"/>
  </r>
  <r>
    <x v="141"/>
    <x v="29"/>
    <s v="Chennai"/>
    <x v="0"/>
    <x v="2"/>
    <x v="29"/>
    <x v="1"/>
    <s v="Consumer"/>
    <n v="7"/>
    <n v="3151"/>
    <n v="0.1"/>
    <x v="141"/>
    <n v="12879.85"/>
    <n v="6971.45"/>
    <s v="Cash"/>
    <s v="Meera"/>
  </r>
  <r>
    <x v="142"/>
    <x v="119"/>
    <s v="Mumbai"/>
    <x v="2"/>
    <x v="0"/>
    <x v="19"/>
    <x v="0"/>
    <s v="Consumer"/>
    <n v="3"/>
    <n v="1676"/>
    <n v="0.2"/>
    <x v="142"/>
    <n v="2431.73"/>
    <n v="1590.67"/>
    <s v="Net Banking"/>
    <s v="Sara"/>
  </r>
  <r>
    <x v="143"/>
    <x v="64"/>
    <s v="Ahmedabad"/>
    <x v="2"/>
    <x v="5"/>
    <x v="6"/>
    <x v="1"/>
    <s v="Corporate"/>
    <n v="3"/>
    <n v="18870"/>
    <n v="0.05"/>
    <x v="143"/>
    <n v="37301.97"/>
    <n v="16477.53"/>
    <s v="Credit Card"/>
    <s v="Meera"/>
  </r>
  <r>
    <x v="144"/>
    <x v="120"/>
    <s v="Hyderabad"/>
    <x v="0"/>
    <x v="4"/>
    <x v="14"/>
    <x v="1"/>
    <s v="Consumer"/>
    <n v="1"/>
    <n v="4584"/>
    <n v="0"/>
    <x v="144"/>
    <n v="3124.53"/>
    <n v="1459.47"/>
    <s v="Cash"/>
    <s v="Diya"/>
  </r>
  <r>
    <x v="145"/>
    <x v="121"/>
    <s v="Pune"/>
    <x v="2"/>
    <x v="5"/>
    <x v="11"/>
    <x v="0"/>
    <s v="Corporate"/>
    <n v="6"/>
    <n v="35091"/>
    <n v="0.05"/>
    <x v="145"/>
    <n v="120332.45"/>
    <n v="79686.25"/>
    <s v="Credit Card"/>
    <s v="Kabir"/>
  </r>
  <r>
    <x v="146"/>
    <x v="97"/>
    <s v="Bengaluru"/>
    <x v="0"/>
    <x v="2"/>
    <x v="2"/>
    <x v="2"/>
    <s v="Consumer"/>
    <n v="7"/>
    <n v="15789"/>
    <n v="0.05"/>
    <x v="146"/>
    <n v="86433.05"/>
    <n v="18563.8"/>
    <s v="Net Banking"/>
    <s v="Diya"/>
  </r>
  <r>
    <x v="147"/>
    <x v="97"/>
    <s v="Pune"/>
    <x v="2"/>
    <x v="5"/>
    <x v="17"/>
    <x v="0"/>
    <s v="Corporate"/>
    <n v="5"/>
    <n v="24860"/>
    <n v="0"/>
    <x v="147"/>
    <n v="97899.01"/>
    <n v="26400.99"/>
    <s v="UPI"/>
    <s v="Vikram"/>
  </r>
  <r>
    <x v="148"/>
    <x v="122"/>
    <s v="Bengaluru"/>
    <x v="0"/>
    <x v="2"/>
    <x v="9"/>
    <x v="2"/>
    <s v="Corporate"/>
    <n v="5"/>
    <n v="9021"/>
    <n v="0.1"/>
    <x v="148"/>
    <n v="23421.78"/>
    <n v="17172.72"/>
    <s v="UPI"/>
    <s v="Diya"/>
  </r>
  <r>
    <x v="149"/>
    <x v="25"/>
    <s v="Mumbai"/>
    <x v="2"/>
    <x v="1"/>
    <x v="22"/>
    <x v="0"/>
    <s v="Corporate"/>
    <n v="2"/>
    <n v="4150"/>
    <n v="0"/>
    <x v="149"/>
    <n v="5968.74"/>
    <n v="2331.2600000000002"/>
    <s v="Debit Card"/>
    <s v="Anaya"/>
  </r>
  <r>
    <x v="150"/>
    <x v="123"/>
    <s v="Chennai"/>
    <x v="0"/>
    <x v="0"/>
    <x v="28"/>
    <x v="2"/>
    <s v="Small Business"/>
    <n v="4"/>
    <n v="2340"/>
    <n v="0.1"/>
    <x v="150"/>
    <n v="5082.49"/>
    <n v="3341.51"/>
    <s v="Net Banking"/>
    <s v="Aarav"/>
  </r>
  <r>
    <x v="151"/>
    <x v="124"/>
    <s v="Ahmedabad"/>
    <x v="2"/>
    <x v="4"/>
    <x v="13"/>
    <x v="0"/>
    <s v="Consumer"/>
    <n v="7"/>
    <n v="14765"/>
    <n v="0.05"/>
    <x v="151"/>
    <n v="57420.52"/>
    <n v="40766.730000000003"/>
    <s v="Debit Card"/>
    <s v="Diya"/>
  </r>
  <r>
    <x v="152"/>
    <x v="125"/>
    <s v="Ahmedabad"/>
    <x v="2"/>
    <x v="3"/>
    <x v="12"/>
    <x v="2"/>
    <s v="Corporate"/>
    <n v="8"/>
    <n v="2311"/>
    <n v="0.05"/>
    <x v="152"/>
    <n v="14963.83"/>
    <n v="2599.77"/>
    <s v="Cash"/>
    <s v="Meera"/>
  </r>
  <r>
    <x v="153"/>
    <x v="126"/>
    <s v="Mumbai"/>
    <x v="2"/>
    <x v="5"/>
    <x v="6"/>
    <x v="0"/>
    <s v="Consumer"/>
    <n v="3"/>
    <n v="4398"/>
    <n v="0"/>
    <x v="153"/>
    <n v="11149.15"/>
    <n v="2044.85"/>
    <s v="Cash"/>
    <s v="Sara"/>
  </r>
  <r>
    <x v="154"/>
    <x v="127"/>
    <s v="Kolkata"/>
    <x v="1"/>
    <x v="2"/>
    <x v="5"/>
    <x v="1"/>
    <s v="Consumer"/>
    <n v="3"/>
    <n v="55900"/>
    <n v="0.1"/>
    <x v="154"/>
    <n v="89477.75"/>
    <n v="61452.25"/>
    <s v="Debit Card"/>
    <s v="Aarav"/>
  </r>
  <r>
    <x v="155"/>
    <x v="78"/>
    <s v="Hyderabad"/>
    <x v="0"/>
    <x v="4"/>
    <x v="4"/>
    <x v="2"/>
    <s v="Small Business"/>
    <n v="6"/>
    <n v="16236"/>
    <n v="0.1"/>
    <x v="155"/>
    <n v="76808.179999999993"/>
    <n v="10866.22"/>
    <s v="Cash"/>
    <s v="Meera"/>
  </r>
  <r>
    <x v="156"/>
    <x v="34"/>
    <s v="Pune"/>
    <x v="2"/>
    <x v="1"/>
    <x v="7"/>
    <x v="2"/>
    <s v="Consumer"/>
    <n v="4"/>
    <n v="9833"/>
    <n v="0.1"/>
    <x v="156"/>
    <n v="24377"/>
    <n v="11021.8"/>
    <s v="Debit Card"/>
    <s v="Vikram"/>
  </r>
  <r>
    <x v="157"/>
    <x v="128"/>
    <s v="Chennai"/>
    <x v="0"/>
    <x v="2"/>
    <x v="21"/>
    <x v="0"/>
    <s v="Small Business"/>
    <n v="5"/>
    <n v="57415"/>
    <n v="0"/>
    <x v="157"/>
    <n v="187725.08"/>
    <n v="99349.92"/>
    <s v="UPI"/>
    <s v="Meera"/>
  </r>
  <r>
    <x v="158"/>
    <x v="21"/>
    <s v="Ahmedabad"/>
    <x v="2"/>
    <x v="0"/>
    <x v="0"/>
    <x v="0"/>
    <s v="Consumer"/>
    <n v="4"/>
    <n v="2099"/>
    <n v="0.15"/>
    <x v="158"/>
    <n v="5729.27"/>
    <n v="1407.33"/>
    <s v="Credit Card"/>
    <s v="Kabir"/>
  </r>
  <r>
    <x v="159"/>
    <x v="129"/>
    <s v="Kolkata"/>
    <x v="1"/>
    <x v="5"/>
    <x v="24"/>
    <x v="0"/>
    <s v="Corporate"/>
    <n v="3"/>
    <n v="5097"/>
    <n v="0"/>
    <x v="159"/>
    <n v="10492.86"/>
    <n v="4798.1400000000003"/>
    <s v="Debit Card"/>
    <s v="Meera"/>
  </r>
  <r>
    <x v="160"/>
    <x v="106"/>
    <s v="Delhi"/>
    <x v="3"/>
    <x v="1"/>
    <x v="1"/>
    <x v="0"/>
    <s v="Corporate"/>
    <n v="6"/>
    <n v="10041"/>
    <n v="0.15"/>
    <x v="160"/>
    <n v="28469.3"/>
    <n v="22739.8"/>
    <s v="UPI"/>
    <s v="Kabir"/>
  </r>
  <r>
    <x v="161"/>
    <x v="21"/>
    <s v="Chennai"/>
    <x v="0"/>
    <x v="3"/>
    <x v="34"/>
    <x v="1"/>
    <s v="Corporate"/>
    <n v="7"/>
    <n v="1952"/>
    <n v="0"/>
    <x v="161"/>
    <n v="10072.64"/>
    <n v="3591.36"/>
    <s v="Debit Card"/>
    <s v="Rohan"/>
  </r>
  <r>
    <x v="162"/>
    <x v="130"/>
    <s v="Pune"/>
    <x v="2"/>
    <x v="1"/>
    <x v="22"/>
    <x v="1"/>
    <s v="Corporate"/>
    <n v="4"/>
    <n v="3598"/>
    <n v="0"/>
    <x v="162"/>
    <n v="9053.1200000000008"/>
    <n v="5338.88"/>
    <s v="Cash"/>
    <s v="Kabir"/>
  </r>
  <r>
    <x v="163"/>
    <x v="55"/>
    <s v="Ahmedabad"/>
    <x v="2"/>
    <x v="4"/>
    <x v="27"/>
    <x v="0"/>
    <s v="Consumer"/>
    <n v="7"/>
    <n v="18932"/>
    <n v="0.1"/>
    <x v="163"/>
    <n v="66884.3"/>
    <n v="52387.3"/>
    <s v="Credit Card"/>
    <s v="Anaya"/>
  </r>
  <r>
    <x v="164"/>
    <x v="131"/>
    <s v="Mumbai"/>
    <x v="2"/>
    <x v="0"/>
    <x v="19"/>
    <x v="1"/>
    <s v="Consumer"/>
    <n v="6"/>
    <n v="485"/>
    <n v="0.1"/>
    <x v="164"/>
    <n v="1986.07"/>
    <n v="632.92999999999995"/>
    <s v="Debit Card"/>
    <s v="Meera"/>
  </r>
  <r>
    <x v="165"/>
    <x v="68"/>
    <s v="Bengaluru"/>
    <x v="0"/>
    <x v="3"/>
    <x v="3"/>
    <x v="0"/>
    <s v="Corporate"/>
    <n v="6"/>
    <n v="1615"/>
    <n v="0.05"/>
    <x v="165"/>
    <n v="8051.75"/>
    <n v="1153.75"/>
    <s v="UPI"/>
    <s v="Diya"/>
  </r>
  <r>
    <x v="166"/>
    <x v="132"/>
    <s v="Delhi"/>
    <x v="3"/>
    <x v="4"/>
    <x v="14"/>
    <x v="1"/>
    <s v="Consumer"/>
    <n v="8"/>
    <n v="13928"/>
    <n v="0.05"/>
    <x v="166"/>
    <n v="74786.61"/>
    <n v="31066.19"/>
    <s v="Net Banking"/>
    <s v="Sara"/>
  </r>
  <r>
    <x v="167"/>
    <x v="113"/>
    <s v="Mumbai"/>
    <x v="2"/>
    <x v="1"/>
    <x v="7"/>
    <x v="1"/>
    <s v="Consumer"/>
    <n v="4"/>
    <n v="11021"/>
    <n v="0.05"/>
    <x v="167"/>
    <n v="24237.54"/>
    <n v="17642.259999999998"/>
    <s v="Net Banking"/>
    <s v="Kabir"/>
  </r>
  <r>
    <x v="168"/>
    <x v="71"/>
    <s v="Bengaluru"/>
    <x v="0"/>
    <x v="2"/>
    <x v="9"/>
    <x v="1"/>
    <s v="Consumer"/>
    <n v="8"/>
    <n v="22886"/>
    <n v="0.05"/>
    <x v="168"/>
    <n v="134384.68"/>
    <n v="39548.92"/>
    <s v="Credit Card"/>
    <s v="Vikram"/>
  </r>
  <r>
    <x v="169"/>
    <x v="133"/>
    <s v="Hyderabad"/>
    <x v="0"/>
    <x v="2"/>
    <x v="2"/>
    <x v="0"/>
    <s v="Corporate"/>
    <n v="6"/>
    <n v="54393"/>
    <n v="0"/>
    <x v="169"/>
    <n v="220835.63"/>
    <n v="105522.37"/>
    <s v="Net Banking"/>
    <s v="Kabir"/>
  </r>
  <r>
    <x v="170"/>
    <x v="98"/>
    <s v="Delhi"/>
    <x v="3"/>
    <x v="3"/>
    <x v="32"/>
    <x v="0"/>
    <s v="Small Business"/>
    <n v="1"/>
    <n v="2188"/>
    <n v="0.1"/>
    <x v="170"/>
    <n v="1503.15"/>
    <n v="466.05"/>
    <s v="Net Banking"/>
    <s v="Diya"/>
  </r>
  <r>
    <x v="171"/>
    <x v="134"/>
    <s v="Mumbai"/>
    <x v="2"/>
    <x v="2"/>
    <x v="21"/>
    <x v="2"/>
    <s v="Consumer"/>
    <n v="7"/>
    <n v="48119"/>
    <n v="0.15"/>
    <x v="171"/>
    <n v="251125.62"/>
    <n v="35182.43"/>
    <s v="UPI"/>
    <s v="Sara"/>
  </r>
  <r>
    <x v="172"/>
    <x v="126"/>
    <s v="Pune"/>
    <x v="2"/>
    <x v="2"/>
    <x v="9"/>
    <x v="2"/>
    <s v="Consumer"/>
    <n v="7"/>
    <n v="33205"/>
    <n v="0.05"/>
    <x v="172"/>
    <n v="180960.58"/>
    <n v="39852.67"/>
    <s v="Debit Card"/>
    <s v="Diya"/>
  </r>
  <r>
    <x v="173"/>
    <x v="79"/>
    <s v="Mumbai"/>
    <x v="2"/>
    <x v="2"/>
    <x v="9"/>
    <x v="0"/>
    <s v="Small Business"/>
    <n v="6"/>
    <n v="62549"/>
    <n v="0.15"/>
    <x v="173"/>
    <n v="271944.11"/>
    <n v="47055.79"/>
    <s v="Debit Card"/>
    <s v="Anaya"/>
  </r>
  <r>
    <x v="174"/>
    <x v="26"/>
    <s v="Delhi"/>
    <x v="3"/>
    <x v="2"/>
    <x v="5"/>
    <x v="0"/>
    <s v="Consumer"/>
    <n v="4"/>
    <n v="47234"/>
    <n v="0.1"/>
    <x v="174"/>
    <n v="146643.32"/>
    <n v="23399.08"/>
    <s v="Credit Card"/>
    <s v="Meera"/>
  </r>
  <r>
    <x v="175"/>
    <x v="120"/>
    <s v="Bengaluru"/>
    <x v="0"/>
    <x v="2"/>
    <x v="9"/>
    <x v="0"/>
    <s v="Small Business"/>
    <n v="8"/>
    <n v="2429"/>
    <n v="0.2"/>
    <x v="175"/>
    <n v="9722.23"/>
    <n v="5823.37"/>
    <s v="Debit Card"/>
    <s v="Rohan"/>
  </r>
  <r>
    <x v="176"/>
    <x v="118"/>
    <s v="Mumbai"/>
    <x v="2"/>
    <x v="1"/>
    <x v="7"/>
    <x v="1"/>
    <s v="Corporate"/>
    <n v="8"/>
    <n v="4740"/>
    <n v="0"/>
    <x v="176"/>
    <n v="31310.87"/>
    <n v="6609.13"/>
    <s v="Cash"/>
    <s v="Rohan"/>
  </r>
  <r>
    <x v="177"/>
    <x v="50"/>
    <s v="Kolkata"/>
    <x v="1"/>
    <x v="3"/>
    <x v="12"/>
    <x v="1"/>
    <s v="Consumer"/>
    <n v="4"/>
    <n v="176"/>
    <n v="0.05"/>
    <x v="177"/>
    <n v="442.96"/>
    <n v="225.84"/>
    <s v="UPI"/>
    <s v="Aarav"/>
  </r>
  <r>
    <x v="178"/>
    <x v="135"/>
    <s v="Mumbai"/>
    <x v="2"/>
    <x v="6"/>
    <x v="30"/>
    <x v="1"/>
    <s v="Small Business"/>
    <n v="7"/>
    <n v="3330"/>
    <n v="0"/>
    <x v="178"/>
    <n v="15454.71"/>
    <n v="7855.29"/>
    <s v="Cash"/>
    <s v="Kabir"/>
  </r>
  <r>
    <x v="179"/>
    <x v="136"/>
    <s v="Bengaluru"/>
    <x v="0"/>
    <x v="6"/>
    <x v="30"/>
    <x v="0"/>
    <s v="Consumer"/>
    <n v="5"/>
    <n v="3320"/>
    <n v="0.05"/>
    <x v="179"/>
    <n v="12797.86"/>
    <n v="2972.14"/>
    <s v="Net Banking"/>
    <s v="Anaya"/>
  </r>
  <r>
    <x v="180"/>
    <x v="137"/>
    <s v="Kolkata"/>
    <x v="1"/>
    <x v="6"/>
    <x v="20"/>
    <x v="2"/>
    <s v="Small Business"/>
    <n v="6"/>
    <n v="416"/>
    <n v="0.05"/>
    <x v="180"/>
    <n v="1333.88"/>
    <n v="1037.32"/>
    <s v="Cash"/>
    <s v="Rohan"/>
  </r>
  <r>
    <x v="181"/>
    <x v="138"/>
    <s v="Pune"/>
    <x v="2"/>
    <x v="1"/>
    <x v="1"/>
    <x v="1"/>
    <s v="Corporate"/>
    <n v="4"/>
    <n v="7566"/>
    <n v="0.05"/>
    <x v="181"/>
    <n v="18524.39"/>
    <n v="10226.41"/>
    <s v="Debit Card"/>
    <s v="Kabir"/>
  </r>
  <r>
    <x v="182"/>
    <x v="139"/>
    <s v="Bengaluru"/>
    <x v="0"/>
    <x v="4"/>
    <x v="13"/>
    <x v="1"/>
    <s v="Small Business"/>
    <n v="3"/>
    <n v="16509"/>
    <n v="0.1"/>
    <x v="182"/>
    <n v="32952.199999999997"/>
    <n v="11622.1"/>
    <s v="UPI"/>
    <s v="Anaya"/>
  </r>
  <r>
    <x v="183"/>
    <x v="13"/>
    <s v="Mumbai"/>
    <x v="2"/>
    <x v="2"/>
    <x v="21"/>
    <x v="2"/>
    <s v="Consumer"/>
    <n v="1"/>
    <n v="42010"/>
    <n v="0.15"/>
    <x v="183"/>
    <n v="19864.939999999999"/>
    <n v="15843.56"/>
    <s v="Debit Card"/>
    <s v="Kabir"/>
  </r>
  <r>
    <x v="184"/>
    <x v="140"/>
    <s v="Bengaluru"/>
    <x v="0"/>
    <x v="1"/>
    <x v="10"/>
    <x v="0"/>
    <s v="Corporate"/>
    <n v="8"/>
    <n v="4552"/>
    <n v="0"/>
    <x v="184"/>
    <n v="31981.77"/>
    <n v="4434.2299999999996"/>
    <s v="Debit Card"/>
    <s v="Aarav"/>
  </r>
  <r>
    <x v="185"/>
    <x v="54"/>
    <s v="Kolkata"/>
    <x v="1"/>
    <x v="2"/>
    <x v="9"/>
    <x v="0"/>
    <s v="Consumer"/>
    <n v="5"/>
    <n v="44227"/>
    <n v="0.15"/>
    <x v="185"/>
    <n v="141441.47"/>
    <n v="46523.28"/>
    <s v="Credit Card"/>
    <s v="Sara"/>
  </r>
  <r>
    <x v="186"/>
    <x v="118"/>
    <s v="Delhi"/>
    <x v="3"/>
    <x v="1"/>
    <x v="7"/>
    <x v="1"/>
    <s v="Small Business"/>
    <n v="3"/>
    <n v="2492"/>
    <n v="0.1"/>
    <x v="186"/>
    <n v="4365.7700000000004"/>
    <n v="2362.63"/>
    <s v="Credit Card"/>
    <s v="Diya"/>
  </r>
  <r>
    <x v="187"/>
    <x v="141"/>
    <s v="Delhi"/>
    <x v="3"/>
    <x v="4"/>
    <x v="4"/>
    <x v="0"/>
    <s v="Corporate"/>
    <n v="2"/>
    <n v="11550"/>
    <n v="0.15"/>
    <x v="187"/>
    <n v="13424.13"/>
    <n v="6210.87"/>
    <s v="Net Banking"/>
    <s v="Vikram"/>
  </r>
  <r>
    <x v="188"/>
    <x v="142"/>
    <s v="Kolkata"/>
    <x v="1"/>
    <x v="2"/>
    <x v="21"/>
    <x v="0"/>
    <s v="Corporate"/>
    <n v="6"/>
    <n v="34704"/>
    <n v="0"/>
    <x v="188"/>
    <n v="175586.45"/>
    <n v="32637.55"/>
    <s v="Credit Card"/>
    <s v="Diya"/>
  </r>
  <r>
    <x v="189"/>
    <x v="140"/>
    <s v="Mumbai"/>
    <x v="2"/>
    <x v="4"/>
    <x v="4"/>
    <x v="2"/>
    <s v="Small Business"/>
    <n v="4"/>
    <n v="10403"/>
    <n v="0"/>
    <x v="189"/>
    <n v="33533.620000000003"/>
    <n v="8078.38"/>
    <s v="Credit Card"/>
    <s v="Diya"/>
  </r>
  <r>
    <x v="190"/>
    <x v="143"/>
    <s v="Hyderabad"/>
    <x v="0"/>
    <x v="5"/>
    <x v="25"/>
    <x v="1"/>
    <s v="Corporate"/>
    <n v="4"/>
    <n v="26045"/>
    <n v="0.15"/>
    <x v="190"/>
    <n v="65748.649999999994"/>
    <n v="22804.35"/>
    <s v="Net Banking"/>
    <s v="Meera"/>
  </r>
  <r>
    <x v="191"/>
    <x v="144"/>
    <s v="Pune"/>
    <x v="2"/>
    <x v="5"/>
    <x v="25"/>
    <x v="0"/>
    <s v="Consumer"/>
    <n v="1"/>
    <n v="8293"/>
    <n v="0.05"/>
    <x v="191"/>
    <n v="5314.05"/>
    <n v="2564.3000000000002"/>
    <s v="UPI"/>
    <s v="Diya"/>
  </r>
  <r>
    <x v="192"/>
    <x v="145"/>
    <s v="Bengaluru"/>
    <x v="0"/>
    <x v="3"/>
    <x v="34"/>
    <x v="2"/>
    <s v="Consumer"/>
    <n v="1"/>
    <n v="334"/>
    <n v="0.2"/>
    <x v="192"/>
    <n v="208.91"/>
    <n v="58.29"/>
    <s v="Net Banking"/>
    <s v="Meera"/>
  </r>
  <r>
    <x v="193"/>
    <x v="87"/>
    <s v="Hyderabad"/>
    <x v="0"/>
    <x v="4"/>
    <x v="13"/>
    <x v="1"/>
    <s v="Small Business"/>
    <n v="5"/>
    <n v="23007"/>
    <n v="0"/>
    <x v="193"/>
    <n v="77265.95"/>
    <n v="37769.050000000003"/>
    <s v="UPI"/>
    <s v="Rohan"/>
  </r>
  <r>
    <x v="194"/>
    <x v="134"/>
    <s v="Bengaluru"/>
    <x v="0"/>
    <x v="3"/>
    <x v="12"/>
    <x v="0"/>
    <s v="Corporate"/>
    <n v="8"/>
    <n v="1051"/>
    <n v="0.1"/>
    <x v="194"/>
    <n v="4899.38"/>
    <n v="2667.82"/>
    <s v="Debit Card"/>
    <s v="Meera"/>
  </r>
  <r>
    <x v="195"/>
    <x v="146"/>
    <s v="Hyderabad"/>
    <x v="0"/>
    <x v="6"/>
    <x v="20"/>
    <x v="0"/>
    <s v="Consumer"/>
    <n v="8"/>
    <n v="1698"/>
    <n v="0"/>
    <x v="195"/>
    <n v="9783.66"/>
    <n v="3800.34"/>
    <s v="Credit Card"/>
    <s v="Sara"/>
  </r>
  <r>
    <x v="196"/>
    <x v="147"/>
    <s v="Delhi"/>
    <x v="3"/>
    <x v="4"/>
    <x v="13"/>
    <x v="1"/>
    <s v="Small Business"/>
    <n v="4"/>
    <n v="18258"/>
    <n v="0.15"/>
    <x v="196"/>
    <n v="39605.43"/>
    <n v="22471.77"/>
    <s v="UPI"/>
    <s v="Meera"/>
  </r>
  <r>
    <x v="197"/>
    <x v="67"/>
    <s v="Delhi"/>
    <x v="3"/>
    <x v="2"/>
    <x v="5"/>
    <x v="0"/>
    <s v="Small Business"/>
    <n v="7"/>
    <n v="21111"/>
    <n v="0"/>
    <x v="197"/>
    <n v="82103.83"/>
    <n v="65673.17"/>
    <s v="UPI"/>
    <s v="Diya"/>
  </r>
  <r>
    <x v="198"/>
    <x v="52"/>
    <s v="Delhi"/>
    <x v="3"/>
    <x v="6"/>
    <x v="16"/>
    <x v="0"/>
    <s v="Consumer"/>
    <n v="1"/>
    <n v="5797"/>
    <n v="0.1"/>
    <x v="198"/>
    <n v="4383.34"/>
    <n v="833.96"/>
    <s v="Debit Card"/>
    <s v="Anaya"/>
  </r>
  <r>
    <x v="199"/>
    <x v="129"/>
    <s v="Bengaluru"/>
    <x v="0"/>
    <x v="6"/>
    <x v="30"/>
    <x v="2"/>
    <s v="Consumer"/>
    <n v="4"/>
    <n v="3426"/>
    <n v="0.05"/>
    <x v="199"/>
    <n v="7408.85"/>
    <n v="5609.95"/>
    <s v="Net Banking"/>
    <s v="Anaya"/>
  </r>
  <r>
    <x v="200"/>
    <x v="148"/>
    <s v="Hyderabad"/>
    <x v="0"/>
    <x v="5"/>
    <x v="11"/>
    <x v="0"/>
    <s v="Small Business"/>
    <n v="6"/>
    <n v="10159"/>
    <n v="0.2"/>
    <x v="200"/>
    <n v="35304.44"/>
    <n v="13458.76"/>
    <s v="Cash"/>
    <s v="Kabir"/>
  </r>
  <r>
    <x v="201"/>
    <x v="49"/>
    <s v="Delhi"/>
    <x v="3"/>
    <x v="3"/>
    <x v="3"/>
    <x v="1"/>
    <s v="Corporate"/>
    <n v="1"/>
    <n v="1876"/>
    <n v="0"/>
    <x v="201"/>
    <n v="1059.3900000000001"/>
    <n v="816.61"/>
    <s v="Debit Card"/>
    <s v="Diya"/>
  </r>
  <r>
    <x v="202"/>
    <x v="149"/>
    <s v="Delhi"/>
    <x v="3"/>
    <x v="4"/>
    <x v="27"/>
    <x v="1"/>
    <s v="Small Business"/>
    <n v="6"/>
    <n v="13037"/>
    <n v="0.1"/>
    <x v="202"/>
    <n v="58791.39"/>
    <n v="11608.41"/>
    <s v="Cash"/>
    <s v="Aarav"/>
  </r>
  <r>
    <x v="203"/>
    <x v="150"/>
    <s v="Ahmedabad"/>
    <x v="2"/>
    <x v="6"/>
    <x v="33"/>
    <x v="2"/>
    <s v="Corporate"/>
    <n v="3"/>
    <n v="3902"/>
    <n v="0.2"/>
    <x v="203"/>
    <n v="7350.14"/>
    <n v="2014.66"/>
    <s v="UPI"/>
    <s v="Meera"/>
  </r>
  <r>
    <x v="204"/>
    <x v="151"/>
    <s v="Delhi"/>
    <x v="3"/>
    <x v="4"/>
    <x v="14"/>
    <x v="2"/>
    <s v="Small Business"/>
    <n v="7"/>
    <n v="1819"/>
    <n v="0.05"/>
    <x v="204"/>
    <n v="10456.76"/>
    <n v="1639.59"/>
    <s v="Net Banking"/>
    <s v="Diya"/>
  </r>
  <r>
    <x v="205"/>
    <x v="152"/>
    <s v="Chennai"/>
    <x v="0"/>
    <x v="3"/>
    <x v="32"/>
    <x v="2"/>
    <s v="Small Business"/>
    <n v="3"/>
    <n v="1977"/>
    <n v="0.15"/>
    <x v="205"/>
    <n v="4077.74"/>
    <n v="963.61"/>
    <s v="Debit Card"/>
    <s v="Rohan"/>
  </r>
  <r>
    <x v="206"/>
    <x v="153"/>
    <s v="Chennai"/>
    <x v="0"/>
    <x v="4"/>
    <x v="14"/>
    <x v="0"/>
    <s v="Consumer"/>
    <n v="6"/>
    <n v="13497"/>
    <n v="0.05"/>
    <x v="206"/>
    <n v="55329.96"/>
    <n v="21602.94"/>
    <s v="Debit Card"/>
    <s v="Meera"/>
  </r>
  <r>
    <x v="207"/>
    <x v="14"/>
    <s v="Mumbai"/>
    <x v="2"/>
    <x v="5"/>
    <x v="25"/>
    <x v="1"/>
    <s v="Corporate"/>
    <n v="7"/>
    <n v="21649"/>
    <n v="0.1"/>
    <x v="207"/>
    <n v="91152.78"/>
    <n v="45235.92"/>
    <s v="UPI"/>
    <s v="Diya"/>
  </r>
  <r>
    <x v="208"/>
    <x v="154"/>
    <s v="Ahmedabad"/>
    <x v="2"/>
    <x v="3"/>
    <x v="12"/>
    <x v="1"/>
    <s v="Small Business"/>
    <n v="3"/>
    <n v="2013"/>
    <n v="0.1"/>
    <x v="208"/>
    <n v="3392.66"/>
    <n v="2042.44"/>
    <s v="Debit Card"/>
    <s v="Rohan"/>
  </r>
  <r>
    <x v="209"/>
    <x v="79"/>
    <s v="Delhi"/>
    <x v="3"/>
    <x v="5"/>
    <x v="24"/>
    <x v="1"/>
    <s v="Consumer"/>
    <n v="5"/>
    <n v="48107"/>
    <n v="0.15"/>
    <x v="209"/>
    <n v="149187.95000000001"/>
    <n v="55266.8"/>
    <s v="UPI"/>
    <s v="Anaya"/>
  </r>
  <r>
    <x v="210"/>
    <x v="155"/>
    <s v="Bengaluru"/>
    <x v="0"/>
    <x v="1"/>
    <x v="18"/>
    <x v="1"/>
    <s v="Corporate"/>
    <n v="6"/>
    <n v="11946"/>
    <n v="0"/>
    <x v="210"/>
    <n v="56611.66"/>
    <n v="15064.34"/>
    <s v="Cash"/>
    <s v="Kabir"/>
  </r>
  <r>
    <x v="211"/>
    <x v="156"/>
    <s v="Kolkata"/>
    <x v="1"/>
    <x v="0"/>
    <x v="28"/>
    <x v="2"/>
    <s v="Corporate"/>
    <n v="8"/>
    <n v="760"/>
    <n v="0"/>
    <x v="211"/>
    <n v="4179.8"/>
    <n v="1900.2"/>
    <s v="Net Banking"/>
    <s v="Aarav"/>
  </r>
  <r>
    <x v="212"/>
    <x v="157"/>
    <s v="Mumbai"/>
    <x v="2"/>
    <x v="0"/>
    <x v="28"/>
    <x v="1"/>
    <s v="Small Business"/>
    <n v="5"/>
    <n v="1614"/>
    <n v="0.1"/>
    <x v="212"/>
    <n v="4991.58"/>
    <n v="2271.42"/>
    <s v="Credit Card"/>
    <s v="Diya"/>
  </r>
  <r>
    <x v="213"/>
    <x v="158"/>
    <s v="Delhi"/>
    <x v="3"/>
    <x v="2"/>
    <x v="2"/>
    <x v="1"/>
    <s v="Small Business"/>
    <n v="3"/>
    <n v="18089"/>
    <n v="0.05"/>
    <x v="213"/>
    <n v="38402.85"/>
    <n v="13150.8"/>
    <s v="Credit Card"/>
    <s v="Diya"/>
  </r>
  <r>
    <x v="214"/>
    <x v="159"/>
    <s v="Mumbai"/>
    <x v="2"/>
    <x v="0"/>
    <x v="26"/>
    <x v="1"/>
    <s v="Small Business"/>
    <n v="1"/>
    <n v="1738"/>
    <n v="0.1"/>
    <x v="214"/>
    <n v="913.23"/>
    <n v="650.97"/>
    <s v="UPI"/>
    <s v="Kabir"/>
  </r>
  <r>
    <x v="215"/>
    <x v="54"/>
    <s v="Ahmedabad"/>
    <x v="2"/>
    <x v="0"/>
    <x v="23"/>
    <x v="0"/>
    <s v="Consumer"/>
    <n v="8"/>
    <n v="588"/>
    <n v="0.15"/>
    <x v="215"/>
    <n v="2560.75"/>
    <n v="1437.65"/>
    <s v="Net Banking"/>
    <s v="Aarav"/>
  </r>
  <r>
    <x v="216"/>
    <x v="160"/>
    <s v="Mumbai"/>
    <x v="2"/>
    <x v="3"/>
    <x v="3"/>
    <x v="0"/>
    <s v="Corporate"/>
    <n v="5"/>
    <n v="1199"/>
    <n v="0.15"/>
    <x v="216"/>
    <n v="3637.17"/>
    <n v="1458.58"/>
    <s v="Cash"/>
    <s v="Anaya"/>
  </r>
  <r>
    <x v="217"/>
    <x v="161"/>
    <s v="Chennai"/>
    <x v="0"/>
    <x v="4"/>
    <x v="13"/>
    <x v="0"/>
    <s v="Consumer"/>
    <n v="3"/>
    <n v="3107"/>
    <n v="0.15"/>
    <x v="217"/>
    <n v="4612.5200000000004"/>
    <n v="3310.33"/>
    <s v="Debit Card"/>
    <s v="Sara"/>
  </r>
  <r>
    <x v="218"/>
    <x v="124"/>
    <s v="Mumbai"/>
    <x v="2"/>
    <x v="2"/>
    <x v="9"/>
    <x v="0"/>
    <s v="Small Business"/>
    <n v="3"/>
    <n v="1889"/>
    <n v="0.15"/>
    <x v="218"/>
    <n v="3934.97"/>
    <n v="881.98"/>
    <s v="Credit Card"/>
    <s v="Anaya"/>
  </r>
  <r>
    <x v="219"/>
    <x v="115"/>
    <s v="Hyderabad"/>
    <x v="0"/>
    <x v="6"/>
    <x v="30"/>
    <x v="1"/>
    <s v="Small Business"/>
    <n v="2"/>
    <n v="4745"/>
    <n v="0"/>
    <x v="219"/>
    <n v="6443"/>
    <n v="3047"/>
    <s v="Cash"/>
    <s v="Aarav"/>
  </r>
  <r>
    <x v="220"/>
    <x v="162"/>
    <s v="Delhi"/>
    <x v="3"/>
    <x v="3"/>
    <x v="15"/>
    <x v="2"/>
    <s v="Small Business"/>
    <n v="6"/>
    <n v="149"/>
    <n v="0.1"/>
    <x v="220"/>
    <n v="461.68"/>
    <n v="342.92"/>
    <s v="Cash"/>
    <s v="Aarav"/>
  </r>
  <r>
    <x v="221"/>
    <x v="160"/>
    <s v="Chennai"/>
    <x v="0"/>
    <x v="0"/>
    <x v="0"/>
    <x v="2"/>
    <s v="Corporate"/>
    <n v="8"/>
    <n v="2345"/>
    <n v="0.05"/>
    <x v="221"/>
    <n v="15548.7"/>
    <n v="2273.3000000000002"/>
    <s v="Credit Card"/>
    <s v="Rohan"/>
  </r>
  <r>
    <x v="222"/>
    <x v="163"/>
    <s v="Bengaluru"/>
    <x v="0"/>
    <x v="4"/>
    <x v="4"/>
    <x v="2"/>
    <s v="Small Business"/>
    <n v="4"/>
    <n v="21386"/>
    <n v="0.1"/>
    <x v="222"/>
    <n v="59869.19"/>
    <n v="17120.41"/>
    <s v="Debit Card"/>
    <s v="Rohan"/>
  </r>
  <r>
    <x v="223"/>
    <x v="164"/>
    <s v="Mumbai"/>
    <x v="2"/>
    <x v="2"/>
    <x v="5"/>
    <x v="2"/>
    <s v="Consumer"/>
    <n v="4"/>
    <n v="63342"/>
    <n v="0.1"/>
    <x v="223"/>
    <n v="178591.27"/>
    <n v="49439.93"/>
    <s v="Debit Card"/>
    <s v="Meera"/>
  </r>
  <r>
    <x v="224"/>
    <x v="71"/>
    <s v="Bengaluru"/>
    <x v="0"/>
    <x v="6"/>
    <x v="20"/>
    <x v="2"/>
    <s v="Corporate"/>
    <n v="1"/>
    <n v="5066"/>
    <n v="0"/>
    <x v="224"/>
    <n v="4077.42"/>
    <n v="988.58"/>
    <s v="UPI"/>
    <s v="Rohan"/>
  </r>
  <r>
    <x v="225"/>
    <x v="137"/>
    <s v="Hyderabad"/>
    <x v="0"/>
    <x v="6"/>
    <x v="20"/>
    <x v="2"/>
    <s v="Small Business"/>
    <n v="7"/>
    <n v="4863"/>
    <n v="0.2"/>
    <x v="225"/>
    <n v="15893.74"/>
    <n v="11339.06"/>
    <s v="Credit Card"/>
    <s v="Kabir"/>
  </r>
  <r>
    <x v="226"/>
    <x v="165"/>
    <s v="Chennai"/>
    <x v="0"/>
    <x v="0"/>
    <x v="26"/>
    <x v="1"/>
    <s v="Small Business"/>
    <n v="4"/>
    <n v="122"/>
    <n v="0.1"/>
    <x v="226"/>
    <n v="276.64"/>
    <n v="162.56"/>
    <s v="UPI"/>
    <s v="Rohan"/>
  </r>
  <r>
    <x v="227"/>
    <x v="166"/>
    <s v="Mumbai"/>
    <x v="2"/>
    <x v="3"/>
    <x v="32"/>
    <x v="0"/>
    <s v="Corporate"/>
    <n v="1"/>
    <n v="901"/>
    <n v="0.1"/>
    <x v="227"/>
    <n v="608.35"/>
    <n v="202.55"/>
    <s v="Credit Card"/>
    <s v="Diya"/>
  </r>
  <r>
    <x v="228"/>
    <x v="167"/>
    <s v="Delhi"/>
    <x v="3"/>
    <x v="3"/>
    <x v="34"/>
    <x v="2"/>
    <s v="Corporate"/>
    <n v="7"/>
    <n v="2093"/>
    <n v="0.2"/>
    <x v="228"/>
    <n v="7573.91"/>
    <n v="4146.8900000000003"/>
    <s v="UPI"/>
    <s v="Aarav"/>
  </r>
  <r>
    <x v="229"/>
    <x v="4"/>
    <s v="Bengaluru"/>
    <x v="0"/>
    <x v="2"/>
    <x v="5"/>
    <x v="2"/>
    <s v="Corporate"/>
    <n v="4"/>
    <n v="20796"/>
    <n v="0.15"/>
    <x v="229"/>
    <n v="53773.98"/>
    <n v="16932.419999999998"/>
    <s v="Cash"/>
    <s v="Diya"/>
  </r>
  <r>
    <x v="230"/>
    <x v="168"/>
    <s v="Mumbai"/>
    <x v="2"/>
    <x v="0"/>
    <x v="19"/>
    <x v="1"/>
    <s v="Small Business"/>
    <n v="2"/>
    <n v="1308"/>
    <n v="0.05"/>
    <x v="230"/>
    <n v="1779.08"/>
    <n v="706.12"/>
    <s v="Cash"/>
    <s v="Meera"/>
  </r>
  <r>
    <x v="231"/>
    <x v="169"/>
    <s v="Pune"/>
    <x v="2"/>
    <x v="5"/>
    <x v="17"/>
    <x v="2"/>
    <s v="Small Business"/>
    <n v="1"/>
    <n v="34281"/>
    <n v="0.1"/>
    <x v="231"/>
    <n v="26565.439999999999"/>
    <n v="4287.46"/>
    <s v="Debit Card"/>
    <s v="Rohan"/>
  </r>
  <r>
    <x v="232"/>
    <x v="170"/>
    <s v="Hyderabad"/>
    <x v="0"/>
    <x v="5"/>
    <x v="11"/>
    <x v="1"/>
    <s v="Consumer"/>
    <n v="5"/>
    <n v="37598"/>
    <n v="0.05"/>
    <x v="232"/>
    <n v="119075.29"/>
    <n v="59515.21"/>
    <s v="Net Banking"/>
    <s v="Meera"/>
  </r>
  <r>
    <x v="233"/>
    <x v="7"/>
    <s v="Delhi"/>
    <x v="3"/>
    <x v="4"/>
    <x v="4"/>
    <x v="0"/>
    <s v="Consumer"/>
    <n v="7"/>
    <n v="24608"/>
    <n v="0.1"/>
    <x v="233"/>
    <n v="125912.63"/>
    <n v="29117.77"/>
    <s v="Cash"/>
    <s v="Vikram"/>
  </r>
  <r>
    <x v="234"/>
    <x v="56"/>
    <s v="Mumbai"/>
    <x v="2"/>
    <x v="2"/>
    <x v="9"/>
    <x v="2"/>
    <s v="Consumer"/>
    <n v="7"/>
    <n v="3200"/>
    <n v="0"/>
    <x v="234"/>
    <n v="12334.73"/>
    <n v="10065.27"/>
    <s v="Cash"/>
    <s v="Diya"/>
  </r>
  <r>
    <x v="235"/>
    <x v="171"/>
    <s v="Mumbai"/>
    <x v="2"/>
    <x v="2"/>
    <x v="21"/>
    <x v="0"/>
    <s v="Corporate"/>
    <n v="6"/>
    <n v="32454"/>
    <n v="0"/>
    <x v="235"/>
    <n v="140463.01"/>
    <n v="54260.99"/>
    <s v="Debit Card"/>
    <s v="Sara"/>
  </r>
  <r>
    <x v="236"/>
    <x v="172"/>
    <s v="Bengaluru"/>
    <x v="0"/>
    <x v="6"/>
    <x v="16"/>
    <x v="2"/>
    <s v="Consumer"/>
    <n v="7"/>
    <n v="5247"/>
    <n v="0.1"/>
    <x v="236"/>
    <n v="22674.71"/>
    <n v="10381.39"/>
    <s v="Credit Card"/>
    <s v="Rohan"/>
  </r>
  <r>
    <x v="237"/>
    <x v="98"/>
    <s v="Mumbai"/>
    <x v="2"/>
    <x v="2"/>
    <x v="9"/>
    <x v="0"/>
    <s v="Consumer"/>
    <n v="8"/>
    <n v="38658"/>
    <n v="0.1"/>
    <x v="237"/>
    <n v="224085.6"/>
    <n v="54252"/>
    <s v="UPI"/>
    <s v="Aarav"/>
  </r>
  <r>
    <x v="238"/>
    <x v="173"/>
    <s v="Chennai"/>
    <x v="0"/>
    <x v="2"/>
    <x v="2"/>
    <x v="1"/>
    <s v="Consumer"/>
    <n v="5"/>
    <n v="33630"/>
    <n v="0.1"/>
    <x v="238"/>
    <n v="118056.57"/>
    <n v="33278.43"/>
    <s v="UPI"/>
    <s v="Sara"/>
  </r>
  <r>
    <x v="239"/>
    <x v="174"/>
    <s v="Mumbai"/>
    <x v="2"/>
    <x v="3"/>
    <x v="34"/>
    <x v="2"/>
    <s v="Corporate"/>
    <n v="6"/>
    <n v="758"/>
    <n v="0.05"/>
    <x v="239"/>
    <n v="2395.39"/>
    <n v="1925.21"/>
    <s v="UPI"/>
    <s v="Anaya"/>
  </r>
  <r>
    <x v="240"/>
    <x v="45"/>
    <s v="Kolkata"/>
    <x v="1"/>
    <x v="4"/>
    <x v="31"/>
    <x v="2"/>
    <s v="Small Business"/>
    <n v="7"/>
    <n v="7191"/>
    <n v="0.05"/>
    <x v="240"/>
    <n v="34402.370000000003"/>
    <n v="13417.78"/>
    <s v="Cash"/>
    <s v="Anaya"/>
  </r>
  <r>
    <x v="241"/>
    <x v="175"/>
    <s v="Bengaluru"/>
    <x v="0"/>
    <x v="6"/>
    <x v="30"/>
    <x v="0"/>
    <s v="Corporate"/>
    <n v="3"/>
    <n v="5776"/>
    <n v="0"/>
    <x v="241"/>
    <n v="11531.47"/>
    <n v="5796.53"/>
    <s v="Debit Card"/>
    <s v="Diya"/>
  </r>
  <r>
    <x v="242"/>
    <x v="173"/>
    <s v="Kolkata"/>
    <x v="1"/>
    <x v="2"/>
    <x v="5"/>
    <x v="1"/>
    <s v="Corporate"/>
    <n v="7"/>
    <n v="19389"/>
    <n v="0.05"/>
    <x v="242"/>
    <n v="94233.58"/>
    <n v="34703.269999999997"/>
    <s v="Credit Card"/>
    <s v="Meera"/>
  </r>
  <r>
    <x v="243"/>
    <x v="150"/>
    <s v="Mumbai"/>
    <x v="2"/>
    <x v="5"/>
    <x v="11"/>
    <x v="2"/>
    <s v="Corporate"/>
    <n v="5"/>
    <n v="37193"/>
    <n v="0.15"/>
    <x v="243"/>
    <n v="117131.04"/>
    <n v="40939.21"/>
    <s v="Credit Card"/>
    <s v="Meera"/>
  </r>
  <r>
    <x v="244"/>
    <x v="31"/>
    <s v="Delhi"/>
    <x v="3"/>
    <x v="5"/>
    <x v="24"/>
    <x v="1"/>
    <s v="Corporate"/>
    <n v="1"/>
    <n v="36222"/>
    <n v="0.1"/>
    <x v="244"/>
    <n v="19951.53"/>
    <n v="12648.27"/>
    <s v="Credit Card"/>
    <s v="Diya"/>
  </r>
  <r>
    <x v="245"/>
    <x v="23"/>
    <s v="Delhi"/>
    <x v="3"/>
    <x v="1"/>
    <x v="22"/>
    <x v="1"/>
    <s v="Corporate"/>
    <n v="8"/>
    <n v="11885"/>
    <n v="0.05"/>
    <x v="245"/>
    <n v="57712.800000000003"/>
    <n v="32613.200000000001"/>
    <s v="Net Banking"/>
    <s v="Kabir"/>
  </r>
  <r>
    <x v="246"/>
    <x v="176"/>
    <s v="Chennai"/>
    <x v="0"/>
    <x v="4"/>
    <x v="27"/>
    <x v="1"/>
    <s v="Consumer"/>
    <n v="7"/>
    <n v="11206"/>
    <n v="0.05"/>
    <x v="246"/>
    <n v="51618.02"/>
    <n v="22901.88"/>
    <s v="Net Banking"/>
    <s v="Rohan"/>
  </r>
  <r>
    <x v="247"/>
    <x v="148"/>
    <s v="Pune"/>
    <x v="2"/>
    <x v="6"/>
    <x v="20"/>
    <x v="2"/>
    <s v="Small Business"/>
    <n v="8"/>
    <n v="5968"/>
    <n v="0.2"/>
    <x v="247"/>
    <n v="31411.24"/>
    <n v="6783.96"/>
    <s v="UPI"/>
    <s v="Sara"/>
  </r>
  <r>
    <x v="248"/>
    <x v="110"/>
    <s v="Ahmedabad"/>
    <x v="2"/>
    <x v="5"/>
    <x v="11"/>
    <x v="1"/>
    <s v="Consumer"/>
    <n v="4"/>
    <n v="11806"/>
    <n v="0.1"/>
    <x v="248"/>
    <n v="27640.07"/>
    <n v="14861.53"/>
    <s v="Debit Card"/>
    <s v="Meera"/>
  </r>
  <r>
    <x v="249"/>
    <x v="177"/>
    <s v="Kolkata"/>
    <x v="1"/>
    <x v="1"/>
    <x v="7"/>
    <x v="0"/>
    <s v="Small Business"/>
    <n v="6"/>
    <n v="11101"/>
    <n v="0.1"/>
    <x v="249"/>
    <n v="48049.83"/>
    <n v="11895.57"/>
    <s v="Debit Card"/>
    <s v="Diya"/>
  </r>
  <r>
    <x v="250"/>
    <x v="178"/>
    <s v="Ahmedabad"/>
    <x v="2"/>
    <x v="6"/>
    <x v="8"/>
    <x v="0"/>
    <s v="Corporate"/>
    <n v="5"/>
    <n v="722"/>
    <n v="0.1"/>
    <x v="250"/>
    <n v="2718.03"/>
    <n v="530.97"/>
    <s v="Credit Card"/>
    <s v="Vikram"/>
  </r>
  <r>
    <x v="251"/>
    <x v="179"/>
    <s v="Bengaluru"/>
    <x v="0"/>
    <x v="5"/>
    <x v="6"/>
    <x v="1"/>
    <s v="Corporate"/>
    <n v="3"/>
    <n v="32757"/>
    <n v="0.1"/>
    <x v="251"/>
    <n v="76347.98"/>
    <n v="12095.92"/>
    <s v="Debit Card"/>
    <s v="Vikram"/>
  </r>
  <r>
    <x v="252"/>
    <x v="180"/>
    <s v="Delhi"/>
    <x v="3"/>
    <x v="0"/>
    <x v="0"/>
    <x v="1"/>
    <s v="Small Business"/>
    <n v="5"/>
    <n v="997"/>
    <n v="0"/>
    <x v="252"/>
    <n v="3787.9"/>
    <n v="1197.0999999999999"/>
    <s v="Cash"/>
    <s v="Sara"/>
  </r>
  <r>
    <x v="253"/>
    <x v="181"/>
    <s v="Bengaluru"/>
    <x v="0"/>
    <x v="2"/>
    <x v="9"/>
    <x v="2"/>
    <s v="Small Business"/>
    <n v="6"/>
    <n v="45935"/>
    <n v="0.05"/>
    <x v="253"/>
    <n v="203253.31"/>
    <n v="58576.19"/>
    <s v="Cash"/>
    <s v="Anaya"/>
  </r>
  <r>
    <x v="254"/>
    <x v="182"/>
    <s v="Delhi"/>
    <x v="3"/>
    <x v="6"/>
    <x v="33"/>
    <x v="0"/>
    <s v="Corporate"/>
    <n v="5"/>
    <n v="3073"/>
    <n v="0.05"/>
    <x v="254"/>
    <n v="8435.56"/>
    <n v="6161.19"/>
    <s v="Debit Card"/>
    <s v="Vikram"/>
  </r>
  <r>
    <x v="255"/>
    <x v="183"/>
    <s v="Ahmedabad"/>
    <x v="2"/>
    <x v="5"/>
    <x v="6"/>
    <x v="1"/>
    <s v="Small Business"/>
    <n v="7"/>
    <n v="32268"/>
    <n v="0.1"/>
    <x v="255"/>
    <n v="152263.63"/>
    <n v="51024.77"/>
    <s v="Net Banking"/>
    <s v="Sara"/>
  </r>
  <r>
    <x v="256"/>
    <x v="184"/>
    <s v="Delhi"/>
    <x v="3"/>
    <x v="6"/>
    <x v="20"/>
    <x v="0"/>
    <s v="Corporate"/>
    <n v="1"/>
    <n v="4739"/>
    <n v="0.05"/>
    <x v="256"/>
    <n v="2725.9"/>
    <n v="1776.15"/>
    <s v="Credit Card"/>
    <s v="Anaya"/>
  </r>
  <r>
    <x v="257"/>
    <x v="185"/>
    <s v="Delhi"/>
    <x v="3"/>
    <x v="3"/>
    <x v="34"/>
    <x v="1"/>
    <s v="Corporate"/>
    <n v="5"/>
    <n v="1419"/>
    <n v="0.1"/>
    <x v="257"/>
    <n v="4199.51"/>
    <n v="2185.9899999999998"/>
    <s v="Cash"/>
    <s v="Diya"/>
  </r>
  <r>
    <x v="258"/>
    <x v="186"/>
    <s v="Delhi"/>
    <x v="3"/>
    <x v="3"/>
    <x v="15"/>
    <x v="2"/>
    <s v="Small Business"/>
    <n v="5"/>
    <n v="1461"/>
    <n v="0"/>
    <x v="258"/>
    <n v="4217.2"/>
    <n v="3087.8"/>
    <s v="Debit Card"/>
    <s v="Meera"/>
  </r>
  <r>
    <x v="259"/>
    <x v="27"/>
    <s v="Chennai"/>
    <x v="0"/>
    <x v="6"/>
    <x v="33"/>
    <x v="1"/>
    <s v="Corporate"/>
    <n v="8"/>
    <n v="3333"/>
    <n v="0.05"/>
    <x v="259"/>
    <n v="19910.3"/>
    <n v="5420.5"/>
    <s v="UPI"/>
    <s v="Sara"/>
  </r>
  <r>
    <x v="260"/>
    <x v="187"/>
    <s v="Bengaluru"/>
    <x v="0"/>
    <x v="5"/>
    <x v="11"/>
    <x v="2"/>
    <s v="Small Business"/>
    <n v="8"/>
    <n v="23658"/>
    <n v="0.05"/>
    <x v="260"/>
    <n v="137816.98000000001"/>
    <n v="41983.82"/>
    <s v="Cash"/>
    <s v="Vikram"/>
  </r>
  <r>
    <x v="261"/>
    <x v="188"/>
    <s v="Kolkata"/>
    <x v="1"/>
    <x v="4"/>
    <x v="31"/>
    <x v="2"/>
    <s v="Corporate"/>
    <n v="3"/>
    <n v="3132"/>
    <n v="0.1"/>
    <x v="261"/>
    <n v="6267.66"/>
    <n v="2188.7399999999998"/>
    <s v="Cash"/>
    <s v="Meera"/>
  </r>
  <r>
    <x v="262"/>
    <x v="186"/>
    <s v="Ahmedabad"/>
    <x v="2"/>
    <x v="6"/>
    <x v="30"/>
    <x v="2"/>
    <s v="Consumer"/>
    <n v="6"/>
    <n v="5720"/>
    <n v="0"/>
    <x v="262"/>
    <n v="28227.67"/>
    <n v="6092.33"/>
    <s v="UPI"/>
    <s v="Sara"/>
  </r>
  <r>
    <x v="263"/>
    <x v="189"/>
    <s v="Pune"/>
    <x v="2"/>
    <x v="4"/>
    <x v="14"/>
    <x v="2"/>
    <s v="Consumer"/>
    <n v="8"/>
    <n v="8443"/>
    <n v="0.1"/>
    <x v="263"/>
    <n v="37857.72"/>
    <n v="22931.88"/>
    <s v="Credit Card"/>
    <s v="Meera"/>
  </r>
  <r>
    <x v="264"/>
    <x v="147"/>
    <s v="Hyderabad"/>
    <x v="0"/>
    <x v="4"/>
    <x v="4"/>
    <x v="2"/>
    <s v="Corporate"/>
    <n v="1"/>
    <n v="20131"/>
    <n v="0.1"/>
    <x v="264"/>
    <n v="11157.67"/>
    <n v="6960.23"/>
    <s v="Debit Card"/>
    <s v="Rohan"/>
  </r>
  <r>
    <x v="265"/>
    <x v="190"/>
    <s v="Pune"/>
    <x v="2"/>
    <x v="5"/>
    <x v="17"/>
    <x v="1"/>
    <s v="Corporate"/>
    <n v="7"/>
    <n v="28596"/>
    <n v="0.05"/>
    <x v="265"/>
    <n v="131573.13"/>
    <n v="58590.27"/>
    <s v="Net Banking"/>
    <s v="Anaya"/>
  </r>
  <r>
    <x v="266"/>
    <x v="175"/>
    <s v="Hyderabad"/>
    <x v="0"/>
    <x v="4"/>
    <x v="27"/>
    <x v="1"/>
    <s v="Consumer"/>
    <n v="3"/>
    <n v="16196"/>
    <n v="0"/>
    <x v="266"/>
    <n v="27283.17"/>
    <n v="21304.83"/>
    <s v="Cash"/>
    <s v="Aarav"/>
  </r>
  <r>
    <x v="267"/>
    <x v="180"/>
    <s v="Ahmedabad"/>
    <x v="2"/>
    <x v="3"/>
    <x v="34"/>
    <x v="2"/>
    <s v="Consumer"/>
    <n v="3"/>
    <n v="1906"/>
    <n v="0.1"/>
    <x v="267"/>
    <n v="3307.7"/>
    <n v="1838.5"/>
    <s v="Debit Card"/>
    <s v="Anaya"/>
  </r>
  <r>
    <x v="268"/>
    <x v="191"/>
    <s v="Delhi"/>
    <x v="3"/>
    <x v="5"/>
    <x v="24"/>
    <x v="2"/>
    <s v="Corporate"/>
    <n v="7"/>
    <n v="45923"/>
    <n v="0.15"/>
    <x v="268"/>
    <n v="185207.82"/>
    <n v="88034.03"/>
    <s v="Net Banking"/>
    <s v="Rohan"/>
  </r>
  <r>
    <x v="269"/>
    <x v="139"/>
    <s v="Delhi"/>
    <x v="3"/>
    <x v="2"/>
    <x v="21"/>
    <x v="0"/>
    <s v="Corporate"/>
    <n v="3"/>
    <n v="15182"/>
    <n v="0.05"/>
    <x v="269"/>
    <n v="32528.67"/>
    <n v="10740.03"/>
    <s v="Cash"/>
    <s v="Diya"/>
  </r>
  <r>
    <x v="270"/>
    <x v="167"/>
    <s v="Ahmedabad"/>
    <x v="2"/>
    <x v="5"/>
    <x v="11"/>
    <x v="2"/>
    <s v="Small Business"/>
    <n v="4"/>
    <n v="14439"/>
    <n v="0.1"/>
    <x v="270"/>
    <n v="39270.54"/>
    <n v="12709.86"/>
    <s v="Credit Card"/>
    <s v="Meera"/>
  </r>
  <r>
    <x v="271"/>
    <x v="178"/>
    <s v="Mumbai"/>
    <x v="2"/>
    <x v="5"/>
    <x v="11"/>
    <x v="0"/>
    <s v="Small Business"/>
    <n v="1"/>
    <n v="35051"/>
    <n v="0"/>
    <x v="271"/>
    <n v="21161.03"/>
    <n v="13889.97"/>
    <s v="Net Banking"/>
    <s v="Aarav"/>
  </r>
  <r>
    <x v="272"/>
    <x v="156"/>
    <s v="Mumbai"/>
    <x v="2"/>
    <x v="1"/>
    <x v="1"/>
    <x v="2"/>
    <s v="Small Business"/>
    <n v="1"/>
    <n v="10569"/>
    <n v="0.05"/>
    <x v="272"/>
    <n v="8388.25"/>
    <n v="1652.3"/>
    <s v="Credit Card"/>
    <s v="Vikram"/>
  </r>
  <r>
    <x v="273"/>
    <x v="192"/>
    <s v="Delhi"/>
    <x v="3"/>
    <x v="3"/>
    <x v="3"/>
    <x v="2"/>
    <s v="Consumer"/>
    <n v="7"/>
    <n v="1701"/>
    <n v="0.05"/>
    <x v="273"/>
    <n v="9323.2099999999991"/>
    <n v="1988.44"/>
    <s v="Net Banking"/>
    <s v="Aarav"/>
  </r>
  <r>
    <x v="274"/>
    <x v="44"/>
    <s v="Hyderabad"/>
    <x v="0"/>
    <x v="4"/>
    <x v="4"/>
    <x v="0"/>
    <s v="Small Business"/>
    <n v="6"/>
    <n v="18558"/>
    <n v="0.15"/>
    <x v="274"/>
    <n v="62798.06"/>
    <n v="31847.74"/>
    <s v="Cash"/>
    <s v="Kabir"/>
  </r>
  <r>
    <x v="275"/>
    <x v="193"/>
    <s v="Mumbai"/>
    <x v="2"/>
    <x v="5"/>
    <x v="24"/>
    <x v="1"/>
    <s v="Consumer"/>
    <n v="8"/>
    <n v="9847"/>
    <n v="0.15"/>
    <x v="275"/>
    <n v="39135.879999999997"/>
    <n v="27823.72"/>
    <s v="Net Banking"/>
    <s v="Anaya"/>
  </r>
  <r>
    <x v="276"/>
    <x v="194"/>
    <s v="Bengaluru"/>
    <x v="0"/>
    <x v="6"/>
    <x v="16"/>
    <x v="0"/>
    <s v="Consumer"/>
    <n v="3"/>
    <n v="2161"/>
    <n v="0.15"/>
    <x v="276"/>
    <n v="4466.4799999999996"/>
    <n v="1044.07"/>
    <s v="Net Banking"/>
    <s v="Sara"/>
  </r>
  <r>
    <x v="277"/>
    <x v="47"/>
    <s v="Ahmedabad"/>
    <x v="2"/>
    <x v="2"/>
    <x v="29"/>
    <x v="1"/>
    <s v="Consumer"/>
    <n v="5"/>
    <n v="66506"/>
    <n v="0"/>
    <x v="277"/>
    <n v="291466.7"/>
    <n v="41063.300000000003"/>
    <s v="UPI"/>
    <s v="Vikram"/>
  </r>
  <r>
    <x v="278"/>
    <x v="180"/>
    <s v="Kolkata"/>
    <x v="1"/>
    <x v="0"/>
    <x v="26"/>
    <x v="2"/>
    <s v="Consumer"/>
    <n v="6"/>
    <n v="1756"/>
    <n v="0"/>
    <x v="278"/>
    <n v="7417.44"/>
    <n v="3118.56"/>
    <s v="Debit Card"/>
    <s v="Sara"/>
  </r>
  <r>
    <x v="279"/>
    <x v="195"/>
    <s v="Delhi"/>
    <x v="3"/>
    <x v="6"/>
    <x v="8"/>
    <x v="1"/>
    <s v="Small Business"/>
    <n v="3"/>
    <n v="1165"/>
    <n v="0"/>
    <x v="279"/>
    <n v="2999.19"/>
    <n v="495.81"/>
    <s v="UPI"/>
    <s v="Diya"/>
  </r>
  <r>
    <x v="280"/>
    <x v="196"/>
    <s v="Ahmedabad"/>
    <x v="2"/>
    <x v="4"/>
    <x v="31"/>
    <x v="0"/>
    <s v="Small Business"/>
    <n v="6"/>
    <n v="23873"/>
    <n v="0"/>
    <x v="280"/>
    <n v="90084.82"/>
    <n v="53153.18"/>
    <s v="Debit Card"/>
    <s v="Vikram"/>
  </r>
  <r>
    <x v="281"/>
    <x v="64"/>
    <s v="Hyderabad"/>
    <x v="0"/>
    <x v="3"/>
    <x v="3"/>
    <x v="0"/>
    <s v="Consumer"/>
    <n v="3"/>
    <n v="2191"/>
    <n v="0.15"/>
    <x v="281"/>
    <n v="4847.0200000000004"/>
    <n v="740.03"/>
    <s v="Credit Card"/>
    <s v="Anaya"/>
  </r>
  <r>
    <x v="282"/>
    <x v="98"/>
    <s v="Pune"/>
    <x v="2"/>
    <x v="5"/>
    <x v="11"/>
    <x v="0"/>
    <s v="Small Business"/>
    <n v="8"/>
    <n v="39792"/>
    <n v="0"/>
    <x v="282"/>
    <n v="208458.91"/>
    <n v="109877.09"/>
    <s v="UPI"/>
    <s v="Vikram"/>
  </r>
  <r>
    <x v="283"/>
    <x v="183"/>
    <s v="Kolkata"/>
    <x v="1"/>
    <x v="0"/>
    <x v="19"/>
    <x v="2"/>
    <s v="Small Business"/>
    <n v="3"/>
    <n v="1300"/>
    <n v="0.1"/>
    <x v="283"/>
    <n v="2391.77"/>
    <n v="1118.23"/>
    <s v="Net Banking"/>
    <s v="Vikram"/>
  </r>
  <r>
    <x v="284"/>
    <x v="197"/>
    <s v="Bengaluru"/>
    <x v="0"/>
    <x v="4"/>
    <x v="27"/>
    <x v="2"/>
    <s v="Corporate"/>
    <n v="6"/>
    <n v="20659"/>
    <n v="0.1"/>
    <x v="284"/>
    <n v="71458.52"/>
    <n v="40100.080000000002"/>
    <s v="Debit Card"/>
    <s v="Vikram"/>
  </r>
  <r>
    <x v="285"/>
    <x v="75"/>
    <s v="Chennai"/>
    <x v="0"/>
    <x v="5"/>
    <x v="25"/>
    <x v="0"/>
    <s v="Consumer"/>
    <n v="8"/>
    <n v="36076"/>
    <n v="0.05"/>
    <x v="285"/>
    <n v="221669.39"/>
    <n v="52508.21"/>
    <s v="Debit Card"/>
    <s v="Diya"/>
  </r>
  <r>
    <x v="286"/>
    <x v="198"/>
    <s v="Ahmedabad"/>
    <x v="2"/>
    <x v="3"/>
    <x v="32"/>
    <x v="2"/>
    <s v="Consumer"/>
    <n v="2"/>
    <n v="1206"/>
    <n v="0.05"/>
    <x v="286"/>
    <n v="1673.48"/>
    <n v="617.91999999999996"/>
    <s v="Cash"/>
    <s v="Diya"/>
  </r>
  <r>
    <x v="287"/>
    <x v="194"/>
    <s v="Bengaluru"/>
    <x v="0"/>
    <x v="0"/>
    <x v="26"/>
    <x v="2"/>
    <s v="Corporate"/>
    <n v="2"/>
    <n v="2040"/>
    <n v="0"/>
    <x v="287"/>
    <n v="2458.92"/>
    <n v="1621.08"/>
    <s v="Debit Card"/>
    <s v="Kabir"/>
  </r>
  <r>
    <x v="288"/>
    <x v="114"/>
    <s v="Kolkata"/>
    <x v="1"/>
    <x v="1"/>
    <x v="10"/>
    <x v="0"/>
    <s v="Corporate"/>
    <n v="7"/>
    <n v="9569"/>
    <n v="0"/>
    <x v="288"/>
    <n v="46124.58"/>
    <n v="20858.419999999998"/>
    <s v="Debit Card"/>
    <s v="Rohan"/>
  </r>
  <r>
    <x v="289"/>
    <x v="177"/>
    <s v="Bengaluru"/>
    <x v="0"/>
    <x v="1"/>
    <x v="22"/>
    <x v="0"/>
    <s v="Small Business"/>
    <n v="4"/>
    <n v="9948"/>
    <n v="0.2"/>
    <x v="289"/>
    <n v="23225.33"/>
    <n v="8608.27"/>
    <s v="Debit Card"/>
    <s v="Vikram"/>
  </r>
  <r>
    <x v="290"/>
    <x v="199"/>
    <s v="Kolkata"/>
    <x v="1"/>
    <x v="0"/>
    <x v="19"/>
    <x v="2"/>
    <s v="Corporate"/>
    <n v="4"/>
    <n v="455"/>
    <n v="0.05"/>
    <x v="290"/>
    <n v="1000.93"/>
    <n v="728.07"/>
    <s v="Net Banking"/>
    <s v="Vikram"/>
  </r>
  <r>
    <x v="291"/>
    <x v="200"/>
    <s v="Pune"/>
    <x v="2"/>
    <x v="0"/>
    <x v="23"/>
    <x v="0"/>
    <s v="Small Business"/>
    <n v="7"/>
    <n v="540"/>
    <n v="0.1"/>
    <x v="291"/>
    <n v="2775.33"/>
    <n v="626.66999999999996"/>
    <s v="Cash"/>
    <s v="Rohan"/>
  </r>
  <r>
    <x v="292"/>
    <x v="201"/>
    <s v="Chennai"/>
    <x v="0"/>
    <x v="0"/>
    <x v="19"/>
    <x v="2"/>
    <s v="Corporate"/>
    <n v="2"/>
    <n v="1890"/>
    <n v="0.1"/>
    <x v="291"/>
    <n v="2088.2600000000002"/>
    <n v="1313.74"/>
    <s v="Net Banking"/>
    <s v="Meera"/>
  </r>
  <r>
    <x v="293"/>
    <x v="115"/>
    <s v="Delhi"/>
    <x v="3"/>
    <x v="0"/>
    <x v="19"/>
    <x v="1"/>
    <s v="Small Business"/>
    <n v="1"/>
    <n v="1112"/>
    <n v="0.1"/>
    <x v="292"/>
    <n v="585.30999999999995"/>
    <n v="415.49"/>
    <s v="Debit Card"/>
    <s v="Rohan"/>
  </r>
  <r>
    <x v="294"/>
    <x v="202"/>
    <s v="Hyderabad"/>
    <x v="0"/>
    <x v="6"/>
    <x v="20"/>
    <x v="1"/>
    <s v="Consumer"/>
    <n v="2"/>
    <n v="4825"/>
    <n v="0.1"/>
    <x v="293"/>
    <n v="6666.69"/>
    <n v="2018.31"/>
    <s v="Net Banking"/>
    <s v="Vikram"/>
  </r>
  <r>
    <x v="295"/>
    <x v="203"/>
    <s v="Ahmedabad"/>
    <x v="2"/>
    <x v="4"/>
    <x v="14"/>
    <x v="0"/>
    <s v="Small Business"/>
    <n v="4"/>
    <n v="17713"/>
    <n v="0.05"/>
    <x v="294"/>
    <n v="43215.97"/>
    <n v="24093.43"/>
    <s v="Net Banking"/>
    <s v="Meera"/>
  </r>
  <r>
    <x v="296"/>
    <x v="204"/>
    <s v="Mumbai"/>
    <x v="2"/>
    <x v="4"/>
    <x v="31"/>
    <x v="0"/>
    <s v="Corporate"/>
    <n v="7"/>
    <n v="24976"/>
    <n v="0.1"/>
    <x v="295"/>
    <n v="113108.73"/>
    <n v="44240.07"/>
    <s v="Debit Card"/>
    <s v="Anaya"/>
  </r>
  <r>
    <x v="297"/>
    <x v="205"/>
    <s v="Hyderabad"/>
    <x v="0"/>
    <x v="6"/>
    <x v="30"/>
    <x v="2"/>
    <s v="Consumer"/>
    <n v="4"/>
    <n v="3159"/>
    <n v="0"/>
    <x v="296"/>
    <n v="6955.41"/>
    <n v="5680.59"/>
    <s v="Net Banking"/>
    <s v="Diya"/>
  </r>
  <r>
    <x v="298"/>
    <x v="99"/>
    <s v="Pune"/>
    <x v="2"/>
    <x v="6"/>
    <x v="16"/>
    <x v="2"/>
    <s v="Consumer"/>
    <n v="6"/>
    <n v="334"/>
    <n v="0"/>
    <x v="297"/>
    <n v="1761.48"/>
    <n v="242.52"/>
    <s v="Credit Card"/>
    <s v="Meera"/>
  </r>
  <r>
    <x v="299"/>
    <x v="206"/>
    <s v="Delhi"/>
    <x v="3"/>
    <x v="2"/>
    <x v="29"/>
    <x v="0"/>
    <s v="Consumer"/>
    <n v="8"/>
    <n v="23691"/>
    <n v="0.15"/>
    <x v="298"/>
    <n v="109756.9"/>
    <n v="51341.9"/>
    <s v="Cash"/>
    <s v="Meera"/>
  </r>
  <r>
    <x v="300"/>
    <x v="22"/>
    <s v="Mumbai"/>
    <x v="2"/>
    <x v="6"/>
    <x v="33"/>
    <x v="2"/>
    <s v="Corporate"/>
    <n v="6"/>
    <n v="2511"/>
    <n v="0"/>
    <x v="299"/>
    <n v="11839.72"/>
    <n v="3226.28"/>
    <s v="Net Banking"/>
    <s v="Meera"/>
  </r>
  <r>
    <x v="301"/>
    <x v="28"/>
    <s v="Pune"/>
    <x v="2"/>
    <x v="6"/>
    <x v="20"/>
    <x v="1"/>
    <s v="Small Business"/>
    <n v="4"/>
    <n v="629"/>
    <n v="0"/>
    <x v="300"/>
    <n v="2151.2199999999998"/>
    <n v="364.78"/>
    <s v="Cash"/>
    <s v="Anaya"/>
  </r>
  <r>
    <x v="302"/>
    <x v="64"/>
    <s v="Hyderabad"/>
    <x v="0"/>
    <x v="1"/>
    <x v="10"/>
    <x v="2"/>
    <s v="Small Business"/>
    <n v="7"/>
    <n v="4266"/>
    <n v="0.1"/>
    <x v="301"/>
    <n v="17338.2"/>
    <n v="9537.6"/>
    <s v="Debit Card"/>
    <s v="Aarav"/>
  </r>
  <r>
    <x v="303"/>
    <x v="207"/>
    <s v="Hyderabad"/>
    <x v="0"/>
    <x v="2"/>
    <x v="5"/>
    <x v="1"/>
    <s v="Consumer"/>
    <n v="3"/>
    <n v="67971"/>
    <n v="0.1"/>
    <x v="302"/>
    <n v="123949.29"/>
    <n v="59572.41"/>
    <s v="Cash"/>
    <s v="Kabir"/>
  </r>
  <r>
    <x v="304"/>
    <x v="187"/>
    <s v="Delhi"/>
    <x v="3"/>
    <x v="2"/>
    <x v="5"/>
    <x v="2"/>
    <s v="Small Business"/>
    <n v="4"/>
    <n v="63547"/>
    <n v="0.15"/>
    <x v="303"/>
    <n v="189816.69"/>
    <n v="26243.11"/>
    <s v="UPI"/>
    <s v="Vikram"/>
  </r>
  <r>
    <x v="305"/>
    <x v="208"/>
    <s v="Delhi"/>
    <x v="3"/>
    <x v="2"/>
    <x v="21"/>
    <x v="1"/>
    <s v="Consumer"/>
    <n v="2"/>
    <n v="8993"/>
    <n v="0.1"/>
    <x v="304"/>
    <n v="12464.03"/>
    <n v="3723.37"/>
    <s v="Cash"/>
    <s v="Kabir"/>
  </r>
  <r>
    <x v="306"/>
    <x v="209"/>
    <s v="Chennai"/>
    <x v="0"/>
    <x v="6"/>
    <x v="30"/>
    <x v="2"/>
    <s v="Corporate"/>
    <n v="5"/>
    <n v="2308"/>
    <n v="0"/>
    <x v="305"/>
    <n v="6825.12"/>
    <n v="4714.88"/>
    <s v="Debit Card"/>
    <s v="Diya"/>
  </r>
  <r>
    <x v="307"/>
    <x v="210"/>
    <s v="Pune"/>
    <x v="2"/>
    <x v="2"/>
    <x v="5"/>
    <x v="2"/>
    <s v="Corporate"/>
    <n v="8"/>
    <n v="64514"/>
    <n v="0.1"/>
    <x v="306"/>
    <n v="381179.7"/>
    <n v="83321.100000000006"/>
    <s v="Debit Card"/>
    <s v="Kabir"/>
  </r>
  <r>
    <x v="308"/>
    <x v="164"/>
    <s v="Hyderabad"/>
    <x v="0"/>
    <x v="3"/>
    <x v="32"/>
    <x v="2"/>
    <s v="Corporate"/>
    <n v="3"/>
    <n v="2066"/>
    <n v="0.15"/>
    <x v="307"/>
    <n v="4630.13"/>
    <n v="638.16999999999996"/>
    <s v="Cash"/>
    <s v="Kabir"/>
  </r>
  <r>
    <x v="309"/>
    <x v="211"/>
    <s v="Ahmedabad"/>
    <x v="2"/>
    <x v="1"/>
    <x v="10"/>
    <x v="1"/>
    <s v="Small Business"/>
    <n v="8"/>
    <n v="4613"/>
    <n v="0.1"/>
    <x v="308"/>
    <n v="22607.15"/>
    <n v="10606.45"/>
    <s v="Credit Card"/>
    <s v="Kabir"/>
  </r>
  <r>
    <x v="310"/>
    <x v="33"/>
    <s v="Ahmedabad"/>
    <x v="2"/>
    <x v="0"/>
    <x v="28"/>
    <x v="2"/>
    <s v="Corporate"/>
    <n v="7"/>
    <n v="1157"/>
    <n v="0.05"/>
    <x v="309"/>
    <n v="4426.53"/>
    <n v="3267.52"/>
    <s v="Debit Card"/>
    <s v="Sara"/>
  </r>
  <r>
    <x v="311"/>
    <x v="33"/>
    <s v="Ahmedabad"/>
    <x v="2"/>
    <x v="1"/>
    <x v="18"/>
    <x v="2"/>
    <s v="Corporate"/>
    <n v="5"/>
    <n v="906"/>
    <n v="0.1"/>
    <x v="310"/>
    <n v="2857.8"/>
    <n v="1219.2"/>
    <s v="UPI"/>
    <s v="Diya"/>
  </r>
  <r>
    <x v="312"/>
    <x v="212"/>
    <s v="Hyderabad"/>
    <x v="0"/>
    <x v="4"/>
    <x v="13"/>
    <x v="1"/>
    <s v="Corporate"/>
    <n v="1"/>
    <n v="19048"/>
    <n v="0.15"/>
    <x v="311"/>
    <n v="10493.73"/>
    <n v="5697.07"/>
    <s v="Cash"/>
    <s v="Aarav"/>
  </r>
  <r>
    <x v="313"/>
    <x v="213"/>
    <s v="Mumbai"/>
    <x v="2"/>
    <x v="4"/>
    <x v="31"/>
    <x v="0"/>
    <s v="Corporate"/>
    <n v="1"/>
    <n v="24929"/>
    <n v="0.1"/>
    <x v="312"/>
    <n v="12926.84"/>
    <n v="9509.26"/>
    <s v="UPI"/>
    <s v="Diya"/>
  </r>
  <r>
    <x v="314"/>
    <x v="214"/>
    <s v="Pune"/>
    <x v="2"/>
    <x v="5"/>
    <x v="24"/>
    <x v="2"/>
    <s v="Corporate"/>
    <n v="3"/>
    <n v="16340"/>
    <n v="0.05"/>
    <x v="313"/>
    <n v="35296.080000000002"/>
    <n v="11272.92"/>
    <s v="Credit Card"/>
    <s v="Rohan"/>
  </r>
  <r>
    <x v="315"/>
    <x v="215"/>
    <s v="Ahmedabad"/>
    <x v="2"/>
    <x v="2"/>
    <x v="29"/>
    <x v="1"/>
    <s v="Corporate"/>
    <n v="2"/>
    <n v="6709"/>
    <n v="0.1"/>
    <x v="314"/>
    <n v="8955.8700000000008"/>
    <n v="3120.33"/>
    <s v="UPI"/>
    <s v="Diya"/>
  </r>
  <r>
    <x v="316"/>
    <x v="216"/>
    <s v="Mumbai"/>
    <x v="2"/>
    <x v="3"/>
    <x v="34"/>
    <x v="0"/>
    <s v="Consumer"/>
    <n v="7"/>
    <n v="1664"/>
    <n v="0.05"/>
    <x v="315"/>
    <n v="8314.9599999999991"/>
    <n v="2750.64"/>
    <s v="Cash"/>
    <s v="Sara"/>
  </r>
  <r>
    <x v="317"/>
    <x v="217"/>
    <s v="Bengaluru"/>
    <x v="0"/>
    <x v="5"/>
    <x v="17"/>
    <x v="2"/>
    <s v="Small Business"/>
    <n v="4"/>
    <n v="33597"/>
    <n v="0.1"/>
    <x v="316"/>
    <n v="69240.509999999995"/>
    <n v="51708.69"/>
    <s v="Credit Card"/>
    <s v="Aarav"/>
  </r>
  <r>
    <x v="318"/>
    <x v="218"/>
    <s v="Mumbai"/>
    <x v="2"/>
    <x v="5"/>
    <x v="11"/>
    <x v="2"/>
    <s v="Small Business"/>
    <n v="8"/>
    <n v="44413"/>
    <n v="0.1"/>
    <x v="317"/>
    <n v="231107.56"/>
    <n v="88666.04"/>
    <s v="Credit Card"/>
    <s v="Vikram"/>
  </r>
  <r>
    <x v="319"/>
    <x v="20"/>
    <s v="Mumbai"/>
    <x v="2"/>
    <x v="5"/>
    <x v="17"/>
    <x v="0"/>
    <s v="Small Business"/>
    <n v="4"/>
    <n v="38633"/>
    <n v="0.05"/>
    <x v="318"/>
    <n v="90149.34"/>
    <n v="56656.06"/>
    <s v="Net Banking"/>
    <s v="Kabir"/>
  </r>
  <r>
    <x v="320"/>
    <x v="183"/>
    <s v="Bengaluru"/>
    <x v="0"/>
    <x v="6"/>
    <x v="30"/>
    <x v="1"/>
    <s v="Consumer"/>
    <n v="8"/>
    <n v="2212"/>
    <n v="0.15"/>
    <x v="319"/>
    <n v="12753.95"/>
    <n v="2287.65"/>
    <s v="Cash"/>
    <s v="Aarav"/>
  </r>
  <r>
    <x v="321"/>
    <x v="59"/>
    <s v="Ahmedabad"/>
    <x v="2"/>
    <x v="1"/>
    <x v="22"/>
    <x v="0"/>
    <s v="Small Business"/>
    <n v="1"/>
    <n v="10109"/>
    <n v="0.1"/>
    <x v="320"/>
    <n v="5502.57"/>
    <n v="3595.53"/>
    <s v="Net Banking"/>
    <s v="Kabir"/>
  </r>
  <r>
    <x v="322"/>
    <x v="219"/>
    <s v="Mumbai"/>
    <x v="2"/>
    <x v="6"/>
    <x v="30"/>
    <x v="1"/>
    <s v="Corporate"/>
    <n v="6"/>
    <n v="5710"/>
    <n v="0.05"/>
    <x v="321"/>
    <n v="23159.88"/>
    <n v="9387.1200000000008"/>
    <s v="UPI"/>
    <s v="Diya"/>
  </r>
  <r>
    <x v="323"/>
    <x v="75"/>
    <s v="Ahmedabad"/>
    <x v="2"/>
    <x v="1"/>
    <x v="10"/>
    <x v="0"/>
    <s v="Small Business"/>
    <n v="5"/>
    <n v="8958"/>
    <n v="0.1"/>
    <x v="322"/>
    <n v="23665.79"/>
    <n v="16645.21"/>
    <s v="Cash"/>
    <s v="Vikram"/>
  </r>
  <r>
    <x v="324"/>
    <x v="11"/>
    <s v="Hyderabad"/>
    <x v="0"/>
    <x v="0"/>
    <x v="0"/>
    <x v="0"/>
    <s v="Corporate"/>
    <n v="3"/>
    <n v="1831"/>
    <n v="0.05"/>
    <x v="323"/>
    <n v="3575.57"/>
    <n v="1642.78"/>
    <s v="Debit Card"/>
    <s v="Diya"/>
  </r>
  <r>
    <x v="325"/>
    <x v="200"/>
    <s v="Chennai"/>
    <x v="0"/>
    <x v="3"/>
    <x v="3"/>
    <x v="2"/>
    <s v="Consumer"/>
    <n v="3"/>
    <n v="2400"/>
    <n v="0"/>
    <x v="324"/>
    <n v="4947.9799999999996"/>
    <n v="2252.02"/>
    <s v="Cash"/>
    <s v="Sara"/>
  </r>
  <r>
    <x v="326"/>
    <x v="46"/>
    <s v="Mumbai"/>
    <x v="2"/>
    <x v="5"/>
    <x v="11"/>
    <x v="2"/>
    <s v="Small Business"/>
    <n v="5"/>
    <n v="44922"/>
    <n v="0"/>
    <x v="325"/>
    <n v="153857.42000000001"/>
    <n v="70752.58"/>
    <s v="Debit Card"/>
    <s v="Anaya"/>
  </r>
  <r>
    <x v="327"/>
    <x v="112"/>
    <s v="Bengaluru"/>
    <x v="0"/>
    <x v="0"/>
    <x v="28"/>
    <x v="0"/>
    <s v="Small Business"/>
    <n v="3"/>
    <n v="1962"/>
    <n v="0.1"/>
    <x v="326"/>
    <n v="3280.87"/>
    <n v="2016.53"/>
    <s v="Debit Card"/>
    <s v="Diya"/>
  </r>
  <r>
    <x v="328"/>
    <x v="220"/>
    <s v="Chennai"/>
    <x v="0"/>
    <x v="3"/>
    <x v="34"/>
    <x v="1"/>
    <s v="Consumer"/>
    <n v="6"/>
    <n v="395"/>
    <n v="0.05"/>
    <x v="327"/>
    <n v="1915.91"/>
    <n v="335.59"/>
    <s v="Credit Card"/>
    <s v="Aarav"/>
  </r>
  <r>
    <x v="329"/>
    <x v="208"/>
    <s v="Mumbai"/>
    <x v="2"/>
    <x v="1"/>
    <x v="7"/>
    <x v="1"/>
    <s v="Consumer"/>
    <n v="1"/>
    <n v="6022"/>
    <n v="0"/>
    <x v="328"/>
    <n v="3373.57"/>
    <n v="2648.43"/>
    <s v="Net Banking"/>
    <s v="Kabir"/>
  </r>
  <r>
    <x v="330"/>
    <x v="221"/>
    <s v="Hyderabad"/>
    <x v="0"/>
    <x v="2"/>
    <x v="9"/>
    <x v="2"/>
    <s v="Small Business"/>
    <n v="1"/>
    <n v="6103"/>
    <n v="0.15"/>
    <x v="329"/>
    <n v="3900.22"/>
    <n v="1287.33"/>
    <s v="UPI"/>
    <s v="Aarav"/>
  </r>
  <r>
    <x v="331"/>
    <x v="191"/>
    <s v="Mumbai"/>
    <x v="2"/>
    <x v="4"/>
    <x v="31"/>
    <x v="0"/>
    <s v="Small Business"/>
    <n v="8"/>
    <n v="23105"/>
    <n v="0.05"/>
    <x v="330"/>
    <n v="132240.9"/>
    <n v="43357.1"/>
    <s v="Credit Card"/>
    <s v="Diya"/>
  </r>
  <r>
    <x v="332"/>
    <x v="158"/>
    <s v="Hyderabad"/>
    <x v="0"/>
    <x v="4"/>
    <x v="31"/>
    <x v="0"/>
    <s v="Small Business"/>
    <n v="8"/>
    <n v="5676"/>
    <n v="0.05"/>
    <x v="331"/>
    <n v="27512.27"/>
    <n v="15625.33"/>
    <s v="UPI"/>
    <s v="Meera"/>
  </r>
  <r>
    <x v="333"/>
    <x v="222"/>
    <s v="Delhi"/>
    <x v="3"/>
    <x v="3"/>
    <x v="12"/>
    <x v="2"/>
    <s v="Consumer"/>
    <n v="7"/>
    <n v="1037"/>
    <n v="0.15"/>
    <x v="332"/>
    <n v="3493.8"/>
    <n v="2676.35"/>
    <s v="Net Banking"/>
    <s v="Kabir"/>
  </r>
  <r>
    <x v="334"/>
    <x v="79"/>
    <s v="Kolkata"/>
    <x v="1"/>
    <x v="4"/>
    <x v="27"/>
    <x v="0"/>
    <s v="Small Business"/>
    <n v="4"/>
    <n v="20923"/>
    <n v="0.1"/>
    <x v="333"/>
    <n v="58341.89"/>
    <n v="16980.91"/>
    <s v="Net Banking"/>
    <s v="Vikram"/>
  </r>
  <r>
    <x v="335"/>
    <x v="223"/>
    <s v="Pune"/>
    <x v="2"/>
    <x v="5"/>
    <x v="6"/>
    <x v="2"/>
    <s v="Small Business"/>
    <n v="7"/>
    <n v="3298"/>
    <n v="0.1"/>
    <x v="334"/>
    <n v="12845.63"/>
    <n v="7931.77"/>
    <s v="Credit Card"/>
    <s v="Kabir"/>
  </r>
  <r>
    <x v="336"/>
    <x v="105"/>
    <s v="Mumbai"/>
    <x v="2"/>
    <x v="3"/>
    <x v="15"/>
    <x v="1"/>
    <s v="Small Business"/>
    <n v="3"/>
    <n v="1490"/>
    <n v="0.15"/>
    <x v="335"/>
    <n v="2553.94"/>
    <n v="1245.56"/>
    <s v="Debit Card"/>
    <s v="Vikram"/>
  </r>
  <r>
    <x v="337"/>
    <x v="66"/>
    <s v="Mumbai"/>
    <x v="2"/>
    <x v="1"/>
    <x v="18"/>
    <x v="1"/>
    <s v="Small Business"/>
    <n v="7"/>
    <n v="4055"/>
    <n v="0.1"/>
    <x v="336"/>
    <n v="18144.75"/>
    <n v="7401.75"/>
    <s v="Net Banking"/>
    <s v="Rohan"/>
  </r>
  <r>
    <x v="338"/>
    <x v="212"/>
    <s v="Kolkata"/>
    <x v="1"/>
    <x v="4"/>
    <x v="31"/>
    <x v="2"/>
    <s v="Small Business"/>
    <n v="1"/>
    <n v="18497"/>
    <n v="0.1"/>
    <x v="337"/>
    <n v="12703.38"/>
    <n v="3943.92"/>
    <s v="Debit Card"/>
    <s v="Sara"/>
  </r>
  <r>
    <x v="339"/>
    <x v="137"/>
    <s v="Chennai"/>
    <x v="0"/>
    <x v="1"/>
    <x v="10"/>
    <x v="2"/>
    <s v="Small Business"/>
    <n v="6"/>
    <n v="2294"/>
    <n v="0.15"/>
    <x v="338"/>
    <n v="10086.02"/>
    <n v="1613.38"/>
    <s v="UPI"/>
    <s v="Rohan"/>
  </r>
  <r>
    <x v="340"/>
    <x v="223"/>
    <s v="Chennai"/>
    <x v="0"/>
    <x v="1"/>
    <x v="18"/>
    <x v="0"/>
    <s v="Consumer"/>
    <n v="3"/>
    <n v="2730"/>
    <n v="0.05"/>
    <x v="339"/>
    <n v="6459.39"/>
    <n v="1321.11"/>
    <s v="Debit Card"/>
    <s v="Kabir"/>
  </r>
  <r>
    <x v="341"/>
    <x v="99"/>
    <s v="Bengaluru"/>
    <x v="0"/>
    <x v="4"/>
    <x v="31"/>
    <x v="2"/>
    <s v="Small Business"/>
    <n v="5"/>
    <n v="23402"/>
    <n v="0.15"/>
    <x v="340"/>
    <n v="77985.240000000005"/>
    <n v="21473.26"/>
    <s v="Cash"/>
    <s v="Sara"/>
  </r>
  <r>
    <x v="342"/>
    <x v="43"/>
    <s v="Ahmedabad"/>
    <x v="2"/>
    <x v="0"/>
    <x v="26"/>
    <x v="0"/>
    <s v="Small Business"/>
    <n v="4"/>
    <n v="1685"/>
    <n v="0.05"/>
    <x v="341"/>
    <n v="5344.1"/>
    <n v="1058.9000000000001"/>
    <s v="Debit Card"/>
    <s v="Sara"/>
  </r>
  <r>
    <x v="343"/>
    <x v="72"/>
    <s v="Kolkata"/>
    <x v="1"/>
    <x v="4"/>
    <x v="27"/>
    <x v="2"/>
    <s v="Corporate"/>
    <n v="8"/>
    <n v="3107"/>
    <n v="0.1"/>
    <x v="342"/>
    <n v="13570.48"/>
    <n v="8799.92"/>
    <s v="Net Banking"/>
    <s v="Vikram"/>
  </r>
  <r>
    <x v="344"/>
    <x v="139"/>
    <s v="Bengaluru"/>
    <x v="0"/>
    <x v="1"/>
    <x v="7"/>
    <x v="1"/>
    <s v="Small Business"/>
    <n v="6"/>
    <n v="1445"/>
    <n v="0.15"/>
    <x v="343"/>
    <n v="6128.26"/>
    <n v="1241.24"/>
    <s v="UPI"/>
    <s v="Anaya"/>
  </r>
  <r>
    <x v="345"/>
    <x v="224"/>
    <s v="Ahmedabad"/>
    <x v="2"/>
    <x v="0"/>
    <x v="23"/>
    <x v="2"/>
    <s v="Consumer"/>
    <n v="6"/>
    <n v="1720"/>
    <n v="0.1"/>
    <x v="344"/>
    <n v="6575.65"/>
    <n v="2712.35"/>
    <s v="Credit Card"/>
    <s v="Aarav"/>
  </r>
  <r>
    <x v="346"/>
    <x v="225"/>
    <s v="Ahmedabad"/>
    <x v="2"/>
    <x v="1"/>
    <x v="1"/>
    <x v="1"/>
    <s v="Corporate"/>
    <n v="7"/>
    <n v="7504"/>
    <n v="0.05"/>
    <x v="345"/>
    <n v="29407.83"/>
    <n v="20493.77"/>
    <s v="Debit Card"/>
    <s v="Kabir"/>
  </r>
  <r>
    <x v="347"/>
    <x v="71"/>
    <s v="Hyderabad"/>
    <x v="0"/>
    <x v="3"/>
    <x v="12"/>
    <x v="1"/>
    <s v="Consumer"/>
    <n v="1"/>
    <n v="2465"/>
    <n v="0.1"/>
    <x v="346"/>
    <n v="1421.14"/>
    <n v="797.36"/>
    <s v="Credit Card"/>
    <s v="Sara"/>
  </r>
  <r>
    <x v="348"/>
    <x v="10"/>
    <s v="Delhi"/>
    <x v="3"/>
    <x v="0"/>
    <x v="28"/>
    <x v="0"/>
    <s v="Small Business"/>
    <n v="2"/>
    <n v="1901"/>
    <n v="0.1"/>
    <x v="347"/>
    <n v="2402.25"/>
    <n v="1019.55"/>
    <s v="Credit Card"/>
    <s v="Diya"/>
  </r>
  <r>
    <x v="349"/>
    <x v="226"/>
    <s v="Chennai"/>
    <x v="0"/>
    <x v="1"/>
    <x v="1"/>
    <x v="2"/>
    <s v="Small Business"/>
    <n v="1"/>
    <n v="2921"/>
    <n v="0.15"/>
    <x v="348"/>
    <n v="1632.58"/>
    <n v="850.27"/>
    <s v="Debit Card"/>
    <s v="Sara"/>
  </r>
  <r>
    <x v="350"/>
    <x v="227"/>
    <s v="Kolkata"/>
    <x v="1"/>
    <x v="5"/>
    <x v="25"/>
    <x v="0"/>
    <s v="Corporate"/>
    <n v="6"/>
    <n v="7131"/>
    <n v="0.1"/>
    <x v="349"/>
    <n v="24881.52"/>
    <n v="13625.88"/>
    <s v="Net Banking"/>
    <s v="Sara"/>
  </r>
  <r>
    <x v="351"/>
    <x v="228"/>
    <s v="Chennai"/>
    <x v="0"/>
    <x v="5"/>
    <x v="25"/>
    <x v="2"/>
    <s v="Small Business"/>
    <n v="2"/>
    <n v="4659"/>
    <n v="0.1"/>
    <x v="350"/>
    <n v="6949.01"/>
    <n v="1437.19"/>
    <s v="Debit Card"/>
    <s v="Aarav"/>
  </r>
  <r>
    <x v="352"/>
    <x v="229"/>
    <s v="Chennai"/>
    <x v="0"/>
    <x v="2"/>
    <x v="5"/>
    <x v="0"/>
    <s v="Consumer"/>
    <n v="5"/>
    <n v="62392"/>
    <n v="0.1"/>
    <x v="351"/>
    <n v="167299.04999999999"/>
    <n v="113464.95"/>
    <s v="Credit Card"/>
    <s v="Anaya"/>
  </r>
  <r>
    <x v="353"/>
    <x v="131"/>
    <s v="Kolkata"/>
    <x v="1"/>
    <x v="5"/>
    <x v="25"/>
    <x v="0"/>
    <s v="Corporate"/>
    <n v="1"/>
    <n v="22346"/>
    <n v="0.1"/>
    <x v="352"/>
    <n v="12122.35"/>
    <n v="7989.05"/>
    <s v="Credit Card"/>
    <s v="Diya"/>
  </r>
  <r>
    <x v="354"/>
    <x v="22"/>
    <s v="Delhi"/>
    <x v="3"/>
    <x v="3"/>
    <x v="32"/>
    <x v="0"/>
    <s v="Small Business"/>
    <n v="4"/>
    <n v="1321"/>
    <n v="0.2"/>
    <x v="353"/>
    <n v="2617.7600000000002"/>
    <n v="1609.44"/>
    <s v="Credit Card"/>
    <s v="Aarav"/>
  </r>
  <r>
    <x v="355"/>
    <x v="230"/>
    <s v="Mumbai"/>
    <x v="2"/>
    <x v="5"/>
    <x v="25"/>
    <x v="1"/>
    <s v="Consumer"/>
    <n v="5"/>
    <n v="48154"/>
    <n v="0.1"/>
    <x v="354"/>
    <n v="164464.97"/>
    <n v="52228.03"/>
    <s v="UPI"/>
    <s v="Vikram"/>
  </r>
  <r>
    <x v="356"/>
    <x v="231"/>
    <s v="Kolkata"/>
    <x v="1"/>
    <x v="0"/>
    <x v="23"/>
    <x v="1"/>
    <s v="Consumer"/>
    <n v="3"/>
    <n v="305"/>
    <n v="0.1"/>
    <x v="355"/>
    <n v="602.91999999999996"/>
    <n v="220.58"/>
    <s v="Credit Card"/>
    <s v="Kabir"/>
  </r>
  <r>
    <x v="357"/>
    <x v="232"/>
    <s v="Hyderabad"/>
    <x v="0"/>
    <x v="5"/>
    <x v="11"/>
    <x v="2"/>
    <s v="Small Business"/>
    <n v="8"/>
    <n v="15361"/>
    <n v="0.15"/>
    <x v="356"/>
    <n v="63660.22"/>
    <n v="40794.58"/>
    <s v="Net Banking"/>
    <s v="Vikram"/>
  </r>
  <r>
    <x v="358"/>
    <x v="187"/>
    <s v="Hyderabad"/>
    <x v="0"/>
    <x v="1"/>
    <x v="1"/>
    <x v="1"/>
    <s v="Consumer"/>
    <n v="1"/>
    <n v="743"/>
    <n v="0.05"/>
    <x v="357"/>
    <n v="409.13"/>
    <n v="296.72000000000003"/>
    <s v="Credit Card"/>
    <s v="Anaya"/>
  </r>
  <r>
    <x v="359"/>
    <x v="163"/>
    <s v="Chennai"/>
    <x v="0"/>
    <x v="3"/>
    <x v="32"/>
    <x v="2"/>
    <s v="Consumer"/>
    <n v="1"/>
    <n v="267"/>
    <n v="0.1"/>
    <x v="358"/>
    <n v="202.3"/>
    <n v="38"/>
    <s v="UPI"/>
    <s v="Diya"/>
  </r>
  <r>
    <x v="360"/>
    <x v="191"/>
    <s v="Mumbai"/>
    <x v="2"/>
    <x v="6"/>
    <x v="8"/>
    <x v="1"/>
    <s v="Consumer"/>
    <n v="2"/>
    <n v="884"/>
    <n v="0.1"/>
    <x v="359"/>
    <n v="1179.17"/>
    <n v="412.03"/>
    <s v="Debit Card"/>
    <s v="Vikram"/>
  </r>
  <r>
    <x v="361"/>
    <x v="233"/>
    <s v="Chennai"/>
    <x v="0"/>
    <x v="3"/>
    <x v="12"/>
    <x v="1"/>
    <s v="Consumer"/>
    <n v="1"/>
    <n v="191"/>
    <n v="0.15"/>
    <x v="360"/>
    <n v="119.77"/>
    <n v="42.58"/>
    <s v="Debit Card"/>
    <s v="Kabir"/>
  </r>
  <r>
    <x v="362"/>
    <x v="113"/>
    <s v="Kolkata"/>
    <x v="1"/>
    <x v="5"/>
    <x v="11"/>
    <x v="1"/>
    <s v="Consumer"/>
    <n v="4"/>
    <n v="49354"/>
    <n v="0.15"/>
    <x v="361"/>
    <n v="114168.13"/>
    <n v="53635.47"/>
    <s v="Credit Card"/>
    <s v="Sara"/>
  </r>
  <r>
    <x v="363"/>
    <x v="141"/>
    <s v="Delhi"/>
    <x v="3"/>
    <x v="6"/>
    <x v="20"/>
    <x v="1"/>
    <s v="Small Business"/>
    <n v="6"/>
    <n v="2863"/>
    <n v="0.05"/>
    <x v="362"/>
    <n v="13006.99"/>
    <n v="3312.11"/>
    <s v="Debit Card"/>
    <s v="Meera"/>
  </r>
  <r>
    <x v="364"/>
    <x v="73"/>
    <s v="Hyderabad"/>
    <x v="0"/>
    <x v="5"/>
    <x v="17"/>
    <x v="1"/>
    <s v="Corporate"/>
    <n v="6"/>
    <n v="28239"/>
    <n v="0.1"/>
    <x v="363"/>
    <n v="117421.03"/>
    <n v="35069.57"/>
    <s v="Credit Card"/>
    <s v="Aarav"/>
  </r>
  <r>
    <x v="365"/>
    <x v="234"/>
    <s v="Pune"/>
    <x v="2"/>
    <x v="0"/>
    <x v="26"/>
    <x v="2"/>
    <s v="Small Business"/>
    <n v="6"/>
    <n v="978"/>
    <n v="0.05"/>
    <x v="364"/>
    <n v="4355.3599999999997"/>
    <n v="1219.24"/>
    <s v="Credit Card"/>
    <s v="Meera"/>
  </r>
  <r>
    <x v="366"/>
    <x v="235"/>
    <s v="Mumbai"/>
    <x v="2"/>
    <x v="3"/>
    <x v="12"/>
    <x v="1"/>
    <s v="Small Business"/>
    <n v="4"/>
    <n v="1194"/>
    <n v="0"/>
    <x v="365"/>
    <n v="3968.68"/>
    <n v="807.32"/>
    <s v="Debit Card"/>
    <s v="Rohan"/>
  </r>
  <r>
    <x v="367"/>
    <x v="114"/>
    <s v="Pune"/>
    <x v="2"/>
    <x v="5"/>
    <x v="17"/>
    <x v="2"/>
    <s v="Consumer"/>
    <n v="5"/>
    <n v="38610"/>
    <n v="0.15"/>
    <x v="366"/>
    <n v="128391"/>
    <n v="35701.5"/>
    <s v="Debit Card"/>
    <s v="Vikram"/>
  </r>
  <r>
    <x v="368"/>
    <x v="195"/>
    <s v="Pune"/>
    <x v="2"/>
    <x v="4"/>
    <x v="31"/>
    <x v="0"/>
    <s v="Small Business"/>
    <n v="6"/>
    <n v="11558"/>
    <n v="0"/>
    <x v="367"/>
    <n v="56263.71"/>
    <n v="13084.29"/>
    <s v="UPI"/>
    <s v="Meera"/>
  </r>
  <r>
    <x v="369"/>
    <x v="69"/>
    <s v="Bengaluru"/>
    <x v="0"/>
    <x v="6"/>
    <x v="33"/>
    <x v="1"/>
    <s v="Small Business"/>
    <n v="2"/>
    <n v="168"/>
    <n v="0.1"/>
    <x v="368"/>
    <n v="184.66"/>
    <n v="117.74"/>
    <s v="Debit Card"/>
    <s v="Vikram"/>
  </r>
  <r>
    <x v="370"/>
    <x v="48"/>
    <s v="Bengaluru"/>
    <x v="0"/>
    <x v="4"/>
    <x v="14"/>
    <x v="2"/>
    <s v="Corporate"/>
    <n v="4"/>
    <n v="2745"/>
    <n v="0.05"/>
    <x v="369"/>
    <n v="8003.1"/>
    <n v="2427.9"/>
    <s v="Net Banking"/>
    <s v="Sara"/>
  </r>
  <r>
    <x v="371"/>
    <x v="236"/>
    <s v="Mumbai"/>
    <x v="2"/>
    <x v="1"/>
    <x v="18"/>
    <x v="2"/>
    <s v="Corporate"/>
    <n v="8"/>
    <n v="1669"/>
    <n v="0.05"/>
    <x v="370"/>
    <n v="10543.65"/>
    <n v="2140.75"/>
    <s v="UPI"/>
    <s v="Kabir"/>
  </r>
  <r>
    <x v="372"/>
    <x v="92"/>
    <s v="Mumbai"/>
    <x v="2"/>
    <x v="5"/>
    <x v="17"/>
    <x v="1"/>
    <s v="Corporate"/>
    <n v="8"/>
    <n v="22808"/>
    <n v="0.05"/>
    <x v="371"/>
    <n v="140126.98000000001"/>
    <n v="33213.82"/>
    <s v="Debit Card"/>
    <s v="Diya"/>
  </r>
  <r>
    <x v="373"/>
    <x v="7"/>
    <s v="Chennai"/>
    <x v="0"/>
    <x v="4"/>
    <x v="4"/>
    <x v="0"/>
    <s v="Consumer"/>
    <n v="2"/>
    <n v="6138"/>
    <n v="0.05"/>
    <x v="372"/>
    <n v="9181.59"/>
    <n v="2480.61"/>
    <s v="Net Banking"/>
    <s v="Diya"/>
  </r>
  <r>
    <x v="374"/>
    <x v="193"/>
    <s v="Mumbai"/>
    <x v="2"/>
    <x v="6"/>
    <x v="33"/>
    <x v="1"/>
    <s v="Corporate"/>
    <n v="4"/>
    <n v="4647"/>
    <n v="0.1"/>
    <x v="373"/>
    <n v="14085.76"/>
    <n v="2643.44"/>
    <s v="Cash"/>
    <s v="Aarav"/>
  </r>
  <r>
    <x v="375"/>
    <x v="151"/>
    <s v="Kolkata"/>
    <x v="1"/>
    <x v="4"/>
    <x v="31"/>
    <x v="2"/>
    <s v="Consumer"/>
    <n v="1"/>
    <n v="12354"/>
    <n v="0.05"/>
    <x v="374"/>
    <n v="7112.44"/>
    <n v="4623.8599999999997"/>
    <s v="UPI"/>
    <s v="Anaya"/>
  </r>
  <r>
    <x v="376"/>
    <x v="193"/>
    <s v="Ahmedabad"/>
    <x v="2"/>
    <x v="6"/>
    <x v="33"/>
    <x v="2"/>
    <s v="Consumer"/>
    <n v="6"/>
    <n v="5528"/>
    <n v="0.1"/>
    <x v="375"/>
    <n v="25345.37"/>
    <n v="4505.83"/>
    <s v="Net Banking"/>
    <s v="Sara"/>
  </r>
  <r>
    <x v="377"/>
    <x v="237"/>
    <s v="Mumbai"/>
    <x v="2"/>
    <x v="0"/>
    <x v="23"/>
    <x v="1"/>
    <s v="Small Business"/>
    <n v="2"/>
    <n v="408"/>
    <n v="0.05"/>
    <x v="376"/>
    <n v="651.44000000000005"/>
    <n v="123.76"/>
    <s v="Credit Card"/>
    <s v="Meera"/>
  </r>
  <r>
    <x v="378"/>
    <x v="238"/>
    <s v="Pune"/>
    <x v="2"/>
    <x v="1"/>
    <x v="1"/>
    <x v="1"/>
    <s v="Small Business"/>
    <n v="7"/>
    <n v="8846"/>
    <n v="0"/>
    <x v="377"/>
    <n v="49514.62"/>
    <n v="12407.38"/>
    <s v="Cash"/>
    <s v="Diya"/>
  </r>
  <r>
    <x v="379"/>
    <x v="166"/>
    <s v="Delhi"/>
    <x v="3"/>
    <x v="6"/>
    <x v="8"/>
    <x v="0"/>
    <s v="Consumer"/>
    <n v="1"/>
    <n v="2832"/>
    <n v="0.1"/>
    <x v="378"/>
    <n v="1759.73"/>
    <n v="789.07"/>
    <s v="Credit Card"/>
    <s v="Aarav"/>
  </r>
  <r>
    <x v="380"/>
    <x v="102"/>
    <s v="Delhi"/>
    <x v="3"/>
    <x v="6"/>
    <x v="16"/>
    <x v="0"/>
    <s v="Corporate"/>
    <n v="4"/>
    <n v="3533"/>
    <n v="0.2"/>
    <x v="379"/>
    <n v="6915.49"/>
    <n v="4390.1099999999997"/>
    <s v="Net Banking"/>
    <s v="Anaya"/>
  </r>
  <r>
    <x v="381"/>
    <x v="208"/>
    <s v="Delhi"/>
    <x v="3"/>
    <x v="4"/>
    <x v="31"/>
    <x v="0"/>
    <s v="Corporate"/>
    <n v="5"/>
    <n v="13031"/>
    <n v="0.1"/>
    <x v="380"/>
    <n v="33486.22"/>
    <n v="25153.279999999999"/>
    <s v="Debit Card"/>
    <s v="Diya"/>
  </r>
  <r>
    <x v="382"/>
    <x v="239"/>
    <s v="Ahmedabad"/>
    <x v="2"/>
    <x v="3"/>
    <x v="32"/>
    <x v="0"/>
    <s v="Consumer"/>
    <n v="7"/>
    <n v="200"/>
    <n v="0"/>
    <x v="381"/>
    <n v="1207.83"/>
    <n v="192.17"/>
    <s v="Credit Card"/>
    <s v="Aarav"/>
  </r>
  <r>
    <x v="383"/>
    <x v="118"/>
    <s v="Bengaluru"/>
    <x v="0"/>
    <x v="0"/>
    <x v="28"/>
    <x v="2"/>
    <s v="Corporate"/>
    <n v="2"/>
    <n v="2495"/>
    <n v="0.2"/>
    <x v="382"/>
    <n v="3335.87"/>
    <n v="656.13"/>
    <s v="Credit Card"/>
    <s v="Aarav"/>
  </r>
  <r>
    <x v="384"/>
    <x v="44"/>
    <s v="Chennai"/>
    <x v="0"/>
    <x v="3"/>
    <x v="32"/>
    <x v="0"/>
    <s v="Small Business"/>
    <n v="3"/>
    <n v="571"/>
    <n v="0.1"/>
    <x v="383"/>
    <n v="1229.67"/>
    <n v="312.02999999999997"/>
    <s v="Credit Card"/>
    <s v="Vikram"/>
  </r>
  <r>
    <x v="385"/>
    <x v="153"/>
    <s v="Delhi"/>
    <x v="3"/>
    <x v="4"/>
    <x v="13"/>
    <x v="1"/>
    <s v="Small Business"/>
    <n v="7"/>
    <n v="17023"/>
    <n v="0.15"/>
    <x v="384"/>
    <n v="71770.320000000007"/>
    <n v="29516.53"/>
    <s v="Net Banking"/>
    <s v="Anaya"/>
  </r>
  <r>
    <x v="386"/>
    <x v="78"/>
    <s v="Kolkata"/>
    <x v="1"/>
    <x v="0"/>
    <x v="23"/>
    <x v="1"/>
    <s v="Consumer"/>
    <n v="7"/>
    <n v="244"/>
    <n v="0.05"/>
    <x v="385"/>
    <n v="1161.6300000000001"/>
    <n v="460.97"/>
    <s v="Debit Card"/>
    <s v="Sara"/>
  </r>
  <r>
    <x v="387"/>
    <x v="183"/>
    <s v="Mumbai"/>
    <x v="2"/>
    <x v="1"/>
    <x v="18"/>
    <x v="2"/>
    <s v="Consumer"/>
    <n v="4"/>
    <n v="8074"/>
    <n v="0.15"/>
    <x v="386"/>
    <n v="15163.08"/>
    <n v="12288.52"/>
    <s v="Net Banking"/>
    <s v="Vikram"/>
  </r>
  <r>
    <x v="388"/>
    <x v="116"/>
    <s v="Hyderabad"/>
    <x v="0"/>
    <x v="3"/>
    <x v="34"/>
    <x v="1"/>
    <s v="Corporate"/>
    <n v="5"/>
    <n v="184"/>
    <n v="0"/>
    <x v="387"/>
    <n v="741.13"/>
    <n v="178.87"/>
    <s v="Cash"/>
    <s v="Rohan"/>
  </r>
  <r>
    <x v="389"/>
    <x v="51"/>
    <s v="Delhi"/>
    <x v="3"/>
    <x v="0"/>
    <x v="0"/>
    <x v="1"/>
    <s v="Consumer"/>
    <n v="4"/>
    <n v="1481"/>
    <n v="0.05"/>
    <x v="388"/>
    <n v="4041.81"/>
    <n v="1585.99"/>
    <s v="Credit Card"/>
    <s v="Kabir"/>
  </r>
  <r>
    <x v="390"/>
    <x v="97"/>
    <s v="Ahmedabad"/>
    <x v="2"/>
    <x v="1"/>
    <x v="18"/>
    <x v="0"/>
    <s v="Corporate"/>
    <n v="4"/>
    <n v="6124"/>
    <n v="0.05"/>
    <x v="389"/>
    <n v="20469.39"/>
    <n v="2801.81"/>
    <s v="Net Banking"/>
    <s v="Kabir"/>
  </r>
  <r>
    <x v="391"/>
    <x v="240"/>
    <s v="Delhi"/>
    <x v="3"/>
    <x v="2"/>
    <x v="9"/>
    <x v="0"/>
    <s v="Consumer"/>
    <n v="6"/>
    <n v="15890"/>
    <n v="0.2"/>
    <x v="390"/>
    <n v="65727.66"/>
    <n v="10544.34"/>
    <s v="Net Banking"/>
    <s v="Aarav"/>
  </r>
  <r>
    <x v="392"/>
    <x v="234"/>
    <s v="Chennai"/>
    <x v="0"/>
    <x v="6"/>
    <x v="33"/>
    <x v="0"/>
    <s v="Corporate"/>
    <n v="3"/>
    <n v="3775"/>
    <n v="0"/>
    <x v="391"/>
    <n v="7191.59"/>
    <n v="4133.41"/>
    <s v="Cash"/>
    <s v="Kabir"/>
  </r>
  <r>
    <x v="393"/>
    <x v="111"/>
    <s v="Mumbai"/>
    <x v="2"/>
    <x v="4"/>
    <x v="27"/>
    <x v="0"/>
    <s v="Corporate"/>
    <n v="6"/>
    <n v="6870"/>
    <n v="0.15"/>
    <x v="392"/>
    <n v="19953.099999999999"/>
    <n v="15083.9"/>
    <s v="Net Banking"/>
    <s v="Diya"/>
  </r>
  <r>
    <x v="394"/>
    <x v="241"/>
    <s v="Hyderabad"/>
    <x v="0"/>
    <x v="4"/>
    <x v="13"/>
    <x v="0"/>
    <s v="Consumer"/>
    <n v="6"/>
    <n v="20990"/>
    <n v="0.1"/>
    <x v="393"/>
    <n v="83903.39"/>
    <n v="29442.61"/>
    <s v="Cash"/>
    <s v="Meera"/>
  </r>
  <r>
    <x v="395"/>
    <x v="49"/>
    <s v="Mumbai"/>
    <x v="2"/>
    <x v="6"/>
    <x v="16"/>
    <x v="2"/>
    <s v="Small Business"/>
    <n v="2"/>
    <n v="5203"/>
    <n v="0.15"/>
    <x v="394"/>
    <n v="5097.16"/>
    <n v="3747.94"/>
    <s v="UPI"/>
    <s v="Rohan"/>
  </r>
  <r>
    <x v="396"/>
    <x v="105"/>
    <s v="Kolkata"/>
    <x v="1"/>
    <x v="1"/>
    <x v="1"/>
    <x v="2"/>
    <s v="Corporate"/>
    <n v="7"/>
    <n v="10634"/>
    <n v="0.1"/>
    <x v="395"/>
    <n v="49014.02"/>
    <n v="17980.18"/>
    <s v="Cash"/>
    <s v="Vikram"/>
  </r>
  <r>
    <x v="397"/>
    <x v="242"/>
    <s v="Mumbai"/>
    <x v="2"/>
    <x v="1"/>
    <x v="18"/>
    <x v="2"/>
    <s v="Corporate"/>
    <n v="5"/>
    <n v="6216"/>
    <n v="0.05"/>
    <x v="396"/>
    <n v="19364.39"/>
    <n v="10161.61"/>
    <s v="Cash"/>
    <s v="Meera"/>
  </r>
  <r>
    <x v="398"/>
    <x v="69"/>
    <s v="Delhi"/>
    <x v="3"/>
    <x v="4"/>
    <x v="31"/>
    <x v="2"/>
    <s v="Corporate"/>
    <n v="2"/>
    <n v="6515"/>
    <n v="0"/>
    <x v="397"/>
    <n v="10076.98"/>
    <n v="2953.02"/>
    <s v="Net Banking"/>
    <s v="Diya"/>
  </r>
  <r>
    <x v="399"/>
    <x v="57"/>
    <s v="Mumbai"/>
    <x v="2"/>
    <x v="3"/>
    <x v="12"/>
    <x v="1"/>
    <s v="Corporate"/>
    <n v="5"/>
    <n v="2361"/>
    <n v="0.05"/>
    <x v="398"/>
    <n v="6982.64"/>
    <n v="4232.1099999999997"/>
    <s v="Cash"/>
    <s v="Diya"/>
  </r>
  <r>
    <x v="400"/>
    <x v="104"/>
    <s v="Hyderabad"/>
    <x v="0"/>
    <x v="3"/>
    <x v="34"/>
    <x v="1"/>
    <s v="Consumer"/>
    <n v="5"/>
    <n v="376"/>
    <n v="0.2"/>
    <x v="399"/>
    <n v="1224.32"/>
    <n v="279.68"/>
    <s v="Debit Card"/>
    <s v="Vikram"/>
  </r>
  <r>
    <x v="401"/>
    <x v="243"/>
    <s v="Bengaluru"/>
    <x v="0"/>
    <x v="6"/>
    <x v="20"/>
    <x v="1"/>
    <s v="Consumer"/>
    <n v="6"/>
    <n v="5689"/>
    <n v="0"/>
    <x v="400"/>
    <n v="26676.29"/>
    <n v="7457.71"/>
    <s v="Cash"/>
    <s v="Diya"/>
  </r>
  <r>
    <x v="402"/>
    <x v="244"/>
    <s v="Mumbai"/>
    <x v="2"/>
    <x v="5"/>
    <x v="17"/>
    <x v="1"/>
    <s v="Consumer"/>
    <n v="6"/>
    <n v="30591"/>
    <n v="0.1"/>
    <x v="401"/>
    <n v="144679.85"/>
    <n v="20511.55"/>
    <s v="Net Banking"/>
    <s v="Rohan"/>
  </r>
  <r>
    <x v="403"/>
    <x v="126"/>
    <s v="Bengaluru"/>
    <x v="0"/>
    <x v="4"/>
    <x v="13"/>
    <x v="1"/>
    <s v="Corporate"/>
    <n v="1"/>
    <n v="1839"/>
    <n v="0.1"/>
    <x v="402"/>
    <n v="1304.77"/>
    <n v="350.33"/>
    <s v="Credit Card"/>
    <s v="Meera"/>
  </r>
  <r>
    <x v="404"/>
    <x v="135"/>
    <s v="Delhi"/>
    <x v="3"/>
    <x v="0"/>
    <x v="0"/>
    <x v="0"/>
    <s v="Corporate"/>
    <n v="5"/>
    <n v="1660"/>
    <n v="0.15"/>
    <x v="403"/>
    <n v="5527.7"/>
    <n v="1527.3"/>
    <s v="Credit Card"/>
    <s v="Anaya"/>
  </r>
  <r>
    <x v="405"/>
    <x v="181"/>
    <s v="Hyderabad"/>
    <x v="0"/>
    <x v="0"/>
    <x v="19"/>
    <x v="0"/>
    <s v="Small Business"/>
    <n v="1"/>
    <n v="1269"/>
    <n v="0"/>
    <x v="404"/>
    <n v="1060.68"/>
    <n v="208.32"/>
    <s v="Credit Card"/>
    <s v="Vikram"/>
  </r>
  <r>
    <x v="406"/>
    <x v="31"/>
    <s v="Delhi"/>
    <x v="3"/>
    <x v="3"/>
    <x v="12"/>
    <x v="0"/>
    <s v="Consumer"/>
    <n v="7"/>
    <n v="2497"/>
    <n v="0.15"/>
    <x v="405"/>
    <n v="10307.469999999999"/>
    <n v="4549.68"/>
    <s v="Cash"/>
    <s v="Anaya"/>
  </r>
  <r>
    <x v="407"/>
    <x v="245"/>
    <s v="Mumbai"/>
    <x v="2"/>
    <x v="4"/>
    <x v="27"/>
    <x v="2"/>
    <s v="Small Business"/>
    <n v="3"/>
    <n v="11567"/>
    <n v="0.15"/>
    <x v="406"/>
    <n v="25659.38"/>
    <n v="3836.47"/>
    <s v="Debit Card"/>
    <s v="Aarav"/>
  </r>
  <r>
    <x v="408"/>
    <x v="246"/>
    <s v="Pune"/>
    <x v="2"/>
    <x v="6"/>
    <x v="33"/>
    <x v="1"/>
    <s v="Consumer"/>
    <n v="3"/>
    <n v="4274"/>
    <n v="0.2"/>
    <x v="407"/>
    <n v="5895.42"/>
    <n v="4362.18"/>
    <s v="Credit Card"/>
    <s v="Kabir"/>
  </r>
  <r>
    <x v="409"/>
    <x v="63"/>
    <s v="Chennai"/>
    <x v="0"/>
    <x v="4"/>
    <x v="14"/>
    <x v="1"/>
    <s v="Corporate"/>
    <n v="1"/>
    <n v="3858"/>
    <n v="0"/>
    <x v="408"/>
    <n v="2203.6799999999998"/>
    <n v="1654.32"/>
    <s v="Net Banking"/>
    <s v="Aarav"/>
  </r>
  <r>
    <x v="410"/>
    <x v="237"/>
    <s v="Delhi"/>
    <x v="3"/>
    <x v="1"/>
    <x v="10"/>
    <x v="2"/>
    <s v="Consumer"/>
    <n v="7"/>
    <n v="448"/>
    <n v="0.2"/>
    <x v="409"/>
    <n v="1927.76"/>
    <n v="581.04"/>
    <s v="Net Banking"/>
    <s v="Rohan"/>
  </r>
  <r>
    <x v="411"/>
    <x v="23"/>
    <s v="Hyderabad"/>
    <x v="0"/>
    <x v="3"/>
    <x v="12"/>
    <x v="0"/>
    <s v="Small Business"/>
    <n v="8"/>
    <n v="1380"/>
    <n v="0.1"/>
    <x v="410"/>
    <n v="8654.4699999999993"/>
    <n v="1281.53"/>
    <s v="Net Banking"/>
    <s v="Diya"/>
  </r>
  <r>
    <x v="412"/>
    <x v="77"/>
    <s v="Chennai"/>
    <x v="0"/>
    <x v="4"/>
    <x v="14"/>
    <x v="0"/>
    <s v="Consumer"/>
    <n v="6"/>
    <n v="6536"/>
    <n v="0"/>
    <x v="411"/>
    <n v="33359.870000000003"/>
    <n v="5856.13"/>
    <s v="Cash"/>
    <s v="Anaya"/>
  </r>
  <r>
    <x v="413"/>
    <x v="208"/>
    <s v="Bengaluru"/>
    <x v="0"/>
    <x v="4"/>
    <x v="13"/>
    <x v="1"/>
    <s v="Corporate"/>
    <n v="5"/>
    <n v="17165"/>
    <n v="0"/>
    <x v="412"/>
    <n v="63851.519999999997"/>
    <n v="21973.48"/>
    <s v="Cash"/>
    <s v="Anaya"/>
  </r>
  <r>
    <x v="414"/>
    <x v="247"/>
    <s v="Mumbai"/>
    <x v="2"/>
    <x v="6"/>
    <x v="16"/>
    <x v="0"/>
    <s v="Consumer"/>
    <n v="1"/>
    <n v="4461"/>
    <n v="0.1"/>
    <x v="413"/>
    <n v="3037.13"/>
    <n v="977.77"/>
    <s v="Net Banking"/>
    <s v="Diya"/>
  </r>
  <r>
    <x v="415"/>
    <x v="220"/>
    <s v="Hyderabad"/>
    <x v="0"/>
    <x v="2"/>
    <x v="2"/>
    <x v="2"/>
    <s v="Consumer"/>
    <n v="2"/>
    <n v="21769"/>
    <n v="0.05"/>
    <x v="414"/>
    <n v="27233.32"/>
    <n v="14127.78"/>
    <s v="Credit Card"/>
    <s v="Sara"/>
  </r>
  <r>
    <x v="416"/>
    <x v="142"/>
    <s v="Chennai"/>
    <x v="0"/>
    <x v="4"/>
    <x v="4"/>
    <x v="1"/>
    <s v="Small Business"/>
    <n v="7"/>
    <n v="14149"/>
    <n v="0"/>
    <x v="415"/>
    <n v="85652.3"/>
    <n v="13390.7"/>
    <s v="Debit Card"/>
    <s v="Sara"/>
  </r>
  <r>
    <x v="417"/>
    <x v="68"/>
    <s v="Mumbai"/>
    <x v="2"/>
    <x v="1"/>
    <x v="18"/>
    <x v="0"/>
    <s v="Consumer"/>
    <n v="5"/>
    <n v="2463"/>
    <n v="0.05"/>
    <x v="416"/>
    <n v="9890.26"/>
    <n v="1808.99"/>
    <s v="Credit Card"/>
    <s v="Kabir"/>
  </r>
  <r>
    <x v="418"/>
    <x v="248"/>
    <s v="Chennai"/>
    <x v="0"/>
    <x v="5"/>
    <x v="11"/>
    <x v="0"/>
    <s v="Small Business"/>
    <n v="3"/>
    <n v="19982"/>
    <n v="0.05"/>
    <x v="417"/>
    <n v="41932.239999999998"/>
    <n v="15016.46"/>
    <s v="Debit Card"/>
    <s v="Meera"/>
  </r>
  <r>
    <x v="419"/>
    <x v="212"/>
    <s v="Kolkata"/>
    <x v="1"/>
    <x v="2"/>
    <x v="9"/>
    <x v="1"/>
    <s v="Consumer"/>
    <n v="8"/>
    <n v="33834"/>
    <n v="0.05"/>
    <x v="418"/>
    <n v="221675.41"/>
    <n v="35462.99"/>
    <s v="Cash"/>
    <s v="Anaya"/>
  </r>
  <r>
    <x v="420"/>
    <x v="50"/>
    <s v="Pune"/>
    <x v="2"/>
    <x v="1"/>
    <x v="18"/>
    <x v="1"/>
    <s v="Corporate"/>
    <n v="1"/>
    <n v="4802"/>
    <n v="0.1"/>
    <x v="419"/>
    <n v="3575.02"/>
    <n v="746.78"/>
    <s v="Credit Card"/>
    <s v="Anaya"/>
  </r>
  <r>
    <x v="421"/>
    <x v="249"/>
    <s v="Delhi"/>
    <x v="3"/>
    <x v="4"/>
    <x v="27"/>
    <x v="0"/>
    <s v="Small Business"/>
    <n v="4"/>
    <n v="15126"/>
    <n v="0.05"/>
    <x v="420"/>
    <n v="48513.34"/>
    <n v="8965.4599999999991"/>
    <s v="UPI"/>
    <s v="Vikram"/>
  </r>
  <r>
    <x v="422"/>
    <x v="113"/>
    <s v="Mumbai"/>
    <x v="2"/>
    <x v="3"/>
    <x v="34"/>
    <x v="1"/>
    <s v="Corporate"/>
    <n v="1"/>
    <n v="2077"/>
    <n v="0"/>
    <x v="421"/>
    <n v="1677.45"/>
    <n v="399.55"/>
    <s v="Cash"/>
    <s v="Meera"/>
  </r>
  <r>
    <x v="423"/>
    <x v="250"/>
    <s v="Delhi"/>
    <x v="3"/>
    <x v="0"/>
    <x v="19"/>
    <x v="1"/>
    <s v="Consumer"/>
    <n v="3"/>
    <n v="1952"/>
    <n v="0.2"/>
    <x v="422"/>
    <n v="2946.64"/>
    <n v="1738.16"/>
    <s v="Cash"/>
    <s v="Meera"/>
  </r>
  <r>
    <x v="424"/>
    <x v="45"/>
    <s v="Pune"/>
    <x v="2"/>
    <x v="2"/>
    <x v="9"/>
    <x v="0"/>
    <s v="Small Business"/>
    <n v="5"/>
    <n v="69545"/>
    <n v="0.1"/>
    <x v="423"/>
    <n v="187211.9"/>
    <n v="125740.6"/>
    <s v="Debit Card"/>
    <s v="Kabir"/>
  </r>
  <r>
    <x v="425"/>
    <x v="11"/>
    <s v="Bengaluru"/>
    <x v="0"/>
    <x v="1"/>
    <x v="10"/>
    <x v="2"/>
    <s v="Consumer"/>
    <n v="2"/>
    <n v="4336"/>
    <n v="0"/>
    <x v="424"/>
    <n v="5009.88"/>
    <n v="3662.12"/>
    <s v="Net Banking"/>
    <s v="Vikram"/>
  </r>
  <r>
    <x v="426"/>
    <x v="183"/>
    <s v="Ahmedabad"/>
    <x v="2"/>
    <x v="2"/>
    <x v="2"/>
    <x v="1"/>
    <s v="Small Business"/>
    <n v="6"/>
    <n v="36429"/>
    <n v="0.2"/>
    <x v="425"/>
    <n v="132507.53"/>
    <n v="42351.67"/>
    <s v="Net Banking"/>
    <s v="Vikram"/>
  </r>
  <r>
    <x v="427"/>
    <x v="102"/>
    <s v="Mumbai"/>
    <x v="2"/>
    <x v="0"/>
    <x v="26"/>
    <x v="2"/>
    <s v="Corporate"/>
    <n v="2"/>
    <n v="1057"/>
    <n v="0.05"/>
    <x v="426"/>
    <n v="1424.76"/>
    <n v="583.54"/>
    <s v="Debit Card"/>
    <s v="Vikram"/>
  </r>
  <r>
    <x v="428"/>
    <x v="135"/>
    <s v="Hyderabad"/>
    <x v="0"/>
    <x v="0"/>
    <x v="0"/>
    <x v="1"/>
    <s v="Corporate"/>
    <n v="5"/>
    <n v="2315"/>
    <n v="0.1"/>
    <x v="427"/>
    <n v="8777.5400000000009"/>
    <n v="1639.96"/>
    <s v="Debit Card"/>
    <s v="Vikram"/>
  </r>
  <r>
    <x v="429"/>
    <x v="251"/>
    <s v="Delhi"/>
    <x v="3"/>
    <x v="6"/>
    <x v="20"/>
    <x v="2"/>
    <s v="Consumer"/>
    <n v="8"/>
    <n v="3847"/>
    <n v="0"/>
    <x v="428"/>
    <n v="23243.69"/>
    <n v="7532.31"/>
    <s v="UPI"/>
    <s v="Kabir"/>
  </r>
  <r>
    <x v="430"/>
    <x v="184"/>
    <s v="Hyderabad"/>
    <x v="0"/>
    <x v="5"/>
    <x v="6"/>
    <x v="2"/>
    <s v="Corporate"/>
    <n v="3"/>
    <n v="6923"/>
    <n v="0.05"/>
    <x v="429"/>
    <n v="14271.12"/>
    <n v="5459.43"/>
    <s v="Net Banking"/>
    <s v="Vikram"/>
  </r>
  <r>
    <x v="431"/>
    <x v="67"/>
    <s v="Hyderabad"/>
    <x v="0"/>
    <x v="5"/>
    <x v="6"/>
    <x v="2"/>
    <s v="Small Business"/>
    <n v="3"/>
    <n v="39887"/>
    <n v="0.15"/>
    <x v="430"/>
    <n v="69892.03"/>
    <n v="31819.82"/>
    <s v="Net Banking"/>
    <s v="Meera"/>
  </r>
  <r>
    <x v="432"/>
    <x v="84"/>
    <s v="Bengaluru"/>
    <x v="0"/>
    <x v="2"/>
    <x v="2"/>
    <x v="2"/>
    <s v="Corporate"/>
    <n v="2"/>
    <n v="11469"/>
    <n v="0.15"/>
    <x v="431"/>
    <n v="16542.86"/>
    <n v="2954.44"/>
    <s v="Debit Card"/>
    <s v="Aarav"/>
  </r>
  <r>
    <x v="433"/>
    <x v="199"/>
    <s v="Bengaluru"/>
    <x v="0"/>
    <x v="2"/>
    <x v="9"/>
    <x v="2"/>
    <s v="Consumer"/>
    <n v="2"/>
    <n v="17105"/>
    <n v="0.15"/>
    <x v="432"/>
    <n v="20373.79"/>
    <n v="8704.7099999999991"/>
    <s v="Net Banking"/>
    <s v="Rohan"/>
  </r>
  <r>
    <x v="434"/>
    <x v="240"/>
    <s v="Mumbai"/>
    <x v="2"/>
    <x v="0"/>
    <x v="0"/>
    <x v="2"/>
    <s v="Small Business"/>
    <n v="1"/>
    <n v="1137"/>
    <n v="0"/>
    <x v="433"/>
    <n v="768.7"/>
    <n v="368.3"/>
    <s v="UPI"/>
    <s v="Kabir"/>
  </r>
  <r>
    <x v="435"/>
    <x v="75"/>
    <s v="Delhi"/>
    <x v="3"/>
    <x v="2"/>
    <x v="5"/>
    <x v="1"/>
    <s v="Corporate"/>
    <n v="4"/>
    <n v="47390"/>
    <n v="0.05"/>
    <x v="434"/>
    <n v="105015"/>
    <n v="75067"/>
    <s v="Net Banking"/>
    <s v="Rohan"/>
  </r>
  <r>
    <x v="436"/>
    <x v="103"/>
    <s v="Ahmedabad"/>
    <x v="2"/>
    <x v="5"/>
    <x v="11"/>
    <x v="0"/>
    <s v="Corporate"/>
    <n v="3"/>
    <n v="19897"/>
    <n v="0.05"/>
    <x v="435"/>
    <n v="33127.910000000003"/>
    <n v="23578.54"/>
    <s v="Credit Card"/>
    <s v="Sara"/>
  </r>
  <r>
    <x v="437"/>
    <x v="252"/>
    <s v="Chennai"/>
    <x v="0"/>
    <x v="4"/>
    <x v="27"/>
    <x v="2"/>
    <s v="Small Business"/>
    <n v="3"/>
    <n v="13231"/>
    <n v="0.15"/>
    <x v="436"/>
    <n v="23014"/>
    <n v="10725.05"/>
    <s v="Cash"/>
    <s v="Meera"/>
  </r>
  <r>
    <x v="438"/>
    <x v="179"/>
    <s v="Kolkata"/>
    <x v="1"/>
    <x v="0"/>
    <x v="0"/>
    <x v="2"/>
    <s v="Consumer"/>
    <n v="8"/>
    <n v="1041"/>
    <n v="0"/>
    <x v="437"/>
    <n v="6793.06"/>
    <n v="1534.94"/>
    <s v="UPI"/>
    <s v="Rohan"/>
  </r>
  <r>
    <x v="439"/>
    <x v="55"/>
    <s v="Mumbai"/>
    <x v="2"/>
    <x v="5"/>
    <x v="25"/>
    <x v="0"/>
    <s v="Small Business"/>
    <n v="2"/>
    <n v="11364"/>
    <n v="0.05"/>
    <x v="438"/>
    <n v="16872.759999999998"/>
    <n v="4718.84"/>
    <s v="Credit Card"/>
    <s v="Vikram"/>
  </r>
  <r>
    <x v="440"/>
    <x v="253"/>
    <s v="Chennai"/>
    <x v="0"/>
    <x v="6"/>
    <x v="20"/>
    <x v="1"/>
    <s v="Small Business"/>
    <n v="5"/>
    <n v="1710"/>
    <n v="0.1"/>
    <x v="439"/>
    <n v="5464.57"/>
    <n v="2230.4299999999998"/>
    <s v="UPI"/>
    <s v="Aarav"/>
  </r>
  <r>
    <x v="441"/>
    <x v="254"/>
    <s v="Kolkata"/>
    <x v="1"/>
    <x v="5"/>
    <x v="11"/>
    <x v="1"/>
    <s v="Small Business"/>
    <n v="8"/>
    <n v="44774"/>
    <n v="0"/>
    <x v="440"/>
    <n v="211124.86"/>
    <n v="147067.14000000001"/>
    <s v="Net Banking"/>
    <s v="Anaya"/>
  </r>
  <r>
    <x v="442"/>
    <x v="1"/>
    <s v="Chennai"/>
    <x v="0"/>
    <x v="4"/>
    <x v="31"/>
    <x v="0"/>
    <s v="Consumer"/>
    <n v="4"/>
    <n v="15009"/>
    <n v="0.15"/>
    <x v="441"/>
    <n v="40942.230000000003"/>
    <n v="10088.370000000001"/>
    <s v="Credit Card"/>
    <s v="Vikram"/>
  </r>
  <r>
    <x v="443"/>
    <x v="255"/>
    <s v="Hyderabad"/>
    <x v="0"/>
    <x v="5"/>
    <x v="17"/>
    <x v="2"/>
    <s v="Consumer"/>
    <n v="7"/>
    <n v="47769"/>
    <n v="0"/>
    <x v="442"/>
    <n v="279536.36"/>
    <n v="54846.64"/>
    <s v="Cash"/>
    <s v="Vikram"/>
  </r>
  <r>
    <x v="444"/>
    <x v="256"/>
    <s v="Delhi"/>
    <x v="3"/>
    <x v="4"/>
    <x v="4"/>
    <x v="0"/>
    <s v="Consumer"/>
    <n v="5"/>
    <n v="17360"/>
    <n v="0.1"/>
    <x v="443"/>
    <n v="53128.07"/>
    <n v="24991.93"/>
    <s v="Net Banking"/>
    <s v="Diya"/>
  </r>
  <r>
    <x v="445"/>
    <x v="166"/>
    <s v="Delhi"/>
    <x v="3"/>
    <x v="2"/>
    <x v="29"/>
    <x v="2"/>
    <s v="Corporate"/>
    <n v="1"/>
    <n v="3451"/>
    <n v="0.1"/>
    <x v="444"/>
    <n v="2279.59"/>
    <n v="826.31"/>
    <s v="Net Banking"/>
    <s v="Kabir"/>
  </r>
  <r>
    <x v="446"/>
    <x v="257"/>
    <s v="Chennai"/>
    <x v="0"/>
    <x v="6"/>
    <x v="8"/>
    <x v="1"/>
    <s v="Corporate"/>
    <n v="6"/>
    <n v="5263"/>
    <n v="0"/>
    <x v="445"/>
    <n v="20478.419999999998"/>
    <n v="11099.58"/>
    <s v="Debit Card"/>
    <s v="Meera"/>
  </r>
  <r>
    <x v="447"/>
    <x v="258"/>
    <s v="Mumbai"/>
    <x v="2"/>
    <x v="1"/>
    <x v="7"/>
    <x v="2"/>
    <s v="Consumer"/>
    <n v="4"/>
    <n v="6485"/>
    <n v="0.05"/>
    <x v="446"/>
    <n v="18138.07"/>
    <n v="6504.93"/>
    <s v="Credit Card"/>
    <s v="Vikram"/>
  </r>
  <r>
    <x v="448"/>
    <x v="194"/>
    <s v="Kolkata"/>
    <x v="1"/>
    <x v="1"/>
    <x v="1"/>
    <x v="2"/>
    <s v="Consumer"/>
    <n v="6"/>
    <n v="10351"/>
    <n v="0.1"/>
    <x v="447"/>
    <n v="35065.54"/>
    <n v="20829.86"/>
    <s v="Debit Card"/>
    <s v="Aarav"/>
  </r>
  <r>
    <x v="449"/>
    <x v="177"/>
    <s v="Ahmedabad"/>
    <x v="2"/>
    <x v="4"/>
    <x v="4"/>
    <x v="0"/>
    <s v="Small Business"/>
    <n v="5"/>
    <n v="20139"/>
    <n v="0"/>
    <x v="448"/>
    <n v="59158.63"/>
    <n v="41536.370000000003"/>
    <s v="Debit Card"/>
    <s v="Vikram"/>
  </r>
  <r>
    <x v="450"/>
    <x v="259"/>
    <s v="Hyderabad"/>
    <x v="0"/>
    <x v="5"/>
    <x v="11"/>
    <x v="2"/>
    <s v="Corporate"/>
    <n v="7"/>
    <n v="45096"/>
    <n v="0.05"/>
    <x v="449"/>
    <n v="226350.89"/>
    <n v="73537.509999999995"/>
    <s v="Debit Card"/>
    <s v="Diya"/>
  </r>
  <r>
    <x v="451"/>
    <x v="260"/>
    <s v="Delhi"/>
    <x v="3"/>
    <x v="4"/>
    <x v="14"/>
    <x v="0"/>
    <s v="Small Business"/>
    <n v="8"/>
    <n v="20070"/>
    <n v="0.1"/>
    <x v="450"/>
    <n v="124597.37"/>
    <n v="19906.63"/>
    <s v="Net Banking"/>
    <s v="Vikram"/>
  </r>
  <r>
    <x v="452"/>
    <x v="42"/>
    <s v="Bengaluru"/>
    <x v="0"/>
    <x v="5"/>
    <x v="25"/>
    <x v="1"/>
    <s v="Consumer"/>
    <n v="5"/>
    <n v="7155"/>
    <n v="0.05"/>
    <x v="451"/>
    <n v="21484.83"/>
    <n v="12501.42"/>
    <s v="Cash"/>
    <s v="Meera"/>
  </r>
  <r>
    <x v="453"/>
    <x v="90"/>
    <s v="Delhi"/>
    <x v="3"/>
    <x v="2"/>
    <x v="2"/>
    <x v="1"/>
    <s v="Corporate"/>
    <n v="3"/>
    <n v="30832"/>
    <n v="0.15"/>
    <x v="452"/>
    <n v="43501.599999999999"/>
    <n v="35120"/>
    <s v="Credit Card"/>
    <s v="Vikram"/>
  </r>
  <r>
    <x v="454"/>
    <x v="64"/>
    <s v="Bengaluru"/>
    <x v="0"/>
    <x v="1"/>
    <x v="18"/>
    <x v="0"/>
    <s v="Small Business"/>
    <n v="6"/>
    <n v="7850"/>
    <n v="0"/>
    <x v="453"/>
    <n v="28998.23"/>
    <n v="18101.77"/>
    <s v="Debit Card"/>
    <s v="Sara"/>
  </r>
  <r>
    <x v="455"/>
    <x v="127"/>
    <s v="Mumbai"/>
    <x v="2"/>
    <x v="4"/>
    <x v="31"/>
    <x v="0"/>
    <s v="Corporate"/>
    <n v="4"/>
    <n v="22347"/>
    <n v="0"/>
    <x v="454"/>
    <n v="77123.31"/>
    <n v="12264.69"/>
    <s v="Credit Card"/>
    <s v="Meera"/>
  </r>
  <r>
    <x v="456"/>
    <x v="261"/>
    <s v="Hyderabad"/>
    <x v="0"/>
    <x v="1"/>
    <x v="10"/>
    <x v="1"/>
    <s v="Consumer"/>
    <n v="5"/>
    <n v="4781"/>
    <n v="0.05"/>
    <x v="455"/>
    <n v="15288.35"/>
    <n v="7421.4"/>
    <s v="Credit Card"/>
    <s v="Vikram"/>
  </r>
  <r>
    <x v="457"/>
    <x v="262"/>
    <s v="Delhi"/>
    <x v="3"/>
    <x v="0"/>
    <x v="19"/>
    <x v="2"/>
    <s v="Consumer"/>
    <n v="7"/>
    <n v="2081"/>
    <n v="0.05"/>
    <x v="456"/>
    <n v="9909.15"/>
    <n v="3929.5"/>
    <s v="Debit Card"/>
    <s v="Meera"/>
  </r>
  <r>
    <x v="458"/>
    <x v="263"/>
    <s v="Delhi"/>
    <x v="3"/>
    <x v="4"/>
    <x v="31"/>
    <x v="1"/>
    <s v="Corporate"/>
    <n v="3"/>
    <n v="2924"/>
    <n v="0.05"/>
    <x v="457"/>
    <n v="5048.68"/>
    <n v="3284.72"/>
    <s v="UPI"/>
    <s v="Meera"/>
  </r>
  <r>
    <x v="459"/>
    <x v="42"/>
    <s v="Mumbai"/>
    <x v="2"/>
    <x v="5"/>
    <x v="24"/>
    <x v="2"/>
    <s v="Small Business"/>
    <n v="8"/>
    <n v="23303"/>
    <n v="0.15"/>
    <x v="458"/>
    <n v="98420.19"/>
    <n v="60040.21"/>
    <s v="Debit Card"/>
    <s v="Rohan"/>
  </r>
  <r>
    <x v="460"/>
    <x v="2"/>
    <s v="Delhi"/>
    <x v="3"/>
    <x v="4"/>
    <x v="31"/>
    <x v="2"/>
    <s v="Corporate"/>
    <n v="6"/>
    <n v="13082"/>
    <n v="0.1"/>
    <x v="459"/>
    <n v="49408.21"/>
    <n v="21234.59"/>
    <s v="Cash"/>
    <s v="Vikram"/>
  </r>
  <r>
    <x v="461"/>
    <x v="264"/>
    <s v="Pune"/>
    <x v="2"/>
    <x v="3"/>
    <x v="32"/>
    <x v="2"/>
    <s v="Consumer"/>
    <n v="7"/>
    <n v="848"/>
    <n v="0"/>
    <x v="460"/>
    <n v="4016.91"/>
    <n v="1919.09"/>
    <s v="UPI"/>
    <s v="Sara"/>
  </r>
  <r>
    <x v="462"/>
    <x v="265"/>
    <s v="Ahmedabad"/>
    <x v="2"/>
    <x v="4"/>
    <x v="13"/>
    <x v="2"/>
    <s v="Corporate"/>
    <n v="8"/>
    <n v="18806"/>
    <n v="0.05"/>
    <x v="461"/>
    <n v="110306.74"/>
    <n v="32618.86"/>
    <s v="Debit Card"/>
    <s v="Anaya"/>
  </r>
  <r>
    <x v="463"/>
    <x v="152"/>
    <s v="Mumbai"/>
    <x v="2"/>
    <x v="5"/>
    <x v="25"/>
    <x v="1"/>
    <s v="Consumer"/>
    <n v="6"/>
    <n v="31592"/>
    <n v="0.1"/>
    <x v="462"/>
    <n v="139361.18"/>
    <n v="31235.62"/>
    <s v="Cash"/>
    <s v="Sara"/>
  </r>
  <r>
    <x v="464"/>
    <x v="175"/>
    <s v="Pune"/>
    <x v="2"/>
    <x v="3"/>
    <x v="32"/>
    <x v="2"/>
    <s v="Consumer"/>
    <n v="5"/>
    <n v="214"/>
    <n v="0.05"/>
    <x v="463"/>
    <n v="586.41"/>
    <n v="430.09"/>
    <s v="UPI"/>
    <s v="Aarav"/>
  </r>
  <r>
    <x v="465"/>
    <x v="266"/>
    <s v="Hyderabad"/>
    <x v="0"/>
    <x v="4"/>
    <x v="13"/>
    <x v="1"/>
    <s v="Corporate"/>
    <n v="1"/>
    <n v="14522"/>
    <n v="0"/>
    <x v="464"/>
    <n v="11556.14"/>
    <n v="2965.86"/>
    <s v="Cash"/>
    <s v="Rohan"/>
  </r>
  <r>
    <x v="466"/>
    <x v="58"/>
    <s v="Hyderabad"/>
    <x v="0"/>
    <x v="5"/>
    <x v="6"/>
    <x v="2"/>
    <s v="Consumer"/>
    <n v="4"/>
    <n v="38170"/>
    <n v="0.05"/>
    <x v="465"/>
    <n v="113178.7"/>
    <n v="31867.3"/>
    <s v="Debit Card"/>
    <s v="Vikram"/>
  </r>
  <r>
    <x v="467"/>
    <x v="212"/>
    <s v="Mumbai"/>
    <x v="2"/>
    <x v="0"/>
    <x v="23"/>
    <x v="1"/>
    <s v="Corporate"/>
    <n v="6"/>
    <n v="1436"/>
    <n v="0.1"/>
    <x v="466"/>
    <n v="4430.99"/>
    <n v="3323.41"/>
    <s v="Net Banking"/>
    <s v="Vikram"/>
  </r>
  <r>
    <x v="468"/>
    <x v="267"/>
    <s v="Pune"/>
    <x v="2"/>
    <x v="3"/>
    <x v="34"/>
    <x v="0"/>
    <s v="Consumer"/>
    <n v="7"/>
    <n v="1805"/>
    <n v="0.15"/>
    <x v="467"/>
    <n v="9139.83"/>
    <n v="1599.92"/>
    <s v="Net Banking"/>
    <s v="Vikram"/>
  </r>
  <r>
    <x v="469"/>
    <x v="268"/>
    <s v="Bengaluru"/>
    <x v="0"/>
    <x v="6"/>
    <x v="33"/>
    <x v="0"/>
    <s v="Corporate"/>
    <n v="3"/>
    <n v="1544"/>
    <n v="0.05"/>
    <x v="468"/>
    <n v="3332.89"/>
    <n v="1067.51"/>
    <s v="Net Banking"/>
    <s v="Vikram"/>
  </r>
  <r>
    <x v="470"/>
    <x v="269"/>
    <s v="Kolkata"/>
    <x v="1"/>
    <x v="1"/>
    <x v="22"/>
    <x v="2"/>
    <s v="Consumer"/>
    <n v="4"/>
    <n v="8447"/>
    <n v="0.15"/>
    <x v="469"/>
    <n v="20000.560000000001"/>
    <n v="8719.24"/>
    <s v="UPI"/>
    <s v="Anaya"/>
  </r>
  <r>
    <x v="471"/>
    <x v="20"/>
    <s v="Chennai"/>
    <x v="0"/>
    <x v="4"/>
    <x v="31"/>
    <x v="0"/>
    <s v="Consumer"/>
    <n v="8"/>
    <n v="18815"/>
    <n v="0.1"/>
    <x v="470"/>
    <n v="83818.34"/>
    <n v="51649.66"/>
    <s v="UPI"/>
    <s v="Vikram"/>
  </r>
  <r>
    <x v="472"/>
    <x v="270"/>
    <s v="Delhi"/>
    <x v="3"/>
    <x v="2"/>
    <x v="29"/>
    <x v="1"/>
    <s v="Corporate"/>
    <n v="7"/>
    <n v="38881"/>
    <n v="0.1"/>
    <x v="471"/>
    <n v="143040.85"/>
    <n v="101909.45"/>
    <s v="UPI"/>
    <s v="Anaya"/>
  </r>
  <r>
    <x v="473"/>
    <x v="23"/>
    <s v="Mumbai"/>
    <x v="2"/>
    <x v="0"/>
    <x v="0"/>
    <x v="2"/>
    <s v="Small Business"/>
    <n v="2"/>
    <n v="2122"/>
    <n v="0.1"/>
    <x v="472"/>
    <n v="2578.09"/>
    <n v="1241.51"/>
    <s v="Net Banking"/>
    <s v="Anaya"/>
  </r>
  <r>
    <x v="474"/>
    <x v="82"/>
    <s v="Hyderabad"/>
    <x v="0"/>
    <x v="5"/>
    <x v="11"/>
    <x v="1"/>
    <s v="Corporate"/>
    <n v="3"/>
    <n v="10853"/>
    <n v="0.15"/>
    <x v="473"/>
    <n v="24325.360000000001"/>
    <n v="3349.79"/>
    <s v="UPI"/>
    <s v="Rohan"/>
  </r>
  <r>
    <x v="475"/>
    <x v="271"/>
    <s v="Pune"/>
    <x v="2"/>
    <x v="3"/>
    <x v="12"/>
    <x v="0"/>
    <s v="Small Business"/>
    <n v="1"/>
    <n v="257"/>
    <n v="0.15"/>
    <x v="474"/>
    <n v="124.14"/>
    <n v="94.31"/>
    <s v="Debit Card"/>
    <s v="Aarav"/>
  </r>
  <r>
    <x v="476"/>
    <x v="272"/>
    <s v="Hyderabad"/>
    <x v="0"/>
    <x v="4"/>
    <x v="14"/>
    <x v="2"/>
    <s v="Consumer"/>
    <n v="6"/>
    <n v="16938"/>
    <n v="0.1"/>
    <x v="475"/>
    <n v="53839.28"/>
    <n v="37625.919999999998"/>
    <s v="Debit Card"/>
    <s v="Kabir"/>
  </r>
  <r>
    <x v="477"/>
    <x v="105"/>
    <s v="Delhi"/>
    <x v="3"/>
    <x v="5"/>
    <x v="17"/>
    <x v="1"/>
    <s v="Consumer"/>
    <n v="4"/>
    <n v="44995"/>
    <n v="0.05"/>
    <x v="476"/>
    <n v="106322.98"/>
    <n v="64658.02"/>
    <s v="Cash"/>
    <s v="Anaya"/>
  </r>
  <r>
    <x v="478"/>
    <x v="68"/>
    <s v="Mumbai"/>
    <x v="2"/>
    <x v="0"/>
    <x v="23"/>
    <x v="1"/>
    <s v="Consumer"/>
    <n v="1"/>
    <n v="2138"/>
    <n v="0"/>
    <x v="477"/>
    <n v="1640.43"/>
    <n v="497.57"/>
    <s v="Debit Card"/>
    <s v="Diya"/>
  </r>
  <r>
    <x v="479"/>
    <x v="60"/>
    <s v="Mumbai"/>
    <x v="2"/>
    <x v="2"/>
    <x v="5"/>
    <x v="2"/>
    <s v="Small Business"/>
    <n v="2"/>
    <n v="43938"/>
    <n v="0"/>
    <x v="478"/>
    <n v="63906.73"/>
    <n v="23969.27"/>
    <s v="Cash"/>
    <s v="Kabir"/>
  </r>
  <r>
    <x v="480"/>
    <x v="250"/>
    <s v="Chennai"/>
    <x v="0"/>
    <x v="0"/>
    <x v="28"/>
    <x v="2"/>
    <s v="Consumer"/>
    <n v="5"/>
    <n v="2356"/>
    <n v="0.1"/>
    <x v="479"/>
    <n v="8985.6"/>
    <n v="1616.4"/>
    <s v="Credit Card"/>
    <s v="Vikram"/>
  </r>
  <r>
    <x v="481"/>
    <x v="0"/>
    <s v="Kolkata"/>
    <x v="1"/>
    <x v="5"/>
    <x v="6"/>
    <x v="1"/>
    <s v="Consumer"/>
    <n v="3"/>
    <n v="41174"/>
    <n v="0.05"/>
    <x v="480"/>
    <n v="84638.92"/>
    <n v="32706.98"/>
    <s v="UPI"/>
    <s v="Vikram"/>
  </r>
  <r>
    <x v="482"/>
    <x v="248"/>
    <s v="Bengaluru"/>
    <x v="0"/>
    <x v="4"/>
    <x v="4"/>
    <x v="1"/>
    <s v="Consumer"/>
    <n v="4"/>
    <n v="12308"/>
    <n v="0.05"/>
    <x v="481"/>
    <n v="26540.75"/>
    <n v="20229.650000000001"/>
    <s v="Credit Card"/>
    <s v="Rohan"/>
  </r>
  <r>
    <x v="483"/>
    <x v="36"/>
    <s v="Delhi"/>
    <x v="3"/>
    <x v="2"/>
    <x v="29"/>
    <x v="1"/>
    <s v="Small Business"/>
    <n v="7"/>
    <n v="67701"/>
    <n v="0.2"/>
    <x v="482"/>
    <n v="311811.52"/>
    <n v="67314.080000000002"/>
    <s v="UPI"/>
    <s v="Kabir"/>
  </r>
  <r>
    <x v="484"/>
    <x v="273"/>
    <s v="Ahmedabad"/>
    <x v="2"/>
    <x v="1"/>
    <x v="18"/>
    <x v="0"/>
    <s v="Small Business"/>
    <n v="2"/>
    <n v="9180"/>
    <n v="0.05"/>
    <x v="483"/>
    <n v="11329.43"/>
    <n v="6112.57"/>
    <s v="UPI"/>
    <s v="Sara"/>
  </r>
  <r>
    <x v="485"/>
    <x v="274"/>
    <s v="Kolkata"/>
    <x v="1"/>
    <x v="3"/>
    <x v="3"/>
    <x v="2"/>
    <s v="Corporate"/>
    <n v="4"/>
    <n v="2324"/>
    <n v="0"/>
    <x v="484"/>
    <n v="6708.41"/>
    <n v="2587.59"/>
    <s v="Credit Card"/>
    <s v="Kabir"/>
  </r>
  <r>
    <x v="486"/>
    <x v="176"/>
    <s v="Ahmedabad"/>
    <x v="2"/>
    <x v="5"/>
    <x v="24"/>
    <x v="0"/>
    <s v="Corporate"/>
    <n v="2"/>
    <n v="43593"/>
    <n v="0.1"/>
    <x v="485"/>
    <n v="58439.09"/>
    <n v="20028.310000000001"/>
    <s v="Debit Card"/>
    <s v="Anaya"/>
  </r>
  <r>
    <x v="487"/>
    <x v="270"/>
    <s v="Bengaluru"/>
    <x v="0"/>
    <x v="1"/>
    <x v="7"/>
    <x v="0"/>
    <s v="Small Business"/>
    <n v="2"/>
    <n v="4405"/>
    <n v="0.1"/>
    <x v="486"/>
    <n v="6191.31"/>
    <n v="1737.69"/>
    <s v="UPI"/>
    <s v="Rohan"/>
  </r>
  <r>
    <x v="488"/>
    <x v="45"/>
    <s v="Ahmedabad"/>
    <x v="2"/>
    <x v="2"/>
    <x v="9"/>
    <x v="0"/>
    <s v="Consumer"/>
    <n v="1"/>
    <n v="13541"/>
    <n v="0.15"/>
    <x v="487"/>
    <n v="7347.09"/>
    <n v="4162.76"/>
    <s v="Cash"/>
    <s v="Meera"/>
  </r>
  <r>
    <x v="489"/>
    <x v="157"/>
    <s v="Mumbai"/>
    <x v="2"/>
    <x v="2"/>
    <x v="29"/>
    <x v="2"/>
    <s v="Small Business"/>
    <n v="2"/>
    <n v="22890"/>
    <n v="0"/>
    <x v="488"/>
    <n v="31493.42"/>
    <n v="14286.58"/>
    <s v="Credit Card"/>
    <s v="Rohan"/>
  </r>
  <r>
    <x v="490"/>
    <x v="131"/>
    <s v="Bengaluru"/>
    <x v="0"/>
    <x v="2"/>
    <x v="2"/>
    <x v="2"/>
    <s v="Consumer"/>
    <n v="2"/>
    <n v="25624"/>
    <n v="0"/>
    <x v="489"/>
    <n v="34031.589999999997"/>
    <n v="17216.41"/>
    <s v="Debit Card"/>
    <s v="Anaya"/>
  </r>
  <r>
    <x v="491"/>
    <x v="192"/>
    <s v="Bengaluru"/>
    <x v="0"/>
    <x v="6"/>
    <x v="33"/>
    <x v="0"/>
    <s v="Corporate"/>
    <n v="2"/>
    <n v="1336"/>
    <n v="0.1"/>
    <x v="490"/>
    <n v="1335.44"/>
    <n v="1069.3599999999999"/>
    <s v="Cash"/>
    <s v="Rohan"/>
  </r>
  <r>
    <x v="492"/>
    <x v="157"/>
    <s v="Chennai"/>
    <x v="0"/>
    <x v="1"/>
    <x v="18"/>
    <x v="2"/>
    <s v="Consumer"/>
    <n v="7"/>
    <n v="6569"/>
    <n v="0.05"/>
    <x v="491"/>
    <n v="35686.36"/>
    <n v="7997.49"/>
    <s v="Cash"/>
    <s v="Kabir"/>
  </r>
  <r>
    <x v="493"/>
    <x v="115"/>
    <s v="Delhi"/>
    <x v="3"/>
    <x v="2"/>
    <x v="21"/>
    <x v="2"/>
    <s v="Small Business"/>
    <n v="1"/>
    <n v="63279"/>
    <n v="0"/>
    <x v="492"/>
    <n v="49606.75"/>
    <n v="13672.25"/>
    <s v="UPI"/>
    <s v="Sara"/>
  </r>
  <r>
    <x v="494"/>
    <x v="87"/>
    <s v="Hyderabad"/>
    <x v="0"/>
    <x v="0"/>
    <x v="28"/>
    <x v="1"/>
    <s v="Consumer"/>
    <n v="8"/>
    <n v="271"/>
    <n v="0"/>
    <x v="493"/>
    <n v="1433.76"/>
    <n v="734.24"/>
    <s v="UPI"/>
    <s v="Diya"/>
  </r>
  <r>
    <x v="495"/>
    <x v="58"/>
    <s v="Delhi"/>
    <x v="3"/>
    <x v="3"/>
    <x v="12"/>
    <x v="2"/>
    <s v="Consumer"/>
    <n v="3"/>
    <n v="1627"/>
    <n v="0"/>
    <x v="494"/>
    <n v="3068.1"/>
    <n v="1812.9"/>
    <s v="Credit Card"/>
    <s v="Kabir"/>
  </r>
  <r>
    <x v="496"/>
    <x v="275"/>
    <s v="Bengaluru"/>
    <x v="0"/>
    <x v="2"/>
    <x v="9"/>
    <x v="1"/>
    <s v="Small Business"/>
    <n v="2"/>
    <n v="16901"/>
    <n v="0.05"/>
    <x v="495"/>
    <n v="23573.35"/>
    <n v="8538.5499999999993"/>
    <s v="Cash"/>
    <s v="Aarav"/>
  </r>
  <r>
    <x v="497"/>
    <x v="2"/>
    <s v="Mumbai"/>
    <x v="2"/>
    <x v="4"/>
    <x v="13"/>
    <x v="0"/>
    <s v="Corporate"/>
    <n v="4"/>
    <n v="23522"/>
    <n v="0.2"/>
    <x v="496"/>
    <n v="47168.62"/>
    <n v="28101.78"/>
    <s v="Cash"/>
    <s v="Anaya"/>
  </r>
  <r>
    <x v="498"/>
    <x v="268"/>
    <s v="Kolkata"/>
    <x v="1"/>
    <x v="1"/>
    <x v="18"/>
    <x v="1"/>
    <s v="Consumer"/>
    <n v="8"/>
    <n v="6041"/>
    <n v="0"/>
    <x v="497"/>
    <n v="33376.300000000003"/>
    <n v="14951.7"/>
    <s v="Cash"/>
    <s v="Meera"/>
  </r>
  <r>
    <x v="499"/>
    <x v="276"/>
    <s v="Delhi"/>
    <x v="3"/>
    <x v="0"/>
    <x v="26"/>
    <x v="1"/>
    <s v="Consumer"/>
    <n v="2"/>
    <n v="1369"/>
    <n v="0.05"/>
    <x v="498"/>
    <n v="1772.64"/>
    <n v="828.46"/>
    <s v="UPI"/>
    <s v="Meera"/>
  </r>
  <r>
    <x v="500"/>
    <x v="263"/>
    <s v="Ahmedabad"/>
    <x v="2"/>
    <x v="6"/>
    <x v="30"/>
    <x v="0"/>
    <s v="Consumer"/>
    <n v="1"/>
    <n v="5237"/>
    <n v="0.05"/>
    <x v="499"/>
    <n v="4049.27"/>
    <n v="925.88"/>
    <s v="Credit Card"/>
    <s v="Anaya"/>
  </r>
  <r>
    <x v="501"/>
    <x v="277"/>
    <s v="Pune"/>
    <x v="2"/>
    <x v="6"/>
    <x v="16"/>
    <x v="2"/>
    <s v="Small Business"/>
    <n v="3"/>
    <n v="1039"/>
    <n v="0.15"/>
    <x v="500"/>
    <n v="2156.79"/>
    <n v="492.66"/>
    <s v="Credit Card"/>
    <s v="Sara"/>
  </r>
  <r>
    <x v="502"/>
    <x v="202"/>
    <s v="Mumbai"/>
    <x v="2"/>
    <x v="4"/>
    <x v="4"/>
    <x v="1"/>
    <s v="Corporate"/>
    <n v="8"/>
    <n v="11172"/>
    <n v="0.05"/>
    <x v="501"/>
    <n v="72901.52"/>
    <n v="12005.68"/>
    <s v="Debit Card"/>
    <s v="Vikram"/>
  </r>
  <r>
    <x v="503"/>
    <x v="247"/>
    <s v="Bengaluru"/>
    <x v="0"/>
    <x v="6"/>
    <x v="30"/>
    <x v="0"/>
    <s v="Corporate"/>
    <n v="4"/>
    <n v="3039"/>
    <n v="0.1"/>
    <x v="502"/>
    <n v="7212.21"/>
    <n v="3728.19"/>
    <s v="Cash"/>
    <s v="Rohan"/>
  </r>
  <r>
    <x v="504"/>
    <x v="146"/>
    <s v="Mumbai"/>
    <x v="2"/>
    <x v="4"/>
    <x v="13"/>
    <x v="2"/>
    <s v="Consumer"/>
    <n v="3"/>
    <n v="6498"/>
    <n v="0.1"/>
    <x v="503"/>
    <n v="10065.85"/>
    <n v="7478.75"/>
    <s v="Debit Card"/>
    <s v="Vikram"/>
  </r>
  <r>
    <x v="505"/>
    <x v="196"/>
    <s v="Pune"/>
    <x v="2"/>
    <x v="3"/>
    <x v="15"/>
    <x v="2"/>
    <s v="Corporate"/>
    <n v="1"/>
    <n v="767"/>
    <n v="0"/>
    <x v="504"/>
    <n v="578.78"/>
    <n v="188.22"/>
    <s v="Debit Card"/>
    <s v="Aarav"/>
  </r>
  <r>
    <x v="506"/>
    <x v="9"/>
    <s v="Mumbai"/>
    <x v="2"/>
    <x v="1"/>
    <x v="1"/>
    <x v="1"/>
    <s v="Consumer"/>
    <n v="4"/>
    <n v="4877"/>
    <n v="0"/>
    <x v="505"/>
    <n v="16759.29"/>
    <n v="2748.71"/>
    <s v="Debit Card"/>
    <s v="Diya"/>
  </r>
  <r>
    <x v="507"/>
    <x v="260"/>
    <s v="Delhi"/>
    <x v="3"/>
    <x v="5"/>
    <x v="6"/>
    <x v="0"/>
    <s v="Consumer"/>
    <n v="2"/>
    <n v="13794"/>
    <n v="0.05"/>
    <x v="506"/>
    <n v="18062.59"/>
    <n v="8146.01"/>
    <s v="Debit Card"/>
    <s v="Anaya"/>
  </r>
  <r>
    <x v="508"/>
    <x v="47"/>
    <s v="Hyderabad"/>
    <x v="0"/>
    <x v="5"/>
    <x v="24"/>
    <x v="0"/>
    <s v="Small Business"/>
    <n v="4"/>
    <n v="17748"/>
    <n v="0.05"/>
    <x v="507"/>
    <n v="58856.42"/>
    <n v="8585.98"/>
    <s v="Net Banking"/>
    <s v="Vikram"/>
  </r>
  <r>
    <x v="509"/>
    <x v="7"/>
    <s v="Mumbai"/>
    <x v="2"/>
    <x v="3"/>
    <x v="34"/>
    <x v="1"/>
    <s v="Consumer"/>
    <n v="4"/>
    <n v="1875"/>
    <n v="0.15"/>
    <x v="508"/>
    <n v="4662.1099999999997"/>
    <n v="1712.89"/>
    <s v="Cash"/>
    <s v="Meera"/>
  </r>
  <r>
    <x v="510"/>
    <x v="278"/>
    <s v="Hyderabad"/>
    <x v="0"/>
    <x v="4"/>
    <x v="4"/>
    <x v="1"/>
    <s v="Corporate"/>
    <n v="5"/>
    <n v="24608"/>
    <n v="0.05"/>
    <x v="509"/>
    <n v="95608.46"/>
    <n v="21279.54"/>
    <s v="Net Banking"/>
    <s v="Anaya"/>
  </r>
  <r>
    <x v="511"/>
    <x v="80"/>
    <s v="Mumbai"/>
    <x v="2"/>
    <x v="2"/>
    <x v="21"/>
    <x v="1"/>
    <s v="Corporate"/>
    <n v="8"/>
    <n v="52121"/>
    <n v="0.15"/>
    <x v="510"/>
    <n v="205822.31"/>
    <n v="148600.49"/>
    <s v="Debit Card"/>
    <s v="Rohan"/>
  </r>
  <r>
    <x v="512"/>
    <x v="279"/>
    <s v="Hyderabad"/>
    <x v="0"/>
    <x v="5"/>
    <x v="25"/>
    <x v="1"/>
    <s v="Corporate"/>
    <n v="3"/>
    <n v="20705"/>
    <n v="0.1"/>
    <x v="511"/>
    <n v="47402.46"/>
    <n v="8501.0400000000009"/>
    <s v="Cash"/>
    <s v="Diya"/>
  </r>
  <r>
    <x v="513"/>
    <x v="82"/>
    <s v="Bengaluru"/>
    <x v="0"/>
    <x v="1"/>
    <x v="22"/>
    <x v="1"/>
    <s v="Consumer"/>
    <n v="6"/>
    <n v="10179"/>
    <n v="0.1"/>
    <x v="512"/>
    <n v="39458.78"/>
    <n v="15507.82"/>
    <s v="UPI"/>
    <s v="Diya"/>
  </r>
  <r>
    <x v="514"/>
    <x v="56"/>
    <s v="Pune"/>
    <x v="2"/>
    <x v="0"/>
    <x v="28"/>
    <x v="2"/>
    <s v="Small Business"/>
    <n v="1"/>
    <n v="1234"/>
    <n v="0"/>
    <x v="513"/>
    <n v="1056.81"/>
    <n v="177.19"/>
    <s v="UPI"/>
    <s v="Diya"/>
  </r>
  <r>
    <x v="515"/>
    <x v="280"/>
    <s v="Hyderabad"/>
    <x v="0"/>
    <x v="0"/>
    <x v="26"/>
    <x v="0"/>
    <s v="Consumer"/>
    <n v="3"/>
    <n v="2184"/>
    <n v="0.05"/>
    <x v="514"/>
    <n v="4134.34"/>
    <n v="2090.06"/>
    <s v="Cash"/>
    <s v="Sara"/>
  </r>
  <r>
    <x v="516"/>
    <x v="117"/>
    <s v="Pune"/>
    <x v="2"/>
    <x v="2"/>
    <x v="29"/>
    <x v="1"/>
    <s v="Corporate"/>
    <n v="1"/>
    <n v="47746"/>
    <n v="0.15"/>
    <x v="515"/>
    <n v="23303.02"/>
    <n v="17281.080000000002"/>
    <s v="Cash"/>
    <s v="Aarav"/>
  </r>
  <r>
    <x v="517"/>
    <x v="232"/>
    <s v="Kolkata"/>
    <x v="1"/>
    <x v="6"/>
    <x v="8"/>
    <x v="0"/>
    <s v="Corporate"/>
    <n v="7"/>
    <n v="4909"/>
    <n v="0.1"/>
    <x v="516"/>
    <n v="22998.13"/>
    <n v="7928.57"/>
    <s v="Credit Card"/>
    <s v="Sara"/>
  </r>
  <r>
    <x v="518"/>
    <x v="60"/>
    <s v="Kolkata"/>
    <x v="1"/>
    <x v="2"/>
    <x v="5"/>
    <x v="1"/>
    <s v="Small Business"/>
    <n v="5"/>
    <n v="7412"/>
    <n v="0"/>
    <x v="517"/>
    <n v="22892.400000000001"/>
    <n v="14167.6"/>
    <s v="Net Banking"/>
    <s v="Rohan"/>
  </r>
  <r>
    <x v="519"/>
    <x v="2"/>
    <s v="Ahmedabad"/>
    <x v="2"/>
    <x v="0"/>
    <x v="26"/>
    <x v="2"/>
    <s v="Consumer"/>
    <n v="6"/>
    <n v="1310"/>
    <n v="0.1"/>
    <x v="518"/>
    <n v="5471.32"/>
    <n v="1602.68"/>
    <s v="Debit Card"/>
    <s v="Anaya"/>
  </r>
  <r>
    <x v="520"/>
    <x v="281"/>
    <s v="Ahmedabad"/>
    <x v="2"/>
    <x v="0"/>
    <x v="26"/>
    <x v="1"/>
    <s v="Consumer"/>
    <n v="8"/>
    <n v="1424"/>
    <n v="0"/>
    <x v="519"/>
    <n v="9728.58"/>
    <n v="1663.42"/>
    <s v="Credit Card"/>
    <s v="Aarav"/>
  </r>
  <r>
    <x v="521"/>
    <x v="0"/>
    <s v="Delhi"/>
    <x v="3"/>
    <x v="3"/>
    <x v="15"/>
    <x v="0"/>
    <s v="Consumer"/>
    <n v="4"/>
    <n v="763"/>
    <n v="0.05"/>
    <x v="520"/>
    <n v="1631.01"/>
    <n v="1268.3900000000001"/>
    <s v="Cash"/>
    <s v="Anaya"/>
  </r>
  <r>
    <x v="522"/>
    <x v="179"/>
    <s v="Delhi"/>
    <x v="3"/>
    <x v="0"/>
    <x v="19"/>
    <x v="2"/>
    <s v="Corporate"/>
    <n v="2"/>
    <n v="283"/>
    <n v="0"/>
    <x v="521"/>
    <n v="490.43"/>
    <n v="75.569999999999993"/>
    <s v="Cash"/>
    <s v="Vikram"/>
  </r>
  <r>
    <x v="523"/>
    <x v="252"/>
    <s v="Bengaluru"/>
    <x v="0"/>
    <x v="2"/>
    <x v="29"/>
    <x v="0"/>
    <s v="Consumer"/>
    <n v="2"/>
    <n v="38912"/>
    <n v="0.1"/>
    <x v="522"/>
    <n v="59512.08"/>
    <n v="10529.52"/>
    <s v="Credit Card"/>
    <s v="Rohan"/>
  </r>
  <r>
    <x v="524"/>
    <x v="136"/>
    <s v="Mumbai"/>
    <x v="2"/>
    <x v="6"/>
    <x v="8"/>
    <x v="1"/>
    <s v="Corporate"/>
    <n v="8"/>
    <n v="4687"/>
    <n v="0.1"/>
    <x v="523"/>
    <n v="19337.830000000002"/>
    <n v="14408.57"/>
    <s v="Credit Card"/>
    <s v="Kabir"/>
  </r>
  <r>
    <x v="525"/>
    <x v="204"/>
    <s v="Ahmedabad"/>
    <x v="2"/>
    <x v="1"/>
    <x v="1"/>
    <x v="0"/>
    <s v="Corporate"/>
    <n v="3"/>
    <n v="7836"/>
    <n v="0.15"/>
    <x v="524"/>
    <n v="11864.18"/>
    <n v="8117.62"/>
    <s v="UPI"/>
    <s v="Kabir"/>
  </r>
  <r>
    <x v="526"/>
    <x v="100"/>
    <s v="Chennai"/>
    <x v="0"/>
    <x v="1"/>
    <x v="10"/>
    <x v="0"/>
    <s v="Small Business"/>
    <n v="5"/>
    <n v="5230"/>
    <n v="0.15"/>
    <x v="525"/>
    <n v="16511.150000000001"/>
    <n v="5716.35"/>
    <s v="Cash"/>
    <s v="Aarav"/>
  </r>
  <r>
    <x v="527"/>
    <x v="282"/>
    <s v="Chennai"/>
    <x v="0"/>
    <x v="1"/>
    <x v="1"/>
    <x v="1"/>
    <s v="Consumer"/>
    <n v="2"/>
    <n v="10250"/>
    <n v="0.1"/>
    <x v="526"/>
    <n v="11827.49"/>
    <n v="6622.51"/>
    <s v="Debit Card"/>
    <s v="Meera"/>
  </r>
  <r>
    <x v="528"/>
    <x v="211"/>
    <s v="Delhi"/>
    <x v="3"/>
    <x v="5"/>
    <x v="17"/>
    <x v="0"/>
    <s v="Consumer"/>
    <n v="3"/>
    <n v="11871"/>
    <n v="0.2"/>
    <x v="527"/>
    <n v="16936.59"/>
    <n v="11553.81"/>
    <s v="Cash"/>
    <s v="Diya"/>
  </r>
  <r>
    <x v="529"/>
    <x v="75"/>
    <s v="Bengaluru"/>
    <x v="0"/>
    <x v="2"/>
    <x v="21"/>
    <x v="1"/>
    <s v="Small Business"/>
    <n v="1"/>
    <n v="30881"/>
    <n v="0.15"/>
    <x v="528"/>
    <n v="16715.32"/>
    <n v="9533.5300000000007"/>
    <s v="Credit Card"/>
    <s v="Kabir"/>
  </r>
  <r>
    <x v="530"/>
    <x v="243"/>
    <s v="Hyderabad"/>
    <x v="0"/>
    <x v="0"/>
    <x v="23"/>
    <x v="0"/>
    <s v="Corporate"/>
    <n v="6"/>
    <n v="1302"/>
    <n v="0.1"/>
    <x v="529"/>
    <n v="4842.18"/>
    <n v="2188.62"/>
    <s v="UPI"/>
    <s v="Vikram"/>
  </r>
  <r>
    <x v="531"/>
    <x v="274"/>
    <s v="Mumbai"/>
    <x v="2"/>
    <x v="1"/>
    <x v="22"/>
    <x v="1"/>
    <s v="Corporate"/>
    <n v="4"/>
    <n v="3518"/>
    <n v="0.2"/>
    <x v="530"/>
    <n v="7821.4"/>
    <n v="3436.2"/>
    <s v="Cash"/>
    <s v="Anaya"/>
  </r>
  <r>
    <x v="532"/>
    <x v="175"/>
    <s v="Kolkata"/>
    <x v="1"/>
    <x v="3"/>
    <x v="32"/>
    <x v="1"/>
    <s v="Small Business"/>
    <n v="6"/>
    <n v="2052"/>
    <n v="0.15"/>
    <x v="531"/>
    <n v="7026.24"/>
    <n v="3438.96"/>
    <s v="Credit Card"/>
    <s v="Aarav"/>
  </r>
  <r>
    <x v="533"/>
    <x v="283"/>
    <s v="Chennai"/>
    <x v="0"/>
    <x v="0"/>
    <x v="19"/>
    <x v="1"/>
    <s v="Consumer"/>
    <n v="2"/>
    <n v="2294"/>
    <n v="0.15"/>
    <x v="532"/>
    <n v="2354.5300000000002"/>
    <n v="1545.27"/>
    <s v="UPI"/>
    <s v="Kabir"/>
  </r>
  <r>
    <x v="534"/>
    <x v="205"/>
    <s v="Ahmedabad"/>
    <x v="2"/>
    <x v="5"/>
    <x v="17"/>
    <x v="1"/>
    <s v="Corporate"/>
    <n v="3"/>
    <n v="6247"/>
    <n v="0.1"/>
    <x v="533"/>
    <n v="11090.11"/>
    <n v="5776.79"/>
    <s v="Net Banking"/>
    <s v="Sara"/>
  </r>
  <r>
    <x v="535"/>
    <x v="243"/>
    <s v="Chennai"/>
    <x v="0"/>
    <x v="6"/>
    <x v="30"/>
    <x v="2"/>
    <s v="Consumer"/>
    <n v="2"/>
    <n v="2485"/>
    <n v="0"/>
    <x v="534"/>
    <n v="3439.03"/>
    <n v="1530.97"/>
    <s v="Net Banking"/>
    <s v="Meera"/>
  </r>
  <r>
    <x v="536"/>
    <x v="284"/>
    <s v="Ahmedabad"/>
    <x v="2"/>
    <x v="2"/>
    <x v="21"/>
    <x v="0"/>
    <s v="Consumer"/>
    <n v="2"/>
    <n v="42920"/>
    <n v="0.1"/>
    <x v="535"/>
    <n v="49718.67"/>
    <n v="27537.33"/>
    <s v="Cash"/>
    <s v="Rohan"/>
  </r>
  <r>
    <x v="537"/>
    <x v="153"/>
    <s v="Mumbai"/>
    <x v="2"/>
    <x v="2"/>
    <x v="21"/>
    <x v="2"/>
    <s v="Consumer"/>
    <n v="1"/>
    <n v="67292"/>
    <n v="0.1"/>
    <x v="536"/>
    <n v="35888.43"/>
    <n v="24674.37"/>
    <s v="UPI"/>
    <s v="Aarav"/>
  </r>
  <r>
    <x v="538"/>
    <x v="285"/>
    <s v="Mumbai"/>
    <x v="2"/>
    <x v="4"/>
    <x v="14"/>
    <x v="2"/>
    <s v="Consumer"/>
    <n v="3"/>
    <n v="18560"/>
    <n v="0.05"/>
    <x v="537"/>
    <n v="35421.94"/>
    <n v="17474.060000000001"/>
    <s v="Credit Card"/>
    <s v="Aarav"/>
  </r>
  <r>
    <x v="539"/>
    <x v="286"/>
    <s v="Ahmedabad"/>
    <x v="2"/>
    <x v="1"/>
    <x v="18"/>
    <x v="1"/>
    <s v="Small Business"/>
    <n v="1"/>
    <n v="4014"/>
    <n v="0"/>
    <x v="538"/>
    <n v="2970.89"/>
    <n v="1043.1099999999999"/>
    <s v="Net Banking"/>
    <s v="Kabir"/>
  </r>
  <r>
    <x v="540"/>
    <x v="287"/>
    <s v="Mumbai"/>
    <x v="2"/>
    <x v="6"/>
    <x v="33"/>
    <x v="0"/>
    <s v="Corporate"/>
    <n v="8"/>
    <n v="4201"/>
    <n v="0.05"/>
    <x v="539"/>
    <n v="22036.22"/>
    <n v="9891.3799999999992"/>
    <s v="Debit Card"/>
    <s v="Aarav"/>
  </r>
  <r>
    <x v="541"/>
    <x v="14"/>
    <s v="Hyderabad"/>
    <x v="0"/>
    <x v="5"/>
    <x v="24"/>
    <x v="2"/>
    <s v="Small Business"/>
    <n v="5"/>
    <n v="15431"/>
    <n v="0.2"/>
    <x v="540"/>
    <n v="53212.61"/>
    <n v="8511.39"/>
    <s v="Credit Card"/>
    <s v="Vikram"/>
  </r>
  <r>
    <x v="542"/>
    <x v="214"/>
    <s v="Delhi"/>
    <x v="3"/>
    <x v="3"/>
    <x v="34"/>
    <x v="2"/>
    <s v="Corporate"/>
    <n v="5"/>
    <n v="1720"/>
    <n v="0"/>
    <x v="541"/>
    <n v="7286.78"/>
    <n v="1313.22"/>
    <s v="Cash"/>
    <s v="Anaya"/>
  </r>
  <r>
    <x v="543"/>
    <x v="120"/>
    <s v="Bengaluru"/>
    <x v="0"/>
    <x v="2"/>
    <x v="21"/>
    <x v="2"/>
    <s v="Corporate"/>
    <n v="7"/>
    <n v="17331"/>
    <n v="0"/>
    <x v="542"/>
    <n v="83978.59"/>
    <n v="37338.410000000003"/>
    <s v="Net Banking"/>
    <s v="Vikram"/>
  </r>
  <r>
    <x v="544"/>
    <x v="237"/>
    <s v="Hyderabad"/>
    <x v="0"/>
    <x v="5"/>
    <x v="25"/>
    <x v="1"/>
    <s v="Small Business"/>
    <n v="6"/>
    <n v="3265"/>
    <n v="0.15"/>
    <x v="543"/>
    <n v="12106.82"/>
    <n v="4544.68"/>
    <s v="Debit Card"/>
    <s v="Aarav"/>
  </r>
  <r>
    <x v="545"/>
    <x v="20"/>
    <s v="Mumbai"/>
    <x v="2"/>
    <x v="5"/>
    <x v="25"/>
    <x v="0"/>
    <s v="Corporate"/>
    <n v="1"/>
    <n v="8399"/>
    <n v="0.1"/>
    <x v="544"/>
    <n v="5437.61"/>
    <n v="2121.4899999999998"/>
    <s v="UPI"/>
    <s v="Aarav"/>
  </r>
  <r>
    <x v="546"/>
    <x v="182"/>
    <s v="Delhi"/>
    <x v="3"/>
    <x v="6"/>
    <x v="20"/>
    <x v="0"/>
    <s v="Consumer"/>
    <n v="1"/>
    <n v="4169"/>
    <n v="0"/>
    <x v="545"/>
    <n v="3275.41"/>
    <n v="893.59"/>
    <s v="Cash"/>
    <s v="Diya"/>
  </r>
  <r>
    <x v="547"/>
    <x v="179"/>
    <s v="Delhi"/>
    <x v="3"/>
    <x v="5"/>
    <x v="6"/>
    <x v="0"/>
    <s v="Consumer"/>
    <n v="4"/>
    <n v="4486"/>
    <n v="0"/>
    <x v="546"/>
    <n v="12425.28"/>
    <n v="5518.72"/>
    <s v="Debit Card"/>
    <s v="Kabir"/>
  </r>
  <r>
    <x v="548"/>
    <x v="288"/>
    <s v="Kolkata"/>
    <x v="1"/>
    <x v="2"/>
    <x v="21"/>
    <x v="0"/>
    <s v="Consumer"/>
    <n v="4"/>
    <n v="49493"/>
    <n v="0.1"/>
    <x v="547"/>
    <n v="130771.42"/>
    <n v="47403.38"/>
    <s v="Net Banking"/>
    <s v="Kabir"/>
  </r>
  <r>
    <x v="549"/>
    <x v="263"/>
    <s v="Bengaluru"/>
    <x v="0"/>
    <x v="2"/>
    <x v="29"/>
    <x v="2"/>
    <s v="Small Business"/>
    <n v="3"/>
    <n v="24321"/>
    <n v="0.2"/>
    <x v="548"/>
    <n v="50609.23"/>
    <n v="7761.17"/>
    <s v="UPI"/>
    <s v="Sara"/>
  </r>
  <r>
    <x v="550"/>
    <x v="90"/>
    <s v="Bengaluru"/>
    <x v="0"/>
    <x v="5"/>
    <x v="11"/>
    <x v="2"/>
    <s v="Small Business"/>
    <n v="8"/>
    <n v="12111"/>
    <n v="0.05"/>
    <x v="549"/>
    <n v="75467.320000000007"/>
    <n v="16576.28"/>
    <s v="UPI"/>
    <s v="Anaya"/>
  </r>
  <r>
    <x v="551"/>
    <x v="82"/>
    <s v="Hyderabad"/>
    <x v="0"/>
    <x v="3"/>
    <x v="12"/>
    <x v="0"/>
    <s v="Small Business"/>
    <n v="8"/>
    <n v="688"/>
    <n v="0"/>
    <x v="550"/>
    <n v="4344.8999999999996"/>
    <n v="1159.0999999999999"/>
    <s v="Net Banking"/>
    <s v="Anaya"/>
  </r>
  <r>
    <x v="552"/>
    <x v="129"/>
    <s v="Kolkata"/>
    <x v="1"/>
    <x v="6"/>
    <x v="30"/>
    <x v="1"/>
    <s v="Small Business"/>
    <n v="5"/>
    <n v="1874"/>
    <n v="0.05"/>
    <x v="551"/>
    <n v="5520.71"/>
    <n v="3380.79"/>
    <s v="UPI"/>
    <s v="Rohan"/>
  </r>
  <r>
    <x v="553"/>
    <x v="10"/>
    <s v="Mumbai"/>
    <x v="2"/>
    <x v="0"/>
    <x v="19"/>
    <x v="1"/>
    <s v="Consumer"/>
    <n v="4"/>
    <n v="1142"/>
    <n v="0.05"/>
    <x v="552"/>
    <n v="3255.6"/>
    <n v="1084"/>
    <s v="Net Banking"/>
    <s v="Vikram"/>
  </r>
  <r>
    <x v="554"/>
    <x v="143"/>
    <s v="Mumbai"/>
    <x v="2"/>
    <x v="0"/>
    <x v="23"/>
    <x v="1"/>
    <s v="Small Business"/>
    <n v="6"/>
    <n v="770"/>
    <n v="0.2"/>
    <x v="553"/>
    <n v="3168.43"/>
    <n v="527.57000000000005"/>
    <s v="Credit Card"/>
    <s v="Aarav"/>
  </r>
  <r>
    <x v="555"/>
    <x v="92"/>
    <s v="Bengaluru"/>
    <x v="0"/>
    <x v="6"/>
    <x v="33"/>
    <x v="2"/>
    <s v="Consumer"/>
    <n v="7"/>
    <n v="4662"/>
    <n v="0.1"/>
    <x v="554"/>
    <n v="23801.45"/>
    <n v="5569.15"/>
    <s v="UPI"/>
    <s v="Aarav"/>
  </r>
  <r>
    <x v="556"/>
    <x v="237"/>
    <s v="Chennai"/>
    <x v="0"/>
    <x v="3"/>
    <x v="12"/>
    <x v="2"/>
    <s v="Corporate"/>
    <n v="1"/>
    <n v="991"/>
    <n v="0.1"/>
    <x v="555"/>
    <n v="521.53"/>
    <n v="370.37"/>
    <s v="Cash"/>
    <s v="Anaya"/>
  </r>
  <r>
    <x v="557"/>
    <x v="265"/>
    <s v="Bengaluru"/>
    <x v="0"/>
    <x v="6"/>
    <x v="8"/>
    <x v="0"/>
    <s v="Consumer"/>
    <n v="1"/>
    <n v="3051"/>
    <n v="0.1"/>
    <x v="556"/>
    <n v="2111.7399999999998"/>
    <n v="634.16"/>
    <s v="Net Banking"/>
    <s v="Meera"/>
  </r>
  <r>
    <x v="558"/>
    <x v="114"/>
    <s v="Ahmedabad"/>
    <x v="2"/>
    <x v="2"/>
    <x v="5"/>
    <x v="1"/>
    <s v="Small Business"/>
    <n v="6"/>
    <n v="21437"/>
    <n v="0.05"/>
    <x v="557"/>
    <n v="76228.41"/>
    <n v="45962.49"/>
    <s v="Debit Card"/>
    <s v="Meera"/>
  </r>
  <r>
    <x v="559"/>
    <x v="162"/>
    <s v="Hyderabad"/>
    <x v="0"/>
    <x v="6"/>
    <x v="16"/>
    <x v="2"/>
    <s v="Consumer"/>
    <n v="1"/>
    <n v="357"/>
    <n v="0.1"/>
    <x v="558"/>
    <n v="184.58"/>
    <n v="136.72"/>
    <s v="Net Banking"/>
    <s v="Kabir"/>
  </r>
  <r>
    <x v="560"/>
    <x v="289"/>
    <s v="Kolkata"/>
    <x v="1"/>
    <x v="4"/>
    <x v="13"/>
    <x v="2"/>
    <s v="Consumer"/>
    <n v="3"/>
    <n v="12908"/>
    <n v="0.05"/>
    <x v="559"/>
    <n v="22370.41"/>
    <n v="14417.39"/>
    <s v="UPI"/>
    <s v="Vikram"/>
  </r>
  <r>
    <x v="561"/>
    <x v="45"/>
    <s v="Kolkata"/>
    <x v="1"/>
    <x v="0"/>
    <x v="26"/>
    <x v="0"/>
    <s v="Consumer"/>
    <n v="7"/>
    <n v="2271"/>
    <n v="0"/>
    <x v="560"/>
    <n v="13602.62"/>
    <n v="2294.38"/>
    <s v="Net Banking"/>
    <s v="Anaya"/>
  </r>
  <r>
    <x v="562"/>
    <x v="138"/>
    <s v="Bengaluru"/>
    <x v="0"/>
    <x v="2"/>
    <x v="2"/>
    <x v="0"/>
    <s v="Consumer"/>
    <n v="3"/>
    <n v="30548"/>
    <n v="0.05"/>
    <x v="561"/>
    <n v="51121.14"/>
    <n v="35940.660000000003"/>
    <s v="UPI"/>
    <s v="Anaya"/>
  </r>
  <r>
    <x v="563"/>
    <x v="74"/>
    <s v="Kolkata"/>
    <x v="1"/>
    <x v="6"/>
    <x v="30"/>
    <x v="1"/>
    <s v="Consumer"/>
    <n v="7"/>
    <n v="1311"/>
    <n v="0.05"/>
    <x v="562"/>
    <n v="6055.96"/>
    <n v="2662.19"/>
    <s v="UPI"/>
    <s v="Vikram"/>
  </r>
  <r>
    <x v="564"/>
    <x v="259"/>
    <s v="Bengaluru"/>
    <x v="0"/>
    <x v="3"/>
    <x v="12"/>
    <x v="1"/>
    <s v="Small Business"/>
    <n v="8"/>
    <n v="1968"/>
    <n v="0.1"/>
    <x v="563"/>
    <n v="11142.79"/>
    <n v="3026.81"/>
    <s v="Net Banking"/>
    <s v="Aarav"/>
  </r>
  <r>
    <x v="565"/>
    <x v="101"/>
    <s v="Mumbai"/>
    <x v="2"/>
    <x v="0"/>
    <x v="28"/>
    <x v="1"/>
    <s v="Consumer"/>
    <n v="5"/>
    <n v="345"/>
    <n v="0.15"/>
    <x v="564"/>
    <n v="972.08"/>
    <n v="494.17"/>
    <s v="Debit Card"/>
    <s v="Diya"/>
  </r>
  <r>
    <x v="566"/>
    <x v="154"/>
    <s v="Ahmedabad"/>
    <x v="2"/>
    <x v="2"/>
    <x v="9"/>
    <x v="0"/>
    <s v="Small Business"/>
    <n v="5"/>
    <n v="7107"/>
    <n v="0"/>
    <x v="565"/>
    <n v="28551.29"/>
    <n v="6983.71"/>
    <s v="UPI"/>
    <s v="Meera"/>
  </r>
  <r>
    <x v="567"/>
    <x v="51"/>
    <s v="Kolkata"/>
    <x v="1"/>
    <x v="4"/>
    <x v="31"/>
    <x v="1"/>
    <s v="Consumer"/>
    <n v="1"/>
    <n v="6466"/>
    <n v="0.15"/>
    <x v="566"/>
    <n v="4650.78"/>
    <n v="845.32"/>
    <s v="UPI"/>
    <s v="Rohan"/>
  </r>
  <r>
    <x v="568"/>
    <x v="42"/>
    <s v="Hyderabad"/>
    <x v="0"/>
    <x v="1"/>
    <x v="18"/>
    <x v="2"/>
    <s v="Corporate"/>
    <n v="7"/>
    <n v="3480"/>
    <n v="0.05"/>
    <x v="567"/>
    <n v="16066.72"/>
    <n v="7075.28"/>
    <s v="Credit Card"/>
    <s v="Anaya"/>
  </r>
  <r>
    <x v="569"/>
    <x v="192"/>
    <s v="Ahmedabad"/>
    <x v="2"/>
    <x v="5"/>
    <x v="17"/>
    <x v="2"/>
    <s v="Small Business"/>
    <n v="2"/>
    <n v="15935"/>
    <n v="0.1"/>
    <x v="568"/>
    <n v="24562.71"/>
    <n v="4120.29"/>
    <s v="Debit Card"/>
    <s v="Aarav"/>
  </r>
  <r>
    <x v="570"/>
    <x v="29"/>
    <s v="Delhi"/>
    <x v="3"/>
    <x v="3"/>
    <x v="3"/>
    <x v="2"/>
    <s v="Consumer"/>
    <n v="3"/>
    <n v="2483"/>
    <n v="0"/>
    <x v="569"/>
    <n v="5732.3"/>
    <n v="1716.7"/>
    <s v="Credit Card"/>
    <s v="Vikram"/>
  </r>
  <r>
    <x v="571"/>
    <x v="17"/>
    <s v="Ahmedabad"/>
    <x v="2"/>
    <x v="4"/>
    <x v="13"/>
    <x v="1"/>
    <s v="Corporate"/>
    <n v="2"/>
    <n v="6179"/>
    <n v="0"/>
    <x v="570"/>
    <n v="8531.56"/>
    <n v="3826.44"/>
    <s v="Net Banking"/>
    <s v="Sara"/>
  </r>
  <r>
    <x v="572"/>
    <x v="91"/>
    <s v="Kolkata"/>
    <x v="1"/>
    <x v="1"/>
    <x v="1"/>
    <x v="2"/>
    <s v="Small Business"/>
    <n v="4"/>
    <n v="587"/>
    <n v="0.2"/>
    <x v="571"/>
    <n v="1360.31"/>
    <n v="518.09"/>
    <s v="Debit Card"/>
    <s v="Aarav"/>
  </r>
  <r>
    <x v="573"/>
    <x v="290"/>
    <s v="Hyderabad"/>
    <x v="0"/>
    <x v="1"/>
    <x v="10"/>
    <x v="1"/>
    <s v="Corporate"/>
    <n v="6"/>
    <n v="3974"/>
    <n v="0.15"/>
    <x v="572"/>
    <n v="17148.419999999998"/>
    <n v="3118.98"/>
    <s v="Credit Card"/>
    <s v="Sara"/>
  </r>
  <r>
    <x v="574"/>
    <x v="85"/>
    <s v="Pune"/>
    <x v="2"/>
    <x v="3"/>
    <x v="3"/>
    <x v="2"/>
    <s v="Small Business"/>
    <n v="7"/>
    <n v="1520"/>
    <n v="0.05"/>
    <x v="573"/>
    <n v="8743.74"/>
    <n v="1364.26"/>
    <s v="Debit Card"/>
    <s v="Meera"/>
  </r>
  <r>
    <x v="575"/>
    <x v="130"/>
    <s v="Mumbai"/>
    <x v="2"/>
    <x v="1"/>
    <x v="22"/>
    <x v="2"/>
    <s v="Corporate"/>
    <n v="4"/>
    <n v="3193"/>
    <n v="0"/>
    <x v="574"/>
    <n v="7475.54"/>
    <n v="5296.46"/>
    <s v="Cash"/>
    <s v="Kabir"/>
  </r>
  <r>
    <x v="576"/>
    <x v="178"/>
    <s v="Pune"/>
    <x v="2"/>
    <x v="0"/>
    <x v="26"/>
    <x v="1"/>
    <s v="Small Business"/>
    <n v="3"/>
    <n v="1162"/>
    <n v="0.05"/>
    <x v="575"/>
    <n v="2849.31"/>
    <n v="462.39"/>
    <s v="Debit Card"/>
    <s v="Vikram"/>
  </r>
  <r>
    <x v="577"/>
    <x v="193"/>
    <s v="Delhi"/>
    <x v="3"/>
    <x v="0"/>
    <x v="23"/>
    <x v="2"/>
    <s v="Small Business"/>
    <n v="6"/>
    <n v="396"/>
    <n v="0.05"/>
    <x v="576"/>
    <n v="1533.74"/>
    <n v="723.46"/>
    <s v="Cash"/>
    <s v="Sara"/>
  </r>
  <r>
    <x v="578"/>
    <x v="247"/>
    <s v="Bengaluru"/>
    <x v="0"/>
    <x v="0"/>
    <x v="26"/>
    <x v="0"/>
    <s v="Corporate"/>
    <n v="3"/>
    <n v="1658"/>
    <n v="0.05"/>
    <x v="577"/>
    <n v="3878.73"/>
    <n v="846.57"/>
    <s v="Credit Card"/>
    <s v="Vikram"/>
  </r>
  <r>
    <x v="579"/>
    <x v="291"/>
    <s v="Mumbai"/>
    <x v="2"/>
    <x v="1"/>
    <x v="1"/>
    <x v="2"/>
    <s v="Small Business"/>
    <n v="1"/>
    <n v="1791"/>
    <n v="0"/>
    <x v="578"/>
    <n v="1101.3"/>
    <n v="689.7"/>
    <s v="Credit Card"/>
    <s v="Rohan"/>
  </r>
  <r>
    <x v="580"/>
    <x v="138"/>
    <s v="Hyderabad"/>
    <x v="0"/>
    <x v="1"/>
    <x v="18"/>
    <x v="0"/>
    <s v="Consumer"/>
    <n v="8"/>
    <n v="5783"/>
    <n v="0"/>
    <x v="579"/>
    <n v="39799.040000000001"/>
    <n v="6464.96"/>
    <s v="Credit Card"/>
    <s v="Vikram"/>
  </r>
  <r>
    <x v="581"/>
    <x v="7"/>
    <s v="Mumbai"/>
    <x v="2"/>
    <x v="3"/>
    <x v="3"/>
    <x v="0"/>
    <s v="Small Business"/>
    <n v="1"/>
    <n v="1597"/>
    <n v="0"/>
    <x v="580"/>
    <n v="1311.89"/>
    <n v="285.11"/>
    <s v="Credit Card"/>
    <s v="Vikram"/>
  </r>
  <r>
    <x v="582"/>
    <x v="253"/>
    <s v="Delhi"/>
    <x v="3"/>
    <x v="2"/>
    <x v="21"/>
    <x v="2"/>
    <s v="Consumer"/>
    <n v="3"/>
    <n v="30930"/>
    <n v="0.05"/>
    <x v="581"/>
    <n v="74225"/>
    <n v="13925.5"/>
    <s v="Debit Card"/>
    <s v="Kabir"/>
  </r>
  <r>
    <x v="583"/>
    <x v="292"/>
    <s v="Chennai"/>
    <x v="0"/>
    <x v="0"/>
    <x v="19"/>
    <x v="1"/>
    <s v="Consumer"/>
    <n v="1"/>
    <n v="2266"/>
    <n v="0.1"/>
    <x v="582"/>
    <n v="1154.8499999999999"/>
    <n v="884.55"/>
    <s v="UPI"/>
    <s v="Rohan"/>
  </r>
  <r>
    <x v="584"/>
    <x v="196"/>
    <s v="Mumbai"/>
    <x v="2"/>
    <x v="5"/>
    <x v="6"/>
    <x v="0"/>
    <s v="Consumer"/>
    <n v="4"/>
    <n v="49418"/>
    <n v="0.05"/>
    <x v="583"/>
    <n v="122749.06"/>
    <n v="65039.34"/>
    <s v="Credit Card"/>
    <s v="Kabir"/>
  </r>
  <r>
    <x v="585"/>
    <x v="207"/>
    <s v="Chennai"/>
    <x v="0"/>
    <x v="2"/>
    <x v="5"/>
    <x v="0"/>
    <s v="Consumer"/>
    <n v="6"/>
    <n v="16191"/>
    <n v="0.05"/>
    <x v="584"/>
    <n v="54470.95"/>
    <n v="37817.75"/>
    <s v="Net Banking"/>
    <s v="Rohan"/>
  </r>
  <r>
    <x v="586"/>
    <x v="169"/>
    <s v="Delhi"/>
    <x v="3"/>
    <x v="0"/>
    <x v="23"/>
    <x v="2"/>
    <s v="Small Business"/>
    <n v="6"/>
    <n v="1851"/>
    <n v="0.2"/>
    <x v="585"/>
    <n v="7794.85"/>
    <n v="1089.95"/>
    <s v="Debit Card"/>
    <s v="Rohan"/>
  </r>
  <r>
    <x v="587"/>
    <x v="237"/>
    <s v="Ahmedabad"/>
    <x v="2"/>
    <x v="0"/>
    <x v="23"/>
    <x v="2"/>
    <s v="Corporate"/>
    <n v="7"/>
    <n v="174"/>
    <n v="0.15"/>
    <x v="586"/>
    <n v="620.77"/>
    <n v="414.53"/>
    <s v="Cash"/>
    <s v="Rohan"/>
  </r>
  <r>
    <x v="588"/>
    <x v="88"/>
    <s v="Mumbai"/>
    <x v="2"/>
    <x v="3"/>
    <x v="15"/>
    <x v="1"/>
    <s v="Corporate"/>
    <n v="4"/>
    <n v="769"/>
    <n v="0"/>
    <x v="587"/>
    <n v="1777.46"/>
    <n v="1298.54"/>
    <s v="Debit Card"/>
    <s v="Kabir"/>
  </r>
  <r>
    <x v="589"/>
    <x v="19"/>
    <s v="Bengaluru"/>
    <x v="0"/>
    <x v="6"/>
    <x v="16"/>
    <x v="2"/>
    <s v="Consumer"/>
    <n v="1"/>
    <n v="4442"/>
    <n v="0.1"/>
    <x v="588"/>
    <n v="2488.66"/>
    <n v="1509.14"/>
    <s v="Net Banking"/>
    <s v="Kabir"/>
  </r>
  <r>
    <x v="590"/>
    <x v="132"/>
    <s v="Chennai"/>
    <x v="0"/>
    <x v="6"/>
    <x v="16"/>
    <x v="1"/>
    <s v="Corporate"/>
    <n v="6"/>
    <n v="2679"/>
    <n v="0.05"/>
    <x v="589"/>
    <n v="12976.46"/>
    <n v="2293.84"/>
    <s v="Credit Card"/>
    <s v="Diya"/>
  </r>
  <r>
    <x v="591"/>
    <x v="151"/>
    <s v="Mumbai"/>
    <x v="2"/>
    <x v="4"/>
    <x v="13"/>
    <x v="2"/>
    <s v="Small Business"/>
    <n v="7"/>
    <n v="2015"/>
    <n v="0.1"/>
    <x v="590"/>
    <n v="7908.78"/>
    <n v="4785.72"/>
    <s v="Credit Card"/>
    <s v="Sara"/>
  </r>
  <r>
    <x v="592"/>
    <x v="252"/>
    <s v="Pune"/>
    <x v="2"/>
    <x v="3"/>
    <x v="15"/>
    <x v="1"/>
    <s v="Consumer"/>
    <n v="2"/>
    <n v="2295"/>
    <n v="0"/>
    <x v="591"/>
    <n v="3139.59"/>
    <n v="1450.41"/>
    <s v="Net Banking"/>
    <s v="Anaya"/>
  </r>
  <r>
    <x v="593"/>
    <x v="231"/>
    <s v="Chennai"/>
    <x v="0"/>
    <x v="3"/>
    <x v="12"/>
    <x v="0"/>
    <s v="Small Business"/>
    <n v="3"/>
    <n v="1058"/>
    <n v="0.05"/>
    <x v="592"/>
    <n v="2466.2800000000002"/>
    <n v="549.02"/>
    <s v="UPI"/>
    <s v="Aarav"/>
  </r>
  <r>
    <x v="594"/>
    <x v="139"/>
    <s v="Ahmedabad"/>
    <x v="2"/>
    <x v="4"/>
    <x v="14"/>
    <x v="0"/>
    <s v="Small Business"/>
    <n v="4"/>
    <n v="15326"/>
    <n v="0"/>
    <x v="593"/>
    <n v="37271.11"/>
    <n v="24032.89"/>
    <s v="Net Banking"/>
    <s v="Meera"/>
  </r>
  <r>
    <x v="595"/>
    <x v="94"/>
    <s v="Delhi"/>
    <x v="3"/>
    <x v="3"/>
    <x v="15"/>
    <x v="1"/>
    <s v="Consumer"/>
    <n v="1"/>
    <n v="1303"/>
    <n v="0"/>
    <x v="594"/>
    <n v="923.53"/>
    <n v="379.47"/>
    <s v="Cash"/>
    <s v="Diya"/>
  </r>
  <r>
    <x v="596"/>
    <x v="112"/>
    <s v="Delhi"/>
    <x v="3"/>
    <x v="4"/>
    <x v="13"/>
    <x v="1"/>
    <s v="Small Business"/>
    <n v="2"/>
    <n v="18694"/>
    <n v="0.1"/>
    <x v="595"/>
    <n v="28845.39"/>
    <n v="4803.8100000000004"/>
    <s v="Debit Card"/>
    <s v="Aarav"/>
  </r>
  <r>
    <x v="597"/>
    <x v="30"/>
    <s v="Chennai"/>
    <x v="0"/>
    <x v="2"/>
    <x v="5"/>
    <x v="2"/>
    <s v="Consumer"/>
    <n v="8"/>
    <n v="63036"/>
    <n v="0.15"/>
    <x v="596"/>
    <n v="298463.53000000003"/>
    <n v="130181.27"/>
    <s v="Credit Card"/>
    <s v="Kabir"/>
  </r>
  <r>
    <x v="598"/>
    <x v="70"/>
    <s v="Kolkata"/>
    <x v="1"/>
    <x v="3"/>
    <x v="12"/>
    <x v="0"/>
    <s v="Corporate"/>
    <n v="5"/>
    <n v="919"/>
    <n v="0.05"/>
    <x v="597"/>
    <n v="3775.73"/>
    <n v="589.52"/>
    <s v="Debit Card"/>
    <s v="Aarav"/>
  </r>
  <r>
    <x v="599"/>
    <x v="272"/>
    <s v="Chennai"/>
    <x v="0"/>
    <x v="6"/>
    <x v="33"/>
    <x v="1"/>
    <s v="Small Business"/>
    <n v="6"/>
    <n v="614"/>
    <n v="0.05"/>
    <x v="598"/>
    <n v="2779.89"/>
    <n v="719.91"/>
    <s v="UPI"/>
    <s v="Anaya"/>
  </r>
  <r>
    <x v="600"/>
    <x v="217"/>
    <s v="Ahmedabad"/>
    <x v="2"/>
    <x v="6"/>
    <x v="30"/>
    <x v="0"/>
    <s v="Corporate"/>
    <n v="7"/>
    <n v="3189"/>
    <n v="0.05"/>
    <x v="599"/>
    <n v="17534.52"/>
    <n v="3672.33"/>
    <s v="UPI"/>
    <s v="Meera"/>
  </r>
  <r>
    <x v="601"/>
    <x v="237"/>
    <s v="Bengaluru"/>
    <x v="0"/>
    <x v="1"/>
    <x v="10"/>
    <x v="2"/>
    <s v="Corporate"/>
    <n v="4"/>
    <n v="5727"/>
    <n v="0.05"/>
    <x v="600"/>
    <n v="14862.03"/>
    <n v="6900.57"/>
    <s v="UPI"/>
    <s v="Rohan"/>
  </r>
  <r>
    <x v="602"/>
    <x v="232"/>
    <s v="Pune"/>
    <x v="2"/>
    <x v="5"/>
    <x v="25"/>
    <x v="2"/>
    <s v="Corporate"/>
    <n v="3"/>
    <n v="46528"/>
    <n v="0.1"/>
    <x v="601"/>
    <n v="89803.59"/>
    <n v="35822.01"/>
    <s v="Debit Card"/>
    <s v="Sara"/>
  </r>
  <r>
    <x v="603"/>
    <x v="293"/>
    <s v="Bengaluru"/>
    <x v="0"/>
    <x v="5"/>
    <x v="17"/>
    <x v="1"/>
    <s v="Corporate"/>
    <n v="1"/>
    <n v="20129"/>
    <n v="0"/>
    <x v="602"/>
    <n v="17625.150000000001"/>
    <n v="2503.85"/>
    <s v="Credit Card"/>
    <s v="Anaya"/>
  </r>
  <r>
    <x v="604"/>
    <x v="68"/>
    <s v="Hyderabad"/>
    <x v="0"/>
    <x v="2"/>
    <x v="21"/>
    <x v="2"/>
    <s v="Consumer"/>
    <n v="8"/>
    <n v="11708"/>
    <n v="0"/>
    <x v="603"/>
    <n v="58433.22"/>
    <n v="35230.78"/>
    <s v="UPI"/>
    <s v="Rohan"/>
  </r>
  <r>
    <x v="605"/>
    <x v="19"/>
    <s v="Delhi"/>
    <x v="3"/>
    <x v="0"/>
    <x v="19"/>
    <x v="2"/>
    <s v="Small Business"/>
    <n v="6"/>
    <n v="2028"/>
    <n v="0.1"/>
    <x v="604"/>
    <n v="8072.28"/>
    <n v="2878.92"/>
    <s v="Debit Card"/>
    <s v="Aarav"/>
  </r>
  <r>
    <x v="606"/>
    <x v="193"/>
    <s v="Mumbai"/>
    <x v="2"/>
    <x v="4"/>
    <x v="27"/>
    <x v="2"/>
    <s v="Small Business"/>
    <n v="2"/>
    <n v="17902"/>
    <n v="0.15"/>
    <x v="605"/>
    <n v="24085.89"/>
    <n v="6347.51"/>
    <s v="Credit Card"/>
    <s v="Vikram"/>
  </r>
  <r>
    <x v="607"/>
    <x v="126"/>
    <s v="Hyderabad"/>
    <x v="0"/>
    <x v="6"/>
    <x v="33"/>
    <x v="0"/>
    <s v="Consumer"/>
    <n v="5"/>
    <n v="1407"/>
    <n v="0.1"/>
    <x v="606"/>
    <n v="4366.95"/>
    <n v="1964.55"/>
    <s v="UPI"/>
    <s v="Rohan"/>
  </r>
  <r>
    <x v="608"/>
    <x v="267"/>
    <s v="Mumbai"/>
    <x v="2"/>
    <x v="6"/>
    <x v="30"/>
    <x v="2"/>
    <s v="Corporate"/>
    <n v="6"/>
    <n v="2790"/>
    <n v="0.1"/>
    <x v="299"/>
    <n v="11917.76"/>
    <n v="3148.24"/>
    <s v="Net Banking"/>
    <s v="Kabir"/>
  </r>
  <r>
    <x v="609"/>
    <x v="288"/>
    <s v="Hyderabad"/>
    <x v="0"/>
    <x v="5"/>
    <x v="24"/>
    <x v="1"/>
    <s v="Small Business"/>
    <n v="4"/>
    <n v="26559"/>
    <n v="0.2"/>
    <x v="607"/>
    <n v="49643.21"/>
    <n v="35345.589999999997"/>
    <s v="UPI"/>
    <s v="Anaya"/>
  </r>
  <r>
    <x v="610"/>
    <x v="227"/>
    <s v="Mumbai"/>
    <x v="2"/>
    <x v="1"/>
    <x v="7"/>
    <x v="2"/>
    <s v="Small Business"/>
    <n v="2"/>
    <n v="2907"/>
    <n v="0.1"/>
    <x v="608"/>
    <n v="3469.3"/>
    <n v="1763.3"/>
    <s v="Net Banking"/>
    <s v="Diya"/>
  </r>
  <r>
    <x v="611"/>
    <x v="267"/>
    <s v="Bengaluru"/>
    <x v="0"/>
    <x v="4"/>
    <x v="14"/>
    <x v="0"/>
    <s v="Small Business"/>
    <n v="8"/>
    <n v="13212"/>
    <n v="0.1"/>
    <x v="609"/>
    <n v="77758.25"/>
    <n v="17368.150000000001"/>
    <s v="Net Banking"/>
    <s v="Meera"/>
  </r>
  <r>
    <x v="612"/>
    <x v="132"/>
    <s v="Mumbai"/>
    <x v="2"/>
    <x v="6"/>
    <x v="20"/>
    <x v="2"/>
    <s v="Corporate"/>
    <n v="7"/>
    <n v="5338"/>
    <n v="0.15"/>
    <x v="610"/>
    <n v="23942.76"/>
    <n v="7818.34"/>
    <s v="Credit Card"/>
    <s v="Aarav"/>
  </r>
  <r>
    <x v="613"/>
    <x v="291"/>
    <s v="Chennai"/>
    <x v="0"/>
    <x v="2"/>
    <x v="9"/>
    <x v="1"/>
    <s v="Corporate"/>
    <n v="4"/>
    <n v="18545"/>
    <n v="0.05"/>
    <x v="611"/>
    <n v="45053.7"/>
    <n v="25417.3"/>
    <s v="Credit Card"/>
    <s v="Kabir"/>
  </r>
  <r>
    <x v="614"/>
    <x v="19"/>
    <s v="Ahmedabad"/>
    <x v="2"/>
    <x v="5"/>
    <x v="25"/>
    <x v="2"/>
    <s v="Consumer"/>
    <n v="3"/>
    <n v="15134"/>
    <n v="0"/>
    <x v="612"/>
    <n v="31581.89"/>
    <n v="13820.11"/>
    <s v="Debit Card"/>
    <s v="Rohan"/>
  </r>
  <r>
    <x v="615"/>
    <x v="174"/>
    <s v="Hyderabad"/>
    <x v="0"/>
    <x v="6"/>
    <x v="20"/>
    <x v="1"/>
    <s v="Corporate"/>
    <n v="8"/>
    <n v="2367"/>
    <n v="0.05"/>
    <x v="613"/>
    <n v="10903.19"/>
    <n v="7086.01"/>
    <s v="Net Banking"/>
    <s v="Aarav"/>
  </r>
  <r>
    <x v="616"/>
    <x v="145"/>
    <s v="Chennai"/>
    <x v="0"/>
    <x v="3"/>
    <x v="15"/>
    <x v="1"/>
    <s v="Corporate"/>
    <n v="3"/>
    <n v="516"/>
    <n v="0.15"/>
    <x v="614"/>
    <n v="766.27"/>
    <n v="549.53"/>
    <s v="Debit Card"/>
    <s v="Meera"/>
  </r>
  <r>
    <x v="617"/>
    <x v="278"/>
    <s v="Bengaluru"/>
    <x v="0"/>
    <x v="2"/>
    <x v="5"/>
    <x v="1"/>
    <s v="Corporate"/>
    <n v="8"/>
    <n v="20846"/>
    <n v="0"/>
    <x v="615"/>
    <n v="136447.69"/>
    <n v="30320.31"/>
    <s v="Net Banking"/>
    <s v="Rohan"/>
  </r>
  <r>
    <x v="618"/>
    <x v="33"/>
    <s v="Delhi"/>
    <x v="3"/>
    <x v="3"/>
    <x v="32"/>
    <x v="0"/>
    <s v="Small Business"/>
    <n v="6"/>
    <n v="1700"/>
    <n v="0.05"/>
    <x v="616"/>
    <n v="6268.86"/>
    <n v="3421.14"/>
    <s v="Debit Card"/>
    <s v="Vikram"/>
  </r>
  <r>
    <x v="619"/>
    <x v="199"/>
    <s v="Delhi"/>
    <x v="3"/>
    <x v="6"/>
    <x v="8"/>
    <x v="0"/>
    <s v="Corporate"/>
    <n v="8"/>
    <n v="2100"/>
    <n v="0.1"/>
    <x v="617"/>
    <n v="9770.39"/>
    <n v="5349.61"/>
    <s v="Net Banking"/>
    <s v="Sara"/>
  </r>
  <r>
    <x v="620"/>
    <x v="261"/>
    <s v="Ahmedabad"/>
    <x v="2"/>
    <x v="3"/>
    <x v="34"/>
    <x v="2"/>
    <s v="Small Business"/>
    <n v="1"/>
    <n v="1803"/>
    <n v="0.2"/>
    <x v="618"/>
    <n v="1030.8599999999999"/>
    <n v="411.54"/>
    <s v="Net Banking"/>
    <s v="Rohan"/>
  </r>
  <r>
    <x v="621"/>
    <x v="195"/>
    <s v="Delhi"/>
    <x v="3"/>
    <x v="3"/>
    <x v="15"/>
    <x v="2"/>
    <s v="Small Business"/>
    <n v="5"/>
    <n v="1319"/>
    <n v="0.1"/>
    <x v="619"/>
    <n v="4755.6499999999996"/>
    <n v="1179.8499999999999"/>
    <s v="Cash"/>
    <s v="Anaya"/>
  </r>
  <r>
    <x v="622"/>
    <x v="110"/>
    <s v="Mumbai"/>
    <x v="2"/>
    <x v="2"/>
    <x v="2"/>
    <x v="1"/>
    <s v="Consumer"/>
    <n v="8"/>
    <n v="48233"/>
    <n v="0.05"/>
    <x v="620"/>
    <n v="215752.57"/>
    <n v="150818.23000000001"/>
    <s v="UPI"/>
    <s v="Rohan"/>
  </r>
  <r>
    <x v="623"/>
    <x v="215"/>
    <s v="Hyderabad"/>
    <x v="0"/>
    <x v="6"/>
    <x v="16"/>
    <x v="2"/>
    <s v="Small Business"/>
    <n v="8"/>
    <n v="3202"/>
    <n v="0.1"/>
    <x v="621"/>
    <n v="15829.05"/>
    <n v="7225.35"/>
    <s v="Net Banking"/>
    <s v="Rohan"/>
  </r>
  <r>
    <x v="624"/>
    <x v="2"/>
    <s v="Bengaluru"/>
    <x v="0"/>
    <x v="4"/>
    <x v="27"/>
    <x v="1"/>
    <s v="Small Business"/>
    <n v="4"/>
    <n v="6237"/>
    <n v="0.05"/>
    <x v="622"/>
    <n v="20046.82"/>
    <n v="3653.78"/>
    <s v="Debit Card"/>
    <s v="Vikram"/>
  </r>
  <r>
    <x v="625"/>
    <x v="160"/>
    <s v="Ahmedabad"/>
    <x v="2"/>
    <x v="0"/>
    <x v="26"/>
    <x v="1"/>
    <s v="Corporate"/>
    <n v="2"/>
    <n v="1600"/>
    <n v="0.1"/>
    <x v="623"/>
    <n v="2191.0500000000002"/>
    <n v="688.95"/>
    <s v="Net Banking"/>
    <s v="Vikram"/>
  </r>
  <r>
    <x v="626"/>
    <x v="77"/>
    <s v="Bengaluru"/>
    <x v="0"/>
    <x v="5"/>
    <x v="25"/>
    <x v="0"/>
    <s v="Small Business"/>
    <n v="4"/>
    <n v="32599"/>
    <n v="0.1"/>
    <x v="624"/>
    <n v="94829.18"/>
    <n v="22527.22"/>
    <s v="Net Banking"/>
    <s v="Sara"/>
  </r>
  <r>
    <x v="627"/>
    <x v="291"/>
    <s v="Pune"/>
    <x v="2"/>
    <x v="2"/>
    <x v="5"/>
    <x v="1"/>
    <s v="Small Business"/>
    <n v="5"/>
    <n v="10180"/>
    <n v="0.05"/>
    <x v="625"/>
    <n v="33401.699999999997"/>
    <n v="14953.3"/>
    <s v="UPI"/>
    <s v="Aarav"/>
  </r>
  <r>
    <x v="628"/>
    <x v="294"/>
    <s v="Delhi"/>
    <x v="3"/>
    <x v="0"/>
    <x v="23"/>
    <x v="1"/>
    <s v="Small Business"/>
    <n v="6"/>
    <n v="1675"/>
    <n v="0.15"/>
    <x v="626"/>
    <n v="5510.07"/>
    <n v="3032.43"/>
    <s v="Credit Card"/>
    <s v="Kabir"/>
  </r>
  <r>
    <x v="629"/>
    <x v="204"/>
    <s v="Hyderabad"/>
    <x v="0"/>
    <x v="6"/>
    <x v="20"/>
    <x v="2"/>
    <s v="Corporate"/>
    <n v="8"/>
    <n v="993"/>
    <n v="0"/>
    <x v="627"/>
    <n v="5487.03"/>
    <n v="2456.9699999999998"/>
    <s v="UPI"/>
    <s v="Kabir"/>
  </r>
  <r>
    <x v="630"/>
    <x v="239"/>
    <s v="Delhi"/>
    <x v="3"/>
    <x v="6"/>
    <x v="16"/>
    <x v="1"/>
    <s v="Corporate"/>
    <n v="7"/>
    <n v="442"/>
    <n v="0"/>
    <x v="628"/>
    <n v="1993.06"/>
    <n v="1100.94"/>
    <s v="Cash"/>
    <s v="Aarav"/>
  </r>
  <r>
    <x v="631"/>
    <x v="125"/>
    <s v="Mumbai"/>
    <x v="2"/>
    <x v="5"/>
    <x v="11"/>
    <x v="1"/>
    <s v="Consumer"/>
    <n v="6"/>
    <n v="25946"/>
    <n v="0.2"/>
    <x v="629"/>
    <n v="83188.89"/>
    <n v="41351.910000000003"/>
    <s v="Credit Card"/>
    <s v="Meera"/>
  </r>
  <r>
    <x v="632"/>
    <x v="149"/>
    <s v="Delhi"/>
    <x v="3"/>
    <x v="3"/>
    <x v="34"/>
    <x v="1"/>
    <s v="Small Business"/>
    <n v="7"/>
    <n v="280"/>
    <n v="0"/>
    <x v="630"/>
    <n v="1393.52"/>
    <n v="566.48"/>
    <s v="UPI"/>
    <s v="Meera"/>
  </r>
  <r>
    <x v="633"/>
    <x v="174"/>
    <s v="Delhi"/>
    <x v="3"/>
    <x v="1"/>
    <x v="18"/>
    <x v="0"/>
    <s v="Consumer"/>
    <n v="7"/>
    <n v="11962"/>
    <n v="0"/>
    <x v="631"/>
    <n v="50437.2"/>
    <n v="33296.800000000003"/>
    <s v="Cash"/>
    <s v="Anaya"/>
  </r>
  <r>
    <x v="634"/>
    <x v="113"/>
    <s v="Chennai"/>
    <x v="0"/>
    <x v="0"/>
    <x v="23"/>
    <x v="1"/>
    <s v="Small Business"/>
    <n v="1"/>
    <n v="1362"/>
    <n v="0.1"/>
    <x v="632"/>
    <n v="917.46"/>
    <n v="308.33999999999997"/>
    <s v="Net Banking"/>
    <s v="Kabir"/>
  </r>
  <r>
    <x v="635"/>
    <x v="260"/>
    <s v="Bengaluru"/>
    <x v="0"/>
    <x v="2"/>
    <x v="21"/>
    <x v="0"/>
    <s v="Consumer"/>
    <n v="6"/>
    <n v="8732"/>
    <n v="0.05"/>
    <x v="633"/>
    <n v="37732.949999999997"/>
    <n v="12039.45"/>
    <s v="UPI"/>
    <s v="Diya"/>
  </r>
  <r>
    <x v="636"/>
    <x v="201"/>
    <s v="Delhi"/>
    <x v="3"/>
    <x v="0"/>
    <x v="28"/>
    <x v="2"/>
    <s v="Consumer"/>
    <n v="5"/>
    <n v="1755"/>
    <n v="0.1"/>
    <x v="634"/>
    <n v="5676.63"/>
    <n v="2220.87"/>
    <s v="Net Banking"/>
    <s v="Aarav"/>
  </r>
  <r>
    <x v="637"/>
    <x v="295"/>
    <s v="Mumbai"/>
    <x v="2"/>
    <x v="2"/>
    <x v="2"/>
    <x v="0"/>
    <s v="Corporate"/>
    <n v="3"/>
    <n v="66669"/>
    <n v="0.05"/>
    <x v="635"/>
    <n v="147564.75"/>
    <n v="42441.9"/>
    <s v="Net Banking"/>
    <s v="Aarav"/>
  </r>
  <r>
    <x v="638"/>
    <x v="247"/>
    <s v="Delhi"/>
    <x v="3"/>
    <x v="1"/>
    <x v="7"/>
    <x v="1"/>
    <s v="Consumer"/>
    <n v="3"/>
    <n v="11034"/>
    <n v="0.05"/>
    <x v="636"/>
    <n v="21225.15"/>
    <n v="10221.75"/>
    <s v="UPI"/>
    <s v="Aarav"/>
  </r>
  <r>
    <x v="639"/>
    <x v="296"/>
    <s v="Pune"/>
    <x v="2"/>
    <x v="0"/>
    <x v="26"/>
    <x v="2"/>
    <s v="Consumer"/>
    <n v="4"/>
    <n v="211"/>
    <n v="0.1"/>
    <x v="637"/>
    <n v="468.8"/>
    <n v="290.8"/>
    <s v="Credit Card"/>
    <s v="Kabir"/>
  </r>
  <r>
    <x v="640"/>
    <x v="209"/>
    <s v="Mumbai"/>
    <x v="2"/>
    <x v="3"/>
    <x v="34"/>
    <x v="0"/>
    <s v="Corporate"/>
    <n v="8"/>
    <n v="634"/>
    <n v="0"/>
    <x v="638"/>
    <n v="3647.3"/>
    <n v="1424.7"/>
    <s v="Debit Card"/>
    <s v="Vikram"/>
  </r>
  <r>
    <x v="641"/>
    <x v="292"/>
    <s v="Delhi"/>
    <x v="3"/>
    <x v="4"/>
    <x v="14"/>
    <x v="0"/>
    <s v="Corporate"/>
    <n v="4"/>
    <n v="23188"/>
    <n v="0.05"/>
    <x v="639"/>
    <n v="68426.960000000006"/>
    <n v="19687.439999999999"/>
    <s v="Net Banking"/>
    <s v="Vikram"/>
  </r>
  <r>
    <x v="642"/>
    <x v="156"/>
    <s v="Bengaluru"/>
    <x v="0"/>
    <x v="4"/>
    <x v="13"/>
    <x v="2"/>
    <s v="Consumer"/>
    <n v="4"/>
    <n v="18763"/>
    <n v="0.05"/>
    <x v="640"/>
    <n v="53979.14"/>
    <n v="17320.259999999998"/>
    <s v="UPI"/>
    <s v="Sara"/>
  </r>
  <r>
    <x v="643"/>
    <x v="5"/>
    <s v="Bengaluru"/>
    <x v="0"/>
    <x v="5"/>
    <x v="24"/>
    <x v="0"/>
    <s v="Consumer"/>
    <n v="8"/>
    <n v="45871"/>
    <n v="0.05"/>
    <x v="641"/>
    <n v="294029.03999999998"/>
    <n v="54590.559999999998"/>
    <s v="Cash"/>
    <s v="Rohan"/>
  </r>
  <r>
    <x v="644"/>
    <x v="297"/>
    <s v="Kolkata"/>
    <x v="1"/>
    <x v="3"/>
    <x v="32"/>
    <x v="2"/>
    <s v="Small Business"/>
    <n v="8"/>
    <n v="1860"/>
    <n v="0.05"/>
    <x v="642"/>
    <n v="8776.56"/>
    <n v="5359.44"/>
    <s v="Net Banking"/>
    <s v="Kabir"/>
  </r>
  <r>
    <x v="645"/>
    <x v="264"/>
    <s v="Chennai"/>
    <x v="0"/>
    <x v="3"/>
    <x v="32"/>
    <x v="0"/>
    <s v="Corporate"/>
    <n v="7"/>
    <n v="619"/>
    <n v="0"/>
    <x v="643"/>
    <n v="2786.6"/>
    <n v="1546.4"/>
    <s v="Net Banking"/>
    <s v="Kabir"/>
  </r>
  <r>
    <x v="646"/>
    <x v="144"/>
    <s v="Bengaluru"/>
    <x v="0"/>
    <x v="3"/>
    <x v="34"/>
    <x v="0"/>
    <s v="Corporate"/>
    <n v="5"/>
    <n v="1637"/>
    <n v="0.15"/>
    <x v="644"/>
    <n v="4655.92"/>
    <n v="2301.33"/>
    <s v="UPI"/>
    <s v="Sara"/>
  </r>
  <r>
    <x v="647"/>
    <x v="298"/>
    <s v="Chennai"/>
    <x v="0"/>
    <x v="1"/>
    <x v="10"/>
    <x v="0"/>
    <s v="Corporate"/>
    <n v="6"/>
    <n v="2020"/>
    <n v="0.1"/>
    <x v="645"/>
    <n v="7480.33"/>
    <n v="3427.67"/>
    <s v="Net Banking"/>
    <s v="Anaya"/>
  </r>
  <r>
    <x v="648"/>
    <x v="23"/>
    <s v="Mumbai"/>
    <x v="2"/>
    <x v="1"/>
    <x v="18"/>
    <x v="2"/>
    <s v="Small Business"/>
    <n v="7"/>
    <n v="940"/>
    <n v="0.05"/>
    <x v="646"/>
    <n v="3471.28"/>
    <n v="2779.72"/>
    <s v="Net Banking"/>
    <s v="Kabir"/>
  </r>
  <r>
    <x v="649"/>
    <x v="161"/>
    <s v="Delhi"/>
    <x v="3"/>
    <x v="2"/>
    <x v="29"/>
    <x v="2"/>
    <s v="Small Business"/>
    <n v="8"/>
    <n v="10971"/>
    <n v="0"/>
    <x v="647"/>
    <n v="70409.850000000006"/>
    <n v="17358.150000000001"/>
    <s v="Credit Card"/>
    <s v="Sara"/>
  </r>
  <r>
    <x v="650"/>
    <x v="7"/>
    <s v="Chennai"/>
    <x v="0"/>
    <x v="3"/>
    <x v="15"/>
    <x v="1"/>
    <s v="Small Business"/>
    <n v="1"/>
    <n v="691"/>
    <n v="0.1"/>
    <x v="648"/>
    <n v="402.44"/>
    <n v="219.46"/>
    <s v="Cash"/>
    <s v="Vikram"/>
  </r>
  <r>
    <x v="651"/>
    <x v="26"/>
    <s v="Delhi"/>
    <x v="3"/>
    <x v="0"/>
    <x v="28"/>
    <x v="1"/>
    <s v="Consumer"/>
    <n v="8"/>
    <n v="1157"/>
    <n v="0"/>
    <x v="649"/>
    <n v="6363.59"/>
    <n v="2892.41"/>
    <s v="UPI"/>
    <s v="Rohan"/>
  </r>
  <r>
    <x v="652"/>
    <x v="285"/>
    <s v="Hyderabad"/>
    <x v="0"/>
    <x v="1"/>
    <x v="1"/>
    <x v="1"/>
    <s v="Corporate"/>
    <n v="7"/>
    <n v="8183"/>
    <n v="0.1"/>
    <x v="650"/>
    <n v="34347.620000000003"/>
    <n v="17205.28"/>
    <s v="Cash"/>
    <s v="Sara"/>
  </r>
  <r>
    <x v="653"/>
    <x v="22"/>
    <s v="Kolkata"/>
    <x v="1"/>
    <x v="3"/>
    <x v="12"/>
    <x v="0"/>
    <s v="Consumer"/>
    <n v="5"/>
    <n v="353"/>
    <n v="0.15"/>
    <x v="651"/>
    <n v="1057.97"/>
    <n v="442.28"/>
    <s v="UPI"/>
    <s v="Anaya"/>
  </r>
  <r>
    <x v="654"/>
    <x v="82"/>
    <s v="Ahmedabad"/>
    <x v="2"/>
    <x v="6"/>
    <x v="30"/>
    <x v="2"/>
    <s v="Small Business"/>
    <n v="7"/>
    <n v="5212"/>
    <n v="0.15"/>
    <x v="652"/>
    <n v="23356.42"/>
    <n v="7654.98"/>
    <s v="Net Banking"/>
    <s v="Vikram"/>
  </r>
  <r>
    <x v="655"/>
    <x v="85"/>
    <s v="Bengaluru"/>
    <x v="0"/>
    <x v="6"/>
    <x v="8"/>
    <x v="0"/>
    <s v="Small Business"/>
    <n v="7"/>
    <n v="1287"/>
    <n v="0"/>
    <x v="653"/>
    <n v="7313.81"/>
    <n v="1695.19"/>
    <s v="Net Banking"/>
    <s v="Sara"/>
  </r>
  <r>
    <x v="656"/>
    <x v="10"/>
    <s v="Ahmedabad"/>
    <x v="2"/>
    <x v="2"/>
    <x v="21"/>
    <x v="2"/>
    <s v="Corporate"/>
    <n v="1"/>
    <n v="48537"/>
    <n v="0.1"/>
    <x v="654"/>
    <n v="28508.639999999999"/>
    <n v="15174.66"/>
    <s v="Debit Card"/>
    <s v="Vikram"/>
  </r>
  <r>
    <x v="657"/>
    <x v="243"/>
    <s v="Bengaluru"/>
    <x v="0"/>
    <x v="0"/>
    <x v="19"/>
    <x v="0"/>
    <s v="Corporate"/>
    <n v="1"/>
    <n v="1866"/>
    <n v="0"/>
    <x v="655"/>
    <n v="1250.17"/>
    <n v="615.83000000000004"/>
    <s v="Net Banking"/>
    <s v="Anaya"/>
  </r>
  <r>
    <x v="658"/>
    <x v="48"/>
    <s v="Bengaluru"/>
    <x v="0"/>
    <x v="4"/>
    <x v="4"/>
    <x v="1"/>
    <s v="Small Business"/>
    <n v="2"/>
    <n v="13591"/>
    <n v="0.1"/>
    <x v="656"/>
    <n v="19388.650000000001"/>
    <n v="5075.1499999999996"/>
    <s v="Debit Card"/>
    <s v="Rohan"/>
  </r>
  <r>
    <x v="659"/>
    <x v="219"/>
    <s v="Chennai"/>
    <x v="0"/>
    <x v="1"/>
    <x v="7"/>
    <x v="2"/>
    <s v="Small Business"/>
    <n v="1"/>
    <n v="3085"/>
    <n v="0.05"/>
    <x v="657"/>
    <n v="2315.13"/>
    <n v="615.62"/>
    <s v="Credit Card"/>
    <s v="Sara"/>
  </r>
  <r>
    <x v="660"/>
    <x v="299"/>
    <s v="Mumbai"/>
    <x v="2"/>
    <x v="6"/>
    <x v="16"/>
    <x v="2"/>
    <s v="Consumer"/>
    <n v="2"/>
    <n v="5442"/>
    <n v="0.1"/>
    <x v="658"/>
    <n v="8396.4599999999991"/>
    <n v="1399.14"/>
    <s v="Net Banking"/>
    <s v="Vikram"/>
  </r>
  <r>
    <x v="661"/>
    <x v="261"/>
    <s v="Chennai"/>
    <x v="0"/>
    <x v="1"/>
    <x v="10"/>
    <x v="1"/>
    <s v="Consumer"/>
    <n v="5"/>
    <n v="7946"/>
    <n v="0"/>
    <x v="659"/>
    <n v="29151.81"/>
    <n v="10578.19"/>
    <s v="Net Banking"/>
    <s v="Aarav"/>
  </r>
  <r>
    <x v="662"/>
    <x v="233"/>
    <s v="Mumbai"/>
    <x v="2"/>
    <x v="1"/>
    <x v="7"/>
    <x v="1"/>
    <s v="Small Business"/>
    <n v="7"/>
    <n v="6008"/>
    <n v="0.1"/>
    <x v="660"/>
    <n v="29403.439999999999"/>
    <n v="8446.9599999999991"/>
    <s v="UPI"/>
    <s v="Aarav"/>
  </r>
  <r>
    <x v="663"/>
    <x v="103"/>
    <s v="Delhi"/>
    <x v="3"/>
    <x v="0"/>
    <x v="19"/>
    <x v="0"/>
    <s v="Consumer"/>
    <n v="4"/>
    <n v="770"/>
    <n v="0.1"/>
    <x v="661"/>
    <n v="2035.7"/>
    <n v="736.3"/>
    <s v="Net Banking"/>
    <s v="Rohan"/>
  </r>
  <r>
    <x v="664"/>
    <x v="258"/>
    <s v="Delhi"/>
    <x v="3"/>
    <x v="3"/>
    <x v="12"/>
    <x v="1"/>
    <s v="Consumer"/>
    <n v="8"/>
    <n v="2208"/>
    <n v="0.1"/>
    <x v="662"/>
    <n v="11535.36"/>
    <n v="4362.24"/>
    <s v="Debit Card"/>
    <s v="Rohan"/>
  </r>
  <r>
    <x v="665"/>
    <x v="65"/>
    <s v="Chennai"/>
    <x v="0"/>
    <x v="1"/>
    <x v="22"/>
    <x v="0"/>
    <s v="Small Business"/>
    <n v="1"/>
    <n v="2797"/>
    <n v="0.05"/>
    <x v="663"/>
    <n v="2061.11"/>
    <n v="596.04"/>
    <s v="Cash"/>
    <s v="Vikram"/>
  </r>
  <r>
    <x v="666"/>
    <x v="73"/>
    <s v="Pune"/>
    <x v="2"/>
    <x v="4"/>
    <x v="14"/>
    <x v="1"/>
    <s v="Consumer"/>
    <n v="1"/>
    <n v="3443"/>
    <n v="0.1"/>
    <x v="664"/>
    <n v="2076.4"/>
    <n v="1022.3"/>
    <s v="Cash"/>
    <s v="Diya"/>
  </r>
  <r>
    <x v="667"/>
    <x v="194"/>
    <s v="Delhi"/>
    <x v="3"/>
    <x v="1"/>
    <x v="22"/>
    <x v="0"/>
    <s v="Corporate"/>
    <n v="6"/>
    <n v="1189"/>
    <n v="0.05"/>
    <x v="665"/>
    <n v="4747.6499999999996"/>
    <n v="2029.65"/>
    <s v="Credit Card"/>
    <s v="Rohan"/>
  </r>
  <r>
    <x v="668"/>
    <x v="197"/>
    <s v="Delhi"/>
    <x v="3"/>
    <x v="4"/>
    <x v="4"/>
    <x v="2"/>
    <s v="Small Business"/>
    <n v="8"/>
    <n v="2015"/>
    <n v="0.05"/>
    <x v="666"/>
    <n v="10230.81"/>
    <n v="5083.1899999999996"/>
    <s v="Debit Card"/>
    <s v="Vikram"/>
  </r>
  <r>
    <x v="669"/>
    <x v="142"/>
    <s v="Chennai"/>
    <x v="0"/>
    <x v="0"/>
    <x v="19"/>
    <x v="1"/>
    <s v="Consumer"/>
    <n v="8"/>
    <n v="856"/>
    <n v="0.15"/>
    <x v="667"/>
    <n v="3712.84"/>
    <n v="2107.96"/>
    <s v="Debit Card"/>
    <s v="Sara"/>
  </r>
  <r>
    <x v="670"/>
    <x v="144"/>
    <s v="Kolkata"/>
    <x v="1"/>
    <x v="4"/>
    <x v="31"/>
    <x v="1"/>
    <s v="Consumer"/>
    <n v="7"/>
    <n v="6574"/>
    <n v="0.1"/>
    <x v="668"/>
    <n v="28807.8"/>
    <n v="12608.4"/>
    <s v="UPI"/>
    <s v="Rohan"/>
  </r>
  <r>
    <x v="671"/>
    <x v="15"/>
    <s v="Ahmedabad"/>
    <x v="2"/>
    <x v="5"/>
    <x v="6"/>
    <x v="0"/>
    <s v="Corporate"/>
    <n v="8"/>
    <n v="34041"/>
    <n v="0.05"/>
    <x v="669"/>
    <n v="149654.89000000001"/>
    <n v="109056.71"/>
    <s v="Cash"/>
    <s v="Diya"/>
  </r>
  <r>
    <x v="672"/>
    <x v="17"/>
    <s v="Bengaluru"/>
    <x v="0"/>
    <x v="0"/>
    <x v="0"/>
    <x v="1"/>
    <s v="Small Business"/>
    <n v="7"/>
    <n v="1736"/>
    <n v="0.1"/>
    <x v="670"/>
    <n v="9419.74"/>
    <n v="1517.06"/>
    <s v="Debit Card"/>
    <s v="Anaya"/>
  </r>
  <r>
    <x v="673"/>
    <x v="49"/>
    <s v="Hyderabad"/>
    <x v="0"/>
    <x v="1"/>
    <x v="18"/>
    <x v="2"/>
    <s v="Small Business"/>
    <n v="3"/>
    <n v="6460"/>
    <n v="0.05"/>
    <x v="671"/>
    <n v="15969.36"/>
    <n v="2441.64"/>
    <s v="Credit Card"/>
    <s v="Anaya"/>
  </r>
  <r>
    <x v="674"/>
    <x v="292"/>
    <s v="Ahmedabad"/>
    <x v="2"/>
    <x v="2"/>
    <x v="5"/>
    <x v="1"/>
    <s v="Small Business"/>
    <n v="5"/>
    <n v="11415"/>
    <n v="0.1"/>
    <x v="672"/>
    <n v="36305.32"/>
    <n v="15062.18"/>
    <s v="Credit Card"/>
    <s v="Anaya"/>
  </r>
  <r>
    <x v="675"/>
    <x v="295"/>
    <s v="Bengaluru"/>
    <x v="0"/>
    <x v="4"/>
    <x v="27"/>
    <x v="2"/>
    <s v="Corporate"/>
    <n v="2"/>
    <n v="14663"/>
    <n v="0.1"/>
    <x v="673"/>
    <n v="19249.900000000001"/>
    <n v="7143.5"/>
    <s v="Cash"/>
    <s v="Aarav"/>
  </r>
  <r>
    <x v="676"/>
    <x v="73"/>
    <s v="Mumbai"/>
    <x v="2"/>
    <x v="5"/>
    <x v="6"/>
    <x v="2"/>
    <s v="Consumer"/>
    <n v="2"/>
    <n v="12956"/>
    <n v="0"/>
    <x v="674"/>
    <n v="22232.3"/>
    <n v="3679.7"/>
    <s v="Cash"/>
    <s v="Kabir"/>
  </r>
  <r>
    <x v="677"/>
    <x v="267"/>
    <s v="Pune"/>
    <x v="2"/>
    <x v="5"/>
    <x v="24"/>
    <x v="0"/>
    <s v="Consumer"/>
    <n v="8"/>
    <n v="22602"/>
    <n v="0"/>
    <x v="675"/>
    <n v="115793.1"/>
    <n v="65022.9"/>
    <s v="Credit Card"/>
    <s v="Vikram"/>
  </r>
  <r>
    <x v="678"/>
    <x v="254"/>
    <s v="Ahmedabad"/>
    <x v="2"/>
    <x v="6"/>
    <x v="30"/>
    <x v="1"/>
    <s v="Small Business"/>
    <n v="1"/>
    <n v="1207"/>
    <n v="0"/>
    <x v="676"/>
    <n v="1043.81"/>
    <n v="163.19"/>
    <s v="Cash"/>
    <s v="Meera"/>
  </r>
  <r>
    <x v="679"/>
    <x v="299"/>
    <s v="Kolkata"/>
    <x v="1"/>
    <x v="2"/>
    <x v="2"/>
    <x v="2"/>
    <s v="Small Business"/>
    <n v="8"/>
    <n v="37991"/>
    <n v="0.05"/>
    <x v="677"/>
    <n v="215903.93"/>
    <n v="72827.67"/>
    <s v="UPI"/>
    <s v="Rohan"/>
  </r>
  <r>
    <x v="680"/>
    <x v="7"/>
    <s v="Bengaluru"/>
    <x v="0"/>
    <x v="1"/>
    <x v="7"/>
    <x v="0"/>
    <s v="Small Business"/>
    <n v="3"/>
    <n v="754"/>
    <n v="0"/>
    <x v="678"/>
    <n v="1490"/>
    <n v="772"/>
    <s v="Net Banking"/>
    <s v="Meera"/>
  </r>
  <r>
    <x v="681"/>
    <x v="221"/>
    <s v="Bengaluru"/>
    <x v="0"/>
    <x v="3"/>
    <x v="32"/>
    <x v="0"/>
    <s v="Small Business"/>
    <n v="5"/>
    <n v="758"/>
    <n v="0.1"/>
    <x v="679"/>
    <n v="2411.7800000000002"/>
    <n v="999.22"/>
    <s v="Debit Card"/>
    <s v="Diya"/>
  </r>
  <r>
    <x v="682"/>
    <x v="4"/>
    <s v="Mumbai"/>
    <x v="2"/>
    <x v="3"/>
    <x v="34"/>
    <x v="1"/>
    <s v="Corporate"/>
    <n v="8"/>
    <n v="1875"/>
    <n v="0.1"/>
    <x v="680"/>
    <n v="10561.03"/>
    <n v="2938.97"/>
    <s v="Credit Card"/>
    <s v="Vikram"/>
  </r>
  <r>
    <x v="683"/>
    <x v="22"/>
    <s v="Delhi"/>
    <x v="3"/>
    <x v="6"/>
    <x v="16"/>
    <x v="0"/>
    <s v="Small Business"/>
    <n v="3"/>
    <n v="691"/>
    <n v="0"/>
    <x v="681"/>
    <n v="1450.56"/>
    <n v="622.44000000000005"/>
    <s v="Debit Card"/>
    <s v="Diya"/>
  </r>
  <r>
    <x v="684"/>
    <x v="17"/>
    <s v="Chennai"/>
    <x v="0"/>
    <x v="5"/>
    <x v="24"/>
    <x v="0"/>
    <s v="Corporate"/>
    <n v="8"/>
    <n v="26371"/>
    <n v="0.1"/>
    <x v="682"/>
    <n v="146015.22"/>
    <n v="43855.98"/>
    <s v="Net Banking"/>
    <s v="Anaya"/>
  </r>
  <r>
    <x v="685"/>
    <x v="2"/>
    <s v="Ahmedabad"/>
    <x v="2"/>
    <x v="2"/>
    <x v="5"/>
    <x v="2"/>
    <s v="Small Business"/>
    <n v="6"/>
    <n v="4920"/>
    <n v="0.1"/>
    <x v="683"/>
    <n v="19954.43"/>
    <n v="6613.57"/>
    <s v="Cash"/>
    <s v="Diya"/>
  </r>
  <r>
    <x v="686"/>
    <x v="194"/>
    <s v="Ahmedabad"/>
    <x v="2"/>
    <x v="0"/>
    <x v="23"/>
    <x v="1"/>
    <s v="Consumer"/>
    <n v="1"/>
    <n v="1845"/>
    <n v="0.1"/>
    <x v="684"/>
    <n v="961.76"/>
    <n v="698.74"/>
    <s v="Net Banking"/>
    <s v="Kabir"/>
  </r>
  <r>
    <x v="687"/>
    <x v="199"/>
    <s v="Mumbai"/>
    <x v="2"/>
    <x v="1"/>
    <x v="1"/>
    <x v="2"/>
    <s v="Consumer"/>
    <n v="2"/>
    <n v="3764"/>
    <n v="0.1"/>
    <x v="685"/>
    <n v="4967.25"/>
    <n v="1807.95"/>
    <s v="Debit Card"/>
    <s v="Anaya"/>
  </r>
  <r>
    <x v="688"/>
    <x v="300"/>
    <s v="Delhi"/>
    <x v="3"/>
    <x v="5"/>
    <x v="6"/>
    <x v="0"/>
    <s v="Small Business"/>
    <n v="3"/>
    <n v="10963"/>
    <n v="0"/>
    <x v="686"/>
    <n v="28696.7"/>
    <n v="4192.3"/>
    <s v="Credit Card"/>
    <s v="Sara"/>
  </r>
  <r>
    <x v="689"/>
    <x v="169"/>
    <s v="Hyderabad"/>
    <x v="0"/>
    <x v="2"/>
    <x v="2"/>
    <x v="2"/>
    <s v="Small Business"/>
    <n v="3"/>
    <n v="66296"/>
    <n v="0.2"/>
    <x v="687"/>
    <n v="103819.27"/>
    <n v="55291.13"/>
    <s v="Cash"/>
    <s v="Anaya"/>
  </r>
  <r>
    <x v="690"/>
    <x v="187"/>
    <s v="Delhi"/>
    <x v="3"/>
    <x v="5"/>
    <x v="17"/>
    <x v="2"/>
    <s v="Small Business"/>
    <n v="8"/>
    <n v="31783"/>
    <n v="0.15"/>
    <x v="688"/>
    <n v="126883.69"/>
    <n v="89240.71"/>
    <s v="UPI"/>
    <s v="Diya"/>
  </r>
  <r>
    <x v="691"/>
    <x v="214"/>
    <s v="Hyderabad"/>
    <x v="0"/>
    <x v="2"/>
    <x v="5"/>
    <x v="2"/>
    <s v="Small Business"/>
    <n v="3"/>
    <n v="56433"/>
    <n v="0"/>
    <x v="689"/>
    <n v="96991.47"/>
    <n v="72307.53"/>
    <s v="Credit Card"/>
    <s v="Sara"/>
  </r>
  <r>
    <x v="692"/>
    <x v="142"/>
    <s v="Chennai"/>
    <x v="0"/>
    <x v="3"/>
    <x v="12"/>
    <x v="0"/>
    <s v="Consumer"/>
    <n v="7"/>
    <n v="2429"/>
    <n v="0.15"/>
    <x v="690"/>
    <n v="8219.42"/>
    <n v="6233.13"/>
    <s v="Debit Card"/>
    <s v="Kabir"/>
  </r>
  <r>
    <x v="693"/>
    <x v="301"/>
    <s v="Bengaluru"/>
    <x v="0"/>
    <x v="2"/>
    <x v="29"/>
    <x v="1"/>
    <s v="Small Business"/>
    <n v="7"/>
    <n v="49615"/>
    <n v="0.1"/>
    <x v="691"/>
    <n v="246152.17"/>
    <n v="66422.33"/>
    <s v="UPI"/>
    <s v="Sara"/>
  </r>
  <r>
    <x v="694"/>
    <x v="239"/>
    <s v="Bengaluru"/>
    <x v="0"/>
    <x v="5"/>
    <x v="17"/>
    <x v="1"/>
    <s v="Small Business"/>
    <n v="3"/>
    <n v="44386"/>
    <n v="0"/>
    <x v="692"/>
    <n v="96737.2"/>
    <n v="36420.800000000003"/>
    <s v="Cash"/>
    <s v="Aarav"/>
  </r>
  <r>
    <x v="695"/>
    <x v="302"/>
    <s v="Hyderabad"/>
    <x v="0"/>
    <x v="2"/>
    <x v="21"/>
    <x v="0"/>
    <s v="Corporate"/>
    <n v="2"/>
    <n v="43960"/>
    <n v="0.15"/>
    <x v="693"/>
    <n v="41303.5"/>
    <n v="33428.5"/>
    <s v="UPI"/>
    <s v="Rohan"/>
  </r>
  <r>
    <x v="696"/>
    <x v="219"/>
    <s v="Chennai"/>
    <x v="0"/>
    <x v="5"/>
    <x v="6"/>
    <x v="2"/>
    <s v="Corporate"/>
    <n v="4"/>
    <n v="47999"/>
    <n v="0.1"/>
    <x v="694"/>
    <n v="104425.53"/>
    <n v="68370.87"/>
    <s v="Credit Card"/>
    <s v="Vikram"/>
  </r>
  <r>
    <x v="697"/>
    <x v="90"/>
    <s v="Mumbai"/>
    <x v="2"/>
    <x v="1"/>
    <x v="18"/>
    <x v="1"/>
    <s v="Corporate"/>
    <n v="5"/>
    <n v="3223"/>
    <n v="0.05"/>
    <x v="695"/>
    <n v="10632.7"/>
    <n v="4676.55"/>
    <s v="UPI"/>
    <s v="Vikram"/>
  </r>
  <r>
    <x v="698"/>
    <x v="97"/>
    <s v="Pune"/>
    <x v="2"/>
    <x v="2"/>
    <x v="29"/>
    <x v="2"/>
    <s v="Consumer"/>
    <n v="2"/>
    <n v="34399"/>
    <n v="0.05"/>
    <x v="696"/>
    <n v="53962.99"/>
    <n v="11395.11"/>
    <s v="UPI"/>
    <s v="Vikram"/>
  </r>
  <r>
    <x v="699"/>
    <x v="164"/>
    <s v="Bengaluru"/>
    <x v="0"/>
    <x v="6"/>
    <x v="30"/>
    <x v="1"/>
    <s v="Corporate"/>
    <n v="1"/>
    <n v="1439"/>
    <n v="0.15"/>
    <x v="697"/>
    <n v="924.5"/>
    <n v="298.64999999999998"/>
    <s v="Cash"/>
    <s v="Anaya"/>
  </r>
  <r>
    <x v="700"/>
    <x v="303"/>
    <s v="Delhi"/>
    <x v="3"/>
    <x v="0"/>
    <x v="19"/>
    <x v="2"/>
    <s v="Small Business"/>
    <n v="8"/>
    <n v="1869"/>
    <n v="0.05"/>
    <x v="698"/>
    <n v="10134.200000000001"/>
    <n v="4070.2"/>
    <s v="Net Banking"/>
    <s v="Anaya"/>
  </r>
  <r>
    <x v="701"/>
    <x v="304"/>
    <s v="Chennai"/>
    <x v="0"/>
    <x v="1"/>
    <x v="18"/>
    <x v="0"/>
    <s v="Corporate"/>
    <n v="1"/>
    <n v="1268"/>
    <n v="0.1"/>
    <x v="699"/>
    <n v="828.13"/>
    <n v="313.07"/>
    <s v="UPI"/>
    <s v="Aarav"/>
  </r>
  <r>
    <x v="702"/>
    <x v="80"/>
    <s v="Delhi"/>
    <x v="3"/>
    <x v="4"/>
    <x v="13"/>
    <x v="1"/>
    <s v="Corporate"/>
    <n v="6"/>
    <n v="20259"/>
    <n v="0.05"/>
    <x v="700"/>
    <n v="77359.09"/>
    <n v="38117.21"/>
    <s v="Net Banking"/>
    <s v="Aarav"/>
  </r>
  <r>
    <x v="703"/>
    <x v="241"/>
    <s v="Hyderabad"/>
    <x v="0"/>
    <x v="4"/>
    <x v="31"/>
    <x v="0"/>
    <s v="Consumer"/>
    <n v="5"/>
    <n v="9466"/>
    <n v="0.1"/>
    <x v="701"/>
    <n v="23903.32"/>
    <n v="18693.68"/>
    <s v="Debit Card"/>
    <s v="Meera"/>
  </r>
  <r>
    <x v="704"/>
    <x v="47"/>
    <s v="Delhi"/>
    <x v="3"/>
    <x v="4"/>
    <x v="31"/>
    <x v="2"/>
    <s v="Corporate"/>
    <n v="7"/>
    <n v="12838"/>
    <n v="0.1"/>
    <x v="702"/>
    <n v="53503.51"/>
    <n v="27375.89"/>
    <s v="Credit Card"/>
    <s v="Rohan"/>
  </r>
  <r>
    <x v="705"/>
    <x v="267"/>
    <s v="Hyderabad"/>
    <x v="0"/>
    <x v="3"/>
    <x v="12"/>
    <x v="1"/>
    <s v="Corporate"/>
    <n v="5"/>
    <n v="1643"/>
    <n v="0.05"/>
    <x v="703"/>
    <n v="5168.68"/>
    <n v="2635.57"/>
    <s v="Credit Card"/>
    <s v="Meera"/>
  </r>
  <r>
    <x v="706"/>
    <x v="124"/>
    <s v="Bengaluru"/>
    <x v="0"/>
    <x v="0"/>
    <x v="23"/>
    <x v="0"/>
    <s v="Corporate"/>
    <n v="1"/>
    <n v="2273"/>
    <n v="0"/>
    <x v="704"/>
    <n v="1439.37"/>
    <n v="833.63"/>
    <s v="Net Banking"/>
    <s v="Anaya"/>
  </r>
  <r>
    <x v="707"/>
    <x v="52"/>
    <s v="Delhi"/>
    <x v="3"/>
    <x v="5"/>
    <x v="6"/>
    <x v="1"/>
    <s v="Corporate"/>
    <n v="5"/>
    <n v="18361"/>
    <n v="0.05"/>
    <x v="705"/>
    <n v="70047.88"/>
    <n v="17166.87"/>
    <s v="Credit Card"/>
    <s v="Anaya"/>
  </r>
  <r>
    <x v="708"/>
    <x v="89"/>
    <s v="Chennai"/>
    <x v="0"/>
    <x v="2"/>
    <x v="9"/>
    <x v="2"/>
    <s v="Corporate"/>
    <n v="7"/>
    <n v="45897"/>
    <n v="0.1"/>
    <x v="706"/>
    <n v="234218.32"/>
    <n v="54932.78"/>
    <s v="Net Banking"/>
    <s v="Aarav"/>
  </r>
  <r>
    <x v="709"/>
    <x v="40"/>
    <s v="Chennai"/>
    <x v="0"/>
    <x v="5"/>
    <x v="11"/>
    <x v="2"/>
    <s v="Corporate"/>
    <n v="2"/>
    <n v="28468"/>
    <n v="0.15"/>
    <x v="707"/>
    <n v="37898.68"/>
    <n v="10496.92"/>
    <s v="Credit Card"/>
    <s v="Aarav"/>
  </r>
  <r>
    <x v="710"/>
    <x v="261"/>
    <s v="Mumbai"/>
    <x v="2"/>
    <x v="6"/>
    <x v="30"/>
    <x v="0"/>
    <s v="Consumer"/>
    <n v="8"/>
    <n v="5032"/>
    <n v="0"/>
    <x v="708"/>
    <n v="27261.57"/>
    <n v="12994.43"/>
    <s v="Credit Card"/>
    <s v="Vikram"/>
  </r>
  <r>
    <x v="711"/>
    <x v="305"/>
    <s v="Hyderabad"/>
    <x v="0"/>
    <x v="0"/>
    <x v="23"/>
    <x v="0"/>
    <s v="Corporate"/>
    <n v="3"/>
    <n v="2471"/>
    <n v="0.1"/>
    <x v="709"/>
    <n v="4377.63"/>
    <n v="2294.0700000000002"/>
    <s v="Credit Card"/>
    <s v="Rohan"/>
  </r>
  <r>
    <x v="712"/>
    <x v="50"/>
    <s v="Bengaluru"/>
    <x v="0"/>
    <x v="0"/>
    <x v="28"/>
    <x v="0"/>
    <s v="Corporate"/>
    <n v="5"/>
    <n v="825"/>
    <n v="0.15"/>
    <x v="710"/>
    <n v="2989.99"/>
    <n v="516.26"/>
    <s v="Net Banking"/>
    <s v="Aarav"/>
  </r>
  <r>
    <x v="713"/>
    <x v="61"/>
    <s v="Kolkata"/>
    <x v="1"/>
    <x v="5"/>
    <x v="25"/>
    <x v="2"/>
    <s v="Corporate"/>
    <n v="8"/>
    <n v="4973"/>
    <n v="0.1"/>
    <x v="711"/>
    <n v="24277.06"/>
    <n v="11528.54"/>
    <s v="Net Banking"/>
    <s v="Meera"/>
  </r>
  <r>
    <x v="714"/>
    <x v="224"/>
    <s v="Ahmedabad"/>
    <x v="2"/>
    <x v="1"/>
    <x v="7"/>
    <x v="2"/>
    <s v="Corporate"/>
    <n v="7"/>
    <n v="2067"/>
    <n v="0.15"/>
    <x v="712"/>
    <n v="9012.4599999999991"/>
    <n v="3286.19"/>
    <s v="Credit Card"/>
    <s v="Anaya"/>
  </r>
  <r>
    <x v="715"/>
    <x v="306"/>
    <s v="Delhi"/>
    <x v="3"/>
    <x v="4"/>
    <x v="13"/>
    <x v="1"/>
    <s v="Small Business"/>
    <n v="3"/>
    <n v="19004"/>
    <n v="0.1"/>
    <x v="713"/>
    <n v="41919.97"/>
    <n v="9390.83"/>
    <s v="Net Banking"/>
    <s v="Meera"/>
  </r>
  <r>
    <x v="716"/>
    <x v="185"/>
    <s v="Hyderabad"/>
    <x v="0"/>
    <x v="5"/>
    <x v="6"/>
    <x v="2"/>
    <s v="Corporate"/>
    <n v="6"/>
    <n v="35313"/>
    <n v="0"/>
    <x v="714"/>
    <n v="176640.49"/>
    <n v="35237.51"/>
    <s v="Net Banking"/>
    <s v="Diya"/>
  </r>
  <r>
    <x v="717"/>
    <x v="282"/>
    <s v="Mumbai"/>
    <x v="2"/>
    <x v="5"/>
    <x v="11"/>
    <x v="1"/>
    <s v="Corporate"/>
    <n v="7"/>
    <n v="38865"/>
    <n v="0.1"/>
    <x v="715"/>
    <n v="155726.5"/>
    <n v="89123"/>
    <s v="Cash"/>
    <s v="Anaya"/>
  </r>
  <r>
    <x v="718"/>
    <x v="56"/>
    <s v="Bengaluru"/>
    <x v="0"/>
    <x v="3"/>
    <x v="3"/>
    <x v="1"/>
    <s v="Small Business"/>
    <n v="4"/>
    <n v="1571"/>
    <n v="0.1"/>
    <x v="716"/>
    <n v="4062.53"/>
    <n v="1593.07"/>
    <s v="Debit Card"/>
    <s v="Sara"/>
  </r>
  <r>
    <x v="719"/>
    <x v="215"/>
    <s v="Mumbai"/>
    <x v="2"/>
    <x v="3"/>
    <x v="3"/>
    <x v="1"/>
    <s v="Consumer"/>
    <n v="4"/>
    <n v="1459"/>
    <n v="0.1"/>
    <x v="717"/>
    <n v="3420.58"/>
    <n v="1831.82"/>
    <s v="Cash"/>
    <s v="Rohan"/>
  </r>
  <r>
    <x v="720"/>
    <x v="92"/>
    <s v="Mumbai"/>
    <x v="2"/>
    <x v="5"/>
    <x v="17"/>
    <x v="0"/>
    <s v="Consumer"/>
    <n v="4"/>
    <n v="22159"/>
    <n v="0.1"/>
    <x v="718"/>
    <n v="68232.31"/>
    <n v="11540.09"/>
    <s v="Cash"/>
    <s v="Vikram"/>
  </r>
  <r>
    <x v="721"/>
    <x v="307"/>
    <s v="Chennai"/>
    <x v="0"/>
    <x v="5"/>
    <x v="24"/>
    <x v="0"/>
    <s v="Small Business"/>
    <n v="8"/>
    <n v="19238"/>
    <n v="0"/>
    <x v="719"/>
    <n v="106048.23"/>
    <n v="47855.77"/>
    <s v="Credit Card"/>
    <s v="Anaya"/>
  </r>
  <r>
    <x v="722"/>
    <x v="0"/>
    <s v="Mumbai"/>
    <x v="2"/>
    <x v="3"/>
    <x v="34"/>
    <x v="1"/>
    <s v="Small Business"/>
    <n v="4"/>
    <n v="925"/>
    <n v="0.1"/>
    <x v="720"/>
    <n v="2675.89"/>
    <n v="654.11"/>
    <s v="UPI"/>
    <s v="Aarav"/>
  </r>
  <r>
    <x v="723"/>
    <x v="301"/>
    <s v="Chennai"/>
    <x v="0"/>
    <x v="4"/>
    <x v="27"/>
    <x v="2"/>
    <s v="Corporate"/>
    <n v="1"/>
    <n v="2219"/>
    <n v="0.1"/>
    <x v="721"/>
    <n v="1738.65"/>
    <n v="258.45"/>
    <s v="UPI"/>
    <s v="Meera"/>
  </r>
  <r>
    <x v="724"/>
    <x v="106"/>
    <s v="Chennai"/>
    <x v="0"/>
    <x v="0"/>
    <x v="23"/>
    <x v="1"/>
    <s v="Small Business"/>
    <n v="5"/>
    <n v="2233"/>
    <n v="0.15"/>
    <x v="722"/>
    <n v="7615.09"/>
    <n v="1875.16"/>
    <s v="Credit Card"/>
    <s v="Meera"/>
  </r>
  <r>
    <x v="725"/>
    <x v="86"/>
    <s v="Delhi"/>
    <x v="3"/>
    <x v="6"/>
    <x v="33"/>
    <x v="2"/>
    <s v="Small Business"/>
    <n v="5"/>
    <n v="3337"/>
    <n v="0.05"/>
    <x v="723"/>
    <n v="10623.93"/>
    <n v="5226.82"/>
    <s v="Cash"/>
    <s v="Aarav"/>
  </r>
  <r>
    <x v="726"/>
    <x v="308"/>
    <s v="Ahmedabad"/>
    <x v="2"/>
    <x v="6"/>
    <x v="20"/>
    <x v="2"/>
    <s v="Consumer"/>
    <n v="6"/>
    <n v="469"/>
    <n v="0.1"/>
    <x v="724"/>
    <n v="1734.54"/>
    <n v="798.06"/>
    <s v="Cash"/>
    <s v="Meera"/>
  </r>
  <r>
    <x v="727"/>
    <x v="49"/>
    <s v="Chennai"/>
    <x v="0"/>
    <x v="2"/>
    <x v="2"/>
    <x v="0"/>
    <s v="Consumer"/>
    <n v="1"/>
    <n v="28789"/>
    <n v="0.15"/>
    <x v="725"/>
    <n v="17361.75"/>
    <n v="7108.9"/>
    <s v="Net Banking"/>
    <s v="Rohan"/>
  </r>
  <r>
    <x v="728"/>
    <x v="89"/>
    <s v="Chennai"/>
    <x v="0"/>
    <x v="1"/>
    <x v="22"/>
    <x v="2"/>
    <s v="Corporate"/>
    <n v="5"/>
    <n v="506"/>
    <n v="0.1"/>
    <x v="726"/>
    <n v="1450.24"/>
    <n v="826.76"/>
    <s v="Cash"/>
    <s v="Rohan"/>
  </r>
  <r>
    <x v="729"/>
    <x v="65"/>
    <s v="Mumbai"/>
    <x v="2"/>
    <x v="4"/>
    <x v="14"/>
    <x v="0"/>
    <s v="Small Business"/>
    <n v="1"/>
    <n v="7377"/>
    <n v="0.05"/>
    <x v="727"/>
    <n v="4499.6400000000003"/>
    <n v="2508.5100000000002"/>
    <s v="Net Banking"/>
    <s v="Meera"/>
  </r>
  <r>
    <x v="730"/>
    <x v="90"/>
    <s v="Ahmedabad"/>
    <x v="2"/>
    <x v="5"/>
    <x v="11"/>
    <x v="1"/>
    <s v="Corporate"/>
    <n v="2"/>
    <n v="24543"/>
    <n v="0.05"/>
    <x v="728"/>
    <n v="32934.94"/>
    <n v="13696.76"/>
    <s v="UPI"/>
    <s v="Anaya"/>
  </r>
  <r>
    <x v="731"/>
    <x v="133"/>
    <s v="Ahmedabad"/>
    <x v="2"/>
    <x v="3"/>
    <x v="3"/>
    <x v="1"/>
    <s v="Consumer"/>
    <n v="8"/>
    <n v="177"/>
    <n v="0.05"/>
    <x v="729"/>
    <n v="863.19"/>
    <n v="482.01"/>
    <s v="UPI"/>
    <s v="Rohan"/>
  </r>
  <r>
    <x v="732"/>
    <x v="309"/>
    <s v="Pune"/>
    <x v="2"/>
    <x v="3"/>
    <x v="12"/>
    <x v="1"/>
    <s v="Consumer"/>
    <n v="7"/>
    <n v="1845"/>
    <n v="0.05"/>
    <x v="730"/>
    <n v="9934.24"/>
    <n v="2335.0100000000002"/>
    <s v="Net Banking"/>
    <s v="Sara"/>
  </r>
  <r>
    <x v="733"/>
    <x v="64"/>
    <s v="Mumbai"/>
    <x v="2"/>
    <x v="3"/>
    <x v="15"/>
    <x v="0"/>
    <s v="Corporate"/>
    <n v="8"/>
    <n v="133"/>
    <n v="0.1"/>
    <x v="731"/>
    <n v="739.26"/>
    <n v="218.34"/>
    <s v="Cash"/>
    <s v="Diya"/>
  </r>
  <r>
    <x v="734"/>
    <x v="136"/>
    <s v="Delhi"/>
    <x v="3"/>
    <x v="5"/>
    <x v="17"/>
    <x v="1"/>
    <s v="Consumer"/>
    <n v="2"/>
    <n v="20215"/>
    <n v="0.1"/>
    <x v="732"/>
    <n v="25918.13"/>
    <n v="10468.870000000001"/>
    <s v="Credit Card"/>
    <s v="Vikram"/>
  </r>
  <r>
    <x v="735"/>
    <x v="276"/>
    <s v="Pune"/>
    <x v="2"/>
    <x v="4"/>
    <x v="14"/>
    <x v="1"/>
    <s v="Corporate"/>
    <n v="2"/>
    <n v="9450"/>
    <n v="0"/>
    <x v="733"/>
    <n v="13422.1"/>
    <n v="5477.9"/>
    <s v="Debit Card"/>
    <s v="Meera"/>
  </r>
  <r>
    <x v="736"/>
    <x v="261"/>
    <s v="Bengaluru"/>
    <x v="0"/>
    <x v="3"/>
    <x v="32"/>
    <x v="0"/>
    <s v="Consumer"/>
    <n v="3"/>
    <n v="1379"/>
    <n v="0.1"/>
    <x v="734"/>
    <n v="3212.45"/>
    <n v="510.85"/>
    <s v="Cash"/>
    <s v="Aarav"/>
  </r>
  <r>
    <x v="737"/>
    <x v="195"/>
    <s v="Kolkata"/>
    <x v="1"/>
    <x v="4"/>
    <x v="13"/>
    <x v="2"/>
    <s v="Consumer"/>
    <n v="5"/>
    <n v="2071"/>
    <n v="0.1"/>
    <x v="735"/>
    <n v="7996.26"/>
    <n v="1323.24"/>
    <s v="UPI"/>
    <s v="Kabir"/>
  </r>
  <r>
    <x v="738"/>
    <x v="310"/>
    <s v="Mumbai"/>
    <x v="2"/>
    <x v="2"/>
    <x v="2"/>
    <x v="0"/>
    <s v="Small Business"/>
    <n v="6"/>
    <n v="47020"/>
    <n v="0.2"/>
    <x v="736"/>
    <n v="169126.64"/>
    <n v="56569.36"/>
    <s v="Cash"/>
    <s v="Anaya"/>
  </r>
  <r>
    <x v="739"/>
    <x v="156"/>
    <s v="Mumbai"/>
    <x v="2"/>
    <x v="2"/>
    <x v="9"/>
    <x v="2"/>
    <s v="Small Business"/>
    <n v="7"/>
    <n v="16551"/>
    <n v="0.1"/>
    <x v="737"/>
    <n v="89561.63"/>
    <n v="14709.67"/>
    <s v="Debit Card"/>
    <s v="Rohan"/>
  </r>
  <r>
    <x v="740"/>
    <x v="162"/>
    <s v="Chennai"/>
    <x v="0"/>
    <x v="6"/>
    <x v="8"/>
    <x v="0"/>
    <s v="Small Business"/>
    <n v="1"/>
    <n v="2036"/>
    <n v="0.1"/>
    <x v="738"/>
    <n v="1148.19"/>
    <n v="684.21"/>
    <s v="Cash"/>
    <s v="Kabir"/>
  </r>
  <r>
    <x v="741"/>
    <x v="239"/>
    <s v="Kolkata"/>
    <x v="1"/>
    <x v="6"/>
    <x v="20"/>
    <x v="1"/>
    <s v="Consumer"/>
    <n v="3"/>
    <n v="3511"/>
    <n v="0.1"/>
    <x v="739"/>
    <n v="6861.73"/>
    <n v="2617.9699999999998"/>
    <s v="UPI"/>
    <s v="Diya"/>
  </r>
  <r>
    <x v="742"/>
    <x v="168"/>
    <s v="Mumbai"/>
    <x v="2"/>
    <x v="4"/>
    <x v="14"/>
    <x v="2"/>
    <s v="Corporate"/>
    <n v="7"/>
    <n v="10687"/>
    <n v="0.15"/>
    <x v="740"/>
    <n v="55755.15"/>
    <n v="7832.5"/>
    <s v="Cash"/>
    <s v="Sara"/>
  </r>
  <r>
    <x v="743"/>
    <x v="123"/>
    <s v="Pune"/>
    <x v="2"/>
    <x v="3"/>
    <x v="12"/>
    <x v="2"/>
    <s v="Corporate"/>
    <n v="3"/>
    <n v="357"/>
    <n v="0.1"/>
    <x v="741"/>
    <n v="688.24"/>
    <n v="275.66000000000003"/>
    <s v="UPI"/>
    <s v="Diya"/>
  </r>
  <r>
    <x v="744"/>
    <x v="184"/>
    <s v="Chennai"/>
    <x v="0"/>
    <x v="2"/>
    <x v="5"/>
    <x v="1"/>
    <s v="Small Business"/>
    <n v="8"/>
    <n v="8950"/>
    <n v="0.2"/>
    <x v="742"/>
    <n v="43177.32"/>
    <n v="14102.68"/>
    <s v="UPI"/>
    <s v="Sara"/>
  </r>
  <r>
    <x v="745"/>
    <x v="180"/>
    <s v="Bengaluru"/>
    <x v="0"/>
    <x v="0"/>
    <x v="19"/>
    <x v="2"/>
    <s v="Corporate"/>
    <n v="7"/>
    <n v="1325"/>
    <n v="0.1"/>
    <x v="743"/>
    <n v="5946.75"/>
    <n v="2400.75"/>
    <s v="UPI"/>
    <s v="Diya"/>
  </r>
  <r>
    <x v="746"/>
    <x v="110"/>
    <s v="Bengaluru"/>
    <x v="0"/>
    <x v="6"/>
    <x v="20"/>
    <x v="2"/>
    <s v="Consumer"/>
    <n v="3"/>
    <n v="3604"/>
    <n v="0"/>
    <x v="744"/>
    <n v="8934.16"/>
    <n v="1877.84"/>
    <s v="Cash"/>
    <s v="Anaya"/>
  </r>
  <r>
    <x v="747"/>
    <x v="231"/>
    <s v="Mumbai"/>
    <x v="2"/>
    <x v="2"/>
    <x v="5"/>
    <x v="0"/>
    <s v="Consumer"/>
    <n v="1"/>
    <n v="24287"/>
    <n v="0"/>
    <x v="745"/>
    <n v="17119.18"/>
    <n v="7167.82"/>
    <s v="Cash"/>
    <s v="Rohan"/>
  </r>
  <r>
    <x v="748"/>
    <x v="24"/>
    <s v="Mumbai"/>
    <x v="2"/>
    <x v="3"/>
    <x v="12"/>
    <x v="1"/>
    <s v="Corporate"/>
    <n v="3"/>
    <n v="1653"/>
    <n v="0.05"/>
    <x v="746"/>
    <n v="2673.66"/>
    <n v="2037.39"/>
    <s v="Debit Card"/>
    <s v="Aarav"/>
  </r>
  <r>
    <x v="749"/>
    <x v="275"/>
    <s v="Kolkata"/>
    <x v="1"/>
    <x v="3"/>
    <x v="15"/>
    <x v="2"/>
    <s v="Consumer"/>
    <n v="7"/>
    <n v="478"/>
    <n v="0.05"/>
    <x v="747"/>
    <n v="2215.58"/>
    <n v="963.12"/>
    <s v="Credit Card"/>
    <s v="Anaya"/>
  </r>
  <r>
    <x v="750"/>
    <x v="123"/>
    <s v="Pune"/>
    <x v="2"/>
    <x v="6"/>
    <x v="30"/>
    <x v="1"/>
    <s v="Small Business"/>
    <n v="5"/>
    <n v="3901"/>
    <n v="0.05"/>
    <x v="748"/>
    <n v="13484.7"/>
    <n v="5045.05"/>
    <s v="Cash"/>
    <s v="Kabir"/>
  </r>
  <r>
    <x v="751"/>
    <x v="254"/>
    <s v="Mumbai"/>
    <x v="2"/>
    <x v="0"/>
    <x v="26"/>
    <x v="1"/>
    <s v="Small Business"/>
    <n v="1"/>
    <n v="1956"/>
    <n v="0.15"/>
    <x v="749"/>
    <n v="1308.06"/>
    <n v="354.54"/>
    <s v="Debit Card"/>
    <s v="Vikram"/>
  </r>
  <r>
    <x v="752"/>
    <x v="12"/>
    <s v="Hyderabad"/>
    <x v="0"/>
    <x v="5"/>
    <x v="24"/>
    <x v="0"/>
    <s v="Small Business"/>
    <n v="8"/>
    <n v="13495"/>
    <n v="0.1"/>
    <x v="750"/>
    <n v="80733.42"/>
    <n v="16430.580000000002"/>
    <s v="Credit Card"/>
    <s v="Sara"/>
  </r>
  <r>
    <x v="753"/>
    <x v="311"/>
    <s v="Ahmedabad"/>
    <x v="2"/>
    <x v="6"/>
    <x v="8"/>
    <x v="2"/>
    <s v="Consumer"/>
    <n v="5"/>
    <n v="1304"/>
    <n v="0.15"/>
    <x v="751"/>
    <n v="4202.0600000000004"/>
    <n v="1339.94"/>
    <s v="UPI"/>
    <s v="Kabir"/>
  </r>
  <r>
    <x v="754"/>
    <x v="49"/>
    <s v="Pune"/>
    <x v="2"/>
    <x v="3"/>
    <x v="15"/>
    <x v="0"/>
    <s v="Small Business"/>
    <n v="5"/>
    <n v="2374"/>
    <n v="0.05"/>
    <x v="752"/>
    <n v="9295.98"/>
    <n v="1980.52"/>
    <s v="Cash"/>
    <s v="Diya"/>
  </r>
  <r>
    <x v="755"/>
    <x v="102"/>
    <s v="Delhi"/>
    <x v="3"/>
    <x v="5"/>
    <x v="25"/>
    <x v="2"/>
    <s v="Corporate"/>
    <n v="7"/>
    <n v="3725"/>
    <n v="0.05"/>
    <x v="753"/>
    <n v="21194.95"/>
    <n v="3576.3"/>
    <s v="Cash"/>
    <s v="Aarav"/>
  </r>
  <r>
    <x v="756"/>
    <x v="233"/>
    <s v="Bengaluru"/>
    <x v="0"/>
    <x v="1"/>
    <x v="7"/>
    <x v="0"/>
    <s v="Consumer"/>
    <n v="7"/>
    <n v="9660"/>
    <n v="0.15"/>
    <x v="754"/>
    <n v="33289.78"/>
    <n v="24187.22"/>
    <s v="UPI"/>
    <s v="Diya"/>
  </r>
  <r>
    <x v="757"/>
    <x v="133"/>
    <s v="Delhi"/>
    <x v="3"/>
    <x v="1"/>
    <x v="18"/>
    <x v="2"/>
    <s v="Corporate"/>
    <n v="3"/>
    <n v="1451"/>
    <n v="0"/>
    <x v="755"/>
    <n v="3261.4"/>
    <n v="1091.5999999999999"/>
    <s v="Credit Card"/>
    <s v="Vikram"/>
  </r>
  <r>
    <x v="758"/>
    <x v="29"/>
    <s v="Ahmedabad"/>
    <x v="2"/>
    <x v="3"/>
    <x v="32"/>
    <x v="0"/>
    <s v="Corporate"/>
    <n v="5"/>
    <n v="769"/>
    <n v="0.1"/>
    <x v="756"/>
    <n v="2911.77"/>
    <n v="548.73"/>
    <s v="Credit Card"/>
    <s v="Rohan"/>
  </r>
  <r>
    <x v="759"/>
    <x v="79"/>
    <s v="Chennai"/>
    <x v="0"/>
    <x v="2"/>
    <x v="5"/>
    <x v="1"/>
    <s v="Corporate"/>
    <n v="4"/>
    <n v="67441"/>
    <n v="0.05"/>
    <x v="757"/>
    <n v="147517.1"/>
    <n v="108758.7"/>
    <s v="UPI"/>
    <s v="Diya"/>
  </r>
  <r>
    <x v="760"/>
    <x v="254"/>
    <s v="Pune"/>
    <x v="2"/>
    <x v="0"/>
    <x v="28"/>
    <x v="1"/>
    <s v="Small Business"/>
    <n v="2"/>
    <n v="1655"/>
    <n v="0.1"/>
    <x v="758"/>
    <n v="2108.2399999999998"/>
    <n v="870.76"/>
    <s v="UPI"/>
    <s v="Vikram"/>
  </r>
  <r>
    <x v="761"/>
    <x v="238"/>
    <s v="Bengaluru"/>
    <x v="0"/>
    <x v="2"/>
    <x v="21"/>
    <x v="2"/>
    <s v="Consumer"/>
    <n v="6"/>
    <n v="5015"/>
    <n v="0.15"/>
    <x v="759"/>
    <n v="20077.060000000001"/>
    <n v="5499.44"/>
    <s v="Credit Card"/>
    <s v="Kabir"/>
  </r>
  <r>
    <x v="762"/>
    <x v="8"/>
    <s v="Mumbai"/>
    <x v="2"/>
    <x v="2"/>
    <x v="29"/>
    <x v="2"/>
    <s v="Corporate"/>
    <n v="6"/>
    <n v="14375"/>
    <n v="0.1"/>
    <x v="760"/>
    <n v="65878.460000000006"/>
    <n v="11746.54"/>
    <s v="Credit Card"/>
    <s v="Anaya"/>
  </r>
  <r>
    <x v="763"/>
    <x v="66"/>
    <s v="Bengaluru"/>
    <x v="0"/>
    <x v="3"/>
    <x v="32"/>
    <x v="2"/>
    <s v="Small Business"/>
    <n v="7"/>
    <n v="607"/>
    <n v="0.1"/>
    <x v="761"/>
    <n v="3074.2"/>
    <n v="749.9"/>
    <s v="Debit Card"/>
    <s v="Vikram"/>
  </r>
  <r>
    <x v="764"/>
    <x v="229"/>
    <s v="Kolkata"/>
    <x v="1"/>
    <x v="2"/>
    <x v="29"/>
    <x v="0"/>
    <s v="Small Business"/>
    <n v="1"/>
    <n v="62455"/>
    <n v="0.1"/>
    <x v="762"/>
    <n v="39536.57"/>
    <n v="16672.93"/>
    <s v="Debit Card"/>
    <s v="Sara"/>
  </r>
  <r>
    <x v="765"/>
    <x v="312"/>
    <s v="Bengaluru"/>
    <x v="0"/>
    <x v="4"/>
    <x v="14"/>
    <x v="2"/>
    <s v="Consumer"/>
    <n v="4"/>
    <n v="7122"/>
    <n v="0.15"/>
    <x v="763"/>
    <n v="14869.59"/>
    <n v="9345.2099999999991"/>
    <s v="Net Banking"/>
    <s v="Rohan"/>
  </r>
  <r>
    <x v="766"/>
    <x v="67"/>
    <s v="Bengaluru"/>
    <x v="0"/>
    <x v="0"/>
    <x v="28"/>
    <x v="1"/>
    <s v="Corporate"/>
    <n v="7"/>
    <n v="1079"/>
    <n v="0.1"/>
    <x v="764"/>
    <n v="4841.99"/>
    <n v="1955.71"/>
    <s v="Cash"/>
    <s v="Aarav"/>
  </r>
  <r>
    <x v="767"/>
    <x v="313"/>
    <s v="Ahmedabad"/>
    <x v="2"/>
    <x v="0"/>
    <x v="23"/>
    <x v="1"/>
    <s v="Corporate"/>
    <n v="7"/>
    <n v="1564"/>
    <n v="0"/>
    <x v="765"/>
    <n v="7064.31"/>
    <n v="3883.69"/>
    <s v="Cash"/>
    <s v="Diya"/>
  </r>
  <r>
    <x v="768"/>
    <x v="314"/>
    <s v="Delhi"/>
    <x v="3"/>
    <x v="5"/>
    <x v="24"/>
    <x v="0"/>
    <s v="Corporate"/>
    <n v="7"/>
    <n v="48781"/>
    <n v="0.05"/>
    <x v="766"/>
    <n v="258353.5"/>
    <n v="66040.149999999994"/>
    <s v="Cash"/>
    <s v="Rohan"/>
  </r>
  <r>
    <x v="769"/>
    <x v="73"/>
    <s v="Mumbai"/>
    <x v="2"/>
    <x v="6"/>
    <x v="16"/>
    <x v="0"/>
    <s v="Consumer"/>
    <n v="6"/>
    <n v="3597"/>
    <n v="0.1"/>
    <x v="767"/>
    <n v="13605.64"/>
    <n v="5818.16"/>
    <s v="Credit Card"/>
    <s v="Sara"/>
  </r>
  <r>
    <x v="770"/>
    <x v="71"/>
    <s v="Kolkata"/>
    <x v="1"/>
    <x v="4"/>
    <x v="14"/>
    <x v="2"/>
    <s v="Consumer"/>
    <n v="7"/>
    <n v="11912"/>
    <n v="0.05"/>
    <x v="768"/>
    <n v="51142.14"/>
    <n v="28072.66"/>
    <s v="Net Banking"/>
    <s v="Sara"/>
  </r>
  <r>
    <x v="771"/>
    <x v="301"/>
    <s v="Delhi"/>
    <x v="3"/>
    <x v="6"/>
    <x v="8"/>
    <x v="2"/>
    <s v="Corporate"/>
    <n v="1"/>
    <n v="1284"/>
    <n v="0"/>
    <x v="769"/>
    <n v="728.27"/>
    <n v="555.73"/>
    <s v="UPI"/>
    <s v="Kabir"/>
  </r>
  <r>
    <x v="772"/>
    <x v="254"/>
    <s v="Delhi"/>
    <x v="3"/>
    <x v="4"/>
    <x v="13"/>
    <x v="1"/>
    <s v="Corporate"/>
    <n v="6"/>
    <n v="20418"/>
    <n v="0.05"/>
    <x v="770"/>
    <n v="79937.429999999993"/>
    <n v="36445.17"/>
    <s v="UPI"/>
    <s v="Kabir"/>
  </r>
  <r>
    <x v="773"/>
    <x v="309"/>
    <s v="Kolkata"/>
    <x v="1"/>
    <x v="3"/>
    <x v="12"/>
    <x v="0"/>
    <s v="Small Business"/>
    <n v="5"/>
    <n v="599"/>
    <n v="0.1"/>
    <x v="771"/>
    <n v="2007.44"/>
    <n v="688.06"/>
    <s v="UPI"/>
    <s v="Meera"/>
  </r>
  <r>
    <x v="774"/>
    <x v="123"/>
    <s v="Mumbai"/>
    <x v="2"/>
    <x v="2"/>
    <x v="5"/>
    <x v="1"/>
    <s v="Consumer"/>
    <n v="1"/>
    <n v="4275"/>
    <n v="0.15"/>
    <x v="772"/>
    <n v="2198.98"/>
    <n v="1434.77"/>
    <s v="UPI"/>
    <s v="Aarav"/>
  </r>
  <r>
    <x v="775"/>
    <x v="222"/>
    <s v="Hyderabad"/>
    <x v="0"/>
    <x v="3"/>
    <x v="3"/>
    <x v="0"/>
    <s v="Small Business"/>
    <n v="5"/>
    <n v="2034"/>
    <n v="0"/>
    <x v="773"/>
    <n v="8367.7900000000009"/>
    <n v="1802.21"/>
    <s v="Cash"/>
    <s v="Kabir"/>
  </r>
  <r>
    <x v="776"/>
    <x v="158"/>
    <s v="Mumbai"/>
    <x v="2"/>
    <x v="6"/>
    <x v="20"/>
    <x v="0"/>
    <s v="Consumer"/>
    <n v="6"/>
    <n v="2174"/>
    <n v="0.05"/>
    <x v="774"/>
    <n v="7243.04"/>
    <n v="5148.76"/>
    <s v="Cash"/>
    <s v="Aarav"/>
  </r>
  <r>
    <x v="777"/>
    <x v="109"/>
    <s v="Delhi"/>
    <x v="3"/>
    <x v="0"/>
    <x v="28"/>
    <x v="0"/>
    <s v="Corporate"/>
    <n v="7"/>
    <n v="554"/>
    <n v="0.1"/>
    <x v="775"/>
    <n v="2506.88"/>
    <n v="983.32"/>
    <s v="Credit Card"/>
    <s v="Aarav"/>
  </r>
  <r>
    <x v="778"/>
    <x v="33"/>
    <s v="Bengaluru"/>
    <x v="0"/>
    <x v="4"/>
    <x v="31"/>
    <x v="2"/>
    <s v="Corporate"/>
    <n v="8"/>
    <n v="4457"/>
    <n v="0.15"/>
    <x v="776"/>
    <n v="21010.55"/>
    <n v="9297.0499999999993"/>
    <s v="Credit Card"/>
    <s v="Sara"/>
  </r>
  <r>
    <x v="779"/>
    <x v="304"/>
    <s v="Pune"/>
    <x v="2"/>
    <x v="3"/>
    <x v="15"/>
    <x v="1"/>
    <s v="Consumer"/>
    <n v="8"/>
    <n v="1171"/>
    <n v="0.2"/>
    <x v="777"/>
    <n v="5289.94"/>
    <n v="2204.46"/>
    <s v="Net Banking"/>
    <s v="Diya"/>
  </r>
  <r>
    <x v="780"/>
    <x v="102"/>
    <s v="Mumbai"/>
    <x v="2"/>
    <x v="1"/>
    <x v="7"/>
    <x v="0"/>
    <s v="Corporate"/>
    <n v="4"/>
    <n v="10034"/>
    <n v="0.05"/>
    <x v="778"/>
    <n v="31788.71"/>
    <n v="6340.49"/>
    <s v="Cash"/>
    <s v="Sara"/>
  </r>
  <r>
    <x v="781"/>
    <x v="165"/>
    <s v="Hyderabad"/>
    <x v="0"/>
    <x v="4"/>
    <x v="31"/>
    <x v="1"/>
    <s v="Small Business"/>
    <n v="8"/>
    <n v="9889"/>
    <n v="0.05"/>
    <x v="779"/>
    <n v="46488.54"/>
    <n v="28667.86"/>
    <s v="Net Banking"/>
    <s v="Vikram"/>
  </r>
  <r>
    <x v="782"/>
    <x v="315"/>
    <s v="Pune"/>
    <x v="2"/>
    <x v="2"/>
    <x v="9"/>
    <x v="2"/>
    <s v="Small Business"/>
    <n v="5"/>
    <n v="58935"/>
    <n v="0"/>
    <x v="780"/>
    <n v="178873.79"/>
    <n v="115801.21"/>
    <s v="Credit Card"/>
    <s v="Anaya"/>
  </r>
  <r>
    <x v="783"/>
    <x v="103"/>
    <s v="Mumbai"/>
    <x v="2"/>
    <x v="0"/>
    <x v="23"/>
    <x v="2"/>
    <s v="Small Business"/>
    <n v="1"/>
    <n v="1999"/>
    <n v="0.15"/>
    <x v="781"/>
    <n v="1323.46"/>
    <n v="375.69"/>
    <s v="UPI"/>
    <s v="Meera"/>
  </r>
  <r>
    <x v="784"/>
    <x v="72"/>
    <s v="Mumbai"/>
    <x v="2"/>
    <x v="4"/>
    <x v="27"/>
    <x v="1"/>
    <s v="Small Business"/>
    <n v="1"/>
    <n v="15679"/>
    <n v="0.15"/>
    <x v="782"/>
    <n v="11695.3"/>
    <n v="1631.85"/>
    <s v="Credit Card"/>
    <s v="Vikram"/>
  </r>
  <r>
    <x v="785"/>
    <x v="20"/>
    <s v="Pune"/>
    <x v="2"/>
    <x v="2"/>
    <x v="5"/>
    <x v="2"/>
    <s v="Consumer"/>
    <n v="5"/>
    <n v="37450"/>
    <n v="0.1"/>
    <x v="783"/>
    <n v="118855.07"/>
    <n v="49669.93"/>
    <s v="Net Banking"/>
    <s v="Sara"/>
  </r>
  <r>
    <x v="786"/>
    <x v="237"/>
    <s v="Hyderabad"/>
    <x v="0"/>
    <x v="5"/>
    <x v="25"/>
    <x v="1"/>
    <s v="Consumer"/>
    <n v="7"/>
    <n v="41529"/>
    <n v="0.15"/>
    <x v="784"/>
    <n v="153437.06"/>
    <n v="93660.49"/>
    <s v="Cash"/>
    <s v="Vikram"/>
  </r>
  <r>
    <x v="787"/>
    <x v="316"/>
    <s v="Chennai"/>
    <x v="0"/>
    <x v="3"/>
    <x v="34"/>
    <x v="2"/>
    <s v="Corporate"/>
    <n v="7"/>
    <n v="1100"/>
    <n v="0.15"/>
    <x v="785"/>
    <n v="3824.4"/>
    <n v="2720.6"/>
    <s v="UPI"/>
    <s v="Rohan"/>
  </r>
  <r>
    <x v="788"/>
    <x v="45"/>
    <s v="Pune"/>
    <x v="2"/>
    <x v="3"/>
    <x v="3"/>
    <x v="0"/>
    <s v="Corporate"/>
    <n v="2"/>
    <n v="1427"/>
    <n v="0"/>
    <x v="786"/>
    <n v="1600.27"/>
    <n v="1253.73"/>
    <s v="UPI"/>
    <s v="Meera"/>
  </r>
  <r>
    <x v="789"/>
    <x v="230"/>
    <s v="Delhi"/>
    <x v="3"/>
    <x v="2"/>
    <x v="21"/>
    <x v="2"/>
    <s v="Corporate"/>
    <n v="7"/>
    <n v="14617"/>
    <n v="0.05"/>
    <x v="787"/>
    <n v="77511.509999999995"/>
    <n v="19691.54"/>
    <s v="UPI"/>
    <s v="Diya"/>
  </r>
  <r>
    <x v="790"/>
    <x v="243"/>
    <s v="Mumbai"/>
    <x v="2"/>
    <x v="1"/>
    <x v="22"/>
    <x v="2"/>
    <s v="Small Business"/>
    <n v="4"/>
    <n v="11401"/>
    <n v="0"/>
    <x v="788"/>
    <n v="40084.1"/>
    <n v="5519.9"/>
    <s v="Credit Card"/>
    <s v="Rohan"/>
  </r>
  <r>
    <x v="791"/>
    <x v="317"/>
    <s v="Bengaluru"/>
    <x v="0"/>
    <x v="2"/>
    <x v="5"/>
    <x v="0"/>
    <s v="Consumer"/>
    <n v="7"/>
    <n v="41824"/>
    <n v="0.05"/>
    <x v="789"/>
    <n v="224857.51"/>
    <n v="53272.09"/>
    <s v="Net Banking"/>
    <s v="Rohan"/>
  </r>
  <r>
    <x v="792"/>
    <x v="221"/>
    <s v="Bengaluru"/>
    <x v="0"/>
    <x v="2"/>
    <x v="29"/>
    <x v="1"/>
    <s v="Consumer"/>
    <n v="8"/>
    <n v="3299"/>
    <n v="0.15"/>
    <x v="790"/>
    <n v="13631.55"/>
    <n v="8801.65"/>
    <s v="Credit Card"/>
    <s v="Anaya"/>
  </r>
  <r>
    <x v="793"/>
    <x v="318"/>
    <s v="Bengaluru"/>
    <x v="0"/>
    <x v="6"/>
    <x v="16"/>
    <x v="1"/>
    <s v="Consumer"/>
    <n v="1"/>
    <n v="4810"/>
    <n v="0"/>
    <x v="791"/>
    <n v="4128.8900000000003"/>
    <n v="681.11"/>
    <s v="UPI"/>
    <s v="Kabir"/>
  </r>
  <r>
    <x v="794"/>
    <x v="319"/>
    <s v="Bengaluru"/>
    <x v="0"/>
    <x v="2"/>
    <x v="29"/>
    <x v="0"/>
    <s v="Consumer"/>
    <n v="2"/>
    <n v="9403"/>
    <n v="0"/>
    <x v="792"/>
    <n v="10379.32"/>
    <n v="8426.68"/>
    <s v="Cash"/>
    <s v="Rohan"/>
  </r>
  <r>
    <x v="795"/>
    <x v="102"/>
    <s v="Mumbai"/>
    <x v="2"/>
    <x v="0"/>
    <x v="23"/>
    <x v="1"/>
    <s v="Corporate"/>
    <n v="8"/>
    <n v="585"/>
    <n v="0"/>
    <x v="793"/>
    <n v="2587.61"/>
    <n v="2092.39"/>
    <s v="Net Banking"/>
    <s v="Vikram"/>
  </r>
  <r>
    <x v="796"/>
    <x v="278"/>
    <s v="Delhi"/>
    <x v="3"/>
    <x v="6"/>
    <x v="30"/>
    <x v="2"/>
    <s v="Small Business"/>
    <n v="1"/>
    <n v="5451"/>
    <n v="0"/>
    <x v="794"/>
    <n v="3629.83"/>
    <n v="1821.17"/>
    <s v="Credit Card"/>
    <s v="Vikram"/>
  </r>
  <r>
    <x v="797"/>
    <x v="320"/>
    <s v="Hyderabad"/>
    <x v="0"/>
    <x v="0"/>
    <x v="19"/>
    <x v="0"/>
    <s v="Small Business"/>
    <n v="3"/>
    <n v="1893"/>
    <n v="0.05"/>
    <x v="795"/>
    <n v="4656.6000000000004"/>
    <n v="738.45"/>
    <s v="Net Banking"/>
    <s v="Rohan"/>
  </r>
  <r>
    <x v="798"/>
    <x v="139"/>
    <s v="Delhi"/>
    <x v="3"/>
    <x v="4"/>
    <x v="31"/>
    <x v="2"/>
    <s v="Consumer"/>
    <n v="2"/>
    <n v="9331"/>
    <n v="0.05"/>
    <x v="796"/>
    <n v="10828.85"/>
    <n v="6900.05"/>
    <s v="Debit Card"/>
    <s v="Sara"/>
  </r>
  <r>
    <x v="799"/>
    <x v="262"/>
    <s v="Mumbai"/>
    <x v="2"/>
    <x v="5"/>
    <x v="6"/>
    <x v="1"/>
    <s v="Corporate"/>
    <n v="5"/>
    <n v="48083"/>
    <n v="0.05"/>
    <x v="797"/>
    <n v="190028.7"/>
    <n v="38365.550000000003"/>
    <s v="UPI"/>
    <s v="Kabir"/>
  </r>
  <r>
    <x v="800"/>
    <x v="125"/>
    <s v="Mumbai"/>
    <x v="2"/>
    <x v="3"/>
    <x v="12"/>
    <x v="1"/>
    <s v="Small Business"/>
    <n v="2"/>
    <n v="1685"/>
    <n v="0.1"/>
    <x v="798"/>
    <n v="2462.4499999999998"/>
    <n v="570.54999999999995"/>
    <s v="Net Banking"/>
    <s v="Aarav"/>
  </r>
  <r>
    <x v="801"/>
    <x v="161"/>
    <s v="Bengaluru"/>
    <x v="0"/>
    <x v="5"/>
    <x v="17"/>
    <x v="2"/>
    <s v="Corporate"/>
    <n v="8"/>
    <n v="48031"/>
    <n v="0.1"/>
    <x v="799"/>
    <n v="286750.07"/>
    <n v="59073.13"/>
    <s v="Credit Card"/>
    <s v="Anaya"/>
  </r>
  <r>
    <x v="802"/>
    <x v="220"/>
    <s v="Pune"/>
    <x v="2"/>
    <x v="4"/>
    <x v="27"/>
    <x v="0"/>
    <s v="Small Business"/>
    <n v="5"/>
    <n v="2267"/>
    <n v="0.1"/>
    <x v="800"/>
    <n v="6974.78"/>
    <n v="3226.72"/>
    <s v="Debit Card"/>
    <s v="Anaya"/>
  </r>
  <r>
    <x v="803"/>
    <x v="321"/>
    <s v="Pune"/>
    <x v="2"/>
    <x v="6"/>
    <x v="33"/>
    <x v="1"/>
    <s v="Small Business"/>
    <n v="5"/>
    <n v="395"/>
    <n v="0"/>
    <x v="801"/>
    <n v="1169.58"/>
    <n v="805.42"/>
    <s v="UPI"/>
    <s v="Diya"/>
  </r>
  <r>
    <x v="804"/>
    <x v="299"/>
    <s v="Hyderabad"/>
    <x v="0"/>
    <x v="1"/>
    <x v="18"/>
    <x v="2"/>
    <s v="Corporate"/>
    <n v="5"/>
    <n v="3404"/>
    <n v="0.15"/>
    <x v="802"/>
    <n v="9360.07"/>
    <n v="5106.93"/>
    <s v="Debit Card"/>
    <s v="Meera"/>
  </r>
  <r>
    <x v="805"/>
    <x v="322"/>
    <s v="Mumbai"/>
    <x v="2"/>
    <x v="0"/>
    <x v="19"/>
    <x v="1"/>
    <s v="Corporate"/>
    <n v="2"/>
    <n v="110"/>
    <n v="0"/>
    <x v="803"/>
    <n v="175.46"/>
    <n v="44.54"/>
    <s v="Debit Card"/>
    <s v="Vikram"/>
  </r>
  <r>
    <x v="806"/>
    <x v="3"/>
    <s v="Chennai"/>
    <x v="0"/>
    <x v="5"/>
    <x v="24"/>
    <x v="2"/>
    <s v="Consumer"/>
    <n v="4"/>
    <n v="46726"/>
    <n v="0"/>
    <x v="804"/>
    <n v="158580.64000000001"/>
    <n v="28323.360000000001"/>
    <s v="Credit Card"/>
    <s v="Rohan"/>
  </r>
  <r>
    <x v="807"/>
    <x v="323"/>
    <s v="Pune"/>
    <x v="2"/>
    <x v="4"/>
    <x v="14"/>
    <x v="1"/>
    <s v="Consumer"/>
    <n v="1"/>
    <n v="24545"/>
    <n v="0.05"/>
    <x v="805"/>
    <n v="14829.7"/>
    <n v="8488.0499999999993"/>
    <s v="Debit Card"/>
    <s v="Kabir"/>
  </r>
  <r>
    <x v="808"/>
    <x v="33"/>
    <s v="Ahmedabad"/>
    <x v="2"/>
    <x v="6"/>
    <x v="33"/>
    <x v="2"/>
    <s v="Corporate"/>
    <n v="2"/>
    <n v="3042"/>
    <n v="0.05"/>
    <x v="806"/>
    <n v="4879.1899999999996"/>
    <n v="900.61"/>
    <s v="Cash"/>
    <s v="Diya"/>
  </r>
  <r>
    <x v="809"/>
    <x v="233"/>
    <s v="Delhi"/>
    <x v="3"/>
    <x v="5"/>
    <x v="24"/>
    <x v="2"/>
    <s v="Corporate"/>
    <n v="1"/>
    <n v="39355"/>
    <n v="0.05"/>
    <x v="807"/>
    <n v="29252.3"/>
    <n v="8134.95"/>
    <s v="UPI"/>
    <s v="Rohan"/>
  </r>
  <r>
    <x v="810"/>
    <x v="144"/>
    <s v="Pune"/>
    <x v="2"/>
    <x v="4"/>
    <x v="31"/>
    <x v="0"/>
    <s v="Small Business"/>
    <n v="7"/>
    <n v="12532"/>
    <n v="0.05"/>
    <x v="808"/>
    <n v="69773.37"/>
    <n v="13564.43"/>
    <s v="Net Banking"/>
    <s v="Kabir"/>
  </r>
  <r>
    <x v="811"/>
    <x v="324"/>
    <s v="Bengaluru"/>
    <x v="0"/>
    <x v="5"/>
    <x v="25"/>
    <x v="2"/>
    <s v="Consumer"/>
    <n v="4"/>
    <n v="10882"/>
    <n v="0.15"/>
    <x v="809"/>
    <n v="28601.71"/>
    <n v="8397.09"/>
    <s v="Debit Card"/>
    <s v="Meera"/>
  </r>
  <r>
    <x v="812"/>
    <x v="309"/>
    <s v="Hyderabad"/>
    <x v="0"/>
    <x v="4"/>
    <x v="13"/>
    <x v="0"/>
    <s v="Consumer"/>
    <n v="7"/>
    <n v="13124"/>
    <n v="0.2"/>
    <x v="810"/>
    <n v="57466.62"/>
    <n v="16027.78"/>
    <s v="Cash"/>
    <s v="Kabir"/>
  </r>
  <r>
    <x v="813"/>
    <x v="25"/>
    <s v="Mumbai"/>
    <x v="2"/>
    <x v="3"/>
    <x v="32"/>
    <x v="2"/>
    <s v="Corporate"/>
    <n v="7"/>
    <n v="2294"/>
    <n v="0"/>
    <x v="811"/>
    <n v="9330.92"/>
    <n v="6727.08"/>
    <s v="Cash"/>
    <s v="Meera"/>
  </r>
  <r>
    <x v="814"/>
    <x v="322"/>
    <s v="Chennai"/>
    <x v="0"/>
    <x v="5"/>
    <x v="17"/>
    <x v="2"/>
    <s v="Small Business"/>
    <n v="4"/>
    <n v="32315"/>
    <n v="0.05"/>
    <x v="812"/>
    <n v="87409.13"/>
    <n v="35387.870000000003"/>
    <s v="UPI"/>
    <s v="Diya"/>
  </r>
  <r>
    <x v="815"/>
    <x v="38"/>
    <s v="Mumbai"/>
    <x v="2"/>
    <x v="2"/>
    <x v="9"/>
    <x v="0"/>
    <s v="Small Business"/>
    <n v="2"/>
    <n v="11211"/>
    <n v="0"/>
    <x v="813"/>
    <n v="17642.150000000001"/>
    <n v="4779.8500000000004"/>
    <s v="UPI"/>
    <s v="Meera"/>
  </r>
  <r>
    <x v="816"/>
    <x v="164"/>
    <s v="Hyderabad"/>
    <x v="0"/>
    <x v="0"/>
    <x v="28"/>
    <x v="2"/>
    <s v="Corporate"/>
    <n v="7"/>
    <n v="1380"/>
    <n v="0.15"/>
    <x v="814"/>
    <n v="5513.91"/>
    <n v="2697.09"/>
    <s v="Cash"/>
    <s v="Diya"/>
  </r>
  <r>
    <x v="817"/>
    <x v="203"/>
    <s v="Pune"/>
    <x v="2"/>
    <x v="1"/>
    <x v="10"/>
    <x v="0"/>
    <s v="Consumer"/>
    <n v="3"/>
    <n v="2406"/>
    <n v="0.15"/>
    <x v="815"/>
    <n v="4508.2299999999996"/>
    <n v="1627.07"/>
    <s v="Net Banking"/>
    <s v="Vikram"/>
  </r>
  <r>
    <x v="818"/>
    <x v="325"/>
    <s v="Chennai"/>
    <x v="0"/>
    <x v="1"/>
    <x v="7"/>
    <x v="1"/>
    <s v="Small Business"/>
    <n v="7"/>
    <n v="3539"/>
    <n v="0.15"/>
    <x v="816"/>
    <n v="16908.509999999998"/>
    <n v="4148.54"/>
    <s v="Debit Card"/>
    <s v="Vikram"/>
  </r>
  <r>
    <x v="819"/>
    <x v="223"/>
    <s v="Chennai"/>
    <x v="0"/>
    <x v="5"/>
    <x v="11"/>
    <x v="1"/>
    <s v="Consumer"/>
    <n v="2"/>
    <n v="16147"/>
    <n v="0.05"/>
    <x v="817"/>
    <n v="22639.45"/>
    <n v="8039.85"/>
    <s v="Net Banking"/>
    <s v="Rohan"/>
  </r>
  <r>
    <x v="820"/>
    <x v="176"/>
    <s v="Ahmedabad"/>
    <x v="2"/>
    <x v="3"/>
    <x v="34"/>
    <x v="2"/>
    <s v="Corporate"/>
    <n v="5"/>
    <n v="2392"/>
    <n v="0.05"/>
    <x v="818"/>
    <n v="9440.9500000000007"/>
    <n v="1921.05"/>
    <s v="Debit Card"/>
    <s v="Kabir"/>
  </r>
  <r>
    <x v="821"/>
    <x v="221"/>
    <s v="Ahmedabad"/>
    <x v="2"/>
    <x v="0"/>
    <x v="19"/>
    <x v="2"/>
    <s v="Consumer"/>
    <n v="5"/>
    <n v="917"/>
    <n v="0.15"/>
    <x v="819"/>
    <n v="2421.5300000000002"/>
    <n v="1475.72"/>
    <s v="UPI"/>
    <s v="Diya"/>
  </r>
  <r>
    <x v="822"/>
    <x v="2"/>
    <s v="Delhi"/>
    <x v="3"/>
    <x v="1"/>
    <x v="22"/>
    <x v="0"/>
    <s v="Small Business"/>
    <n v="5"/>
    <n v="1025"/>
    <n v="0.15"/>
    <x v="820"/>
    <n v="2841.35"/>
    <n v="1514.9"/>
    <s v="Net Banking"/>
    <s v="Diya"/>
  </r>
  <r>
    <x v="823"/>
    <x v="291"/>
    <s v="Ahmedabad"/>
    <x v="2"/>
    <x v="3"/>
    <x v="3"/>
    <x v="2"/>
    <s v="Small Business"/>
    <n v="3"/>
    <n v="185"/>
    <n v="0"/>
    <x v="821"/>
    <n v="394.23"/>
    <n v="160.77000000000001"/>
    <s v="UPI"/>
    <s v="Anaya"/>
  </r>
  <r>
    <x v="824"/>
    <x v="29"/>
    <s v="Ahmedabad"/>
    <x v="2"/>
    <x v="4"/>
    <x v="4"/>
    <x v="1"/>
    <s v="Small Business"/>
    <n v="2"/>
    <n v="2732"/>
    <n v="0.05"/>
    <x v="822"/>
    <n v="3196.57"/>
    <n v="1994.23"/>
    <s v="Credit Card"/>
    <s v="Anaya"/>
  </r>
  <r>
    <x v="825"/>
    <x v="172"/>
    <s v="Ahmedabad"/>
    <x v="2"/>
    <x v="0"/>
    <x v="23"/>
    <x v="1"/>
    <s v="Corporate"/>
    <n v="6"/>
    <n v="1301"/>
    <n v="0.1"/>
    <x v="823"/>
    <n v="5578.44"/>
    <n v="1446.96"/>
    <s v="Credit Card"/>
    <s v="Meera"/>
  </r>
  <r>
    <x v="826"/>
    <x v="326"/>
    <s v="Bengaluru"/>
    <x v="0"/>
    <x v="1"/>
    <x v="1"/>
    <x v="2"/>
    <s v="Corporate"/>
    <n v="6"/>
    <n v="10510"/>
    <n v="0.05"/>
    <x v="824"/>
    <n v="35747.17"/>
    <n v="24159.83"/>
    <s v="Net Banking"/>
    <s v="Anaya"/>
  </r>
  <r>
    <x v="827"/>
    <x v="166"/>
    <s v="Pune"/>
    <x v="2"/>
    <x v="2"/>
    <x v="21"/>
    <x v="0"/>
    <s v="Corporate"/>
    <n v="8"/>
    <n v="27011"/>
    <n v="0.1"/>
    <x v="825"/>
    <n v="165697.87"/>
    <n v="28781.33"/>
    <s v="Credit Card"/>
    <s v="Rohan"/>
  </r>
  <r>
    <x v="828"/>
    <x v="264"/>
    <s v="Ahmedabad"/>
    <x v="2"/>
    <x v="6"/>
    <x v="33"/>
    <x v="0"/>
    <s v="Corporate"/>
    <n v="3"/>
    <n v="2498"/>
    <n v="0.1"/>
    <x v="826"/>
    <n v="4887.16"/>
    <n v="1857.44"/>
    <s v="Credit Card"/>
    <s v="Anaya"/>
  </r>
  <r>
    <x v="829"/>
    <x v="89"/>
    <s v="Pune"/>
    <x v="2"/>
    <x v="6"/>
    <x v="16"/>
    <x v="1"/>
    <s v="Small Business"/>
    <n v="4"/>
    <n v="4283"/>
    <n v="0.05"/>
    <x v="827"/>
    <n v="13528.61"/>
    <n v="2746.79"/>
    <s v="UPI"/>
    <s v="Rohan"/>
  </r>
  <r>
    <x v="830"/>
    <x v="150"/>
    <s v="Kolkata"/>
    <x v="1"/>
    <x v="0"/>
    <x v="28"/>
    <x v="2"/>
    <s v="Small Business"/>
    <n v="1"/>
    <n v="1984"/>
    <n v="0.1"/>
    <x v="828"/>
    <n v="1181.33"/>
    <n v="604.27"/>
    <s v="Cash"/>
    <s v="Vikram"/>
  </r>
  <r>
    <x v="831"/>
    <x v="310"/>
    <s v="Hyderabad"/>
    <x v="0"/>
    <x v="1"/>
    <x v="10"/>
    <x v="0"/>
    <s v="Small Business"/>
    <n v="6"/>
    <n v="6665"/>
    <n v="0.1"/>
    <x v="829"/>
    <n v="21146.21"/>
    <n v="14844.79"/>
    <s v="Net Banking"/>
    <s v="Rohan"/>
  </r>
  <r>
    <x v="832"/>
    <x v="229"/>
    <s v="Bengaluru"/>
    <x v="0"/>
    <x v="5"/>
    <x v="17"/>
    <x v="2"/>
    <s v="Corporate"/>
    <n v="6"/>
    <n v="9943"/>
    <n v="0"/>
    <x v="830"/>
    <n v="51461.22"/>
    <n v="8196.7800000000007"/>
    <s v="Cash"/>
    <s v="Sara"/>
  </r>
  <r>
    <x v="833"/>
    <x v="46"/>
    <s v="Kolkata"/>
    <x v="1"/>
    <x v="4"/>
    <x v="27"/>
    <x v="2"/>
    <s v="Small Business"/>
    <n v="3"/>
    <n v="19374"/>
    <n v="0"/>
    <x v="831"/>
    <n v="32713.13"/>
    <n v="25408.87"/>
    <s v="Cash"/>
    <s v="Aarav"/>
  </r>
  <r>
    <x v="834"/>
    <x v="113"/>
    <s v="Mumbai"/>
    <x v="2"/>
    <x v="0"/>
    <x v="28"/>
    <x v="0"/>
    <s v="Small Business"/>
    <n v="7"/>
    <n v="440"/>
    <n v="0.1"/>
    <x v="661"/>
    <n v="2075.38"/>
    <n v="696.62"/>
    <s v="Net Banking"/>
    <s v="Kabir"/>
  </r>
  <r>
    <x v="835"/>
    <x v="319"/>
    <s v="Chennai"/>
    <x v="0"/>
    <x v="2"/>
    <x v="29"/>
    <x v="2"/>
    <s v="Corporate"/>
    <n v="7"/>
    <n v="26944"/>
    <n v="0"/>
    <x v="832"/>
    <n v="155825.10999999999"/>
    <n v="32782.89"/>
    <s v="Debit Card"/>
    <s v="Aarav"/>
  </r>
  <r>
    <x v="836"/>
    <x v="9"/>
    <s v="Kolkata"/>
    <x v="1"/>
    <x v="6"/>
    <x v="16"/>
    <x v="0"/>
    <s v="Small Business"/>
    <n v="1"/>
    <n v="1328"/>
    <n v="0.15"/>
    <x v="833"/>
    <n v="810.82"/>
    <n v="317.98"/>
    <s v="UPI"/>
    <s v="Kabir"/>
  </r>
  <r>
    <x v="837"/>
    <x v="266"/>
    <s v="Delhi"/>
    <x v="3"/>
    <x v="2"/>
    <x v="9"/>
    <x v="0"/>
    <s v="Small Business"/>
    <n v="5"/>
    <n v="15121"/>
    <n v="0.1"/>
    <x v="834"/>
    <n v="37848.25"/>
    <n v="30196.25"/>
    <s v="Debit Card"/>
    <s v="Vikram"/>
  </r>
  <r>
    <x v="838"/>
    <x v="0"/>
    <s v="Chennai"/>
    <x v="0"/>
    <x v="1"/>
    <x v="1"/>
    <x v="1"/>
    <s v="Consumer"/>
    <n v="7"/>
    <n v="8510"/>
    <n v="0.05"/>
    <x v="835"/>
    <n v="49452.73"/>
    <n v="7138.77"/>
    <s v="Credit Card"/>
    <s v="Anaya"/>
  </r>
  <r>
    <x v="839"/>
    <x v="327"/>
    <s v="Bengaluru"/>
    <x v="0"/>
    <x v="4"/>
    <x v="4"/>
    <x v="0"/>
    <s v="Consumer"/>
    <n v="5"/>
    <n v="11907"/>
    <n v="0.15"/>
    <x v="836"/>
    <n v="34236.28"/>
    <n v="16368.47"/>
    <s v="Credit Card"/>
    <s v="Diya"/>
  </r>
  <r>
    <x v="840"/>
    <x v="202"/>
    <s v="Hyderabad"/>
    <x v="0"/>
    <x v="6"/>
    <x v="16"/>
    <x v="2"/>
    <s v="Corporate"/>
    <n v="8"/>
    <n v="1064"/>
    <n v="0.05"/>
    <x v="837"/>
    <n v="7090.93"/>
    <n v="995.47"/>
    <s v="Cash"/>
    <s v="Vikram"/>
  </r>
  <r>
    <x v="841"/>
    <x v="271"/>
    <s v="Pune"/>
    <x v="2"/>
    <x v="6"/>
    <x v="8"/>
    <x v="0"/>
    <s v="Corporate"/>
    <n v="8"/>
    <n v="4955"/>
    <n v="0.15"/>
    <x v="838"/>
    <n v="25531.24"/>
    <n v="8162.76"/>
    <s v="UPI"/>
    <s v="Vikram"/>
  </r>
  <r>
    <x v="842"/>
    <x v="328"/>
    <s v="Delhi"/>
    <x v="3"/>
    <x v="1"/>
    <x v="1"/>
    <x v="2"/>
    <s v="Consumer"/>
    <n v="4"/>
    <n v="10748"/>
    <n v="0.15"/>
    <x v="839"/>
    <n v="24629.49"/>
    <n v="11913.71"/>
    <s v="Debit Card"/>
    <s v="Vikram"/>
  </r>
  <r>
    <x v="843"/>
    <x v="268"/>
    <s v="Pune"/>
    <x v="2"/>
    <x v="1"/>
    <x v="7"/>
    <x v="1"/>
    <s v="Corporate"/>
    <n v="4"/>
    <n v="7864"/>
    <n v="0"/>
    <x v="840"/>
    <n v="27296.720000000001"/>
    <n v="4159.28"/>
    <s v="Credit Card"/>
    <s v="Anaya"/>
  </r>
  <r>
    <x v="844"/>
    <x v="269"/>
    <s v="Mumbai"/>
    <x v="2"/>
    <x v="1"/>
    <x v="7"/>
    <x v="2"/>
    <s v="Small Business"/>
    <n v="5"/>
    <n v="7303"/>
    <n v="0.05"/>
    <x v="841"/>
    <n v="28538.84"/>
    <n v="6150.41"/>
    <s v="UPI"/>
    <s v="Rohan"/>
  </r>
  <r>
    <x v="845"/>
    <x v="165"/>
    <s v="Ahmedabad"/>
    <x v="2"/>
    <x v="3"/>
    <x v="3"/>
    <x v="1"/>
    <s v="Small Business"/>
    <n v="4"/>
    <n v="983"/>
    <n v="0.05"/>
    <x v="842"/>
    <n v="3202.6"/>
    <n v="532.79999999999995"/>
    <s v="Net Banking"/>
    <s v="Vikram"/>
  </r>
  <r>
    <x v="846"/>
    <x v="116"/>
    <s v="Mumbai"/>
    <x v="2"/>
    <x v="5"/>
    <x v="17"/>
    <x v="1"/>
    <s v="Small Business"/>
    <n v="4"/>
    <n v="39056"/>
    <n v="0.1"/>
    <x v="843"/>
    <n v="104014.04"/>
    <n v="36587.56"/>
    <s v="Cash"/>
    <s v="Meera"/>
  </r>
  <r>
    <x v="847"/>
    <x v="149"/>
    <s v="Bengaluru"/>
    <x v="0"/>
    <x v="5"/>
    <x v="11"/>
    <x v="1"/>
    <s v="Corporate"/>
    <n v="3"/>
    <n v="6046"/>
    <n v="0.1"/>
    <x v="844"/>
    <n v="12692.5"/>
    <n v="3631.7"/>
    <s v="Net Banking"/>
    <s v="Anaya"/>
  </r>
  <r>
    <x v="848"/>
    <x v="329"/>
    <s v="Bengaluru"/>
    <x v="0"/>
    <x v="3"/>
    <x v="15"/>
    <x v="2"/>
    <s v="Corporate"/>
    <n v="3"/>
    <n v="1656"/>
    <n v="0.1"/>
    <x v="845"/>
    <n v="2962.18"/>
    <n v="1509.02"/>
    <s v="Credit Card"/>
    <s v="Sara"/>
  </r>
  <r>
    <x v="849"/>
    <x v="140"/>
    <s v="Mumbai"/>
    <x v="2"/>
    <x v="2"/>
    <x v="2"/>
    <x v="1"/>
    <s v="Consumer"/>
    <n v="7"/>
    <n v="65266"/>
    <n v="0.15"/>
    <x v="846"/>
    <n v="316101.75"/>
    <n v="72230.95"/>
    <s v="Credit Card"/>
    <s v="Meera"/>
  </r>
  <r>
    <x v="850"/>
    <x v="291"/>
    <s v="Bengaluru"/>
    <x v="0"/>
    <x v="0"/>
    <x v="23"/>
    <x v="2"/>
    <s v="Corporate"/>
    <n v="2"/>
    <n v="1630"/>
    <n v="0.2"/>
    <x v="847"/>
    <n v="1606.59"/>
    <n v="1001.41"/>
    <s v="Net Banking"/>
    <s v="Diya"/>
  </r>
  <r>
    <x v="851"/>
    <x v="330"/>
    <s v="Pune"/>
    <x v="2"/>
    <x v="4"/>
    <x v="31"/>
    <x v="1"/>
    <s v="Corporate"/>
    <n v="4"/>
    <n v="17027"/>
    <n v="0.15"/>
    <x v="848"/>
    <n v="41034.93"/>
    <n v="16856.87"/>
    <s v="UPI"/>
    <s v="Anaya"/>
  </r>
  <r>
    <x v="852"/>
    <x v="76"/>
    <s v="Ahmedabad"/>
    <x v="2"/>
    <x v="1"/>
    <x v="1"/>
    <x v="0"/>
    <s v="Consumer"/>
    <n v="1"/>
    <n v="4532"/>
    <n v="0.05"/>
    <x v="849"/>
    <n v="3064.65"/>
    <n v="1240.75"/>
    <s v="UPI"/>
    <s v="Aarav"/>
  </r>
  <r>
    <x v="853"/>
    <x v="155"/>
    <s v="Mumbai"/>
    <x v="2"/>
    <x v="0"/>
    <x v="19"/>
    <x v="1"/>
    <s v="Small Business"/>
    <n v="3"/>
    <n v="2212"/>
    <n v="0.15"/>
    <x v="850"/>
    <n v="4071.24"/>
    <n v="1569.36"/>
    <s v="Cash"/>
    <s v="Kabir"/>
  </r>
  <r>
    <x v="854"/>
    <x v="229"/>
    <s v="Mumbai"/>
    <x v="2"/>
    <x v="6"/>
    <x v="33"/>
    <x v="1"/>
    <s v="Consumer"/>
    <n v="6"/>
    <n v="3384"/>
    <n v="0"/>
    <x v="851"/>
    <n v="16423.21"/>
    <n v="3880.79"/>
    <s v="Net Banking"/>
    <s v="Sara"/>
  </r>
  <r>
    <x v="855"/>
    <x v="85"/>
    <s v="Delhi"/>
    <x v="3"/>
    <x v="6"/>
    <x v="20"/>
    <x v="0"/>
    <s v="Consumer"/>
    <n v="8"/>
    <n v="260"/>
    <n v="0"/>
    <x v="852"/>
    <n v="1626.75"/>
    <n v="453.25"/>
    <s v="Net Banking"/>
    <s v="Kabir"/>
  </r>
  <r>
    <x v="856"/>
    <x v="122"/>
    <s v="Mumbai"/>
    <x v="2"/>
    <x v="1"/>
    <x v="10"/>
    <x v="2"/>
    <s v="Small Business"/>
    <n v="3"/>
    <n v="11506"/>
    <n v="0.1"/>
    <x v="853"/>
    <n v="20381.05"/>
    <n v="10685.15"/>
    <s v="Credit Card"/>
    <s v="Anaya"/>
  </r>
  <r>
    <x v="857"/>
    <x v="234"/>
    <s v="Bengaluru"/>
    <x v="0"/>
    <x v="0"/>
    <x v="26"/>
    <x v="2"/>
    <s v="Small Business"/>
    <n v="4"/>
    <n v="1779"/>
    <n v="0.05"/>
    <x v="854"/>
    <n v="5020.3900000000003"/>
    <n v="1739.81"/>
    <s v="Debit Card"/>
    <s v="Sara"/>
  </r>
  <r>
    <x v="858"/>
    <x v="94"/>
    <s v="Mumbai"/>
    <x v="2"/>
    <x v="6"/>
    <x v="20"/>
    <x v="2"/>
    <s v="Corporate"/>
    <n v="1"/>
    <n v="4277"/>
    <n v="0.1"/>
    <x v="855"/>
    <n v="3241.97"/>
    <n v="607.33000000000004"/>
    <s v="Credit Card"/>
    <s v="Meera"/>
  </r>
  <r>
    <x v="859"/>
    <x v="168"/>
    <s v="Pune"/>
    <x v="2"/>
    <x v="2"/>
    <x v="29"/>
    <x v="0"/>
    <s v="Consumer"/>
    <n v="3"/>
    <n v="20169"/>
    <n v="0.05"/>
    <x v="856"/>
    <n v="47052.33"/>
    <n v="10429.32"/>
    <s v="Cash"/>
    <s v="Kabir"/>
  </r>
  <r>
    <x v="860"/>
    <x v="109"/>
    <s v="Chennai"/>
    <x v="0"/>
    <x v="6"/>
    <x v="20"/>
    <x v="2"/>
    <s v="Corporate"/>
    <n v="2"/>
    <n v="4976"/>
    <n v="0.15"/>
    <x v="857"/>
    <n v="4755.55"/>
    <n v="3703.65"/>
    <s v="Debit Card"/>
    <s v="Aarav"/>
  </r>
  <r>
    <x v="861"/>
    <x v="294"/>
    <s v="Bengaluru"/>
    <x v="0"/>
    <x v="2"/>
    <x v="9"/>
    <x v="1"/>
    <s v="Consumer"/>
    <n v="2"/>
    <n v="53685"/>
    <n v="0.05"/>
    <x v="858"/>
    <n v="58079.93"/>
    <n v="43921.57"/>
    <s v="Cash"/>
    <s v="Diya"/>
  </r>
  <r>
    <x v="862"/>
    <x v="56"/>
    <s v="Mumbai"/>
    <x v="2"/>
    <x v="6"/>
    <x v="20"/>
    <x v="1"/>
    <s v="Small Business"/>
    <n v="8"/>
    <n v="5417"/>
    <n v="0"/>
    <x v="859"/>
    <n v="25721.51"/>
    <n v="17614.490000000002"/>
    <s v="Credit Card"/>
    <s v="Vikram"/>
  </r>
  <r>
    <x v="863"/>
    <x v="234"/>
    <s v="Mumbai"/>
    <x v="2"/>
    <x v="4"/>
    <x v="27"/>
    <x v="0"/>
    <s v="Corporate"/>
    <n v="4"/>
    <n v="17873"/>
    <n v="0"/>
    <x v="860"/>
    <n v="48822.51"/>
    <n v="22669.49"/>
    <s v="Credit Card"/>
    <s v="Rohan"/>
  </r>
  <r>
    <x v="864"/>
    <x v="267"/>
    <s v="Chennai"/>
    <x v="0"/>
    <x v="3"/>
    <x v="12"/>
    <x v="2"/>
    <s v="Consumer"/>
    <n v="2"/>
    <n v="1909"/>
    <n v="0"/>
    <x v="861"/>
    <n v="3038.72"/>
    <n v="779.28"/>
    <s v="Debit Card"/>
    <s v="Diya"/>
  </r>
  <r>
    <x v="865"/>
    <x v="287"/>
    <s v="Hyderabad"/>
    <x v="0"/>
    <x v="4"/>
    <x v="27"/>
    <x v="0"/>
    <s v="Consumer"/>
    <n v="3"/>
    <n v="16001"/>
    <n v="0.05"/>
    <x v="862"/>
    <n v="29708.55"/>
    <n v="15894.3"/>
    <s v="UPI"/>
    <s v="Rohan"/>
  </r>
  <r>
    <x v="866"/>
    <x v="122"/>
    <s v="Kolkata"/>
    <x v="1"/>
    <x v="0"/>
    <x v="26"/>
    <x v="2"/>
    <s v="Consumer"/>
    <n v="4"/>
    <n v="1761"/>
    <n v="0.05"/>
    <x v="863"/>
    <n v="3867.37"/>
    <n v="2824.43"/>
    <s v="Cash"/>
    <s v="Rohan"/>
  </r>
  <r>
    <x v="867"/>
    <x v="190"/>
    <s v="Mumbai"/>
    <x v="2"/>
    <x v="6"/>
    <x v="30"/>
    <x v="2"/>
    <s v="Corporate"/>
    <n v="3"/>
    <n v="4132"/>
    <n v="0"/>
    <x v="864"/>
    <n v="7269.23"/>
    <n v="5126.7700000000004"/>
    <s v="Debit Card"/>
    <s v="Anaya"/>
  </r>
  <r>
    <x v="868"/>
    <x v="98"/>
    <s v="Pune"/>
    <x v="2"/>
    <x v="6"/>
    <x v="20"/>
    <x v="1"/>
    <s v="Corporate"/>
    <n v="8"/>
    <n v="5150"/>
    <n v="0.1"/>
    <x v="865"/>
    <n v="31049.58"/>
    <n v="6030.42"/>
    <s v="Cash"/>
    <s v="Aarav"/>
  </r>
  <r>
    <x v="869"/>
    <x v="37"/>
    <s v="Kolkata"/>
    <x v="1"/>
    <x v="3"/>
    <x v="34"/>
    <x v="1"/>
    <s v="Corporate"/>
    <n v="7"/>
    <n v="1935"/>
    <n v="0"/>
    <x v="866"/>
    <n v="9215.68"/>
    <n v="4329.32"/>
    <s v="Net Banking"/>
    <s v="Meera"/>
  </r>
  <r>
    <x v="870"/>
    <x v="315"/>
    <s v="Bengaluru"/>
    <x v="0"/>
    <x v="5"/>
    <x v="6"/>
    <x v="0"/>
    <s v="Corporate"/>
    <n v="8"/>
    <n v="13111"/>
    <n v="0"/>
    <x v="867"/>
    <n v="63284.37"/>
    <n v="41603.629999999997"/>
    <s v="Net Banking"/>
    <s v="Anaya"/>
  </r>
  <r>
    <x v="871"/>
    <x v="188"/>
    <s v="Pune"/>
    <x v="2"/>
    <x v="3"/>
    <x v="3"/>
    <x v="2"/>
    <s v="Small Business"/>
    <n v="5"/>
    <n v="1671"/>
    <n v="0.15"/>
    <x v="868"/>
    <n v="4586.7299999999996"/>
    <n v="2515.02"/>
    <s v="Credit Card"/>
    <s v="Sara"/>
  </r>
  <r>
    <x v="872"/>
    <x v="3"/>
    <s v="Ahmedabad"/>
    <x v="2"/>
    <x v="4"/>
    <x v="4"/>
    <x v="0"/>
    <s v="Consumer"/>
    <n v="7"/>
    <n v="21876"/>
    <n v="0.1"/>
    <x v="869"/>
    <n v="116129.2"/>
    <n v="21689.599999999999"/>
    <s v="Debit Card"/>
    <s v="Meera"/>
  </r>
  <r>
    <x v="873"/>
    <x v="149"/>
    <s v="Chennai"/>
    <x v="0"/>
    <x v="1"/>
    <x v="22"/>
    <x v="1"/>
    <s v="Consumer"/>
    <n v="7"/>
    <n v="9127"/>
    <n v="0.05"/>
    <x v="870"/>
    <n v="49249.48"/>
    <n v="11445.07"/>
    <s v="UPI"/>
    <s v="Aarav"/>
  </r>
  <r>
    <x v="874"/>
    <x v="159"/>
    <s v="Ahmedabad"/>
    <x v="2"/>
    <x v="5"/>
    <x v="11"/>
    <x v="1"/>
    <s v="Small Business"/>
    <n v="8"/>
    <n v="31781"/>
    <n v="0.05"/>
    <x v="871"/>
    <n v="159299.75"/>
    <n v="82235.850000000006"/>
    <s v="Cash"/>
    <s v="Kabir"/>
  </r>
  <r>
    <x v="875"/>
    <x v="273"/>
    <s v="Delhi"/>
    <x v="3"/>
    <x v="2"/>
    <x v="29"/>
    <x v="1"/>
    <s v="Corporate"/>
    <n v="1"/>
    <n v="40597"/>
    <n v="0.15"/>
    <x v="872"/>
    <n v="29893.41"/>
    <n v="4614.04"/>
    <s v="Credit Card"/>
    <s v="Diya"/>
  </r>
  <r>
    <x v="876"/>
    <x v="25"/>
    <s v="Delhi"/>
    <x v="3"/>
    <x v="5"/>
    <x v="25"/>
    <x v="0"/>
    <s v="Corporate"/>
    <n v="7"/>
    <n v="22104"/>
    <n v="0.15"/>
    <x v="873"/>
    <n v="102363.81"/>
    <n v="29154.99"/>
    <s v="Net Banking"/>
    <s v="Rohan"/>
  </r>
  <r>
    <x v="877"/>
    <x v="22"/>
    <s v="Delhi"/>
    <x v="3"/>
    <x v="0"/>
    <x v="0"/>
    <x v="2"/>
    <s v="Corporate"/>
    <n v="3"/>
    <n v="2202"/>
    <n v="0"/>
    <x v="874"/>
    <n v="5638.02"/>
    <n v="967.98"/>
    <s v="Cash"/>
    <s v="Kabir"/>
  </r>
  <r>
    <x v="878"/>
    <x v="60"/>
    <s v="Ahmedabad"/>
    <x v="2"/>
    <x v="3"/>
    <x v="12"/>
    <x v="2"/>
    <s v="Small Business"/>
    <n v="6"/>
    <n v="2369"/>
    <n v="0.15"/>
    <x v="875"/>
    <n v="9011.7999999999993"/>
    <n v="3070.1"/>
    <s v="UPI"/>
    <s v="Aarav"/>
  </r>
  <r>
    <x v="879"/>
    <x v="26"/>
    <s v="Mumbai"/>
    <x v="2"/>
    <x v="0"/>
    <x v="28"/>
    <x v="2"/>
    <s v="Small Business"/>
    <n v="6"/>
    <n v="2415"/>
    <n v="0"/>
    <x v="876"/>
    <n v="9218.9"/>
    <n v="5271.1"/>
    <s v="UPI"/>
    <s v="Anaya"/>
  </r>
  <r>
    <x v="880"/>
    <x v="177"/>
    <s v="Pune"/>
    <x v="2"/>
    <x v="3"/>
    <x v="15"/>
    <x v="1"/>
    <s v="Small Business"/>
    <n v="6"/>
    <n v="1779"/>
    <n v="0.05"/>
    <x v="877"/>
    <n v="5871.48"/>
    <n v="4268.82"/>
    <s v="Credit Card"/>
    <s v="Meera"/>
  </r>
  <r>
    <x v="881"/>
    <x v="257"/>
    <s v="Mumbai"/>
    <x v="2"/>
    <x v="5"/>
    <x v="25"/>
    <x v="2"/>
    <s v="Corporate"/>
    <n v="4"/>
    <n v="33647"/>
    <n v="0.05"/>
    <x v="878"/>
    <n v="80705.97"/>
    <n v="47152.63"/>
    <s v="UPI"/>
    <s v="Meera"/>
  </r>
  <r>
    <x v="882"/>
    <x v="57"/>
    <s v="Mumbai"/>
    <x v="2"/>
    <x v="3"/>
    <x v="12"/>
    <x v="2"/>
    <s v="Small Business"/>
    <n v="6"/>
    <n v="1376"/>
    <n v="0.05"/>
    <x v="879"/>
    <n v="5838.95"/>
    <n v="2004.25"/>
    <s v="Net Banking"/>
    <s v="Aarav"/>
  </r>
  <r>
    <x v="883"/>
    <x v="212"/>
    <s v="Mumbai"/>
    <x v="2"/>
    <x v="0"/>
    <x v="28"/>
    <x v="2"/>
    <s v="Corporate"/>
    <n v="3"/>
    <n v="597"/>
    <n v="0.15"/>
    <x v="880"/>
    <n v="991.69"/>
    <n v="530.66"/>
    <s v="UPI"/>
    <s v="Meera"/>
  </r>
  <r>
    <x v="884"/>
    <x v="15"/>
    <s v="Kolkata"/>
    <x v="1"/>
    <x v="5"/>
    <x v="6"/>
    <x v="2"/>
    <s v="Small Business"/>
    <n v="1"/>
    <n v="27452"/>
    <n v="0"/>
    <x v="881"/>
    <n v="23502.26"/>
    <n v="3949.74"/>
    <s v="Credit Card"/>
    <s v="Diya"/>
  </r>
  <r>
    <x v="885"/>
    <x v="274"/>
    <s v="Mumbai"/>
    <x v="2"/>
    <x v="5"/>
    <x v="25"/>
    <x v="0"/>
    <s v="Corporate"/>
    <n v="8"/>
    <n v="5053"/>
    <n v="0.15"/>
    <x v="882"/>
    <n v="29945.09"/>
    <n v="4415.3100000000004"/>
    <s v="Debit Card"/>
    <s v="Sara"/>
  </r>
  <r>
    <x v="886"/>
    <x v="305"/>
    <s v="Bengaluru"/>
    <x v="0"/>
    <x v="5"/>
    <x v="24"/>
    <x v="0"/>
    <s v="Corporate"/>
    <n v="2"/>
    <n v="45467"/>
    <n v="0.15"/>
    <x v="883"/>
    <n v="56375.81"/>
    <n v="20918.09"/>
    <s v="Credit Card"/>
    <s v="Vikram"/>
  </r>
  <r>
    <x v="887"/>
    <x v="156"/>
    <s v="Hyderabad"/>
    <x v="0"/>
    <x v="0"/>
    <x v="0"/>
    <x v="2"/>
    <s v="Small Business"/>
    <n v="3"/>
    <n v="1177"/>
    <n v="0"/>
    <x v="884"/>
    <n v="2265.71"/>
    <n v="1265.29"/>
    <s v="Credit Card"/>
    <s v="Meera"/>
  </r>
  <r>
    <x v="888"/>
    <x v="27"/>
    <s v="Bengaluru"/>
    <x v="0"/>
    <x v="5"/>
    <x v="11"/>
    <x v="0"/>
    <s v="Corporate"/>
    <n v="1"/>
    <n v="24793"/>
    <n v="0.15"/>
    <x v="885"/>
    <n v="14569.61"/>
    <n v="6504.44"/>
    <s v="UPI"/>
    <s v="Sara"/>
  </r>
  <r>
    <x v="889"/>
    <x v="128"/>
    <s v="Mumbai"/>
    <x v="2"/>
    <x v="1"/>
    <x v="7"/>
    <x v="2"/>
    <s v="Corporate"/>
    <n v="7"/>
    <n v="2253"/>
    <n v="0.05"/>
    <x v="886"/>
    <n v="11558.47"/>
    <n v="3423.98"/>
    <s v="UPI"/>
    <s v="Vikram"/>
  </r>
  <r>
    <x v="890"/>
    <x v="258"/>
    <s v="Mumbai"/>
    <x v="2"/>
    <x v="4"/>
    <x v="4"/>
    <x v="1"/>
    <s v="Corporate"/>
    <n v="3"/>
    <n v="23682"/>
    <n v="0.05"/>
    <x v="887"/>
    <n v="42567.43"/>
    <n v="24926.27"/>
    <s v="Debit Card"/>
    <s v="Diya"/>
  </r>
  <r>
    <x v="891"/>
    <x v="125"/>
    <s v="Mumbai"/>
    <x v="2"/>
    <x v="4"/>
    <x v="13"/>
    <x v="0"/>
    <s v="Corporate"/>
    <n v="4"/>
    <n v="2063"/>
    <n v="0"/>
    <x v="888"/>
    <n v="5712.95"/>
    <n v="2539.0500000000002"/>
    <s v="Cash"/>
    <s v="Sara"/>
  </r>
  <r>
    <x v="892"/>
    <x v="93"/>
    <s v="Delhi"/>
    <x v="3"/>
    <x v="4"/>
    <x v="13"/>
    <x v="2"/>
    <s v="Corporate"/>
    <n v="8"/>
    <n v="9491"/>
    <n v="0.05"/>
    <x v="889"/>
    <n v="58764.22"/>
    <n v="13367.38"/>
    <s v="Debit Card"/>
    <s v="Meera"/>
  </r>
  <r>
    <x v="893"/>
    <x v="331"/>
    <s v="Delhi"/>
    <x v="3"/>
    <x v="1"/>
    <x v="22"/>
    <x v="2"/>
    <s v="Consumer"/>
    <n v="3"/>
    <n v="9978"/>
    <n v="0"/>
    <x v="890"/>
    <n v="24323.22"/>
    <n v="5610.78"/>
    <s v="Credit Card"/>
    <s v="Diya"/>
  </r>
  <r>
    <x v="894"/>
    <x v="265"/>
    <s v="Kolkata"/>
    <x v="1"/>
    <x v="1"/>
    <x v="7"/>
    <x v="1"/>
    <s v="Corporate"/>
    <n v="3"/>
    <n v="2017"/>
    <n v="0"/>
    <x v="891"/>
    <n v="4232.93"/>
    <n v="1818.07"/>
    <s v="UPI"/>
    <s v="Anaya"/>
  </r>
  <r>
    <x v="895"/>
    <x v="111"/>
    <s v="Chennai"/>
    <x v="0"/>
    <x v="1"/>
    <x v="22"/>
    <x v="2"/>
    <s v="Corporate"/>
    <n v="8"/>
    <n v="682"/>
    <n v="0.1"/>
    <x v="892"/>
    <n v="3968.96"/>
    <n v="941.44"/>
    <s v="Credit Card"/>
    <s v="Sara"/>
  </r>
  <r>
    <x v="896"/>
    <x v="53"/>
    <s v="Ahmedabad"/>
    <x v="2"/>
    <x v="1"/>
    <x v="18"/>
    <x v="2"/>
    <s v="Small Business"/>
    <n v="6"/>
    <n v="6676"/>
    <n v="0.1"/>
    <x v="893"/>
    <n v="24137.79"/>
    <n v="11912.61"/>
    <s v="UPI"/>
    <s v="Diya"/>
  </r>
  <r>
    <x v="897"/>
    <x v="71"/>
    <s v="Hyderabad"/>
    <x v="0"/>
    <x v="5"/>
    <x v="17"/>
    <x v="1"/>
    <s v="Consumer"/>
    <n v="7"/>
    <n v="23883"/>
    <n v="0.1"/>
    <x v="894"/>
    <n v="112737.28"/>
    <n v="37725.620000000003"/>
    <s v="Debit Card"/>
    <s v="Kabir"/>
  </r>
  <r>
    <x v="898"/>
    <x v="93"/>
    <s v="Hyderabad"/>
    <x v="0"/>
    <x v="2"/>
    <x v="5"/>
    <x v="0"/>
    <s v="Consumer"/>
    <n v="1"/>
    <n v="33906"/>
    <n v="0.05"/>
    <x v="895"/>
    <n v="26279.94"/>
    <n v="5930.76"/>
    <s v="Net Banking"/>
    <s v="Diya"/>
  </r>
  <r>
    <x v="899"/>
    <x v="41"/>
    <s v="Pune"/>
    <x v="2"/>
    <x v="2"/>
    <x v="9"/>
    <x v="0"/>
    <s v="Corporate"/>
    <n v="5"/>
    <n v="22736"/>
    <n v="0.1"/>
    <x v="896"/>
    <n v="80522.62"/>
    <n v="21789.38"/>
    <s v="Credit Card"/>
    <s v="Kabir"/>
  </r>
  <r>
    <x v="900"/>
    <x v="254"/>
    <s v="Ahmedabad"/>
    <x v="2"/>
    <x v="2"/>
    <x v="29"/>
    <x v="1"/>
    <s v="Small Business"/>
    <n v="5"/>
    <n v="63626"/>
    <n v="0"/>
    <x v="897"/>
    <n v="210257.14"/>
    <n v="107872.86"/>
    <s v="Cash"/>
    <s v="Aarav"/>
  </r>
  <r>
    <x v="901"/>
    <x v="51"/>
    <s v="Bengaluru"/>
    <x v="0"/>
    <x v="1"/>
    <x v="22"/>
    <x v="1"/>
    <s v="Corporate"/>
    <n v="4"/>
    <n v="5323"/>
    <n v="0.1"/>
    <x v="898"/>
    <n v="16219.69"/>
    <n v="2943.11"/>
    <s v="Cash"/>
    <s v="Diya"/>
  </r>
  <r>
    <x v="902"/>
    <x v="226"/>
    <s v="Mumbai"/>
    <x v="2"/>
    <x v="1"/>
    <x v="22"/>
    <x v="1"/>
    <s v="Consumer"/>
    <n v="1"/>
    <n v="9014"/>
    <n v="0.2"/>
    <x v="899"/>
    <n v="5555.46"/>
    <n v="1655.74"/>
    <s v="Net Banking"/>
    <s v="Rohan"/>
  </r>
  <r>
    <x v="903"/>
    <x v="332"/>
    <s v="Chennai"/>
    <x v="0"/>
    <x v="1"/>
    <x v="18"/>
    <x v="1"/>
    <s v="Corporate"/>
    <n v="7"/>
    <n v="4870"/>
    <n v="0.1"/>
    <x v="900"/>
    <n v="20635.05"/>
    <n v="10045.950000000001"/>
    <s v="Credit Card"/>
    <s v="Vikram"/>
  </r>
  <r>
    <x v="904"/>
    <x v="333"/>
    <s v="Hyderabad"/>
    <x v="0"/>
    <x v="1"/>
    <x v="1"/>
    <x v="0"/>
    <s v="Small Business"/>
    <n v="2"/>
    <n v="3997"/>
    <n v="0.1"/>
    <x v="901"/>
    <n v="5551.66"/>
    <n v="1642.94"/>
    <s v="Credit Card"/>
    <s v="Vikram"/>
  </r>
  <r>
    <x v="905"/>
    <x v="230"/>
    <s v="Hyderabad"/>
    <x v="0"/>
    <x v="3"/>
    <x v="3"/>
    <x v="1"/>
    <s v="Corporate"/>
    <n v="4"/>
    <n v="1308"/>
    <n v="0.05"/>
    <x v="902"/>
    <n v="3406.77"/>
    <n v="1563.63"/>
    <s v="Credit Card"/>
    <s v="Kabir"/>
  </r>
  <r>
    <x v="906"/>
    <x v="145"/>
    <s v="Hyderabad"/>
    <x v="0"/>
    <x v="5"/>
    <x v="17"/>
    <x v="2"/>
    <s v="Small Business"/>
    <n v="3"/>
    <n v="33566"/>
    <n v="0.1"/>
    <x v="903"/>
    <n v="77073.45"/>
    <n v="13554.75"/>
    <s v="Cash"/>
    <s v="Anaya"/>
  </r>
  <r>
    <x v="907"/>
    <x v="307"/>
    <s v="Delhi"/>
    <x v="3"/>
    <x v="6"/>
    <x v="8"/>
    <x v="0"/>
    <s v="Small Business"/>
    <n v="2"/>
    <n v="2091"/>
    <n v="0.1"/>
    <x v="904"/>
    <n v="2337.81"/>
    <n v="1425.99"/>
    <s v="Net Banking"/>
    <s v="Diya"/>
  </r>
  <r>
    <x v="908"/>
    <x v="308"/>
    <s v="Kolkata"/>
    <x v="1"/>
    <x v="4"/>
    <x v="13"/>
    <x v="2"/>
    <s v="Consumer"/>
    <n v="8"/>
    <n v="17073"/>
    <n v="0.1"/>
    <x v="905"/>
    <n v="96029.79"/>
    <n v="26895.81"/>
    <s v="Net Banking"/>
    <s v="Vikram"/>
  </r>
  <r>
    <x v="909"/>
    <x v="162"/>
    <s v="Ahmedabad"/>
    <x v="2"/>
    <x v="4"/>
    <x v="31"/>
    <x v="1"/>
    <s v="Consumer"/>
    <n v="1"/>
    <n v="16674"/>
    <n v="0.1"/>
    <x v="906"/>
    <n v="8997.2199999999993"/>
    <n v="6009.38"/>
    <s v="Debit Card"/>
    <s v="Aarav"/>
  </r>
  <r>
    <x v="910"/>
    <x v="84"/>
    <s v="Kolkata"/>
    <x v="1"/>
    <x v="4"/>
    <x v="13"/>
    <x v="2"/>
    <s v="Consumer"/>
    <n v="8"/>
    <n v="4491"/>
    <n v="0.1"/>
    <x v="907"/>
    <n v="26906.94"/>
    <n v="5428.26"/>
    <s v="Credit Card"/>
    <s v="Diya"/>
  </r>
  <r>
    <x v="911"/>
    <x v="334"/>
    <s v="Bengaluru"/>
    <x v="0"/>
    <x v="4"/>
    <x v="14"/>
    <x v="0"/>
    <s v="Corporate"/>
    <n v="6"/>
    <n v="4151"/>
    <n v="0"/>
    <x v="908"/>
    <n v="18701.099999999999"/>
    <n v="6204.9"/>
    <s v="UPI"/>
    <s v="Aarav"/>
  </r>
  <r>
    <x v="912"/>
    <x v="240"/>
    <s v="Pune"/>
    <x v="2"/>
    <x v="5"/>
    <x v="6"/>
    <x v="0"/>
    <s v="Small Business"/>
    <n v="5"/>
    <n v="38680"/>
    <n v="0.1"/>
    <x v="909"/>
    <n v="131628.07"/>
    <n v="42431.93"/>
    <s v="Credit Card"/>
    <s v="Diya"/>
  </r>
  <r>
    <x v="913"/>
    <x v="18"/>
    <s v="Bengaluru"/>
    <x v="0"/>
    <x v="1"/>
    <x v="1"/>
    <x v="1"/>
    <s v="Small Business"/>
    <n v="8"/>
    <n v="6359"/>
    <n v="0"/>
    <x v="910"/>
    <n v="40367.46"/>
    <n v="10504.54"/>
    <s v="Net Banking"/>
    <s v="Meera"/>
  </r>
  <r>
    <x v="914"/>
    <x v="98"/>
    <s v="Chennai"/>
    <x v="0"/>
    <x v="6"/>
    <x v="33"/>
    <x v="2"/>
    <s v="Consumer"/>
    <n v="8"/>
    <n v="903"/>
    <n v="0"/>
    <x v="911"/>
    <n v="4418.6899999999996"/>
    <n v="2805.31"/>
    <s v="Debit Card"/>
    <s v="Kabir"/>
  </r>
  <r>
    <x v="915"/>
    <x v="186"/>
    <s v="Ahmedabad"/>
    <x v="2"/>
    <x v="3"/>
    <x v="34"/>
    <x v="1"/>
    <s v="Consumer"/>
    <n v="7"/>
    <n v="162"/>
    <n v="0"/>
    <x v="912"/>
    <n v="665.69"/>
    <n v="468.31"/>
    <s v="Credit Card"/>
    <s v="Rohan"/>
  </r>
  <r>
    <x v="916"/>
    <x v="245"/>
    <s v="Ahmedabad"/>
    <x v="2"/>
    <x v="6"/>
    <x v="8"/>
    <x v="1"/>
    <s v="Corporate"/>
    <n v="1"/>
    <n v="5263"/>
    <n v="0"/>
    <x v="913"/>
    <n v="3004.1"/>
    <n v="2258.9"/>
    <s v="UPI"/>
    <s v="Vikram"/>
  </r>
  <r>
    <x v="917"/>
    <x v="119"/>
    <s v="Delhi"/>
    <x v="3"/>
    <x v="3"/>
    <x v="12"/>
    <x v="0"/>
    <s v="Consumer"/>
    <n v="6"/>
    <n v="1914"/>
    <n v="0"/>
    <x v="914"/>
    <n v="8501.6299999999992"/>
    <n v="2982.37"/>
    <s v="Credit Card"/>
    <s v="Meera"/>
  </r>
  <r>
    <x v="918"/>
    <x v="230"/>
    <s v="Chennai"/>
    <x v="0"/>
    <x v="1"/>
    <x v="18"/>
    <x v="0"/>
    <s v="Consumer"/>
    <n v="5"/>
    <n v="4877"/>
    <n v="0.05"/>
    <x v="915"/>
    <n v="15989.15"/>
    <n v="7176.6"/>
    <s v="Debit Card"/>
    <s v="Rohan"/>
  </r>
  <r>
    <x v="919"/>
    <x v="20"/>
    <s v="Ahmedabad"/>
    <x v="2"/>
    <x v="1"/>
    <x v="7"/>
    <x v="1"/>
    <s v="Consumer"/>
    <n v="6"/>
    <n v="3803"/>
    <n v="0.05"/>
    <x v="916"/>
    <n v="13440.09"/>
    <n v="8237.01"/>
    <s v="Credit Card"/>
    <s v="Aarav"/>
  </r>
  <r>
    <x v="920"/>
    <x v="155"/>
    <s v="Bengaluru"/>
    <x v="0"/>
    <x v="2"/>
    <x v="21"/>
    <x v="2"/>
    <s v="Small Business"/>
    <n v="3"/>
    <n v="33898"/>
    <n v="0"/>
    <x v="917"/>
    <n v="80726.02"/>
    <n v="20967.98"/>
    <s v="Credit Card"/>
    <s v="Kabir"/>
  </r>
  <r>
    <x v="921"/>
    <x v="196"/>
    <s v="Pune"/>
    <x v="2"/>
    <x v="6"/>
    <x v="33"/>
    <x v="0"/>
    <s v="Small Business"/>
    <n v="3"/>
    <n v="1449"/>
    <n v="0.1"/>
    <x v="918"/>
    <n v="3212.15"/>
    <n v="700.15"/>
    <s v="Debit Card"/>
    <s v="Sara"/>
  </r>
  <r>
    <x v="922"/>
    <x v="242"/>
    <s v="Mumbai"/>
    <x v="2"/>
    <x v="0"/>
    <x v="23"/>
    <x v="0"/>
    <s v="Consumer"/>
    <n v="6"/>
    <n v="1383"/>
    <n v="0.05"/>
    <x v="919"/>
    <n v="5039.22"/>
    <n v="2843.88"/>
    <s v="Debit Card"/>
    <s v="Sara"/>
  </r>
  <r>
    <x v="923"/>
    <x v="174"/>
    <s v="Ahmedabad"/>
    <x v="2"/>
    <x v="0"/>
    <x v="19"/>
    <x v="2"/>
    <s v="Consumer"/>
    <n v="1"/>
    <n v="1084"/>
    <n v="0.1"/>
    <x v="920"/>
    <n v="540.66"/>
    <n v="434.94"/>
    <s v="UPI"/>
    <s v="Meera"/>
  </r>
  <r>
    <x v="924"/>
    <x v="307"/>
    <s v="Delhi"/>
    <x v="3"/>
    <x v="5"/>
    <x v="6"/>
    <x v="2"/>
    <s v="Corporate"/>
    <n v="4"/>
    <n v="31416"/>
    <n v="0.1"/>
    <x v="921"/>
    <n v="85563.66"/>
    <n v="27533.94"/>
    <s v="Credit Card"/>
    <s v="Rohan"/>
  </r>
  <r>
    <x v="925"/>
    <x v="290"/>
    <s v="Bengaluru"/>
    <x v="0"/>
    <x v="2"/>
    <x v="9"/>
    <x v="2"/>
    <s v="Corporate"/>
    <n v="8"/>
    <n v="42170"/>
    <n v="0"/>
    <x v="922"/>
    <n v="295954.36"/>
    <n v="41405.64"/>
    <s v="Credit Card"/>
    <s v="Kabir"/>
  </r>
  <r>
    <x v="926"/>
    <x v="114"/>
    <s v="Pune"/>
    <x v="2"/>
    <x v="5"/>
    <x v="17"/>
    <x v="1"/>
    <s v="Small Business"/>
    <n v="6"/>
    <n v="25695"/>
    <n v="0.1"/>
    <x v="923"/>
    <n v="82275.320000000007"/>
    <n v="56477.68"/>
    <s v="UPI"/>
    <s v="Anaya"/>
  </r>
  <r>
    <x v="927"/>
    <x v="199"/>
    <s v="Mumbai"/>
    <x v="2"/>
    <x v="0"/>
    <x v="28"/>
    <x v="2"/>
    <s v="Small Business"/>
    <n v="1"/>
    <n v="2264"/>
    <n v="0.05"/>
    <x v="924"/>
    <n v="1780.53"/>
    <n v="370.27"/>
    <s v="Debit Card"/>
    <s v="Anaya"/>
  </r>
  <r>
    <x v="928"/>
    <x v="125"/>
    <s v="Mumbai"/>
    <x v="2"/>
    <x v="5"/>
    <x v="6"/>
    <x v="0"/>
    <s v="Consumer"/>
    <n v="3"/>
    <n v="9090"/>
    <n v="0.05"/>
    <x v="925"/>
    <n v="18298.18"/>
    <n v="7608.32"/>
    <s v="Debit Card"/>
    <s v="Anaya"/>
  </r>
  <r>
    <x v="929"/>
    <x v="198"/>
    <s v="Delhi"/>
    <x v="3"/>
    <x v="3"/>
    <x v="3"/>
    <x v="1"/>
    <s v="Corporate"/>
    <n v="2"/>
    <n v="889"/>
    <n v="0"/>
    <x v="926"/>
    <n v="1131.08"/>
    <n v="646.91999999999996"/>
    <s v="UPI"/>
    <s v="Rohan"/>
  </r>
  <r>
    <x v="930"/>
    <x v="127"/>
    <s v="Chennai"/>
    <x v="0"/>
    <x v="6"/>
    <x v="16"/>
    <x v="0"/>
    <s v="Consumer"/>
    <n v="4"/>
    <n v="3881"/>
    <n v="0.05"/>
    <x v="927"/>
    <n v="8581.31"/>
    <n v="6166.49"/>
    <s v="UPI"/>
    <s v="Rohan"/>
  </r>
  <r>
    <x v="931"/>
    <x v="288"/>
    <s v="Chennai"/>
    <x v="0"/>
    <x v="4"/>
    <x v="14"/>
    <x v="1"/>
    <s v="Corporate"/>
    <n v="8"/>
    <n v="22419"/>
    <n v="0.1"/>
    <x v="928"/>
    <n v="140823.69"/>
    <n v="20593.11"/>
    <s v="UPI"/>
    <s v="Rohan"/>
  </r>
  <r>
    <x v="932"/>
    <x v="83"/>
    <s v="Mumbai"/>
    <x v="2"/>
    <x v="4"/>
    <x v="27"/>
    <x v="0"/>
    <s v="Consumer"/>
    <n v="8"/>
    <n v="22863"/>
    <n v="0.15"/>
    <x v="929"/>
    <n v="129109.91"/>
    <n v="26358.49"/>
    <s v="Net Banking"/>
    <s v="Vikram"/>
  </r>
  <r>
    <x v="933"/>
    <x v="59"/>
    <s v="Pune"/>
    <x v="2"/>
    <x v="4"/>
    <x v="14"/>
    <x v="2"/>
    <s v="Consumer"/>
    <n v="3"/>
    <n v="9004"/>
    <n v="0.15"/>
    <x v="930"/>
    <n v="18374.75"/>
    <n v="4585.45"/>
    <s v="Net Banking"/>
    <s v="Diya"/>
  </r>
  <r>
    <x v="934"/>
    <x v="227"/>
    <s v="Bengaluru"/>
    <x v="0"/>
    <x v="2"/>
    <x v="9"/>
    <x v="2"/>
    <s v="Consumer"/>
    <n v="4"/>
    <n v="56537"/>
    <n v="0.15"/>
    <x v="931"/>
    <n v="116320.3"/>
    <n v="75905.5"/>
    <s v="Debit Card"/>
    <s v="Anaya"/>
  </r>
  <r>
    <x v="935"/>
    <x v="231"/>
    <s v="Kolkata"/>
    <x v="1"/>
    <x v="1"/>
    <x v="22"/>
    <x v="1"/>
    <s v="Small Business"/>
    <n v="4"/>
    <n v="8299"/>
    <n v="0.1"/>
    <x v="932"/>
    <n v="23290.47"/>
    <n v="6585.93"/>
    <s v="Net Banking"/>
    <s v="Meera"/>
  </r>
  <r>
    <x v="936"/>
    <x v="199"/>
    <s v="Ahmedabad"/>
    <x v="2"/>
    <x v="5"/>
    <x v="24"/>
    <x v="0"/>
    <s v="Small Business"/>
    <n v="1"/>
    <n v="31307"/>
    <n v="0.15"/>
    <x v="933"/>
    <n v="16225.26"/>
    <n v="10385.69"/>
    <s v="Cash"/>
    <s v="Sara"/>
  </r>
  <r>
    <x v="937"/>
    <x v="246"/>
    <s v="Mumbai"/>
    <x v="2"/>
    <x v="1"/>
    <x v="1"/>
    <x v="1"/>
    <s v="Consumer"/>
    <n v="7"/>
    <n v="2816"/>
    <n v="0.1"/>
    <x v="934"/>
    <n v="10099.52"/>
    <n v="7641.28"/>
    <s v="UPI"/>
    <s v="Rohan"/>
  </r>
  <r>
    <x v="938"/>
    <x v="239"/>
    <s v="Mumbai"/>
    <x v="2"/>
    <x v="2"/>
    <x v="21"/>
    <x v="1"/>
    <s v="Small Business"/>
    <n v="7"/>
    <n v="48478"/>
    <n v="0.1"/>
    <x v="935"/>
    <n v="237008.14"/>
    <n v="68403.259999999995"/>
    <s v="Credit Card"/>
    <s v="Meera"/>
  </r>
  <r>
    <x v="939"/>
    <x v="149"/>
    <s v="Bengaluru"/>
    <x v="0"/>
    <x v="5"/>
    <x v="6"/>
    <x v="2"/>
    <s v="Consumer"/>
    <n v="3"/>
    <n v="46001"/>
    <n v="0"/>
    <x v="936"/>
    <n v="110058.08"/>
    <n v="27944.92"/>
    <s v="UPI"/>
    <s v="Vikram"/>
  </r>
  <r>
    <x v="940"/>
    <x v="273"/>
    <s v="Mumbai"/>
    <x v="2"/>
    <x v="0"/>
    <x v="28"/>
    <x v="1"/>
    <s v="Consumer"/>
    <n v="5"/>
    <n v="2487"/>
    <n v="0.05"/>
    <x v="937"/>
    <n v="9343.86"/>
    <n v="2469.39"/>
    <s v="Net Banking"/>
    <s v="Rohan"/>
  </r>
  <r>
    <x v="941"/>
    <x v="330"/>
    <s v="Chennai"/>
    <x v="0"/>
    <x v="5"/>
    <x v="11"/>
    <x v="1"/>
    <s v="Corporate"/>
    <n v="4"/>
    <n v="33876"/>
    <n v="0.15"/>
    <x v="938"/>
    <n v="76382.11"/>
    <n v="38796.29"/>
    <s v="Credit Card"/>
    <s v="Sara"/>
  </r>
  <r>
    <x v="942"/>
    <x v="335"/>
    <s v="Ahmedabad"/>
    <x v="2"/>
    <x v="0"/>
    <x v="28"/>
    <x v="0"/>
    <s v="Corporate"/>
    <n v="8"/>
    <n v="2148"/>
    <n v="0.05"/>
    <x v="939"/>
    <n v="12703.07"/>
    <n v="3621.73"/>
    <s v="Debit Card"/>
    <s v="Kabir"/>
  </r>
  <r>
    <x v="943"/>
    <x v="205"/>
    <s v="Delhi"/>
    <x v="3"/>
    <x v="1"/>
    <x v="10"/>
    <x v="0"/>
    <s v="Small Business"/>
    <n v="1"/>
    <n v="8432"/>
    <n v="0.1"/>
    <x v="940"/>
    <n v="4863.8"/>
    <n v="2725"/>
    <s v="Cash"/>
    <s v="Kabir"/>
  </r>
  <r>
    <x v="944"/>
    <x v="109"/>
    <s v="Bengaluru"/>
    <x v="0"/>
    <x v="2"/>
    <x v="9"/>
    <x v="2"/>
    <s v="Small Business"/>
    <n v="6"/>
    <n v="32915"/>
    <n v="0.1"/>
    <x v="941"/>
    <n v="114612.14"/>
    <n v="63128.86"/>
    <s v="Cash"/>
    <s v="Aarav"/>
  </r>
  <r>
    <x v="945"/>
    <x v="245"/>
    <s v="Mumbai"/>
    <x v="2"/>
    <x v="3"/>
    <x v="15"/>
    <x v="2"/>
    <s v="Consumer"/>
    <n v="6"/>
    <n v="1129"/>
    <n v="0.1"/>
    <x v="942"/>
    <n v="3782.66"/>
    <n v="2313.94"/>
    <s v="Cash"/>
    <s v="Sara"/>
  </r>
  <r>
    <x v="946"/>
    <x v="309"/>
    <s v="Mumbai"/>
    <x v="2"/>
    <x v="3"/>
    <x v="3"/>
    <x v="2"/>
    <s v="Small Business"/>
    <n v="7"/>
    <n v="1730"/>
    <n v="0.1"/>
    <x v="943"/>
    <n v="9299.26"/>
    <n v="1599.74"/>
    <s v="Debit Card"/>
    <s v="Rohan"/>
  </r>
  <r>
    <x v="947"/>
    <x v="295"/>
    <s v="Bengaluru"/>
    <x v="0"/>
    <x v="2"/>
    <x v="2"/>
    <x v="2"/>
    <s v="Consumer"/>
    <n v="1"/>
    <n v="59551"/>
    <n v="0"/>
    <x v="944"/>
    <n v="42156.27"/>
    <n v="17394.73"/>
    <s v="Debit Card"/>
    <s v="Vikram"/>
  </r>
  <r>
    <x v="948"/>
    <x v="212"/>
    <s v="Kolkata"/>
    <x v="1"/>
    <x v="5"/>
    <x v="24"/>
    <x v="1"/>
    <s v="Consumer"/>
    <n v="7"/>
    <n v="8402"/>
    <n v="0.1"/>
    <x v="945"/>
    <n v="43978.64"/>
    <n v="8953.9599999999991"/>
    <s v="Net Banking"/>
    <s v="Diya"/>
  </r>
  <r>
    <x v="949"/>
    <x v="12"/>
    <s v="Mumbai"/>
    <x v="2"/>
    <x v="3"/>
    <x v="15"/>
    <x v="0"/>
    <s v="Consumer"/>
    <n v="5"/>
    <n v="2174"/>
    <n v="0"/>
    <x v="946"/>
    <n v="9416.19"/>
    <n v="1453.81"/>
    <s v="UPI"/>
    <s v="Meera"/>
  </r>
  <r>
    <x v="950"/>
    <x v="200"/>
    <s v="Hyderabad"/>
    <x v="0"/>
    <x v="4"/>
    <x v="4"/>
    <x v="0"/>
    <s v="Corporate"/>
    <n v="8"/>
    <n v="3613"/>
    <n v="0"/>
    <x v="947"/>
    <n v="19136.080000000002"/>
    <n v="9767.92"/>
    <s v="Debit Card"/>
    <s v="Aarav"/>
  </r>
  <r>
    <x v="951"/>
    <x v="4"/>
    <s v="Bengaluru"/>
    <x v="0"/>
    <x v="4"/>
    <x v="31"/>
    <x v="1"/>
    <s v="Small Business"/>
    <n v="6"/>
    <n v="12171"/>
    <n v="0.15"/>
    <x v="948"/>
    <n v="34364.28"/>
    <n v="27707.82"/>
    <s v="Credit Card"/>
    <s v="Anaya"/>
  </r>
  <r>
    <x v="952"/>
    <x v="301"/>
    <s v="Kolkata"/>
    <x v="1"/>
    <x v="6"/>
    <x v="16"/>
    <x v="2"/>
    <s v="Consumer"/>
    <n v="8"/>
    <n v="5227"/>
    <n v="0.2"/>
    <x v="949"/>
    <n v="29395.93"/>
    <n v="4056.87"/>
    <s v="Credit Card"/>
    <s v="Kabir"/>
  </r>
  <r>
    <x v="953"/>
    <x v="336"/>
    <s v="Delhi"/>
    <x v="3"/>
    <x v="5"/>
    <x v="24"/>
    <x v="0"/>
    <s v="Small Business"/>
    <n v="6"/>
    <n v="47346"/>
    <n v="0.05"/>
    <x v="950"/>
    <n v="187662.95"/>
    <n v="82209.25"/>
    <s v="Cash"/>
    <s v="Anaya"/>
  </r>
  <r>
    <x v="954"/>
    <x v="36"/>
    <s v="Delhi"/>
    <x v="3"/>
    <x v="0"/>
    <x v="19"/>
    <x v="1"/>
    <s v="Consumer"/>
    <n v="2"/>
    <n v="1484"/>
    <n v="0.15"/>
    <x v="951"/>
    <n v="1974.83"/>
    <n v="547.97"/>
    <s v="Cash"/>
    <s v="Vikram"/>
  </r>
  <r>
    <x v="955"/>
    <x v="322"/>
    <s v="Pune"/>
    <x v="2"/>
    <x v="6"/>
    <x v="33"/>
    <x v="1"/>
    <s v="Corporate"/>
    <n v="4"/>
    <n v="4778"/>
    <n v="0.05"/>
    <x v="952"/>
    <n v="14220.26"/>
    <n v="3936.14"/>
    <s v="Cash"/>
    <s v="Sara"/>
  </r>
  <r>
    <x v="956"/>
    <x v="325"/>
    <s v="Delhi"/>
    <x v="3"/>
    <x v="6"/>
    <x v="8"/>
    <x v="1"/>
    <s v="Corporate"/>
    <n v="2"/>
    <n v="3412"/>
    <n v="0.15"/>
    <x v="953"/>
    <n v="5000.13"/>
    <n v="800.27"/>
    <s v="Net Banking"/>
    <s v="Sara"/>
  </r>
  <r>
    <x v="957"/>
    <x v="47"/>
    <s v="Hyderabad"/>
    <x v="0"/>
    <x v="1"/>
    <x v="22"/>
    <x v="2"/>
    <s v="Consumer"/>
    <n v="5"/>
    <n v="1329"/>
    <n v="0.1"/>
    <x v="954"/>
    <n v="3473.33"/>
    <n v="2507.17"/>
    <s v="Cash"/>
    <s v="Diya"/>
  </r>
  <r>
    <x v="958"/>
    <x v="56"/>
    <s v="Delhi"/>
    <x v="3"/>
    <x v="3"/>
    <x v="34"/>
    <x v="1"/>
    <s v="Corporate"/>
    <n v="2"/>
    <n v="1137"/>
    <n v="0.15"/>
    <x v="955"/>
    <n v="1505.07"/>
    <n v="427.83"/>
    <s v="UPI"/>
    <s v="Vikram"/>
  </r>
  <r>
    <x v="959"/>
    <x v="103"/>
    <s v="Mumbai"/>
    <x v="2"/>
    <x v="3"/>
    <x v="3"/>
    <x v="0"/>
    <s v="Corporate"/>
    <n v="2"/>
    <n v="211"/>
    <n v="0.1"/>
    <x v="956"/>
    <n v="235.94"/>
    <n v="143.86000000000001"/>
    <s v="Net Banking"/>
    <s v="Meera"/>
  </r>
  <r>
    <x v="960"/>
    <x v="83"/>
    <s v="Delhi"/>
    <x v="3"/>
    <x v="1"/>
    <x v="7"/>
    <x v="2"/>
    <s v="Corporate"/>
    <n v="7"/>
    <n v="10637"/>
    <n v="0.15"/>
    <x v="957"/>
    <n v="54719.81"/>
    <n v="8570.34"/>
    <s v="Debit Card"/>
    <s v="Sara"/>
  </r>
  <r>
    <x v="961"/>
    <x v="310"/>
    <s v="Pune"/>
    <x v="2"/>
    <x v="4"/>
    <x v="4"/>
    <x v="0"/>
    <s v="Consumer"/>
    <n v="7"/>
    <n v="17712"/>
    <n v="0.1"/>
    <x v="958"/>
    <n v="77726.91"/>
    <n v="33858.69"/>
    <s v="Cash"/>
    <s v="Vikram"/>
  </r>
  <r>
    <x v="962"/>
    <x v="260"/>
    <s v="Hyderabad"/>
    <x v="0"/>
    <x v="1"/>
    <x v="10"/>
    <x v="0"/>
    <s v="Small Business"/>
    <n v="4"/>
    <n v="10767"/>
    <n v="0.15"/>
    <x v="959"/>
    <n v="25055.13"/>
    <n v="11552.67"/>
    <s v="Credit Card"/>
    <s v="Kabir"/>
  </r>
  <r>
    <x v="963"/>
    <x v="32"/>
    <s v="Pune"/>
    <x v="2"/>
    <x v="0"/>
    <x v="0"/>
    <x v="0"/>
    <s v="Small Business"/>
    <n v="4"/>
    <n v="1999"/>
    <n v="0.2"/>
    <x v="960"/>
    <n v="4010.29"/>
    <n v="2386.5100000000002"/>
    <s v="Debit Card"/>
    <s v="Vikram"/>
  </r>
  <r>
    <x v="964"/>
    <x v="179"/>
    <s v="Bengaluru"/>
    <x v="0"/>
    <x v="6"/>
    <x v="16"/>
    <x v="2"/>
    <s v="Small Business"/>
    <n v="8"/>
    <n v="4754"/>
    <n v="0.15"/>
    <x v="961"/>
    <n v="24752.13"/>
    <n v="7575.07"/>
    <s v="Cash"/>
    <s v="Diya"/>
  </r>
  <r>
    <x v="965"/>
    <x v="155"/>
    <s v="Kolkata"/>
    <x v="1"/>
    <x v="1"/>
    <x v="10"/>
    <x v="0"/>
    <s v="Consumer"/>
    <n v="3"/>
    <n v="1344"/>
    <n v="0.05"/>
    <x v="962"/>
    <n v="2321.4"/>
    <n v="1509"/>
    <s v="Net Banking"/>
    <s v="Anaya"/>
  </r>
  <r>
    <x v="966"/>
    <x v="283"/>
    <s v="Mumbai"/>
    <x v="2"/>
    <x v="6"/>
    <x v="30"/>
    <x v="0"/>
    <s v="Consumer"/>
    <n v="5"/>
    <n v="693"/>
    <n v="0.05"/>
    <x v="963"/>
    <n v="2797.93"/>
    <n v="493.82"/>
    <s v="Net Banking"/>
    <s v="Aarav"/>
  </r>
  <r>
    <x v="967"/>
    <x v="49"/>
    <s v="Mumbai"/>
    <x v="2"/>
    <x v="4"/>
    <x v="14"/>
    <x v="0"/>
    <s v="Consumer"/>
    <n v="6"/>
    <n v="19769"/>
    <n v="0"/>
    <x v="964"/>
    <n v="92337.55"/>
    <n v="26276.45"/>
    <s v="UPI"/>
    <s v="Sara"/>
  </r>
  <r>
    <x v="968"/>
    <x v="104"/>
    <s v="Mumbai"/>
    <x v="2"/>
    <x v="0"/>
    <x v="23"/>
    <x v="2"/>
    <s v="Corporate"/>
    <n v="8"/>
    <n v="241"/>
    <n v="0.05"/>
    <x v="965"/>
    <n v="1402.55"/>
    <n v="429.05"/>
    <s v="Net Banking"/>
    <s v="Kabir"/>
  </r>
  <r>
    <x v="969"/>
    <x v="4"/>
    <s v="Mumbai"/>
    <x v="2"/>
    <x v="0"/>
    <x v="28"/>
    <x v="0"/>
    <s v="Small Business"/>
    <n v="1"/>
    <n v="1103"/>
    <n v="0.1"/>
    <x v="966"/>
    <n v="795.6"/>
    <n v="197.1"/>
    <s v="Cash"/>
    <s v="Meera"/>
  </r>
  <r>
    <x v="970"/>
    <x v="282"/>
    <s v="Delhi"/>
    <x v="3"/>
    <x v="1"/>
    <x v="1"/>
    <x v="2"/>
    <s v="Small Business"/>
    <n v="6"/>
    <n v="2325"/>
    <n v="0.1"/>
    <x v="967"/>
    <n v="9819.4599999999991"/>
    <n v="2735.54"/>
    <s v="Debit Card"/>
    <s v="Diya"/>
  </r>
  <r>
    <x v="971"/>
    <x v="313"/>
    <s v="Pune"/>
    <x v="2"/>
    <x v="6"/>
    <x v="33"/>
    <x v="2"/>
    <s v="Consumer"/>
    <n v="2"/>
    <n v="2828"/>
    <n v="0.05"/>
    <x v="968"/>
    <n v="4447.71"/>
    <n v="925.49"/>
    <s v="Net Banking"/>
    <s v="Kabir"/>
  </r>
  <r>
    <x v="972"/>
    <x v="209"/>
    <s v="Bengaluru"/>
    <x v="0"/>
    <x v="6"/>
    <x v="20"/>
    <x v="2"/>
    <s v="Corporate"/>
    <n v="6"/>
    <n v="2434"/>
    <n v="0"/>
    <x v="969"/>
    <n v="12539.04"/>
    <n v="2064.96"/>
    <s v="Debit Card"/>
    <s v="Kabir"/>
  </r>
  <r>
    <x v="973"/>
    <x v="278"/>
    <s v="Delhi"/>
    <x v="3"/>
    <x v="0"/>
    <x v="19"/>
    <x v="2"/>
    <s v="Small Business"/>
    <n v="5"/>
    <n v="372"/>
    <n v="0.05"/>
    <x v="970"/>
    <n v="1311.09"/>
    <n v="455.91"/>
    <s v="UPI"/>
    <s v="Vikram"/>
  </r>
  <r>
    <x v="974"/>
    <x v="145"/>
    <s v="Pune"/>
    <x v="2"/>
    <x v="5"/>
    <x v="11"/>
    <x v="2"/>
    <s v="Corporate"/>
    <n v="6"/>
    <n v="22736"/>
    <n v="0.1"/>
    <x v="971"/>
    <n v="70714.86"/>
    <n v="52059.54"/>
    <s v="Debit Card"/>
    <s v="Meera"/>
  </r>
  <r>
    <x v="975"/>
    <x v="328"/>
    <s v="Hyderabad"/>
    <x v="0"/>
    <x v="4"/>
    <x v="13"/>
    <x v="2"/>
    <s v="Small Business"/>
    <n v="8"/>
    <n v="22713"/>
    <n v="0.1"/>
    <x v="972"/>
    <n v="103462.44"/>
    <n v="60071.16"/>
    <s v="Cash"/>
    <s v="Sara"/>
  </r>
  <r>
    <x v="976"/>
    <x v="303"/>
    <s v="Delhi"/>
    <x v="3"/>
    <x v="4"/>
    <x v="13"/>
    <x v="2"/>
    <s v="Consumer"/>
    <n v="3"/>
    <n v="4439"/>
    <n v="0.1"/>
    <x v="973"/>
    <n v="6631.35"/>
    <n v="5353.95"/>
    <s v="Credit Card"/>
    <s v="Anaya"/>
  </r>
  <r>
    <x v="977"/>
    <x v="326"/>
    <s v="Hyderabad"/>
    <x v="0"/>
    <x v="1"/>
    <x v="10"/>
    <x v="0"/>
    <s v="Small Business"/>
    <n v="8"/>
    <n v="6383"/>
    <n v="0.15"/>
    <x v="974"/>
    <n v="36713.54"/>
    <n v="6690.86"/>
    <s v="Credit Card"/>
    <s v="Anaya"/>
  </r>
  <r>
    <x v="978"/>
    <x v="30"/>
    <s v="Chennai"/>
    <x v="0"/>
    <x v="5"/>
    <x v="24"/>
    <x v="2"/>
    <s v="Corporate"/>
    <n v="8"/>
    <n v="35881"/>
    <n v="0.1"/>
    <x v="975"/>
    <n v="223828.44"/>
    <n v="34514.76"/>
    <s v="Cash"/>
    <s v="Diya"/>
  </r>
  <r>
    <x v="979"/>
    <x v="153"/>
    <s v="Ahmedabad"/>
    <x v="2"/>
    <x v="0"/>
    <x v="23"/>
    <x v="1"/>
    <s v="Corporate"/>
    <n v="3"/>
    <n v="1092"/>
    <n v="0"/>
    <x v="976"/>
    <n v="2473.29"/>
    <n v="802.71"/>
    <s v="Net Banking"/>
    <s v="Sara"/>
  </r>
  <r>
    <x v="980"/>
    <x v="337"/>
    <s v="Kolkata"/>
    <x v="1"/>
    <x v="0"/>
    <x v="0"/>
    <x v="2"/>
    <s v="Consumer"/>
    <n v="1"/>
    <n v="2071"/>
    <n v="0.2"/>
    <x v="977"/>
    <n v="1308.8599999999999"/>
    <n v="347.94"/>
    <s v="Credit Card"/>
    <s v="Aarav"/>
  </r>
  <r>
    <x v="981"/>
    <x v="338"/>
    <s v="Mumbai"/>
    <x v="2"/>
    <x v="1"/>
    <x v="22"/>
    <x v="1"/>
    <s v="Consumer"/>
    <n v="5"/>
    <n v="5229"/>
    <n v="0.05"/>
    <x v="978"/>
    <n v="13824.97"/>
    <n v="11012.78"/>
    <s v="Cash"/>
    <s v="Anaya"/>
  </r>
  <r>
    <x v="982"/>
    <x v="34"/>
    <s v="Mumbai"/>
    <x v="2"/>
    <x v="3"/>
    <x v="32"/>
    <x v="2"/>
    <s v="Consumer"/>
    <n v="6"/>
    <n v="2394"/>
    <n v="0.05"/>
    <x v="979"/>
    <n v="10539.22"/>
    <n v="3106.58"/>
    <s v="Credit Card"/>
    <s v="Meera"/>
  </r>
  <r>
    <x v="983"/>
    <x v="99"/>
    <s v="Mumbai"/>
    <x v="2"/>
    <x v="5"/>
    <x v="24"/>
    <x v="1"/>
    <s v="Consumer"/>
    <n v="1"/>
    <n v="47385"/>
    <n v="0.1"/>
    <x v="980"/>
    <n v="35601.25"/>
    <n v="7045.25"/>
    <s v="Credit Card"/>
    <s v="Rohan"/>
  </r>
  <r>
    <x v="984"/>
    <x v="339"/>
    <s v="Chennai"/>
    <x v="0"/>
    <x v="2"/>
    <x v="29"/>
    <x v="1"/>
    <s v="Corporate"/>
    <n v="6"/>
    <n v="4006"/>
    <n v="0.05"/>
    <x v="981"/>
    <n v="16627.47"/>
    <n v="6206.73"/>
    <s v="Credit Card"/>
    <s v="Rohan"/>
  </r>
  <r>
    <x v="985"/>
    <x v="257"/>
    <s v="Kolkata"/>
    <x v="1"/>
    <x v="3"/>
    <x v="32"/>
    <x v="1"/>
    <s v="Consumer"/>
    <n v="7"/>
    <n v="2243"/>
    <n v="0.15"/>
    <x v="982"/>
    <n v="7481.87"/>
    <n v="5863.98"/>
    <s v="Credit Card"/>
    <s v="Anaya"/>
  </r>
  <r>
    <x v="986"/>
    <x v="270"/>
    <s v="Delhi"/>
    <x v="3"/>
    <x v="6"/>
    <x v="33"/>
    <x v="1"/>
    <s v="Consumer"/>
    <n v="4"/>
    <n v="3485"/>
    <n v="0.2"/>
    <x v="983"/>
    <n v="8468.49"/>
    <n v="2683.51"/>
    <s v="Credit Card"/>
    <s v="Diya"/>
  </r>
  <r>
    <x v="987"/>
    <x v="246"/>
    <s v="Chennai"/>
    <x v="0"/>
    <x v="1"/>
    <x v="7"/>
    <x v="0"/>
    <s v="Corporate"/>
    <n v="4"/>
    <n v="5994"/>
    <n v="0.1"/>
    <x v="984"/>
    <n v="14474.27"/>
    <n v="7104.13"/>
    <s v="UPI"/>
    <s v="Meera"/>
  </r>
  <r>
    <x v="988"/>
    <x v="200"/>
    <s v="Mumbai"/>
    <x v="2"/>
    <x v="4"/>
    <x v="13"/>
    <x v="2"/>
    <s v="Consumer"/>
    <n v="2"/>
    <n v="20537"/>
    <n v="0.05"/>
    <x v="985"/>
    <n v="27518.78"/>
    <n v="11501.52"/>
    <s v="Credit Card"/>
    <s v="Vikram"/>
  </r>
  <r>
    <x v="989"/>
    <x v="64"/>
    <s v="Kolkata"/>
    <x v="1"/>
    <x v="3"/>
    <x v="34"/>
    <x v="1"/>
    <s v="Corporate"/>
    <n v="1"/>
    <n v="196"/>
    <n v="0.1"/>
    <x v="986"/>
    <n v="126.77"/>
    <n v="49.63"/>
    <s v="UPI"/>
    <s v="Kabir"/>
  </r>
  <r>
    <x v="990"/>
    <x v="306"/>
    <s v="Pune"/>
    <x v="2"/>
    <x v="6"/>
    <x v="33"/>
    <x v="1"/>
    <s v="Small Business"/>
    <n v="3"/>
    <n v="1826"/>
    <n v="0.1"/>
    <x v="987"/>
    <n v="3623.09"/>
    <n v="1307.1099999999999"/>
    <s v="Net Banking"/>
    <s v="Anaya"/>
  </r>
  <r>
    <x v="991"/>
    <x v="7"/>
    <s v="Ahmedabad"/>
    <x v="2"/>
    <x v="5"/>
    <x v="17"/>
    <x v="0"/>
    <s v="Consumer"/>
    <n v="6"/>
    <n v="13461"/>
    <n v="0.1"/>
    <x v="988"/>
    <n v="45427.360000000001"/>
    <n v="27262.04"/>
    <s v="Credit Card"/>
    <s v="Sara"/>
  </r>
  <r>
    <x v="992"/>
    <x v="96"/>
    <s v="Kolkata"/>
    <x v="1"/>
    <x v="6"/>
    <x v="20"/>
    <x v="1"/>
    <s v="Small Business"/>
    <n v="8"/>
    <n v="3042"/>
    <n v="0.15"/>
    <x v="989"/>
    <n v="11508.36"/>
    <n v="9177.24"/>
    <s v="Debit Card"/>
    <s v="Rohan"/>
  </r>
  <r>
    <x v="993"/>
    <x v="178"/>
    <s v="Chennai"/>
    <x v="0"/>
    <x v="6"/>
    <x v="16"/>
    <x v="1"/>
    <s v="Small Business"/>
    <n v="2"/>
    <n v="1777"/>
    <n v="0.05"/>
    <x v="990"/>
    <n v="2970.78"/>
    <n v="405.52"/>
    <s v="Credit Card"/>
    <s v="Anaya"/>
  </r>
  <r>
    <x v="994"/>
    <x v="131"/>
    <s v="Mumbai"/>
    <x v="2"/>
    <x v="2"/>
    <x v="5"/>
    <x v="0"/>
    <s v="Consumer"/>
    <n v="4"/>
    <n v="10797"/>
    <n v="0.05"/>
    <x v="991"/>
    <n v="25829.16"/>
    <n v="15199.44"/>
    <s v="Net Banking"/>
    <s v="Diya"/>
  </r>
  <r>
    <x v="995"/>
    <x v="315"/>
    <s v="Hyderabad"/>
    <x v="0"/>
    <x v="0"/>
    <x v="26"/>
    <x v="1"/>
    <s v="Small Business"/>
    <n v="4"/>
    <n v="1231"/>
    <n v="0.1"/>
    <x v="992"/>
    <n v="2795.9"/>
    <n v="1635.7"/>
    <s v="Cash"/>
    <s v="Anaya"/>
  </r>
  <r>
    <x v="996"/>
    <x v="312"/>
    <s v="Bengaluru"/>
    <x v="0"/>
    <x v="4"/>
    <x v="4"/>
    <x v="2"/>
    <s v="Consumer"/>
    <n v="6"/>
    <n v="1622"/>
    <n v="0.1"/>
    <x v="993"/>
    <n v="6928.9"/>
    <n v="1829.9"/>
    <s v="Debit Card"/>
    <s v="Diya"/>
  </r>
  <r>
    <x v="997"/>
    <x v="340"/>
    <s v="Ahmedabad"/>
    <x v="2"/>
    <x v="3"/>
    <x v="3"/>
    <x v="0"/>
    <s v="Small Business"/>
    <n v="7"/>
    <n v="2323"/>
    <n v="0.1"/>
    <x v="994"/>
    <n v="8639.6200000000008"/>
    <n v="5995.28"/>
    <s v="Cash"/>
    <s v="Sara"/>
  </r>
  <r>
    <x v="998"/>
    <x v="160"/>
    <s v="Delhi"/>
    <x v="3"/>
    <x v="2"/>
    <x v="5"/>
    <x v="2"/>
    <s v="Consumer"/>
    <n v="7"/>
    <n v="39248"/>
    <n v="0.05"/>
    <x v="995"/>
    <n v="166175.64000000001"/>
    <n v="94823.56"/>
    <s v="Credit Card"/>
    <s v="Anaya"/>
  </r>
  <r>
    <x v="999"/>
    <x v="284"/>
    <s v="Hyderabad"/>
    <x v="0"/>
    <x v="4"/>
    <x v="14"/>
    <x v="2"/>
    <s v="Consumer"/>
    <n v="4"/>
    <n v="2271"/>
    <n v="0.05"/>
    <x v="996"/>
    <n v="5064.0200000000004"/>
    <n v="3565.78"/>
    <s v="UPI"/>
    <s v="Kabir"/>
  </r>
  <r>
    <x v="1000"/>
    <x v="68"/>
    <s v="Mumbai"/>
    <x v="2"/>
    <x v="3"/>
    <x v="15"/>
    <x v="0"/>
    <s v="Consumer"/>
    <n v="3"/>
    <n v="952"/>
    <n v="0.1"/>
    <x v="997"/>
    <n v="1756.96"/>
    <n v="813.44"/>
    <s v="Credit Card"/>
    <s v="Vikram"/>
  </r>
  <r>
    <x v="1001"/>
    <x v="138"/>
    <s v="Pune"/>
    <x v="2"/>
    <x v="1"/>
    <x v="7"/>
    <x v="1"/>
    <s v="Small Business"/>
    <n v="4"/>
    <n v="8375"/>
    <n v="0.2"/>
    <x v="998"/>
    <n v="20684.48"/>
    <n v="6115.52"/>
    <s v="Credit Card"/>
    <s v="Meera"/>
  </r>
  <r>
    <x v="1002"/>
    <x v="128"/>
    <s v="Ahmedabad"/>
    <x v="2"/>
    <x v="4"/>
    <x v="13"/>
    <x v="0"/>
    <s v="Consumer"/>
    <n v="4"/>
    <n v="24479"/>
    <n v="0.05"/>
    <x v="999"/>
    <n v="79414.009999999995"/>
    <n v="13606.19"/>
    <s v="UPI"/>
    <s v="Meera"/>
  </r>
  <r>
    <x v="1003"/>
    <x v="15"/>
    <s v="Hyderabad"/>
    <x v="0"/>
    <x v="5"/>
    <x v="11"/>
    <x v="2"/>
    <s v="Small Business"/>
    <n v="5"/>
    <n v="29764"/>
    <n v="0.05"/>
    <x v="1000"/>
    <n v="109657.95"/>
    <n v="31721.05"/>
    <s v="UPI"/>
    <s v="Kabir"/>
  </r>
  <r>
    <x v="1004"/>
    <x v="141"/>
    <s v="Pune"/>
    <x v="2"/>
    <x v="5"/>
    <x v="24"/>
    <x v="1"/>
    <s v="Consumer"/>
    <n v="2"/>
    <n v="12111"/>
    <n v="0"/>
    <x v="1001"/>
    <n v="13590.35"/>
    <n v="10631.65"/>
    <s v="Debit Card"/>
    <s v="Diya"/>
  </r>
  <r>
    <x v="1005"/>
    <x v="259"/>
    <s v="Bengaluru"/>
    <x v="0"/>
    <x v="0"/>
    <x v="23"/>
    <x v="1"/>
    <s v="Small Business"/>
    <n v="8"/>
    <n v="942"/>
    <n v="0.1"/>
    <x v="1002"/>
    <n v="5210.75"/>
    <n v="1571.65"/>
    <s v="Credit Card"/>
    <s v="Kabir"/>
  </r>
  <r>
    <x v="1006"/>
    <x v="145"/>
    <s v="Pune"/>
    <x v="2"/>
    <x v="5"/>
    <x v="6"/>
    <x v="2"/>
    <s v="Consumer"/>
    <n v="5"/>
    <n v="38354"/>
    <n v="0.1"/>
    <x v="1003"/>
    <n v="131537.47"/>
    <n v="41055.53"/>
    <s v="Cash"/>
    <s v="Anaya"/>
  </r>
  <r>
    <x v="1007"/>
    <x v="148"/>
    <s v="Kolkata"/>
    <x v="1"/>
    <x v="2"/>
    <x v="9"/>
    <x v="0"/>
    <s v="Small Business"/>
    <n v="8"/>
    <n v="63923"/>
    <n v="0"/>
    <x v="1004"/>
    <n v="293164.34000000003"/>
    <n v="218219.66"/>
    <s v="UPI"/>
    <s v="Sara"/>
  </r>
  <r>
    <x v="1008"/>
    <x v="6"/>
    <s v="Mumbai"/>
    <x v="2"/>
    <x v="4"/>
    <x v="4"/>
    <x v="0"/>
    <s v="Small Business"/>
    <n v="2"/>
    <n v="15451"/>
    <n v="0.1"/>
    <x v="1005"/>
    <n v="22253.11"/>
    <n v="5558.69"/>
    <s v="UPI"/>
    <s v="Kabir"/>
  </r>
  <r>
    <x v="1009"/>
    <x v="90"/>
    <s v="Pune"/>
    <x v="2"/>
    <x v="3"/>
    <x v="12"/>
    <x v="1"/>
    <s v="Corporate"/>
    <n v="2"/>
    <n v="1253"/>
    <n v="0.15"/>
    <x v="1006"/>
    <n v="1531.66"/>
    <n v="598.44000000000005"/>
    <s v="Credit Card"/>
    <s v="Anaya"/>
  </r>
  <r>
    <x v="1010"/>
    <x v="286"/>
    <s v="Ahmedabad"/>
    <x v="2"/>
    <x v="0"/>
    <x v="23"/>
    <x v="1"/>
    <s v="Small Business"/>
    <n v="7"/>
    <n v="1802"/>
    <n v="0.05"/>
    <x v="1007"/>
    <n v="9790.7099999999991"/>
    <n v="2192.59"/>
    <s v="Net Banking"/>
    <s v="Vikram"/>
  </r>
  <r>
    <x v="1011"/>
    <x v="96"/>
    <s v="Ahmedabad"/>
    <x v="2"/>
    <x v="6"/>
    <x v="20"/>
    <x v="2"/>
    <s v="Consumer"/>
    <n v="1"/>
    <n v="3052"/>
    <n v="0.05"/>
    <x v="520"/>
    <n v="1739.47"/>
    <n v="1159.93"/>
    <s v="UPI"/>
    <s v="Aarav"/>
  </r>
  <r>
    <x v="1012"/>
    <x v="71"/>
    <s v="Mumbai"/>
    <x v="2"/>
    <x v="5"/>
    <x v="24"/>
    <x v="0"/>
    <s v="Consumer"/>
    <n v="4"/>
    <n v="26740"/>
    <n v="0.15"/>
    <x v="1008"/>
    <n v="78630.59"/>
    <n v="12285.41"/>
    <s v="UPI"/>
    <s v="Anaya"/>
  </r>
  <r>
    <x v="1013"/>
    <x v="28"/>
    <s v="Pune"/>
    <x v="2"/>
    <x v="5"/>
    <x v="24"/>
    <x v="0"/>
    <s v="Consumer"/>
    <n v="1"/>
    <n v="4921"/>
    <n v="0.1"/>
    <x v="1009"/>
    <n v="3583.56"/>
    <n v="845.34"/>
    <s v="Net Banking"/>
    <s v="Aarav"/>
  </r>
  <r>
    <x v="1014"/>
    <x v="334"/>
    <s v="Mumbai"/>
    <x v="2"/>
    <x v="4"/>
    <x v="31"/>
    <x v="2"/>
    <s v="Corporate"/>
    <n v="4"/>
    <n v="17423"/>
    <n v="0.05"/>
    <x v="1010"/>
    <n v="39600.86"/>
    <n v="26606.54"/>
    <s v="Cash"/>
    <s v="Aarav"/>
  </r>
  <r>
    <x v="1015"/>
    <x v="254"/>
    <s v="Mumbai"/>
    <x v="2"/>
    <x v="0"/>
    <x v="28"/>
    <x v="1"/>
    <s v="Consumer"/>
    <n v="1"/>
    <n v="375"/>
    <n v="0"/>
    <x v="1011"/>
    <n v="293.86"/>
    <n v="81.14"/>
    <s v="UPI"/>
    <s v="Meera"/>
  </r>
  <r>
    <x v="1016"/>
    <x v="255"/>
    <s v="Chennai"/>
    <x v="0"/>
    <x v="3"/>
    <x v="32"/>
    <x v="2"/>
    <s v="Corporate"/>
    <n v="3"/>
    <n v="1396"/>
    <n v="0"/>
    <x v="1012"/>
    <n v="2794.21"/>
    <n v="1393.79"/>
    <s v="UPI"/>
    <s v="Aarav"/>
  </r>
  <r>
    <x v="1017"/>
    <x v="187"/>
    <s v="Mumbai"/>
    <x v="2"/>
    <x v="2"/>
    <x v="9"/>
    <x v="1"/>
    <s v="Corporate"/>
    <n v="3"/>
    <n v="4812"/>
    <n v="0"/>
    <x v="1013"/>
    <n v="10861.36"/>
    <n v="3574.64"/>
    <s v="Cash"/>
    <s v="Meera"/>
  </r>
  <r>
    <x v="1018"/>
    <x v="341"/>
    <s v="Ahmedabad"/>
    <x v="2"/>
    <x v="4"/>
    <x v="14"/>
    <x v="2"/>
    <s v="Corporate"/>
    <n v="5"/>
    <n v="13742"/>
    <n v="0.05"/>
    <x v="1014"/>
    <n v="45207.61"/>
    <n v="20066.89"/>
    <s v="Cash"/>
    <s v="Anaya"/>
  </r>
  <r>
    <x v="1019"/>
    <x v="270"/>
    <s v="Mumbai"/>
    <x v="2"/>
    <x v="5"/>
    <x v="25"/>
    <x v="1"/>
    <s v="Small Business"/>
    <n v="8"/>
    <n v="20423"/>
    <n v="0.05"/>
    <x v="1015"/>
    <n v="118070.44"/>
    <n v="37144.36"/>
    <s v="Credit Card"/>
    <s v="Meera"/>
  </r>
  <r>
    <x v="1020"/>
    <x v="177"/>
    <s v="Mumbai"/>
    <x v="2"/>
    <x v="1"/>
    <x v="18"/>
    <x v="0"/>
    <s v="Consumer"/>
    <n v="7"/>
    <n v="11320"/>
    <n v="0"/>
    <x v="1016"/>
    <n v="46270.67"/>
    <n v="32969.33"/>
    <s v="Debit Card"/>
    <s v="Meera"/>
  </r>
  <r>
    <x v="1021"/>
    <x v="130"/>
    <s v="Ahmedabad"/>
    <x v="2"/>
    <x v="4"/>
    <x v="14"/>
    <x v="1"/>
    <s v="Small Business"/>
    <n v="7"/>
    <n v="14708"/>
    <n v="0.15"/>
    <x v="1017"/>
    <n v="74755.839999999997"/>
    <n v="12756.76"/>
    <s v="Debit Card"/>
    <s v="Diya"/>
  </r>
  <r>
    <x v="1022"/>
    <x v="18"/>
    <s v="Mumbai"/>
    <x v="2"/>
    <x v="5"/>
    <x v="25"/>
    <x v="0"/>
    <s v="Small Business"/>
    <n v="1"/>
    <n v="5542"/>
    <n v="0.05"/>
    <x v="1018"/>
    <n v="3427"/>
    <n v="1837.9"/>
    <s v="Net Banking"/>
    <s v="Rohan"/>
  </r>
  <r>
    <x v="1023"/>
    <x v="326"/>
    <s v="Mumbai"/>
    <x v="2"/>
    <x v="5"/>
    <x v="11"/>
    <x v="0"/>
    <s v="Corporate"/>
    <n v="8"/>
    <n v="8729"/>
    <n v="0"/>
    <x v="1019"/>
    <n v="43041.36"/>
    <n v="26790.639999999999"/>
    <s v="Debit Card"/>
    <s v="Anaya"/>
  </r>
  <r>
    <x v="1024"/>
    <x v="181"/>
    <s v="Delhi"/>
    <x v="3"/>
    <x v="5"/>
    <x v="11"/>
    <x v="2"/>
    <s v="Consumer"/>
    <n v="6"/>
    <n v="24011"/>
    <n v="0"/>
    <x v="1020"/>
    <n v="111699.6"/>
    <n v="32366.400000000001"/>
    <s v="UPI"/>
    <s v="Sara"/>
  </r>
  <r>
    <x v="1025"/>
    <x v="257"/>
    <s v="Hyderabad"/>
    <x v="0"/>
    <x v="3"/>
    <x v="12"/>
    <x v="2"/>
    <s v="Consumer"/>
    <n v="8"/>
    <n v="1235"/>
    <n v="0"/>
    <x v="1021"/>
    <n v="5752.55"/>
    <n v="4127.45"/>
    <s v="Net Banking"/>
    <s v="Rohan"/>
  </r>
  <r>
    <x v="1026"/>
    <x v="182"/>
    <s v="Delhi"/>
    <x v="3"/>
    <x v="4"/>
    <x v="13"/>
    <x v="1"/>
    <s v="Corporate"/>
    <n v="8"/>
    <n v="24151"/>
    <n v="0.1"/>
    <x v="1022"/>
    <n v="139157.54999999999"/>
    <n v="34729.65"/>
    <s v="Net Banking"/>
    <s v="Rohan"/>
  </r>
  <r>
    <x v="1027"/>
    <x v="142"/>
    <s v="Delhi"/>
    <x v="3"/>
    <x v="1"/>
    <x v="7"/>
    <x v="2"/>
    <s v="Corporate"/>
    <n v="2"/>
    <n v="1860"/>
    <n v="0"/>
    <x v="1023"/>
    <n v="2960.11"/>
    <n v="759.89"/>
    <s v="UPI"/>
    <s v="Vikram"/>
  </r>
  <r>
    <x v="1028"/>
    <x v="333"/>
    <s v="Ahmedabad"/>
    <x v="2"/>
    <x v="0"/>
    <x v="23"/>
    <x v="1"/>
    <s v="Consumer"/>
    <n v="3"/>
    <n v="1674"/>
    <n v="0"/>
    <x v="1024"/>
    <n v="4334.5"/>
    <n v="687.5"/>
    <s v="Net Banking"/>
    <s v="Diya"/>
  </r>
  <r>
    <x v="1029"/>
    <x v="42"/>
    <s v="Mumbai"/>
    <x v="2"/>
    <x v="0"/>
    <x v="23"/>
    <x v="0"/>
    <s v="Consumer"/>
    <n v="7"/>
    <n v="812"/>
    <n v="0"/>
    <x v="1025"/>
    <n v="4846.5600000000004"/>
    <n v="837.44"/>
    <s v="UPI"/>
    <s v="Rohan"/>
  </r>
  <r>
    <x v="1030"/>
    <x v="187"/>
    <s v="Delhi"/>
    <x v="3"/>
    <x v="0"/>
    <x v="0"/>
    <x v="1"/>
    <s v="Consumer"/>
    <n v="1"/>
    <n v="1811"/>
    <n v="0.1"/>
    <x v="1026"/>
    <n v="1265.19"/>
    <n v="364.71"/>
    <s v="Credit Card"/>
    <s v="Meera"/>
  </r>
  <r>
    <x v="1031"/>
    <x v="181"/>
    <s v="Chennai"/>
    <x v="0"/>
    <x v="3"/>
    <x v="12"/>
    <x v="0"/>
    <s v="Corporate"/>
    <n v="1"/>
    <n v="466"/>
    <n v="0"/>
    <x v="1027"/>
    <n v="385.89"/>
    <n v="80.11"/>
    <s v="UPI"/>
    <s v="Vikram"/>
  </r>
  <r>
    <x v="1032"/>
    <x v="108"/>
    <s v="Kolkata"/>
    <x v="1"/>
    <x v="1"/>
    <x v="22"/>
    <x v="2"/>
    <s v="Corporate"/>
    <n v="5"/>
    <n v="10739"/>
    <n v="0.05"/>
    <x v="1028"/>
    <n v="28513.55"/>
    <n v="22496.7"/>
    <s v="UPI"/>
    <s v="Diya"/>
  </r>
  <r>
    <x v="1033"/>
    <x v="265"/>
    <s v="Chennai"/>
    <x v="0"/>
    <x v="1"/>
    <x v="1"/>
    <x v="2"/>
    <s v="Consumer"/>
    <n v="3"/>
    <n v="10726"/>
    <n v="0.1"/>
    <x v="1029"/>
    <n v="23573.11"/>
    <n v="5387.09"/>
    <s v="Net Banking"/>
    <s v="Vikram"/>
  </r>
  <r>
    <x v="1034"/>
    <x v="93"/>
    <s v="Hyderabad"/>
    <x v="0"/>
    <x v="2"/>
    <x v="29"/>
    <x v="1"/>
    <s v="Consumer"/>
    <n v="7"/>
    <n v="11364"/>
    <n v="0.1"/>
    <x v="1030"/>
    <n v="52960.38"/>
    <n v="18632.82"/>
    <s v="Debit Card"/>
    <s v="Kabir"/>
  </r>
  <r>
    <x v="1035"/>
    <x v="247"/>
    <s v="Bengaluru"/>
    <x v="0"/>
    <x v="6"/>
    <x v="33"/>
    <x v="1"/>
    <s v="Small Business"/>
    <n v="7"/>
    <n v="319"/>
    <n v="0.1"/>
    <x v="1031"/>
    <n v="1614.92"/>
    <n v="394.78"/>
    <s v="Credit Card"/>
    <s v="Diya"/>
  </r>
  <r>
    <x v="1036"/>
    <x v="253"/>
    <s v="Delhi"/>
    <x v="3"/>
    <x v="4"/>
    <x v="27"/>
    <x v="0"/>
    <s v="Consumer"/>
    <n v="2"/>
    <n v="10794"/>
    <n v="0"/>
    <x v="1032"/>
    <n v="13239.07"/>
    <n v="8348.93"/>
    <s v="UPI"/>
    <s v="Rohan"/>
  </r>
  <r>
    <x v="1037"/>
    <x v="143"/>
    <s v="Hyderabad"/>
    <x v="0"/>
    <x v="2"/>
    <x v="9"/>
    <x v="0"/>
    <s v="Consumer"/>
    <n v="6"/>
    <n v="34032"/>
    <n v="0.2"/>
    <x v="1033"/>
    <n v="117570.12"/>
    <n v="45783.48"/>
    <s v="Debit Card"/>
    <s v="Diya"/>
  </r>
  <r>
    <x v="1038"/>
    <x v="286"/>
    <s v="Mumbai"/>
    <x v="2"/>
    <x v="0"/>
    <x v="26"/>
    <x v="1"/>
    <s v="Small Business"/>
    <n v="6"/>
    <n v="228"/>
    <n v="0"/>
    <x v="1034"/>
    <n v="1116.02"/>
    <n v="251.98"/>
    <s v="Cash"/>
    <s v="Kabir"/>
  </r>
  <r>
    <x v="1039"/>
    <x v="45"/>
    <s v="Bengaluru"/>
    <x v="0"/>
    <x v="2"/>
    <x v="2"/>
    <x v="0"/>
    <s v="Corporate"/>
    <n v="6"/>
    <n v="42455"/>
    <n v="0.15"/>
    <x v="1035"/>
    <n v="158506.54999999999"/>
    <n v="58013.95"/>
    <s v="Debit Card"/>
    <s v="Kabir"/>
  </r>
  <r>
    <x v="1040"/>
    <x v="126"/>
    <s v="Hyderabad"/>
    <x v="0"/>
    <x v="2"/>
    <x v="21"/>
    <x v="2"/>
    <s v="Small Business"/>
    <n v="4"/>
    <n v="33833"/>
    <n v="0"/>
    <x v="1036"/>
    <n v="87356.22"/>
    <n v="47975.78"/>
    <s v="Debit Card"/>
    <s v="Sara"/>
  </r>
  <r>
    <x v="1041"/>
    <x v="236"/>
    <s v="Chennai"/>
    <x v="0"/>
    <x v="3"/>
    <x v="15"/>
    <x v="1"/>
    <s v="Corporate"/>
    <n v="4"/>
    <n v="2164"/>
    <n v="0.05"/>
    <x v="1037"/>
    <n v="4694.59"/>
    <n v="3528.61"/>
    <s v="Credit Card"/>
    <s v="Aarav"/>
  </r>
  <r>
    <x v="1042"/>
    <x v="210"/>
    <s v="Mumbai"/>
    <x v="2"/>
    <x v="5"/>
    <x v="6"/>
    <x v="1"/>
    <s v="Corporate"/>
    <n v="7"/>
    <n v="14187"/>
    <n v="0.1"/>
    <x v="1038"/>
    <n v="57416.12"/>
    <n v="31961.98"/>
    <s v="UPI"/>
    <s v="Sara"/>
  </r>
  <r>
    <x v="1043"/>
    <x v="42"/>
    <s v="Pune"/>
    <x v="2"/>
    <x v="4"/>
    <x v="4"/>
    <x v="2"/>
    <s v="Consumer"/>
    <n v="5"/>
    <n v="9349"/>
    <n v="0.05"/>
    <x v="1039"/>
    <n v="34758.49"/>
    <n v="9649.26"/>
    <s v="Debit Card"/>
    <s v="Aarav"/>
  </r>
  <r>
    <x v="1044"/>
    <x v="331"/>
    <s v="Bengaluru"/>
    <x v="0"/>
    <x v="5"/>
    <x v="24"/>
    <x v="0"/>
    <s v="Small Business"/>
    <n v="5"/>
    <n v="3067"/>
    <n v="0.1"/>
    <x v="1040"/>
    <n v="11382.39"/>
    <n v="2419.11"/>
    <s v="Debit Card"/>
    <s v="Diya"/>
  </r>
  <r>
    <x v="1045"/>
    <x v="335"/>
    <s v="Hyderabad"/>
    <x v="0"/>
    <x v="2"/>
    <x v="5"/>
    <x v="1"/>
    <s v="Small Business"/>
    <n v="8"/>
    <n v="29424"/>
    <n v="0"/>
    <x v="1041"/>
    <n v="156582.10999999999"/>
    <n v="78809.89"/>
    <s v="Cash"/>
    <s v="Meera"/>
  </r>
  <r>
    <x v="1046"/>
    <x v="292"/>
    <s v="Chennai"/>
    <x v="0"/>
    <x v="2"/>
    <x v="5"/>
    <x v="1"/>
    <s v="Corporate"/>
    <n v="2"/>
    <n v="65514"/>
    <n v="0.1"/>
    <x v="1042"/>
    <n v="102954.69"/>
    <n v="14970.51"/>
    <s v="Credit Card"/>
    <s v="Sara"/>
  </r>
  <r>
    <x v="1047"/>
    <x v="0"/>
    <s v="Delhi"/>
    <x v="3"/>
    <x v="5"/>
    <x v="11"/>
    <x v="1"/>
    <s v="Corporate"/>
    <n v="5"/>
    <n v="17406"/>
    <n v="0.1"/>
    <x v="1043"/>
    <n v="45398.7"/>
    <n v="32928.300000000003"/>
    <s v="UPI"/>
    <s v="Sara"/>
  </r>
  <r>
    <x v="1048"/>
    <x v="38"/>
    <s v="Bengaluru"/>
    <x v="0"/>
    <x v="0"/>
    <x v="26"/>
    <x v="1"/>
    <s v="Consumer"/>
    <n v="4"/>
    <n v="2241"/>
    <n v="0.05"/>
    <x v="1044"/>
    <n v="7113.62"/>
    <n v="1402.18"/>
    <s v="UPI"/>
    <s v="Sara"/>
  </r>
  <r>
    <x v="1049"/>
    <x v="68"/>
    <s v="Ahmedabad"/>
    <x v="2"/>
    <x v="3"/>
    <x v="32"/>
    <x v="1"/>
    <s v="Small Business"/>
    <n v="4"/>
    <n v="2150"/>
    <n v="0.15"/>
    <x v="1045"/>
    <n v="5349.42"/>
    <n v="1960.58"/>
    <s v="UPI"/>
    <s v="Vikram"/>
  </r>
  <r>
    <x v="1050"/>
    <x v="342"/>
    <s v="Hyderabad"/>
    <x v="0"/>
    <x v="0"/>
    <x v="26"/>
    <x v="0"/>
    <s v="Consumer"/>
    <n v="3"/>
    <n v="1390"/>
    <n v="0"/>
    <x v="1046"/>
    <n v="3524.72"/>
    <n v="645.28"/>
    <s v="Debit Card"/>
    <s v="Diya"/>
  </r>
  <r>
    <x v="1051"/>
    <x v="59"/>
    <s v="Kolkata"/>
    <x v="1"/>
    <x v="1"/>
    <x v="10"/>
    <x v="1"/>
    <s v="Small Business"/>
    <n v="7"/>
    <n v="9355"/>
    <n v="0"/>
    <x v="1047"/>
    <n v="45539.3"/>
    <n v="19945.7"/>
    <s v="Credit Card"/>
    <s v="Aarav"/>
  </r>
  <r>
    <x v="1052"/>
    <x v="133"/>
    <s v="Kolkata"/>
    <x v="1"/>
    <x v="4"/>
    <x v="13"/>
    <x v="1"/>
    <s v="Consumer"/>
    <n v="5"/>
    <n v="10107"/>
    <n v="0.15"/>
    <x v="1048"/>
    <n v="25775"/>
    <n v="17179.75"/>
    <s v="Debit Card"/>
    <s v="Diya"/>
  </r>
  <r>
    <x v="1053"/>
    <x v="113"/>
    <s v="Hyderabad"/>
    <x v="0"/>
    <x v="0"/>
    <x v="0"/>
    <x v="1"/>
    <s v="Consumer"/>
    <n v="3"/>
    <n v="229"/>
    <n v="0.1"/>
    <x v="1049"/>
    <n v="507.64"/>
    <n v="110.66"/>
    <s v="Cash"/>
    <s v="Vikram"/>
  </r>
  <r>
    <x v="1054"/>
    <x v="304"/>
    <s v="Bengaluru"/>
    <x v="0"/>
    <x v="5"/>
    <x v="17"/>
    <x v="0"/>
    <s v="Corporate"/>
    <n v="1"/>
    <n v="20407"/>
    <n v="0.1"/>
    <x v="1050"/>
    <n v="12825.58"/>
    <n v="5540.72"/>
    <s v="UPI"/>
    <s v="Rohan"/>
  </r>
  <r>
    <x v="1055"/>
    <x v="231"/>
    <s v="Hyderabad"/>
    <x v="0"/>
    <x v="0"/>
    <x v="0"/>
    <x v="0"/>
    <s v="Consumer"/>
    <n v="7"/>
    <n v="2114"/>
    <n v="0"/>
    <x v="1051"/>
    <n v="10744.82"/>
    <n v="4053.18"/>
    <s v="Credit Card"/>
    <s v="Diya"/>
  </r>
  <r>
    <x v="1056"/>
    <x v="303"/>
    <s v="Mumbai"/>
    <x v="2"/>
    <x v="1"/>
    <x v="22"/>
    <x v="0"/>
    <s v="Small Business"/>
    <n v="6"/>
    <n v="8238"/>
    <n v="0.1"/>
    <x v="1052"/>
    <n v="30897.22"/>
    <n v="13587.98"/>
    <s v="Cash"/>
    <s v="Kabir"/>
  </r>
  <r>
    <x v="1057"/>
    <x v="259"/>
    <s v="Hyderabad"/>
    <x v="0"/>
    <x v="4"/>
    <x v="27"/>
    <x v="2"/>
    <s v="Small Business"/>
    <n v="5"/>
    <n v="2909"/>
    <n v="0"/>
    <x v="1053"/>
    <n v="12059.41"/>
    <n v="2485.59"/>
    <s v="Credit Card"/>
    <s v="Kabir"/>
  </r>
  <r>
    <x v="1058"/>
    <x v="268"/>
    <s v="Chennai"/>
    <x v="0"/>
    <x v="0"/>
    <x v="26"/>
    <x v="0"/>
    <s v="Small Business"/>
    <n v="1"/>
    <n v="1321"/>
    <n v="0.15"/>
    <x v="1054"/>
    <n v="688.14"/>
    <n v="434.71"/>
    <s v="Debit Card"/>
    <s v="Anaya"/>
  </r>
  <r>
    <x v="1059"/>
    <x v="272"/>
    <s v="Mumbai"/>
    <x v="2"/>
    <x v="3"/>
    <x v="12"/>
    <x v="1"/>
    <s v="Small Business"/>
    <n v="2"/>
    <n v="1458"/>
    <n v="0.05"/>
    <x v="1055"/>
    <n v="1609.83"/>
    <n v="1160.3699999999999"/>
    <s v="Net Banking"/>
    <s v="Diya"/>
  </r>
  <r>
    <x v="1060"/>
    <x v="126"/>
    <s v="Delhi"/>
    <x v="3"/>
    <x v="5"/>
    <x v="17"/>
    <x v="0"/>
    <s v="Consumer"/>
    <n v="3"/>
    <n v="24627"/>
    <n v="0.05"/>
    <x v="1056"/>
    <n v="56130.18"/>
    <n v="14056.77"/>
    <s v="Net Banking"/>
    <s v="Anaya"/>
  </r>
  <r>
    <x v="1061"/>
    <x v="4"/>
    <s v="Chennai"/>
    <x v="0"/>
    <x v="0"/>
    <x v="23"/>
    <x v="0"/>
    <s v="Consumer"/>
    <n v="8"/>
    <n v="2328"/>
    <n v="0"/>
    <x v="1057"/>
    <n v="14305.01"/>
    <n v="4318.99"/>
    <s v="Credit Card"/>
    <s v="Anaya"/>
  </r>
  <r>
    <x v="1062"/>
    <x v="270"/>
    <s v="Kolkata"/>
    <x v="1"/>
    <x v="5"/>
    <x v="25"/>
    <x v="0"/>
    <s v="Consumer"/>
    <n v="1"/>
    <n v="45510"/>
    <n v="0.1"/>
    <x v="1058"/>
    <n v="29340.76"/>
    <n v="11618.24"/>
    <s v="Cash"/>
    <s v="Anaya"/>
  </r>
  <r>
    <x v="1063"/>
    <x v="324"/>
    <s v="Mumbai"/>
    <x v="2"/>
    <x v="3"/>
    <x v="32"/>
    <x v="0"/>
    <s v="Corporate"/>
    <n v="1"/>
    <n v="1769"/>
    <n v="0.05"/>
    <x v="1059"/>
    <n v="991.99"/>
    <n v="688.56"/>
    <s v="Cash"/>
    <s v="Aarav"/>
  </r>
  <r>
    <x v="1064"/>
    <x v="250"/>
    <s v="Pune"/>
    <x v="2"/>
    <x v="6"/>
    <x v="30"/>
    <x v="2"/>
    <s v="Corporate"/>
    <n v="8"/>
    <n v="299"/>
    <n v="0.1"/>
    <x v="1060"/>
    <n v="1661.41"/>
    <n v="491.39"/>
    <s v="Net Banking"/>
    <s v="Vikram"/>
  </r>
  <r>
    <x v="1065"/>
    <x v="132"/>
    <s v="Mumbai"/>
    <x v="2"/>
    <x v="6"/>
    <x v="30"/>
    <x v="0"/>
    <s v="Small Business"/>
    <n v="6"/>
    <n v="572"/>
    <n v="0.1"/>
    <x v="1061"/>
    <n v="1742.57"/>
    <n v="1346.23"/>
    <s v="Debit Card"/>
    <s v="Diya"/>
  </r>
  <r>
    <x v="1066"/>
    <x v="338"/>
    <s v="Chennai"/>
    <x v="0"/>
    <x v="5"/>
    <x v="6"/>
    <x v="1"/>
    <s v="Consumer"/>
    <n v="4"/>
    <n v="15656"/>
    <n v="0"/>
    <x v="1062"/>
    <n v="37415.839999999997"/>
    <n v="25208.16"/>
    <s v="UPI"/>
    <s v="Sara"/>
  </r>
  <r>
    <x v="1067"/>
    <x v="81"/>
    <s v="Ahmedabad"/>
    <x v="2"/>
    <x v="0"/>
    <x v="19"/>
    <x v="1"/>
    <s v="Consumer"/>
    <n v="5"/>
    <n v="2454"/>
    <n v="0.15"/>
    <x v="1063"/>
    <n v="9153.93"/>
    <n v="1275.57"/>
    <s v="Net Banking"/>
    <s v="Vikram"/>
  </r>
  <r>
    <x v="1068"/>
    <x v="282"/>
    <s v="Bengaluru"/>
    <x v="0"/>
    <x v="1"/>
    <x v="22"/>
    <x v="0"/>
    <s v="Consumer"/>
    <n v="3"/>
    <n v="9362"/>
    <n v="0.15"/>
    <x v="1064"/>
    <n v="20798.61"/>
    <n v="3074.49"/>
    <s v="UPI"/>
    <s v="Diya"/>
  </r>
  <r>
    <x v="1069"/>
    <x v="330"/>
    <s v="Mumbai"/>
    <x v="2"/>
    <x v="3"/>
    <x v="34"/>
    <x v="2"/>
    <s v="Small Business"/>
    <n v="5"/>
    <n v="1233"/>
    <n v="0.15"/>
    <x v="1065"/>
    <n v="4172.6400000000003"/>
    <n v="1067.6099999999999"/>
    <s v="Debit Card"/>
    <s v="Aarav"/>
  </r>
  <r>
    <x v="1070"/>
    <x v="343"/>
    <s v="Delhi"/>
    <x v="3"/>
    <x v="4"/>
    <x v="14"/>
    <x v="0"/>
    <s v="Small Business"/>
    <n v="6"/>
    <n v="14143"/>
    <n v="0.1"/>
    <x v="1066"/>
    <n v="64855.69"/>
    <n v="11516.51"/>
    <s v="Debit Card"/>
    <s v="Aarav"/>
  </r>
  <r>
    <x v="1071"/>
    <x v="151"/>
    <s v="Delhi"/>
    <x v="3"/>
    <x v="2"/>
    <x v="2"/>
    <x v="2"/>
    <s v="Consumer"/>
    <n v="6"/>
    <n v="49156"/>
    <n v="0.15"/>
    <x v="1067"/>
    <n v="138920.69"/>
    <n v="111774.91"/>
    <s v="Cash"/>
    <s v="Kabir"/>
  </r>
  <r>
    <x v="1072"/>
    <x v="310"/>
    <s v="Mumbai"/>
    <x v="2"/>
    <x v="6"/>
    <x v="8"/>
    <x v="1"/>
    <s v="Small Business"/>
    <n v="6"/>
    <n v="5513"/>
    <n v="0"/>
    <x v="1068"/>
    <n v="23519.32"/>
    <n v="9558.68"/>
    <s v="Net Banking"/>
    <s v="Aarav"/>
  </r>
  <r>
    <x v="1073"/>
    <x v="301"/>
    <s v="Pune"/>
    <x v="2"/>
    <x v="6"/>
    <x v="16"/>
    <x v="0"/>
    <s v="Consumer"/>
    <n v="5"/>
    <n v="869"/>
    <n v="0.1"/>
    <x v="1069"/>
    <n v="2375.1799999999998"/>
    <n v="1535.32"/>
    <s v="Credit Card"/>
    <s v="Rohan"/>
  </r>
  <r>
    <x v="1074"/>
    <x v="30"/>
    <s v="Kolkata"/>
    <x v="1"/>
    <x v="4"/>
    <x v="4"/>
    <x v="2"/>
    <s v="Consumer"/>
    <n v="2"/>
    <n v="16421"/>
    <n v="0.15"/>
    <x v="1070"/>
    <n v="22342.44"/>
    <n v="5573.26"/>
    <s v="Credit Card"/>
    <s v="Diya"/>
  </r>
  <r>
    <x v="1075"/>
    <x v="231"/>
    <s v="Pune"/>
    <x v="2"/>
    <x v="2"/>
    <x v="21"/>
    <x v="0"/>
    <s v="Corporate"/>
    <n v="6"/>
    <n v="22679"/>
    <n v="0"/>
    <x v="1071"/>
    <n v="82218.16"/>
    <n v="53855.839999999997"/>
    <s v="Credit Card"/>
    <s v="Rohan"/>
  </r>
  <r>
    <x v="1076"/>
    <x v="151"/>
    <s v="Hyderabad"/>
    <x v="0"/>
    <x v="6"/>
    <x v="20"/>
    <x v="2"/>
    <s v="Small Business"/>
    <n v="1"/>
    <n v="2034"/>
    <n v="0.15"/>
    <x v="1072"/>
    <n v="1289.05"/>
    <n v="439.85"/>
    <s v="Cash"/>
    <s v="Kabir"/>
  </r>
  <r>
    <x v="1077"/>
    <x v="79"/>
    <s v="Hyderabad"/>
    <x v="0"/>
    <x v="3"/>
    <x v="12"/>
    <x v="0"/>
    <s v="Consumer"/>
    <n v="3"/>
    <n v="1531"/>
    <n v="0.05"/>
    <x v="1073"/>
    <n v="2528.02"/>
    <n v="1835.33"/>
    <s v="Debit Card"/>
    <s v="Vikram"/>
  </r>
  <r>
    <x v="1078"/>
    <x v="246"/>
    <s v="Bengaluru"/>
    <x v="0"/>
    <x v="0"/>
    <x v="23"/>
    <x v="0"/>
    <s v="Consumer"/>
    <n v="6"/>
    <n v="1740"/>
    <n v="0.15"/>
    <x v="1074"/>
    <n v="5895.1"/>
    <n v="2978.9"/>
    <s v="Cash"/>
    <s v="Kabir"/>
  </r>
  <r>
    <x v="1079"/>
    <x v="276"/>
    <s v="Delhi"/>
    <x v="3"/>
    <x v="1"/>
    <x v="22"/>
    <x v="2"/>
    <s v="Consumer"/>
    <n v="1"/>
    <n v="7403"/>
    <n v="0"/>
    <x v="1075"/>
    <n v="5767.13"/>
    <n v="1635.87"/>
    <s v="Credit Card"/>
    <s v="Sara"/>
  </r>
  <r>
    <x v="1080"/>
    <x v="4"/>
    <s v="Pune"/>
    <x v="2"/>
    <x v="2"/>
    <x v="9"/>
    <x v="1"/>
    <s v="Corporate"/>
    <n v="2"/>
    <n v="28826"/>
    <n v="0.1"/>
    <x v="1076"/>
    <n v="36971.19"/>
    <n v="14915.61"/>
    <s v="Net Banking"/>
    <s v="Anaya"/>
  </r>
  <r>
    <x v="1081"/>
    <x v="293"/>
    <s v="Bengaluru"/>
    <x v="0"/>
    <x v="1"/>
    <x v="18"/>
    <x v="1"/>
    <s v="Small Business"/>
    <n v="8"/>
    <n v="3207"/>
    <n v="0.15"/>
    <x v="1077"/>
    <n v="17672.259999999998"/>
    <n v="4135.34"/>
    <s v="Credit Card"/>
    <s v="Diya"/>
  </r>
  <r>
    <x v="1082"/>
    <x v="174"/>
    <s v="Ahmedabad"/>
    <x v="2"/>
    <x v="5"/>
    <x v="17"/>
    <x v="2"/>
    <s v="Consumer"/>
    <n v="2"/>
    <n v="24768"/>
    <n v="0"/>
    <x v="1078"/>
    <n v="30278.37"/>
    <n v="19257.63"/>
    <s v="Credit Card"/>
    <s v="Kabir"/>
  </r>
  <r>
    <x v="1083"/>
    <x v="133"/>
    <s v="Hyderabad"/>
    <x v="0"/>
    <x v="5"/>
    <x v="17"/>
    <x v="0"/>
    <s v="Small Business"/>
    <n v="6"/>
    <n v="13934"/>
    <n v="0"/>
    <x v="1079"/>
    <n v="56801.07"/>
    <n v="26802.93"/>
    <s v="Net Banking"/>
    <s v="Anaya"/>
  </r>
  <r>
    <x v="1084"/>
    <x v="42"/>
    <s v="Mumbai"/>
    <x v="2"/>
    <x v="0"/>
    <x v="23"/>
    <x v="2"/>
    <s v="Consumer"/>
    <n v="6"/>
    <n v="1709"/>
    <n v="0.15"/>
    <x v="1080"/>
    <n v="6249.14"/>
    <n v="2466.7600000000002"/>
    <s v="Debit Card"/>
    <s v="Diya"/>
  </r>
  <r>
    <x v="1085"/>
    <x v="102"/>
    <s v="Mumbai"/>
    <x v="2"/>
    <x v="1"/>
    <x v="7"/>
    <x v="1"/>
    <s v="Small Business"/>
    <n v="5"/>
    <n v="4832"/>
    <n v="0.2"/>
    <x v="1081"/>
    <n v="15688.74"/>
    <n v="3639.26"/>
    <s v="Net Banking"/>
    <s v="Anaya"/>
  </r>
  <r>
    <x v="1086"/>
    <x v="133"/>
    <s v="Delhi"/>
    <x v="3"/>
    <x v="2"/>
    <x v="9"/>
    <x v="1"/>
    <s v="Corporate"/>
    <n v="8"/>
    <n v="10488"/>
    <n v="0"/>
    <x v="1082"/>
    <n v="72843.62"/>
    <n v="11060.38"/>
    <s v="UPI"/>
    <s v="Vikram"/>
  </r>
  <r>
    <x v="1087"/>
    <x v="220"/>
    <s v="Mumbai"/>
    <x v="2"/>
    <x v="0"/>
    <x v="23"/>
    <x v="1"/>
    <s v="Corporate"/>
    <n v="6"/>
    <n v="211"/>
    <n v="0"/>
    <x v="1083"/>
    <n v="877.5"/>
    <n v="388.5"/>
    <s v="Debit Card"/>
    <s v="Vikram"/>
  </r>
  <r>
    <x v="1088"/>
    <x v="246"/>
    <s v="Ahmedabad"/>
    <x v="2"/>
    <x v="5"/>
    <x v="25"/>
    <x v="1"/>
    <s v="Small Business"/>
    <n v="6"/>
    <n v="33647"/>
    <n v="0.1"/>
    <x v="1084"/>
    <n v="129769.88"/>
    <n v="51923.92"/>
    <s v="UPI"/>
    <s v="Aarav"/>
  </r>
  <r>
    <x v="1089"/>
    <x v="120"/>
    <s v="Mumbai"/>
    <x v="2"/>
    <x v="3"/>
    <x v="15"/>
    <x v="2"/>
    <s v="Small Business"/>
    <n v="3"/>
    <n v="1730"/>
    <n v="0.15"/>
    <x v="1085"/>
    <n v="3690.63"/>
    <n v="720.87"/>
    <s v="Cash"/>
    <s v="Sara"/>
  </r>
  <r>
    <x v="1090"/>
    <x v="28"/>
    <s v="Chennai"/>
    <x v="0"/>
    <x v="3"/>
    <x v="12"/>
    <x v="1"/>
    <s v="Corporate"/>
    <n v="7"/>
    <n v="176"/>
    <n v="0.1"/>
    <x v="1086"/>
    <n v="772.52"/>
    <n v="336.28"/>
    <s v="Net Banking"/>
    <s v="Diya"/>
  </r>
  <r>
    <x v="1091"/>
    <x v="64"/>
    <s v="Mumbai"/>
    <x v="2"/>
    <x v="6"/>
    <x v="16"/>
    <x v="0"/>
    <s v="Small Business"/>
    <n v="3"/>
    <n v="1452"/>
    <n v="0.15"/>
    <x v="1087"/>
    <n v="2390.69"/>
    <n v="1311.91"/>
    <s v="Credit Card"/>
    <s v="Vikram"/>
  </r>
  <r>
    <x v="1092"/>
    <x v="252"/>
    <s v="Ahmedabad"/>
    <x v="2"/>
    <x v="1"/>
    <x v="7"/>
    <x v="2"/>
    <s v="Small Business"/>
    <n v="1"/>
    <n v="10044"/>
    <n v="0.2"/>
    <x v="1088"/>
    <n v="5094.97"/>
    <n v="2940.23"/>
    <s v="Debit Card"/>
    <s v="Vikram"/>
  </r>
  <r>
    <x v="1093"/>
    <x v="135"/>
    <s v="Ahmedabad"/>
    <x v="2"/>
    <x v="6"/>
    <x v="20"/>
    <x v="2"/>
    <s v="Consumer"/>
    <n v="4"/>
    <n v="5593"/>
    <n v="0"/>
    <x v="1089"/>
    <n v="14578.07"/>
    <n v="7793.93"/>
    <s v="Cash"/>
    <s v="Sara"/>
  </r>
  <r>
    <x v="1094"/>
    <x v="344"/>
    <s v="Bengaluru"/>
    <x v="0"/>
    <x v="4"/>
    <x v="13"/>
    <x v="2"/>
    <s v="Corporate"/>
    <n v="5"/>
    <n v="21856"/>
    <n v="0.05"/>
    <x v="1090"/>
    <n v="81135.09"/>
    <n v="22680.91"/>
    <s v="Debit Card"/>
    <s v="Vikram"/>
  </r>
  <r>
    <x v="1095"/>
    <x v="266"/>
    <s v="Mumbai"/>
    <x v="2"/>
    <x v="5"/>
    <x v="25"/>
    <x v="0"/>
    <s v="Consumer"/>
    <n v="8"/>
    <n v="33529"/>
    <n v="0.1"/>
    <x v="1091"/>
    <n v="164593.03"/>
    <n v="76815.77"/>
    <s v="Debit Card"/>
    <s v="Anaya"/>
  </r>
  <r>
    <x v="1096"/>
    <x v="327"/>
    <s v="Delhi"/>
    <x v="3"/>
    <x v="1"/>
    <x v="7"/>
    <x v="2"/>
    <s v="Small Business"/>
    <n v="6"/>
    <n v="6821"/>
    <n v="0"/>
    <x v="1092"/>
    <n v="31831"/>
    <n v="9095"/>
    <s v="Cash"/>
    <s v="Anaya"/>
  </r>
  <r>
    <x v="1097"/>
    <x v="92"/>
    <s v="Chennai"/>
    <x v="0"/>
    <x v="1"/>
    <x v="7"/>
    <x v="1"/>
    <s v="Consumer"/>
    <n v="7"/>
    <n v="4313"/>
    <n v="0"/>
    <x v="1093"/>
    <n v="24763.11"/>
    <n v="5427.89"/>
    <s v="Cash"/>
    <s v="Meera"/>
  </r>
  <r>
    <x v="1098"/>
    <x v="96"/>
    <s v="Delhi"/>
    <x v="3"/>
    <x v="0"/>
    <x v="23"/>
    <x v="2"/>
    <s v="Corporate"/>
    <n v="4"/>
    <n v="971"/>
    <n v="0.05"/>
    <x v="1094"/>
    <n v="3120.08"/>
    <n v="569.72"/>
    <s v="Credit Card"/>
    <s v="Diya"/>
  </r>
  <r>
    <x v="1099"/>
    <x v="267"/>
    <s v="Ahmedabad"/>
    <x v="2"/>
    <x v="3"/>
    <x v="3"/>
    <x v="2"/>
    <s v="Small Business"/>
    <n v="4"/>
    <n v="2315"/>
    <n v="0.1"/>
    <x v="1095"/>
    <n v="4899.18"/>
    <n v="3434.82"/>
    <s v="Credit Card"/>
    <s v="Rohan"/>
  </r>
  <r>
    <x v="1100"/>
    <x v="96"/>
    <s v="Pune"/>
    <x v="2"/>
    <x v="2"/>
    <x v="5"/>
    <x v="1"/>
    <s v="Consumer"/>
    <n v="5"/>
    <n v="18068"/>
    <n v="0"/>
    <x v="1096"/>
    <n v="57112.53"/>
    <n v="33227.47"/>
    <s v="Credit Card"/>
    <s v="Sara"/>
  </r>
  <r>
    <x v="1101"/>
    <x v="171"/>
    <s v="Mumbai"/>
    <x v="2"/>
    <x v="5"/>
    <x v="6"/>
    <x v="0"/>
    <s v="Small Business"/>
    <n v="1"/>
    <n v="13061"/>
    <n v="0.15"/>
    <x v="1097"/>
    <n v="8625.0499999999993"/>
    <n v="2476.8000000000002"/>
    <s v="UPI"/>
    <s v="Anaya"/>
  </r>
  <r>
    <x v="1102"/>
    <x v="98"/>
    <s v="Hyderabad"/>
    <x v="0"/>
    <x v="3"/>
    <x v="32"/>
    <x v="1"/>
    <s v="Corporate"/>
    <n v="1"/>
    <n v="1840"/>
    <n v="0.05"/>
    <x v="1098"/>
    <n v="1349.9"/>
    <n v="398.1"/>
    <s v="Net Banking"/>
    <s v="Vikram"/>
  </r>
  <r>
    <x v="1103"/>
    <x v="108"/>
    <s v="Chennai"/>
    <x v="0"/>
    <x v="3"/>
    <x v="12"/>
    <x v="1"/>
    <s v="Consumer"/>
    <n v="4"/>
    <n v="1087"/>
    <n v="0.05"/>
    <x v="1099"/>
    <n v="2832.5"/>
    <n v="1298.0999999999999"/>
    <s v="UPI"/>
    <s v="Rohan"/>
  </r>
  <r>
    <x v="1104"/>
    <x v="246"/>
    <s v="Delhi"/>
    <x v="3"/>
    <x v="3"/>
    <x v="12"/>
    <x v="2"/>
    <s v="Small Business"/>
    <n v="2"/>
    <n v="1276"/>
    <n v="0.05"/>
    <x v="1100"/>
    <n v="1760.17"/>
    <n v="664.23"/>
    <s v="Cash"/>
    <s v="Aarav"/>
  </r>
  <r>
    <x v="1105"/>
    <x v="200"/>
    <s v="Mumbai"/>
    <x v="2"/>
    <x v="5"/>
    <x v="6"/>
    <x v="2"/>
    <s v="Small Business"/>
    <n v="8"/>
    <n v="5020"/>
    <n v="0"/>
    <x v="1101"/>
    <n v="32643"/>
    <n v="7517"/>
    <s v="Cash"/>
    <s v="Sara"/>
  </r>
  <r>
    <x v="1106"/>
    <x v="256"/>
    <s v="Bengaluru"/>
    <x v="0"/>
    <x v="3"/>
    <x v="34"/>
    <x v="2"/>
    <s v="Small Business"/>
    <n v="7"/>
    <n v="1820"/>
    <n v="0.1"/>
    <x v="1102"/>
    <n v="10054.620000000001"/>
    <n v="1411.38"/>
    <s v="Cash"/>
    <s v="Anaya"/>
  </r>
  <r>
    <x v="1107"/>
    <x v="273"/>
    <s v="Hyderabad"/>
    <x v="0"/>
    <x v="2"/>
    <x v="2"/>
    <x v="0"/>
    <s v="Corporate"/>
    <n v="1"/>
    <n v="14322"/>
    <n v="0"/>
    <x v="1103"/>
    <n v="12041.83"/>
    <n v="2280.17"/>
    <s v="Cash"/>
    <s v="Anaya"/>
  </r>
  <r>
    <x v="1108"/>
    <x v="116"/>
    <s v="Delhi"/>
    <x v="3"/>
    <x v="2"/>
    <x v="9"/>
    <x v="0"/>
    <s v="Consumer"/>
    <n v="5"/>
    <n v="32358"/>
    <n v="0"/>
    <x v="1104"/>
    <n v="93579.01"/>
    <n v="68210.990000000005"/>
    <s v="UPI"/>
    <s v="Kabir"/>
  </r>
  <r>
    <x v="1109"/>
    <x v="209"/>
    <s v="Bengaluru"/>
    <x v="0"/>
    <x v="5"/>
    <x v="24"/>
    <x v="2"/>
    <s v="Small Business"/>
    <n v="1"/>
    <n v="12614"/>
    <n v="0.1"/>
    <x v="1105"/>
    <n v="9113.48"/>
    <n v="2239.12"/>
    <s v="Cash"/>
    <s v="Kabir"/>
  </r>
  <r>
    <x v="1110"/>
    <x v="168"/>
    <s v="Mumbai"/>
    <x v="2"/>
    <x v="1"/>
    <x v="7"/>
    <x v="1"/>
    <s v="Corporate"/>
    <n v="4"/>
    <n v="8592"/>
    <n v="0"/>
    <x v="1106"/>
    <n v="19946.73"/>
    <n v="14421.27"/>
    <s v="Credit Card"/>
    <s v="Anaya"/>
  </r>
  <r>
    <x v="1111"/>
    <x v="38"/>
    <s v="Hyderabad"/>
    <x v="0"/>
    <x v="2"/>
    <x v="21"/>
    <x v="2"/>
    <s v="Corporate"/>
    <n v="1"/>
    <n v="8124"/>
    <n v="0.15"/>
    <x v="1107"/>
    <n v="4989.74"/>
    <n v="1915.66"/>
    <s v="UPI"/>
    <s v="Rohan"/>
  </r>
  <r>
    <x v="1112"/>
    <x v="307"/>
    <s v="Hyderabad"/>
    <x v="0"/>
    <x v="1"/>
    <x v="18"/>
    <x v="0"/>
    <s v="Small Business"/>
    <n v="8"/>
    <n v="2258"/>
    <n v="0.1"/>
    <x v="1108"/>
    <n v="12191.13"/>
    <n v="4066.47"/>
    <s v="Credit Card"/>
    <s v="Sara"/>
  </r>
  <r>
    <x v="1113"/>
    <x v="34"/>
    <s v="Bengaluru"/>
    <x v="0"/>
    <x v="0"/>
    <x v="0"/>
    <x v="1"/>
    <s v="Small Business"/>
    <n v="8"/>
    <n v="1445"/>
    <n v="0.05"/>
    <x v="1109"/>
    <n v="6249.15"/>
    <n v="4732.8500000000004"/>
    <s v="Credit Card"/>
    <s v="Vikram"/>
  </r>
  <r>
    <x v="1114"/>
    <x v="160"/>
    <s v="Pune"/>
    <x v="2"/>
    <x v="6"/>
    <x v="33"/>
    <x v="2"/>
    <s v="Consumer"/>
    <n v="8"/>
    <n v="1035"/>
    <n v="0"/>
    <x v="1110"/>
    <n v="5146.07"/>
    <n v="3133.93"/>
    <s v="Net Banking"/>
    <s v="Diya"/>
  </r>
  <r>
    <x v="1115"/>
    <x v="30"/>
    <s v="Bengaluru"/>
    <x v="0"/>
    <x v="6"/>
    <x v="33"/>
    <x v="0"/>
    <s v="Consumer"/>
    <n v="6"/>
    <n v="1683"/>
    <n v="0"/>
    <x v="1111"/>
    <n v="7925.83"/>
    <n v="2172.17"/>
    <s v="Credit Card"/>
    <s v="Anaya"/>
  </r>
  <r>
    <x v="1116"/>
    <x v="123"/>
    <s v="Chennai"/>
    <x v="0"/>
    <x v="6"/>
    <x v="8"/>
    <x v="1"/>
    <s v="Corporate"/>
    <n v="7"/>
    <n v="5670"/>
    <n v="0.1"/>
    <x v="1112"/>
    <n v="31428.1"/>
    <n v="4292.8999999999996"/>
    <s v="Credit Card"/>
    <s v="Diya"/>
  </r>
  <r>
    <x v="1117"/>
    <x v="269"/>
    <s v="Hyderabad"/>
    <x v="0"/>
    <x v="0"/>
    <x v="23"/>
    <x v="1"/>
    <s v="Small Business"/>
    <n v="1"/>
    <n v="1840"/>
    <n v="0.05"/>
    <x v="1098"/>
    <n v="1519.72"/>
    <n v="228.28"/>
    <s v="Net Banking"/>
    <s v="Anaya"/>
  </r>
  <r>
    <x v="1118"/>
    <x v="183"/>
    <s v="Pune"/>
    <x v="2"/>
    <x v="6"/>
    <x v="30"/>
    <x v="0"/>
    <s v="Corporate"/>
    <n v="5"/>
    <n v="5550"/>
    <n v="0.05"/>
    <x v="1113"/>
    <n v="21504.5"/>
    <n v="4858"/>
    <s v="Credit Card"/>
    <s v="Anaya"/>
  </r>
  <r>
    <x v="1119"/>
    <x v="345"/>
    <s v="Pune"/>
    <x v="2"/>
    <x v="0"/>
    <x v="19"/>
    <x v="0"/>
    <s v="Small Business"/>
    <n v="8"/>
    <n v="2107"/>
    <n v="0.05"/>
    <x v="1114"/>
    <n v="9918.4699999999993"/>
    <n v="6094.73"/>
    <s v="Net Banking"/>
    <s v="Diya"/>
  </r>
  <r>
    <x v="1120"/>
    <x v="0"/>
    <s v="Hyderabad"/>
    <x v="0"/>
    <x v="5"/>
    <x v="6"/>
    <x v="2"/>
    <s v="Small Business"/>
    <n v="6"/>
    <n v="8409"/>
    <n v="0"/>
    <x v="1115"/>
    <n v="27909.31"/>
    <n v="22544.69"/>
    <s v="Debit Card"/>
    <s v="Vikram"/>
  </r>
  <r>
    <x v="1121"/>
    <x v="346"/>
    <s v="Bengaluru"/>
    <x v="0"/>
    <x v="6"/>
    <x v="16"/>
    <x v="2"/>
    <s v="Consumer"/>
    <n v="1"/>
    <n v="4078"/>
    <n v="0.05"/>
    <x v="1116"/>
    <n v="3253.67"/>
    <n v="620.42999999999995"/>
    <s v="Credit Card"/>
    <s v="Vikram"/>
  </r>
  <r>
    <x v="1122"/>
    <x v="263"/>
    <s v="Pune"/>
    <x v="2"/>
    <x v="4"/>
    <x v="31"/>
    <x v="2"/>
    <s v="Consumer"/>
    <n v="5"/>
    <n v="16248"/>
    <n v="0"/>
    <x v="1117"/>
    <n v="48639.22"/>
    <n v="32600.78"/>
    <s v="Debit Card"/>
    <s v="Vikram"/>
  </r>
  <r>
    <x v="1123"/>
    <x v="229"/>
    <s v="Bengaluru"/>
    <x v="0"/>
    <x v="0"/>
    <x v="28"/>
    <x v="2"/>
    <s v="Corporate"/>
    <n v="4"/>
    <n v="1119"/>
    <n v="0"/>
    <x v="1118"/>
    <n v="3930.01"/>
    <n v="545.99"/>
    <s v="Debit Card"/>
    <s v="Aarav"/>
  </r>
  <r>
    <x v="1124"/>
    <x v="149"/>
    <s v="Mumbai"/>
    <x v="2"/>
    <x v="0"/>
    <x v="28"/>
    <x v="1"/>
    <s v="Consumer"/>
    <n v="4"/>
    <n v="1013"/>
    <n v="0.1"/>
    <x v="1119"/>
    <n v="2387.15"/>
    <n v="1259.6500000000001"/>
    <s v="Credit Card"/>
    <s v="Diya"/>
  </r>
  <r>
    <x v="1125"/>
    <x v="336"/>
    <s v="Delhi"/>
    <x v="3"/>
    <x v="4"/>
    <x v="13"/>
    <x v="1"/>
    <s v="Corporate"/>
    <n v="2"/>
    <n v="2067"/>
    <n v="0.05"/>
    <x v="1120"/>
    <n v="2985.11"/>
    <n v="942.19"/>
    <s v="Debit Card"/>
    <s v="Meera"/>
  </r>
  <r>
    <x v="1126"/>
    <x v="209"/>
    <s v="Delhi"/>
    <x v="3"/>
    <x v="3"/>
    <x v="34"/>
    <x v="2"/>
    <s v="Corporate"/>
    <n v="6"/>
    <n v="2303"/>
    <n v="0.05"/>
    <x v="1121"/>
    <n v="11394.89"/>
    <n v="1732.21"/>
    <s v="Net Banking"/>
    <s v="Kabir"/>
  </r>
  <r>
    <x v="1127"/>
    <x v="53"/>
    <s v="Bengaluru"/>
    <x v="0"/>
    <x v="6"/>
    <x v="16"/>
    <x v="2"/>
    <s v="Consumer"/>
    <n v="5"/>
    <n v="2635"/>
    <n v="0"/>
    <x v="1122"/>
    <n v="10253.790000000001"/>
    <n v="2921.21"/>
    <s v="Net Banking"/>
    <s v="Vikram"/>
  </r>
  <r>
    <x v="1128"/>
    <x v="306"/>
    <s v="Kolkata"/>
    <x v="1"/>
    <x v="3"/>
    <x v="32"/>
    <x v="1"/>
    <s v="Consumer"/>
    <n v="1"/>
    <n v="1031"/>
    <n v="0.15"/>
    <x v="1123"/>
    <n v="501.56"/>
    <n v="374.79"/>
    <s v="Debit Card"/>
    <s v="Vikram"/>
  </r>
  <r>
    <x v="1129"/>
    <x v="163"/>
    <s v="Mumbai"/>
    <x v="2"/>
    <x v="2"/>
    <x v="5"/>
    <x v="2"/>
    <s v="Consumer"/>
    <n v="1"/>
    <n v="40223"/>
    <n v="0.05"/>
    <x v="1124"/>
    <n v="29452.69"/>
    <n v="8759.16"/>
    <s v="Cash"/>
    <s v="Vikram"/>
  </r>
  <r>
    <x v="1130"/>
    <x v="87"/>
    <s v="Pune"/>
    <x v="2"/>
    <x v="1"/>
    <x v="18"/>
    <x v="1"/>
    <s v="Small Business"/>
    <n v="7"/>
    <n v="10160"/>
    <n v="0.05"/>
    <x v="1125"/>
    <n v="44419.3"/>
    <n v="23144.7"/>
    <s v="UPI"/>
    <s v="Anaya"/>
  </r>
  <r>
    <x v="1131"/>
    <x v="24"/>
    <s v="Mumbai"/>
    <x v="2"/>
    <x v="4"/>
    <x v="14"/>
    <x v="2"/>
    <s v="Small Business"/>
    <n v="7"/>
    <n v="20797"/>
    <n v="0.1"/>
    <x v="1126"/>
    <n v="81906.080000000002"/>
    <n v="49115.02"/>
    <s v="UPI"/>
    <s v="Diya"/>
  </r>
  <r>
    <x v="1132"/>
    <x v="167"/>
    <s v="Hyderabad"/>
    <x v="0"/>
    <x v="4"/>
    <x v="31"/>
    <x v="1"/>
    <s v="Small Business"/>
    <n v="8"/>
    <n v="17691"/>
    <n v="0.15"/>
    <x v="1127"/>
    <n v="68119.27"/>
    <n v="52179.53"/>
    <s v="UPI"/>
    <s v="Anaya"/>
  </r>
  <r>
    <x v="1133"/>
    <x v="294"/>
    <s v="Mumbai"/>
    <x v="2"/>
    <x v="4"/>
    <x v="27"/>
    <x v="1"/>
    <s v="Consumer"/>
    <n v="6"/>
    <n v="23319"/>
    <n v="0.05"/>
    <x v="1128"/>
    <n v="109823.65"/>
    <n v="23094.65"/>
    <s v="Credit Card"/>
    <s v="Kabir"/>
  </r>
  <r>
    <x v="1134"/>
    <x v="75"/>
    <s v="Mumbai"/>
    <x v="2"/>
    <x v="5"/>
    <x v="25"/>
    <x v="1"/>
    <s v="Consumer"/>
    <n v="1"/>
    <n v="45516"/>
    <n v="0"/>
    <x v="1129"/>
    <n v="30644.18"/>
    <n v="14871.82"/>
    <s v="UPI"/>
    <s v="Anaya"/>
  </r>
  <r>
    <x v="1135"/>
    <x v="223"/>
    <s v="Pune"/>
    <x v="2"/>
    <x v="4"/>
    <x v="4"/>
    <x v="0"/>
    <s v="Corporate"/>
    <n v="7"/>
    <n v="9465"/>
    <n v="0.1"/>
    <x v="1130"/>
    <n v="35804.730000000003"/>
    <n v="23824.77"/>
    <s v="Credit Card"/>
    <s v="Vikram"/>
  </r>
  <r>
    <x v="1136"/>
    <x v="233"/>
    <s v="Pune"/>
    <x v="2"/>
    <x v="4"/>
    <x v="4"/>
    <x v="2"/>
    <s v="Consumer"/>
    <n v="3"/>
    <n v="19658"/>
    <n v="0.1"/>
    <x v="1131"/>
    <n v="31845.38"/>
    <n v="21231.22"/>
    <s v="Credit Card"/>
    <s v="Diya"/>
  </r>
  <r>
    <x v="1137"/>
    <x v="9"/>
    <s v="Delhi"/>
    <x v="3"/>
    <x v="5"/>
    <x v="25"/>
    <x v="2"/>
    <s v="Consumer"/>
    <n v="2"/>
    <n v="41295"/>
    <n v="0.1"/>
    <x v="1132"/>
    <n v="63254.18"/>
    <n v="11076.82"/>
    <s v="UPI"/>
    <s v="Kabir"/>
  </r>
  <r>
    <x v="1138"/>
    <x v="164"/>
    <s v="Bengaluru"/>
    <x v="0"/>
    <x v="2"/>
    <x v="9"/>
    <x v="2"/>
    <s v="Corporate"/>
    <n v="1"/>
    <n v="19491"/>
    <n v="0.05"/>
    <x v="1133"/>
    <n v="14435.83"/>
    <n v="4080.62"/>
    <s v="Cash"/>
    <s v="Rohan"/>
  </r>
  <r>
    <x v="1139"/>
    <x v="274"/>
    <s v="Mumbai"/>
    <x v="2"/>
    <x v="4"/>
    <x v="14"/>
    <x v="0"/>
    <s v="Corporate"/>
    <n v="5"/>
    <n v="15729"/>
    <n v="0.1"/>
    <x v="1134"/>
    <n v="43464.43"/>
    <n v="27316.07"/>
    <s v="UPI"/>
    <s v="Anaya"/>
  </r>
  <r>
    <x v="1140"/>
    <x v="91"/>
    <s v="Pune"/>
    <x v="2"/>
    <x v="6"/>
    <x v="20"/>
    <x v="0"/>
    <s v="Small Business"/>
    <n v="4"/>
    <n v="5057"/>
    <n v="0.15"/>
    <x v="1135"/>
    <n v="13079.55"/>
    <n v="4114.25"/>
    <s v="Credit Card"/>
    <s v="Aarav"/>
  </r>
  <r>
    <x v="1141"/>
    <x v="293"/>
    <s v="Kolkata"/>
    <x v="1"/>
    <x v="3"/>
    <x v="15"/>
    <x v="2"/>
    <s v="Consumer"/>
    <n v="2"/>
    <n v="980"/>
    <n v="0.05"/>
    <x v="1136"/>
    <n v="1437.26"/>
    <n v="424.74"/>
    <s v="Credit Card"/>
    <s v="Aarav"/>
  </r>
  <r>
    <x v="1142"/>
    <x v="16"/>
    <s v="Hyderabad"/>
    <x v="0"/>
    <x v="4"/>
    <x v="4"/>
    <x v="2"/>
    <s v="Small Business"/>
    <n v="7"/>
    <n v="14187"/>
    <n v="0.05"/>
    <x v="1137"/>
    <n v="75289.75"/>
    <n v="19053.8"/>
    <s v="Net Banking"/>
    <s v="Anaya"/>
  </r>
  <r>
    <x v="1143"/>
    <x v="98"/>
    <s v="Delhi"/>
    <x v="3"/>
    <x v="0"/>
    <x v="28"/>
    <x v="1"/>
    <s v="Small Business"/>
    <n v="5"/>
    <n v="1753"/>
    <n v="0.05"/>
    <x v="1138"/>
    <n v="6359.51"/>
    <n v="1967.24"/>
    <s v="Debit Card"/>
    <s v="Aarav"/>
  </r>
  <r>
    <x v="1144"/>
    <x v="15"/>
    <s v="Pune"/>
    <x v="2"/>
    <x v="2"/>
    <x v="21"/>
    <x v="1"/>
    <s v="Consumer"/>
    <n v="7"/>
    <n v="17124"/>
    <n v="0.05"/>
    <x v="1139"/>
    <n v="85520.94"/>
    <n v="28353.66"/>
    <s v="Cash"/>
    <s v="Anaya"/>
  </r>
  <r>
    <x v="1145"/>
    <x v="75"/>
    <s v="Mumbai"/>
    <x v="2"/>
    <x v="1"/>
    <x v="7"/>
    <x v="1"/>
    <s v="Small Business"/>
    <n v="1"/>
    <n v="8149"/>
    <n v="0.15"/>
    <x v="1140"/>
    <n v="5612.63"/>
    <n v="1314.02"/>
    <s v="Credit Card"/>
    <s v="Anaya"/>
  </r>
  <r>
    <x v="1146"/>
    <x v="54"/>
    <s v="Bengaluru"/>
    <x v="0"/>
    <x v="0"/>
    <x v="23"/>
    <x v="2"/>
    <s v="Small Business"/>
    <n v="6"/>
    <n v="782"/>
    <n v="0"/>
    <x v="1141"/>
    <n v="3832.78"/>
    <n v="859.22"/>
    <s v="Net Banking"/>
    <s v="Aarav"/>
  </r>
  <r>
    <x v="1147"/>
    <x v="318"/>
    <s v="Delhi"/>
    <x v="3"/>
    <x v="3"/>
    <x v="34"/>
    <x v="2"/>
    <s v="Corporate"/>
    <n v="5"/>
    <n v="1000"/>
    <n v="0.1"/>
    <x v="1142"/>
    <n v="2792.36"/>
    <n v="1707.64"/>
    <s v="Credit Card"/>
    <s v="Meera"/>
  </r>
  <r>
    <x v="1148"/>
    <x v="266"/>
    <s v="Delhi"/>
    <x v="3"/>
    <x v="5"/>
    <x v="6"/>
    <x v="1"/>
    <s v="Corporate"/>
    <n v="6"/>
    <n v="22443"/>
    <n v="0.1"/>
    <x v="1143"/>
    <n v="85185.82"/>
    <n v="36006.379999999997"/>
    <s v="Cash"/>
    <s v="Kabir"/>
  </r>
  <r>
    <x v="1149"/>
    <x v="45"/>
    <s v="Ahmedabad"/>
    <x v="2"/>
    <x v="1"/>
    <x v="22"/>
    <x v="0"/>
    <s v="Small Business"/>
    <n v="5"/>
    <n v="10340"/>
    <n v="0.05"/>
    <x v="1144"/>
    <n v="28815.84"/>
    <n v="20299.16"/>
    <s v="Credit Card"/>
    <s v="Kabir"/>
  </r>
  <r>
    <x v="1150"/>
    <x v="188"/>
    <s v="Mumbai"/>
    <x v="2"/>
    <x v="2"/>
    <x v="29"/>
    <x v="0"/>
    <s v="Corporate"/>
    <n v="3"/>
    <n v="11051"/>
    <n v="0.05"/>
    <x v="1145"/>
    <n v="25678.36"/>
    <n v="5816.99"/>
    <s v="Net Banking"/>
    <s v="Anaya"/>
  </r>
  <r>
    <x v="1151"/>
    <x v="110"/>
    <s v="Bengaluru"/>
    <x v="0"/>
    <x v="4"/>
    <x v="27"/>
    <x v="0"/>
    <s v="Consumer"/>
    <n v="1"/>
    <n v="12356"/>
    <n v="0.2"/>
    <x v="1146"/>
    <n v="7191.96"/>
    <n v="2692.84"/>
    <s v="Credit Card"/>
    <s v="Diya"/>
  </r>
  <r>
    <x v="1152"/>
    <x v="57"/>
    <s v="Bengaluru"/>
    <x v="0"/>
    <x v="3"/>
    <x v="3"/>
    <x v="1"/>
    <s v="Corporate"/>
    <n v="2"/>
    <n v="814"/>
    <n v="0.15"/>
    <x v="1147"/>
    <n v="810.64"/>
    <n v="573.16"/>
    <s v="Net Banking"/>
    <s v="Kabir"/>
  </r>
  <r>
    <x v="1153"/>
    <x v="288"/>
    <s v="Mumbai"/>
    <x v="2"/>
    <x v="0"/>
    <x v="19"/>
    <x v="1"/>
    <s v="Consumer"/>
    <n v="4"/>
    <n v="979"/>
    <n v="0.15"/>
    <x v="1148"/>
    <n v="2147.58"/>
    <n v="1181.02"/>
    <s v="Debit Card"/>
    <s v="Vikram"/>
  </r>
  <r>
    <x v="1154"/>
    <x v="28"/>
    <s v="Chennai"/>
    <x v="0"/>
    <x v="5"/>
    <x v="6"/>
    <x v="0"/>
    <s v="Consumer"/>
    <n v="4"/>
    <n v="19332"/>
    <n v="0"/>
    <x v="1149"/>
    <n v="43603.09"/>
    <n v="33724.910000000003"/>
    <s v="UPI"/>
    <s v="Sara"/>
  </r>
  <r>
    <x v="1155"/>
    <x v="339"/>
    <s v="Pune"/>
    <x v="2"/>
    <x v="5"/>
    <x v="17"/>
    <x v="2"/>
    <s v="Corporate"/>
    <n v="1"/>
    <n v="4101"/>
    <n v="0.1"/>
    <x v="1150"/>
    <n v="2864.36"/>
    <n v="826.54"/>
    <s v="UPI"/>
    <s v="Aarav"/>
  </r>
  <r>
    <x v="1156"/>
    <x v="323"/>
    <s v="Delhi"/>
    <x v="3"/>
    <x v="0"/>
    <x v="0"/>
    <x v="0"/>
    <s v="Corporate"/>
    <n v="8"/>
    <n v="2111"/>
    <n v="0"/>
    <x v="1151"/>
    <n v="12578.98"/>
    <n v="4309.0200000000004"/>
    <s v="Net Banking"/>
    <s v="Kabir"/>
  </r>
  <r>
    <x v="1157"/>
    <x v="280"/>
    <s v="Mumbai"/>
    <x v="2"/>
    <x v="2"/>
    <x v="2"/>
    <x v="1"/>
    <s v="Corporate"/>
    <n v="6"/>
    <n v="6444"/>
    <n v="0.05"/>
    <x v="1152"/>
    <n v="21647.33"/>
    <n v="15083.47"/>
    <s v="Credit Card"/>
    <s v="Kabir"/>
  </r>
  <r>
    <x v="1158"/>
    <x v="172"/>
    <s v="Delhi"/>
    <x v="3"/>
    <x v="5"/>
    <x v="24"/>
    <x v="1"/>
    <s v="Consumer"/>
    <n v="3"/>
    <n v="44680"/>
    <n v="0.1"/>
    <x v="1153"/>
    <n v="90071.86"/>
    <n v="30564.14"/>
    <s v="Credit Card"/>
    <s v="Meera"/>
  </r>
  <r>
    <x v="1159"/>
    <x v="103"/>
    <s v="Ahmedabad"/>
    <x v="2"/>
    <x v="5"/>
    <x v="17"/>
    <x v="0"/>
    <s v="Small Business"/>
    <n v="6"/>
    <n v="8002"/>
    <n v="0.05"/>
    <x v="1154"/>
    <n v="36457.300000000003"/>
    <n v="9154.1"/>
    <s v="Cash"/>
    <s v="Diya"/>
  </r>
  <r>
    <x v="1160"/>
    <x v="189"/>
    <s v="Ahmedabad"/>
    <x v="2"/>
    <x v="5"/>
    <x v="17"/>
    <x v="2"/>
    <s v="Corporate"/>
    <n v="1"/>
    <n v="10009"/>
    <n v="0.05"/>
    <x v="1155"/>
    <n v="6496.36"/>
    <n v="3012.19"/>
    <s v="Cash"/>
    <s v="Vikram"/>
  </r>
  <r>
    <x v="1161"/>
    <x v="1"/>
    <s v="Hyderabad"/>
    <x v="0"/>
    <x v="0"/>
    <x v="28"/>
    <x v="0"/>
    <s v="Corporate"/>
    <n v="3"/>
    <n v="435"/>
    <n v="0.1"/>
    <x v="1156"/>
    <n v="903.87"/>
    <n v="270.63"/>
    <s v="UPI"/>
    <s v="Kabir"/>
  </r>
  <r>
    <x v="1162"/>
    <x v="67"/>
    <s v="Pune"/>
    <x v="2"/>
    <x v="5"/>
    <x v="25"/>
    <x v="1"/>
    <s v="Corporate"/>
    <n v="6"/>
    <n v="22771"/>
    <n v="0.1"/>
    <x v="1157"/>
    <n v="92617.34"/>
    <n v="30346.06"/>
    <s v="Credit Card"/>
    <s v="Vikram"/>
  </r>
  <r>
    <x v="1163"/>
    <x v="23"/>
    <s v="Pune"/>
    <x v="2"/>
    <x v="0"/>
    <x v="26"/>
    <x v="2"/>
    <s v="Small Business"/>
    <n v="3"/>
    <n v="1644"/>
    <n v="0"/>
    <x v="1158"/>
    <n v="3823.64"/>
    <n v="1108.3599999999999"/>
    <s v="UPI"/>
    <s v="Kabir"/>
  </r>
  <r>
    <x v="1164"/>
    <x v="40"/>
    <s v="Hyderabad"/>
    <x v="0"/>
    <x v="2"/>
    <x v="2"/>
    <x v="0"/>
    <s v="Consumer"/>
    <n v="8"/>
    <n v="34603"/>
    <n v="0.05"/>
    <x v="1159"/>
    <n v="161981.85999999999"/>
    <n v="101000.94"/>
    <s v="Net Banking"/>
    <s v="Kabir"/>
  </r>
  <r>
    <x v="1165"/>
    <x v="283"/>
    <s v="Kolkata"/>
    <x v="1"/>
    <x v="5"/>
    <x v="25"/>
    <x v="2"/>
    <s v="Small Business"/>
    <n v="5"/>
    <n v="17492"/>
    <n v="0.05"/>
    <x v="1160"/>
    <n v="57623.87"/>
    <n v="25463.13"/>
    <s v="Cash"/>
    <s v="Meera"/>
  </r>
  <r>
    <x v="1166"/>
    <x v="232"/>
    <s v="Mumbai"/>
    <x v="2"/>
    <x v="1"/>
    <x v="7"/>
    <x v="2"/>
    <s v="Corporate"/>
    <n v="8"/>
    <n v="9427"/>
    <n v="0.05"/>
    <x v="1161"/>
    <n v="55474.38"/>
    <n v="16170.82"/>
    <s v="UPI"/>
    <s v="Kabir"/>
  </r>
  <r>
    <x v="1167"/>
    <x v="335"/>
    <s v="Mumbai"/>
    <x v="2"/>
    <x v="1"/>
    <x v="22"/>
    <x v="0"/>
    <s v="Consumer"/>
    <n v="2"/>
    <n v="11190"/>
    <n v="0.05"/>
    <x v="1162"/>
    <n v="14867.47"/>
    <n v="6393.53"/>
    <s v="Debit Card"/>
    <s v="Vikram"/>
  </r>
  <r>
    <x v="1168"/>
    <x v="336"/>
    <s v="Delhi"/>
    <x v="3"/>
    <x v="0"/>
    <x v="28"/>
    <x v="0"/>
    <s v="Corporate"/>
    <n v="7"/>
    <n v="454"/>
    <n v="0.05"/>
    <x v="1163"/>
    <n v="1701.74"/>
    <n v="1317.36"/>
    <s v="UPI"/>
    <s v="Aarav"/>
  </r>
  <r>
    <x v="1169"/>
    <x v="309"/>
    <s v="Bengaluru"/>
    <x v="0"/>
    <x v="2"/>
    <x v="29"/>
    <x v="0"/>
    <s v="Corporate"/>
    <n v="2"/>
    <n v="13380"/>
    <n v="0.05"/>
    <x v="1164"/>
    <n v="21838.28"/>
    <n v="3583.72"/>
    <s v="Cash"/>
    <s v="Sara"/>
  </r>
  <r>
    <x v="1170"/>
    <x v="317"/>
    <s v="Pune"/>
    <x v="2"/>
    <x v="3"/>
    <x v="3"/>
    <x v="2"/>
    <s v="Corporate"/>
    <n v="6"/>
    <n v="225"/>
    <n v="0.15"/>
    <x v="1165"/>
    <n v="754.04"/>
    <n v="393.46"/>
    <s v="UPI"/>
    <s v="Rohan"/>
  </r>
  <r>
    <x v="1171"/>
    <x v="175"/>
    <s v="Kolkata"/>
    <x v="1"/>
    <x v="5"/>
    <x v="25"/>
    <x v="2"/>
    <s v="Consumer"/>
    <n v="7"/>
    <n v="11326"/>
    <n v="0.1"/>
    <x v="1166"/>
    <n v="47468.639999999999"/>
    <n v="23885.16"/>
    <s v="Net Banking"/>
    <s v="Rohan"/>
  </r>
  <r>
    <x v="1172"/>
    <x v="0"/>
    <s v="Bengaluru"/>
    <x v="0"/>
    <x v="1"/>
    <x v="10"/>
    <x v="2"/>
    <s v="Corporate"/>
    <n v="5"/>
    <n v="5383"/>
    <n v="0"/>
    <x v="1167"/>
    <n v="17690.34"/>
    <n v="9224.66"/>
    <s v="Cash"/>
    <s v="Anaya"/>
  </r>
  <r>
    <x v="1173"/>
    <x v="45"/>
    <s v="Bengaluru"/>
    <x v="0"/>
    <x v="6"/>
    <x v="8"/>
    <x v="1"/>
    <s v="Small Business"/>
    <n v="1"/>
    <n v="1223"/>
    <n v="0.1"/>
    <x v="1168"/>
    <n v="892.23"/>
    <n v="208.47"/>
    <s v="Cash"/>
    <s v="Kabir"/>
  </r>
  <r>
    <x v="1174"/>
    <x v="89"/>
    <s v="Pune"/>
    <x v="2"/>
    <x v="0"/>
    <x v="28"/>
    <x v="1"/>
    <s v="Corporate"/>
    <n v="4"/>
    <n v="654"/>
    <n v="0.05"/>
    <x v="230"/>
    <n v="1602.85"/>
    <n v="882.35"/>
    <s v="Debit Card"/>
    <s v="Vikram"/>
  </r>
  <r>
    <x v="1175"/>
    <x v="338"/>
    <s v="Delhi"/>
    <x v="3"/>
    <x v="5"/>
    <x v="11"/>
    <x v="2"/>
    <s v="Small Business"/>
    <n v="4"/>
    <n v="7564"/>
    <n v="0.05"/>
    <x v="1169"/>
    <n v="21177.37"/>
    <n v="7565.83"/>
    <s v="Cash"/>
    <s v="Anaya"/>
  </r>
  <r>
    <x v="1176"/>
    <x v="256"/>
    <s v="Delhi"/>
    <x v="3"/>
    <x v="5"/>
    <x v="17"/>
    <x v="1"/>
    <s v="Small Business"/>
    <n v="6"/>
    <n v="22837"/>
    <n v="0.15"/>
    <x v="1170"/>
    <n v="68508.710000000006"/>
    <n v="47959.99"/>
    <s v="UPI"/>
    <s v="Meera"/>
  </r>
  <r>
    <x v="1177"/>
    <x v="18"/>
    <s v="Ahmedabad"/>
    <x v="2"/>
    <x v="4"/>
    <x v="4"/>
    <x v="1"/>
    <s v="Corporate"/>
    <n v="4"/>
    <n v="19851"/>
    <n v="0.05"/>
    <x v="1171"/>
    <n v="60612.08"/>
    <n v="14821.72"/>
    <s v="Debit Card"/>
    <s v="Anaya"/>
  </r>
  <r>
    <x v="1178"/>
    <x v="345"/>
    <s v="Pune"/>
    <x v="2"/>
    <x v="3"/>
    <x v="12"/>
    <x v="1"/>
    <s v="Corporate"/>
    <n v="8"/>
    <n v="653"/>
    <n v="0.15"/>
    <x v="1172"/>
    <n v="2702.49"/>
    <n v="1737.91"/>
    <s v="UPI"/>
    <s v="Rohan"/>
  </r>
  <r>
    <x v="1179"/>
    <x v="279"/>
    <s v="Ahmedabad"/>
    <x v="2"/>
    <x v="6"/>
    <x v="8"/>
    <x v="0"/>
    <s v="Consumer"/>
    <n v="8"/>
    <n v="5163"/>
    <n v="0.1"/>
    <x v="1173"/>
    <n v="27910.28"/>
    <n v="9263.32"/>
    <s v="Credit Card"/>
    <s v="Sara"/>
  </r>
  <r>
    <x v="1180"/>
    <x v="330"/>
    <s v="Hyderabad"/>
    <x v="0"/>
    <x v="2"/>
    <x v="2"/>
    <x v="0"/>
    <s v="Small Business"/>
    <n v="1"/>
    <n v="38494"/>
    <n v="0"/>
    <x v="1174"/>
    <n v="23647.13"/>
    <n v="14846.87"/>
    <s v="Debit Card"/>
    <s v="Sara"/>
  </r>
  <r>
    <x v="1181"/>
    <x v="318"/>
    <s v="Delhi"/>
    <x v="3"/>
    <x v="2"/>
    <x v="2"/>
    <x v="2"/>
    <s v="Small Business"/>
    <n v="6"/>
    <n v="2057"/>
    <n v="0.1"/>
    <x v="1175"/>
    <n v="6246.5"/>
    <n v="4861.3"/>
    <s v="Credit Card"/>
    <s v="Anaya"/>
  </r>
  <r>
    <x v="1182"/>
    <x v="148"/>
    <s v="Mumbai"/>
    <x v="2"/>
    <x v="1"/>
    <x v="22"/>
    <x v="0"/>
    <s v="Consumer"/>
    <n v="3"/>
    <n v="5908"/>
    <n v="0.05"/>
    <x v="1176"/>
    <n v="10428.68"/>
    <n v="6409.12"/>
    <s v="Credit Card"/>
    <s v="Anaya"/>
  </r>
  <r>
    <x v="1183"/>
    <x v="176"/>
    <s v="Chennai"/>
    <x v="0"/>
    <x v="1"/>
    <x v="1"/>
    <x v="0"/>
    <s v="Small Business"/>
    <n v="4"/>
    <n v="6685"/>
    <n v="0"/>
    <x v="1177"/>
    <n v="16996.77"/>
    <n v="9743.23"/>
    <s v="Debit Card"/>
    <s v="Meera"/>
  </r>
  <r>
    <x v="1184"/>
    <x v="54"/>
    <s v="Ahmedabad"/>
    <x v="2"/>
    <x v="4"/>
    <x v="13"/>
    <x v="1"/>
    <s v="Consumer"/>
    <n v="8"/>
    <n v="6896"/>
    <n v="0.2"/>
    <x v="1178"/>
    <n v="29529.97"/>
    <n v="14604.43"/>
    <s v="Credit Card"/>
    <s v="Diya"/>
  </r>
  <r>
    <x v="1185"/>
    <x v="191"/>
    <s v="Delhi"/>
    <x v="3"/>
    <x v="2"/>
    <x v="21"/>
    <x v="0"/>
    <s v="Consumer"/>
    <n v="2"/>
    <n v="62782"/>
    <n v="0"/>
    <x v="1179"/>
    <n v="94780.05"/>
    <n v="30783.95"/>
    <s v="Debit Card"/>
    <s v="Anaya"/>
  </r>
  <r>
    <x v="1186"/>
    <x v="345"/>
    <s v="Hyderabad"/>
    <x v="0"/>
    <x v="2"/>
    <x v="2"/>
    <x v="2"/>
    <s v="Consumer"/>
    <n v="5"/>
    <n v="47975"/>
    <n v="0.05"/>
    <x v="1180"/>
    <n v="136133.73000000001"/>
    <n v="91747.520000000004"/>
    <s v="Net Banking"/>
    <s v="Diya"/>
  </r>
  <r>
    <x v="1187"/>
    <x v="26"/>
    <s v="Ahmedabad"/>
    <x v="2"/>
    <x v="0"/>
    <x v="0"/>
    <x v="0"/>
    <s v="Corporate"/>
    <n v="2"/>
    <n v="978"/>
    <n v="0.15"/>
    <x v="749"/>
    <n v="1268.57"/>
    <n v="394.03"/>
    <s v="UPI"/>
    <s v="Aarav"/>
  </r>
  <r>
    <x v="1188"/>
    <x v="250"/>
    <s v="Hyderabad"/>
    <x v="0"/>
    <x v="1"/>
    <x v="1"/>
    <x v="2"/>
    <s v="Consumer"/>
    <n v="3"/>
    <n v="11391"/>
    <n v="0.05"/>
    <x v="1181"/>
    <n v="22885.84"/>
    <n v="9578.51"/>
    <s v="Net Banking"/>
    <s v="Aarav"/>
  </r>
  <r>
    <x v="1189"/>
    <x v="234"/>
    <s v="Pune"/>
    <x v="2"/>
    <x v="3"/>
    <x v="32"/>
    <x v="0"/>
    <s v="Corporate"/>
    <n v="1"/>
    <n v="843"/>
    <n v="0.1"/>
    <x v="1182"/>
    <n v="469.16"/>
    <n v="289.54000000000002"/>
    <s v="Debit Card"/>
    <s v="Aarav"/>
  </r>
  <r>
    <x v="1190"/>
    <x v="290"/>
    <s v="Mumbai"/>
    <x v="2"/>
    <x v="1"/>
    <x v="7"/>
    <x v="0"/>
    <s v="Corporate"/>
    <n v="7"/>
    <n v="1778"/>
    <n v="0.05"/>
    <x v="1183"/>
    <n v="7858.27"/>
    <n v="3965.43"/>
    <s v="Credit Card"/>
    <s v="Anaya"/>
  </r>
  <r>
    <x v="1191"/>
    <x v="332"/>
    <s v="Hyderabad"/>
    <x v="0"/>
    <x v="5"/>
    <x v="17"/>
    <x v="0"/>
    <s v="Small Business"/>
    <n v="1"/>
    <n v="28654"/>
    <n v="0.1"/>
    <x v="1184"/>
    <n v="18898.16"/>
    <n v="6890.44"/>
    <s v="Credit Card"/>
    <s v="Diya"/>
  </r>
  <r>
    <x v="1192"/>
    <x v="151"/>
    <s v="Kolkata"/>
    <x v="1"/>
    <x v="4"/>
    <x v="27"/>
    <x v="1"/>
    <s v="Corporate"/>
    <n v="3"/>
    <n v="17897"/>
    <n v="0.15"/>
    <x v="1185"/>
    <n v="39294.26"/>
    <n v="6343.09"/>
    <s v="Cash"/>
    <s v="Meera"/>
  </r>
  <r>
    <x v="1193"/>
    <x v="111"/>
    <s v="Mumbai"/>
    <x v="2"/>
    <x v="1"/>
    <x v="7"/>
    <x v="2"/>
    <s v="Small Business"/>
    <n v="4"/>
    <n v="3523"/>
    <n v="0.05"/>
    <x v="1186"/>
    <n v="7907.15"/>
    <n v="5480.25"/>
    <s v="UPI"/>
    <s v="Anaya"/>
  </r>
  <r>
    <x v="1194"/>
    <x v="191"/>
    <s v="Bengaluru"/>
    <x v="0"/>
    <x v="2"/>
    <x v="9"/>
    <x v="0"/>
    <s v="Small Business"/>
    <n v="3"/>
    <n v="35012"/>
    <n v="0"/>
    <x v="1187"/>
    <n v="79666.960000000006"/>
    <n v="25369.040000000001"/>
    <s v="Net Banking"/>
    <s v="Anaya"/>
  </r>
  <r>
    <x v="1195"/>
    <x v="333"/>
    <s v="Pune"/>
    <x v="2"/>
    <x v="1"/>
    <x v="18"/>
    <x v="1"/>
    <s v="Corporate"/>
    <n v="1"/>
    <n v="11651"/>
    <n v="0.05"/>
    <x v="1188"/>
    <n v="9622.4599999999991"/>
    <n v="1445.99"/>
    <s v="Debit Card"/>
    <s v="Anaya"/>
  </r>
  <r>
    <x v="1196"/>
    <x v="300"/>
    <s v="Bengaluru"/>
    <x v="0"/>
    <x v="3"/>
    <x v="32"/>
    <x v="1"/>
    <s v="Corporate"/>
    <n v="7"/>
    <n v="1961"/>
    <n v="0.1"/>
    <x v="1189"/>
    <n v="6981.29"/>
    <n v="5373.01"/>
    <s v="Credit Card"/>
    <s v="Diya"/>
  </r>
  <r>
    <x v="1197"/>
    <x v="87"/>
    <s v="Delhi"/>
    <x v="3"/>
    <x v="5"/>
    <x v="17"/>
    <x v="2"/>
    <s v="Consumer"/>
    <n v="4"/>
    <n v="32692"/>
    <n v="0"/>
    <x v="1190"/>
    <n v="102401.19"/>
    <n v="28366.81"/>
    <s v="Debit Card"/>
    <s v="Diya"/>
  </r>
  <r>
    <x v="1198"/>
    <x v="217"/>
    <s v="Bengaluru"/>
    <x v="0"/>
    <x v="6"/>
    <x v="16"/>
    <x v="2"/>
    <s v="Consumer"/>
    <n v="5"/>
    <n v="4808"/>
    <n v="0"/>
    <x v="1191"/>
    <n v="15909.33"/>
    <n v="8130.67"/>
    <s v="Credit Card"/>
    <s v="Aarav"/>
  </r>
  <r>
    <x v="1199"/>
    <x v="105"/>
    <s v="Mumbai"/>
    <x v="2"/>
    <x v="1"/>
    <x v="22"/>
    <x v="0"/>
    <s v="Corporate"/>
    <n v="5"/>
    <n v="1006"/>
    <n v="0.15"/>
    <x v="1192"/>
    <n v="3197.09"/>
    <n v="1078.4100000000001"/>
    <s v="Debit Card"/>
    <s v="Sara"/>
  </r>
  <r>
    <x v="1200"/>
    <x v="139"/>
    <s v="Bengaluru"/>
    <x v="0"/>
    <x v="6"/>
    <x v="33"/>
    <x v="0"/>
    <s v="Corporate"/>
    <n v="2"/>
    <n v="674"/>
    <n v="0"/>
    <x v="1193"/>
    <n v="974.22"/>
    <n v="373.78"/>
    <s v="Net Banking"/>
    <s v="Sara"/>
  </r>
  <r>
    <x v="1201"/>
    <x v="1"/>
    <s v="Kolkata"/>
    <x v="1"/>
    <x v="5"/>
    <x v="6"/>
    <x v="2"/>
    <s v="Corporate"/>
    <n v="7"/>
    <n v="42181"/>
    <n v="0"/>
    <x v="1194"/>
    <n v="164081.94"/>
    <n v="131185.06"/>
    <s v="Net Banking"/>
    <s v="Anaya"/>
  </r>
  <r>
    <x v="1202"/>
    <x v="107"/>
    <s v="Pune"/>
    <x v="2"/>
    <x v="2"/>
    <x v="5"/>
    <x v="1"/>
    <s v="Consumer"/>
    <n v="2"/>
    <n v="48636"/>
    <n v="0.05"/>
    <x v="1195"/>
    <n v="50829.97"/>
    <n v="41578.43"/>
    <s v="Debit Card"/>
    <s v="Vikram"/>
  </r>
  <r>
    <x v="1203"/>
    <x v="109"/>
    <s v="Mumbai"/>
    <x v="2"/>
    <x v="0"/>
    <x v="23"/>
    <x v="0"/>
    <s v="Consumer"/>
    <n v="5"/>
    <n v="173"/>
    <n v="0.1"/>
    <x v="1196"/>
    <n v="538.57000000000005"/>
    <n v="239.93"/>
    <s v="Credit Card"/>
    <s v="Vikram"/>
  </r>
  <r>
    <x v="1204"/>
    <x v="168"/>
    <s v="Kolkata"/>
    <x v="1"/>
    <x v="2"/>
    <x v="2"/>
    <x v="0"/>
    <s v="Consumer"/>
    <n v="4"/>
    <n v="21279"/>
    <n v="0.1"/>
    <x v="1197"/>
    <n v="42711.57"/>
    <n v="33892.83"/>
    <s v="Credit Card"/>
    <s v="Aarav"/>
  </r>
  <r>
    <x v="1205"/>
    <x v="5"/>
    <s v="Mumbai"/>
    <x v="2"/>
    <x v="0"/>
    <x v="19"/>
    <x v="0"/>
    <s v="Corporate"/>
    <n v="8"/>
    <n v="2448"/>
    <n v="0.1"/>
    <x v="1198"/>
    <n v="12056.28"/>
    <n v="5569.32"/>
    <s v="Credit Card"/>
    <s v="Aarav"/>
  </r>
  <r>
    <x v="1206"/>
    <x v="204"/>
    <s v="Delhi"/>
    <x v="3"/>
    <x v="3"/>
    <x v="3"/>
    <x v="2"/>
    <s v="Corporate"/>
    <n v="5"/>
    <n v="889"/>
    <n v="0.05"/>
    <x v="1199"/>
    <n v="2755.9"/>
    <n v="1466.85"/>
    <s v="Credit Card"/>
    <s v="Diya"/>
  </r>
  <r>
    <x v="1207"/>
    <x v="215"/>
    <s v="Kolkata"/>
    <x v="1"/>
    <x v="0"/>
    <x v="19"/>
    <x v="2"/>
    <s v="Small Business"/>
    <n v="1"/>
    <n v="836"/>
    <n v="0.1"/>
    <x v="1200"/>
    <n v="476.98"/>
    <n v="275.42"/>
    <s v="Cash"/>
    <s v="Aarav"/>
  </r>
  <r>
    <x v="1208"/>
    <x v="80"/>
    <s v="Chennai"/>
    <x v="0"/>
    <x v="4"/>
    <x v="13"/>
    <x v="0"/>
    <s v="Corporate"/>
    <n v="6"/>
    <n v="13129"/>
    <n v="0.15"/>
    <x v="1201"/>
    <n v="42081.760000000002"/>
    <n v="24876.14"/>
    <s v="Credit Card"/>
    <s v="Aarav"/>
  </r>
  <r>
    <x v="1209"/>
    <x v="347"/>
    <s v="Bengaluru"/>
    <x v="0"/>
    <x v="5"/>
    <x v="17"/>
    <x v="2"/>
    <s v="Consumer"/>
    <n v="4"/>
    <n v="49038"/>
    <n v="0"/>
    <x v="1202"/>
    <n v="115834.18"/>
    <n v="80317.820000000007"/>
    <s v="Cash"/>
    <s v="Vikram"/>
  </r>
  <r>
    <x v="1210"/>
    <x v="309"/>
    <s v="Delhi"/>
    <x v="3"/>
    <x v="1"/>
    <x v="18"/>
    <x v="2"/>
    <s v="Consumer"/>
    <n v="6"/>
    <n v="11966"/>
    <n v="0.1"/>
    <x v="1203"/>
    <n v="43312.9"/>
    <n v="21303.5"/>
    <s v="UPI"/>
    <s v="Anaya"/>
  </r>
  <r>
    <x v="1211"/>
    <x v="96"/>
    <s v="Hyderabad"/>
    <x v="0"/>
    <x v="4"/>
    <x v="4"/>
    <x v="2"/>
    <s v="Consumer"/>
    <n v="3"/>
    <n v="21012"/>
    <n v="0.05"/>
    <x v="1204"/>
    <n v="46175.7"/>
    <n v="13708.5"/>
    <s v="UPI"/>
    <s v="Meera"/>
  </r>
  <r>
    <x v="1212"/>
    <x v="134"/>
    <s v="Mumbai"/>
    <x v="2"/>
    <x v="3"/>
    <x v="32"/>
    <x v="1"/>
    <s v="Small Business"/>
    <n v="6"/>
    <n v="2156"/>
    <n v="0.05"/>
    <x v="1205"/>
    <n v="9155.64"/>
    <n v="3133.56"/>
    <s v="Credit Card"/>
    <s v="Diya"/>
  </r>
  <r>
    <x v="1213"/>
    <x v="0"/>
    <s v="Ahmedabad"/>
    <x v="2"/>
    <x v="0"/>
    <x v="28"/>
    <x v="2"/>
    <s v="Consumer"/>
    <n v="4"/>
    <n v="1155"/>
    <n v="0.15"/>
    <x v="1206"/>
    <n v="2689.37"/>
    <n v="1237.6300000000001"/>
    <s v="Credit Card"/>
    <s v="Vikram"/>
  </r>
  <r>
    <x v="1214"/>
    <x v="100"/>
    <s v="Bengaluru"/>
    <x v="0"/>
    <x v="6"/>
    <x v="30"/>
    <x v="1"/>
    <s v="Corporate"/>
    <n v="2"/>
    <n v="265"/>
    <n v="0"/>
    <x v="1207"/>
    <n v="428.39"/>
    <n v="101.61"/>
    <s v="Cash"/>
    <s v="Sara"/>
  </r>
  <r>
    <x v="1215"/>
    <x v="104"/>
    <s v="Mumbai"/>
    <x v="2"/>
    <x v="6"/>
    <x v="20"/>
    <x v="0"/>
    <s v="Small Business"/>
    <n v="7"/>
    <n v="5788"/>
    <n v="0"/>
    <x v="1208"/>
    <n v="22502.76"/>
    <n v="18013.240000000002"/>
    <s v="UPI"/>
    <s v="Sara"/>
  </r>
  <r>
    <x v="1216"/>
    <x v="177"/>
    <s v="Bengaluru"/>
    <x v="0"/>
    <x v="1"/>
    <x v="1"/>
    <x v="0"/>
    <s v="Small Business"/>
    <n v="4"/>
    <n v="1945"/>
    <n v="0.1"/>
    <x v="1209"/>
    <n v="6083.84"/>
    <n v="918.16"/>
    <s v="Net Banking"/>
    <s v="Anaya"/>
  </r>
  <r>
    <x v="1217"/>
    <x v="320"/>
    <s v="Ahmedabad"/>
    <x v="2"/>
    <x v="0"/>
    <x v="26"/>
    <x v="2"/>
    <s v="Consumer"/>
    <n v="1"/>
    <n v="2422"/>
    <n v="0.05"/>
    <x v="1210"/>
    <n v="1623.09"/>
    <n v="677.81"/>
    <s v="Net Banking"/>
    <s v="Rohan"/>
  </r>
  <r>
    <x v="1218"/>
    <x v="239"/>
    <s v="Delhi"/>
    <x v="3"/>
    <x v="3"/>
    <x v="34"/>
    <x v="0"/>
    <s v="Small Business"/>
    <n v="2"/>
    <n v="217"/>
    <n v="0.05"/>
    <x v="1211"/>
    <n v="311.51"/>
    <n v="100.79"/>
    <s v="UPI"/>
    <s v="Diya"/>
  </r>
  <r>
    <x v="1219"/>
    <x v="147"/>
    <s v="Mumbai"/>
    <x v="2"/>
    <x v="6"/>
    <x v="8"/>
    <x v="0"/>
    <s v="Consumer"/>
    <n v="3"/>
    <n v="1217"/>
    <n v="0"/>
    <x v="1212"/>
    <n v="3166.23"/>
    <n v="484.77"/>
    <s v="UPI"/>
    <s v="Anaya"/>
  </r>
  <r>
    <x v="1220"/>
    <x v="229"/>
    <s v="Mumbai"/>
    <x v="2"/>
    <x v="2"/>
    <x v="2"/>
    <x v="0"/>
    <s v="Corporate"/>
    <n v="2"/>
    <n v="40057"/>
    <n v="0.15"/>
    <x v="1213"/>
    <n v="38043.97"/>
    <n v="30052.93"/>
    <s v="UPI"/>
    <s v="Anaya"/>
  </r>
  <r>
    <x v="1221"/>
    <x v="58"/>
    <s v="Delhi"/>
    <x v="3"/>
    <x v="6"/>
    <x v="33"/>
    <x v="0"/>
    <s v="Corporate"/>
    <n v="1"/>
    <n v="5178"/>
    <n v="0"/>
    <x v="1214"/>
    <n v="3536.34"/>
    <n v="1641.66"/>
    <s v="Cash"/>
    <s v="Sara"/>
  </r>
  <r>
    <x v="1222"/>
    <x v="251"/>
    <s v="Mumbai"/>
    <x v="2"/>
    <x v="5"/>
    <x v="11"/>
    <x v="2"/>
    <s v="Corporate"/>
    <n v="8"/>
    <n v="33732"/>
    <n v="0.05"/>
    <x v="1215"/>
    <n v="156462.41"/>
    <n v="99900.79"/>
    <s v="UPI"/>
    <s v="Vikram"/>
  </r>
  <r>
    <x v="1223"/>
    <x v="74"/>
    <s v="Pune"/>
    <x v="2"/>
    <x v="6"/>
    <x v="16"/>
    <x v="1"/>
    <s v="Small Business"/>
    <n v="7"/>
    <n v="4202"/>
    <n v="0.15"/>
    <x v="1216"/>
    <n v="15095.21"/>
    <n v="9906.69"/>
    <s v="UPI"/>
    <s v="Rohan"/>
  </r>
  <r>
    <x v="1224"/>
    <x v="4"/>
    <s v="Ahmedabad"/>
    <x v="2"/>
    <x v="3"/>
    <x v="15"/>
    <x v="0"/>
    <s v="Small Business"/>
    <n v="3"/>
    <n v="1307"/>
    <n v="0.1"/>
    <x v="1217"/>
    <n v="2842.4"/>
    <n v="686.5"/>
    <s v="Debit Card"/>
    <s v="Kabir"/>
  </r>
  <r>
    <x v="1225"/>
    <x v="289"/>
    <s v="Mumbai"/>
    <x v="2"/>
    <x v="2"/>
    <x v="21"/>
    <x v="1"/>
    <s v="Consumer"/>
    <n v="7"/>
    <n v="45879"/>
    <n v="0"/>
    <x v="1218"/>
    <n v="237314.92"/>
    <n v="83838.080000000002"/>
    <s v="Credit Card"/>
    <s v="Kabir"/>
  </r>
  <r>
    <x v="1226"/>
    <x v="299"/>
    <s v="Pune"/>
    <x v="2"/>
    <x v="6"/>
    <x v="8"/>
    <x v="1"/>
    <s v="Corporate"/>
    <n v="7"/>
    <n v="5451"/>
    <n v="0.15"/>
    <x v="1219"/>
    <n v="20975.89"/>
    <n v="11457.56"/>
    <s v="UPI"/>
    <s v="Sara"/>
  </r>
  <r>
    <x v="1227"/>
    <x v="59"/>
    <s v="Mumbai"/>
    <x v="2"/>
    <x v="0"/>
    <x v="19"/>
    <x v="2"/>
    <s v="Consumer"/>
    <n v="4"/>
    <n v="2447"/>
    <n v="0.05"/>
    <x v="1220"/>
    <n v="7708.17"/>
    <n v="1590.43"/>
    <s v="UPI"/>
    <s v="Kabir"/>
  </r>
  <r>
    <x v="1228"/>
    <x v="218"/>
    <s v="Kolkata"/>
    <x v="1"/>
    <x v="3"/>
    <x v="3"/>
    <x v="1"/>
    <s v="Small Business"/>
    <n v="8"/>
    <n v="1970"/>
    <n v="0.1"/>
    <x v="1221"/>
    <n v="8598.35"/>
    <n v="5585.65"/>
    <s v="UPI"/>
    <s v="Meera"/>
  </r>
  <r>
    <x v="1229"/>
    <x v="130"/>
    <s v="Mumbai"/>
    <x v="2"/>
    <x v="5"/>
    <x v="17"/>
    <x v="0"/>
    <s v="Consumer"/>
    <n v="2"/>
    <n v="14446"/>
    <n v="0.1"/>
    <x v="1222"/>
    <n v="18319.740000000002"/>
    <n v="7683.06"/>
    <s v="Credit Card"/>
    <s v="Sara"/>
  </r>
  <r>
    <x v="1230"/>
    <x v="319"/>
    <s v="Chennai"/>
    <x v="0"/>
    <x v="5"/>
    <x v="17"/>
    <x v="0"/>
    <s v="Small Business"/>
    <n v="2"/>
    <n v="20078"/>
    <n v="0"/>
    <x v="1223"/>
    <n v="26022.7"/>
    <n v="14133.3"/>
    <s v="UPI"/>
    <s v="Diya"/>
  </r>
  <r>
    <x v="1231"/>
    <x v="92"/>
    <s v="Pune"/>
    <x v="2"/>
    <x v="4"/>
    <x v="31"/>
    <x v="1"/>
    <s v="Small Business"/>
    <n v="8"/>
    <n v="4423"/>
    <n v="0.15"/>
    <x v="1224"/>
    <n v="17093.34"/>
    <n v="12983.06"/>
    <s v="Net Banking"/>
    <s v="Aarav"/>
  </r>
  <r>
    <x v="1232"/>
    <x v="340"/>
    <s v="Mumbai"/>
    <x v="2"/>
    <x v="1"/>
    <x v="18"/>
    <x v="2"/>
    <s v="Small Business"/>
    <n v="2"/>
    <n v="5499"/>
    <n v="0.15"/>
    <x v="1225"/>
    <n v="6546.32"/>
    <n v="2801.98"/>
    <s v="UPI"/>
    <s v="Anaya"/>
  </r>
  <r>
    <x v="1233"/>
    <x v="331"/>
    <s v="Pune"/>
    <x v="2"/>
    <x v="4"/>
    <x v="4"/>
    <x v="1"/>
    <s v="Consumer"/>
    <n v="5"/>
    <n v="3982"/>
    <n v="0.1"/>
    <x v="1226"/>
    <n v="12086.69"/>
    <n v="5832.31"/>
    <s v="Net Banking"/>
    <s v="Kabir"/>
  </r>
  <r>
    <x v="1234"/>
    <x v="127"/>
    <s v="Kolkata"/>
    <x v="1"/>
    <x v="6"/>
    <x v="20"/>
    <x v="0"/>
    <s v="Consumer"/>
    <n v="5"/>
    <n v="1004"/>
    <n v="0.1"/>
    <x v="1227"/>
    <n v="3840.27"/>
    <n v="677.73"/>
    <s v="Debit Card"/>
    <s v="Diya"/>
  </r>
  <r>
    <x v="1235"/>
    <x v="119"/>
    <s v="Mumbai"/>
    <x v="2"/>
    <x v="6"/>
    <x v="16"/>
    <x v="1"/>
    <s v="Small Business"/>
    <n v="3"/>
    <n v="2704"/>
    <n v="0.05"/>
    <x v="1228"/>
    <n v="6525.71"/>
    <n v="1180.69"/>
    <s v="UPI"/>
    <s v="Vikram"/>
  </r>
  <r>
    <x v="1236"/>
    <x v="348"/>
    <s v="Hyderabad"/>
    <x v="0"/>
    <x v="6"/>
    <x v="16"/>
    <x v="0"/>
    <s v="Small Business"/>
    <n v="6"/>
    <n v="1863"/>
    <n v="0.1"/>
    <x v="1229"/>
    <n v="8374.84"/>
    <n v="1685.36"/>
    <s v="UPI"/>
    <s v="Diya"/>
  </r>
  <r>
    <x v="1237"/>
    <x v="137"/>
    <s v="Bengaluru"/>
    <x v="0"/>
    <x v="0"/>
    <x v="0"/>
    <x v="2"/>
    <s v="Corporate"/>
    <n v="6"/>
    <n v="1257"/>
    <n v="0.05"/>
    <x v="1230"/>
    <n v="5109.46"/>
    <n v="2055.44"/>
    <s v="Net Banking"/>
    <s v="Aarav"/>
  </r>
  <r>
    <x v="1238"/>
    <x v="342"/>
    <s v="Kolkata"/>
    <x v="1"/>
    <x v="3"/>
    <x v="3"/>
    <x v="1"/>
    <s v="Corporate"/>
    <n v="4"/>
    <n v="256"/>
    <n v="0"/>
    <x v="1231"/>
    <n v="578.6"/>
    <n v="445.4"/>
    <s v="Credit Card"/>
    <s v="Aarav"/>
  </r>
  <r>
    <x v="1239"/>
    <x v="331"/>
    <s v="Mumbai"/>
    <x v="2"/>
    <x v="3"/>
    <x v="3"/>
    <x v="1"/>
    <s v="Corporate"/>
    <n v="6"/>
    <n v="1875"/>
    <n v="0.1"/>
    <x v="1232"/>
    <n v="8726.2999999999993"/>
    <n v="1398.7"/>
    <s v="Net Banking"/>
    <s v="Rohan"/>
  </r>
  <r>
    <x v="1240"/>
    <x v="301"/>
    <s v="Hyderabad"/>
    <x v="0"/>
    <x v="5"/>
    <x v="25"/>
    <x v="1"/>
    <s v="Corporate"/>
    <n v="6"/>
    <n v="37620"/>
    <n v="0.1"/>
    <x v="1233"/>
    <n v="175426.57"/>
    <n v="27721.43"/>
    <s v="Cash"/>
    <s v="Vikram"/>
  </r>
  <r>
    <x v="1241"/>
    <x v="213"/>
    <s v="Kolkata"/>
    <x v="1"/>
    <x v="0"/>
    <x v="19"/>
    <x v="0"/>
    <s v="Consumer"/>
    <n v="8"/>
    <n v="2328"/>
    <n v="0.1"/>
    <x v="1234"/>
    <n v="9736.5499999999993"/>
    <n v="7025.05"/>
    <s v="Credit Card"/>
    <s v="Kabir"/>
  </r>
  <r>
    <x v="1242"/>
    <x v="14"/>
    <s v="Kolkata"/>
    <x v="1"/>
    <x v="6"/>
    <x v="33"/>
    <x v="1"/>
    <s v="Corporate"/>
    <n v="4"/>
    <n v="3237"/>
    <n v="0.05"/>
    <x v="1235"/>
    <n v="10406.66"/>
    <n v="1893.94"/>
    <s v="UPI"/>
    <s v="Aarav"/>
  </r>
  <r>
    <x v="1243"/>
    <x v="224"/>
    <s v="Delhi"/>
    <x v="3"/>
    <x v="0"/>
    <x v="26"/>
    <x v="0"/>
    <s v="Consumer"/>
    <n v="3"/>
    <n v="1679"/>
    <n v="0.2"/>
    <x v="1236"/>
    <n v="2738.61"/>
    <n v="1290.99"/>
    <s v="Debit Card"/>
    <s v="Diya"/>
  </r>
  <r>
    <x v="1244"/>
    <x v="77"/>
    <s v="Mumbai"/>
    <x v="2"/>
    <x v="6"/>
    <x v="30"/>
    <x v="1"/>
    <s v="Corporate"/>
    <n v="7"/>
    <n v="2404"/>
    <n v="0.15"/>
    <x v="1237"/>
    <n v="11692.07"/>
    <n v="2611.73"/>
    <s v="UPI"/>
    <s v="Vikram"/>
  </r>
  <r>
    <x v="1245"/>
    <x v="232"/>
    <s v="Bengaluru"/>
    <x v="0"/>
    <x v="0"/>
    <x v="0"/>
    <x v="2"/>
    <s v="Consumer"/>
    <n v="4"/>
    <n v="166"/>
    <n v="0.1"/>
    <x v="1238"/>
    <n v="378.76"/>
    <n v="218.84"/>
    <s v="Cash"/>
    <s v="Anaya"/>
  </r>
  <r>
    <x v="1246"/>
    <x v="252"/>
    <s v="Kolkata"/>
    <x v="1"/>
    <x v="3"/>
    <x v="3"/>
    <x v="0"/>
    <s v="Small Business"/>
    <n v="3"/>
    <n v="404"/>
    <n v="0"/>
    <x v="1239"/>
    <n v="813.5"/>
    <n v="398.5"/>
    <s v="Net Banking"/>
    <s v="Diya"/>
  </r>
  <r>
    <x v="1247"/>
    <x v="327"/>
    <s v="Hyderabad"/>
    <x v="0"/>
    <x v="1"/>
    <x v="10"/>
    <x v="2"/>
    <s v="Corporate"/>
    <n v="5"/>
    <n v="8743"/>
    <n v="0.1"/>
    <x v="1240"/>
    <n v="22275.52"/>
    <n v="17067.98"/>
    <s v="Net Banking"/>
    <s v="Anaya"/>
  </r>
  <r>
    <x v="1248"/>
    <x v="151"/>
    <s v="Chennai"/>
    <x v="0"/>
    <x v="5"/>
    <x v="17"/>
    <x v="2"/>
    <s v="Small Business"/>
    <n v="7"/>
    <n v="20045"/>
    <n v="0"/>
    <x v="1241"/>
    <n v="114005.77"/>
    <n v="26309.23"/>
    <s v="UPI"/>
    <s v="Aarav"/>
  </r>
  <r>
    <x v="1249"/>
    <x v="54"/>
    <s v="Chennai"/>
    <x v="0"/>
    <x v="0"/>
    <x v="23"/>
    <x v="2"/>
    <s v="Corporate"/>
    <n v="8"/>
    <n v="106"/>
    <n v="0"/>
    <x v="1242"/>
    <n v="738.63"/>
    <n v="109.37"/>
    <s v="Cash"/>
    <s v="Diya"/>
  </r>
  <r>
    <x v="1250"/>
    <x v="233"/>
    <s v="Kolkata"/>
    <x v="1"/>
    <x v="1"/>
    <x v="22"/>
    <x v="0"/>
    <s v="Corporate"/>
    <n v="5"/>
    <n v="8475"/>
    <n v="0.05"/>
    <x v="1243"/>
    <n v="24302.99"/>
    <n v="15953.26"/>
    <s v="Debit Card"/>
    <s v="Rohan"/>
  </r>
  <r>
    <x v="1251"/>
    <x v="158"/>
    <s v="Hyderabad"/>
    <x v="0"/>
    <x v="0"/>
    <x v="0"/>
    <x v="0"/>
    <s v="Corporate"/>
    <n v="5"/>
    <n v="1135"/>
    <n v="0.1"/>
    <x v="1244"/>
    <n v="4444.74"/>
    <n v="662.76"/>
    <s v="Credit Card"/>
    <s v="Anaya"/>
  </r>
  <r>
    <x v="1252"/>
    <x v="37"/>
    <s v="Mumbai"/>
    <x v="2"/>
    <x v="5"/>
    <x v="25"/>
    <x v="1"/>
    <s v="Corporate"/>
    <n v="5"/>
    <n v="44753"/>
    <n v="0.05"/>
    <x v="1245"/>
    <n v="183850.31"/>
    <n v="28726.44"/>
    <s v="Net Banking"/>
    <s v="Meera"/>
  </r>
  <r>
    <x v="1253"/>
    <x v="217"/>
    <s v="Pune"/>
    <x v="2"/>
    <x v="0"/>
    <x v="28"/>
    <x v="2"/>
    <s v="Small Business"/>
    <n v="2"/>
    <n v="1344"/>
    <n v="0.05"/>
    <x v="1246"/>
    <n v="1671.68"/>
    <n v="881.92"/>
    <s v="Cash"/>
    <s v="Diya"/>
  </r>
  <r>
    <x v="1254"/>
    <x v="96"/>
    <s v="Bengaluru"/>
    <x v="0"/>
    <x v="5"/>
    <x v="17"/>
    <x v="1"/>
    <s v="Corporate"/>
    <n v="6"/>
    <n v="32762"/>
    <n v="0.05"/>
    <x v="1247"/>
    <n v="126196.95"/>
    <n v="60546.45"/>
    <s v="Cash"/>
    <s v="Kabir"/>
  </r>
  <r>
    <x v="1255"/>
    <x v="218"/>
    <s v="Delhi"/>
    <x v="3"/>
    <x v="2"/>
    <x v="21"/>
    <x v="0"/>
    <s v="Small Business"/>
    <n v="7"/>
    <n v="36063"/>
    <n v="0.05"/>
    <x v="1248"/>
    <n v="191060"/>
    <n v="48758.95"/>
    <s v="UPI"/>
    <s v="Rohan"/>
  </r>
  <r>
    <x v="1256"/>
    <x v="74"/>
    <s v="Mumbai"/>
    <x v="2"/>
    <x v="1"/>
    <x v="22"/>
    <x v="0"/>
    <s v="Consumer"/>
    <n v="8"/>
    <n v="4023"/>
    <n v="0.15"/>
    <x v="1249"/>
    <n v="17778.900000000001"/>
    <n v="9577.5"/>
    <s v="UPI"/>
    <s v="Sara"/>
  </r>
  <r>
    <x v="1257"/>
    <x v="302"/>
    <s v="Mumbai"/>
    <x v="2"/>
    <x v="1"/>
    <x v="7"/>
    <x v="1"/>
    <s v="Corporate"/>
    <n v="5"/>
    <n v="6498"/>
    <n v="0.1"/>
    <x v="1250"/>
    <n v="24904.04"/>
    <n v="4336.96"/>
    <s v="UPI"/>
    <s v="Anaya"/>
  </r>
  <r>
    <x v="1258"/>
    <x v="158"/>
    <s v="Mumbai"/>
    <x v="2"/>
    <x v="2"/>
    <x v="5"/>
    <x v="2"/>
    <s v="Consumer"/>
    <n v="8"/>
    <n v="10676"/>
    <n v="0"/>
    <x v="1251"/>
    <n v="63602.71"/>
    <n v="21805.29"/>
    <s v="Cash"/>
    <s v="Anaya"/>
  </r>
  <r>
    <x v="1259"/>
    <x v="318"/>
    <s v="Chennai"/>
    <x v="0"/>
    <x v="0"/>
    <x v="19"/>
    <x v="1"/>
    <s v="Small Business"/>
    <n v="3"/>
    <n v="1196"/>
    <n v="0"/>
    <x v="1252"/>
    <n v="2143.16"/>
    <n v="1444.84"/>
    <s v="Cash"/>
    <s v="Rohan"/>
  </r>
  <r>
    <x v="1260"/>
    <x v="248"/>
    <s v="Delhi"/>
    <x v="3"/>
    <x v="2"/>
    <x v="29"/>
    <x v="0"/>
    <s v="Small Business"/>
    <n v="5"/>
    <n v="28581"/>
    <n v="0"/>
    <x v="1253"/>
    <n v="123689.23"/>
    <n v="19215.77"/>
    <s v="UPI"/>
    <s v="Diya"/>
  </r>
  <r>
    <x v="1261"/>
    <x v="234"/>
    <s v="Delhi"/>
    <x v="3"/>
    <x v="2"/>
    <x v="9"/>
    <x v="0"/>
    <s v="Small Business"/>
    <n v="3"/>
    <n v="53789"/>
    <n v="0"/>
    <x v="1254"/>
    <n v="128853"/>
    <n v="32514"/>
    <s v="Cash"/>
    <s v="Anaya"/>
  </r>
  <r>
    <x v="1262"/>
    <x v="296"/>
    <s v="Chennai"/>
    <x v="0"/>
    <x v="3"/>
    <x v="12"/>
    <x v="0"/>
    <s v="Small Business"/>
    <n v="3"/>
    <n v="172"/>
    <n v="0"/>
    <x v="1255"/>
    <n v="333.3"/>
    <n v="182.7"/>
    <s v="Debit Card"/>
    <s v="Kabir"/>
  </r>
  <r>
    <x v="1263"/>
    <x v="339"/>
    <s v="Chennai"/>
    <x v="0"/>
    <x v="6"/>
    <x v="20"/>
    <x v="1"/>
    <s v="Corporate"/>
    <n v="1"/>
    <n v="284"/>
    <n v="0.1"/>
    <x v="1256"/>
    <n v="212.48"/>
    <n v="43.12"/>
    <s v="UPI"/>
    <s v="Anaya"/>
  </r>
  <r>
    <x v="1264"/>
    <x v="60"/>
    <s v="Ahmedabad"/>
    <x v="2"/>
    <x v="1"/>
    <x v="22"/>
    <x v="1"/>
    <s v="Consumer"/>
    <n v="2"/>
    <n v="11999"/>
    <n v="0.1"/>
    <x v="1257"/>
    <n v="17102.919999999998"/>
    <n v="4495.28"/>
    <s v="Debit Card"/>
    <s v="Vikram"/>
  </r>
  <r>
    <x v="1265"/>
    <x v="184"/>
    <s v="Ahmedabad"/>
    <x v="2"/>
    <x v="4"/>
    <x v="14"/>
    <x v="0"/>
    <s v="Corporate"/>
    <n v="8"/>
    <n v="11365"/>
    <n v="0.1"/>
    <x v="1258"/>
    <n v="62126.45"/>
    <n v="19701.55"/>
    <s v="UPI"/>
    <s v="Anaya"/>
  </r>
  <r>
    <x v="1266"/>
    <x v="61"/>
    <s v="Mumbai"/>
    <x v="2"/>
    <x v="1"/>
    <x v="7"/>
    <x v="1"/>
    <s v="Corporate"/>
    <n v="3"/>
    <n v="8506"/>
    <n v="0.05"/>
    <x v="1259"/>
    <n v="16538"/>
    <n v="7704.1"/>
    <s v="Debit Card"/>
    <s v="Kabir"/>
  </r>
  <r>
    <x v="1267"/>
    <x v="155"/>
    <s v="Chennai"/>
    <x v="0"/>
    <x v="1"/>
    <x v="1"/>
    <x v="1"/>
    <s v="Small Business"/>
    <n v="3"/>
    <n v="4658"/>
    <n v="0.05"/>
    <x v="1260"/>
    <n v="11646.28"/>
    <n v="1629.02"/>
    <s v="Debit Card"/>
    <s v="Anaya"/>
  </r>
  <r>
    <x v="1268"/>
    <x v="236"/>
    <s v="Mumbai"/>
    <x v="2"/>
    <x v="3"/>
    <x v="15"/>
    <x v="2"/>
    <s v="Consumer"/>
    <n v="2"/>
    <n v="1757"/>
    <n v="0.15"/>
    <x v="1261"/>
    <n v="1848.98"/>
    <n v="1137.92"/>
    <s v="Net Banking"/>
    <s v="Meera"/>
  </r>
  <r>
    <x v="1269"/>
    <x v="122"/>
    <s v="Bengaluru"/>
    <x v="0"/>
    <x v="1"/>
    <x v="10"/>
    <x v="0"/>
    <s v="Small Business"/>
    <n v="5"/>
    <n v="540"/>
    <n v="0"/>
    <x v="1262"/>
    <n v="2039.26"/>
    <n v="660.74"/>
    <s v="Debit Card"/>
    <s v="Vikram"/>
  </r>
  <r>
    <x v="1270"/>
    <x v="294"/>
    <s v="Mumbai"/>
    <x v="2"/>
    <x v="0"/>
    <x v="19"/>
    <x v="2"/>
    <s v="Consumer"/>
    <n v="6"/>
    <n v="438"/>
    <n v="0.15"/>
    <x v="1263"/>
    <n v="1673.33"/>
    <n v="560.47"/>
    <s v="Debit Card"/>
    <s v="Anaya"/>
  </r>
  <r>
    <x v="1271"/>
    <x v="317"/>
    <s v="Bengaluru"/>
    <x v="0"/>
    <x v="5"/>
    <x v="25"/>
    <x v="2"/>
    <s v="Small Business"/>
    <n v="7"/>
    <n v="43239"/>
    <n v="0.1"/>
    <x v="1264"/>
    <n v="177916.97"/>
    <n v="94488.73"/>
    <s v="Credit Card"/>
    <s v="Kabir"/>
  </r>
  <r>
    <x v="1272"/>
    <x v="171"/>
    <s v="Mumbai"/>
    <x v="2"/>
    <x v="6"/>
    <x v="20"/>
    <x v="0"/>
    <s v="Consumer"/>
    <n v="3"/>
    <n v="1595"/>
    <n v="0.05"/>
    <x v="1265"/>
    <n v="3348.67"/>
    <n v="1197.08"/>
    <s v="Debit Card"/>
    <s v="Aarav"/>
  </r>
  <r>
    <x v="1273"/>
    <x v="265"/>
    <s v="Hyderabad"/>
    <x v="0"/>
    <x v="5"/>
    <x v="17"/>
    <x v="2"/>
    <s v="Small Business"/>
    <n v="7"/>
    <n v="15565"/>
    <n v="0.1"/>
    <x v="1266"/>
    <n v="56029.95"/>
    <n v="42029.55"/>
    <s v="Debit Card"/>
    <s v="Meera"/>
  </r>
  <r>
    <x v="1274"/>
    <x v="99"/>
    <s v="Delhi"/>
    <x v="3"/>
    <x v="0"/>
    <x v="0"/>
    <x v="2"/>
    <s v="Corporate"/>
    <n v="4"/>
    <n v="2157"/>
    <n v="0.1"/>
    <x v="1267"/>
    <n v="5101.51"/>
    <n v="2663.69"/>
    <s v="Debit Card"/>
    <s v="Meera"/>
  </r>
  <r>
    <x v="1275"/>
    <x v="226"/>
    <s v="Hyderabad"/>
    <x v="0"/>
    <x v="1"/>
    <x v="1"/>
    <x v="2"/>
    <s v="Consumer"/>
    <n v="6"/>
    <n v="9556"/>
    <n v="0.05"/>
    <x v="1268"/>
    <n v="30619.33"/>
    <n v="23849.87"/>
    <s v="Net Banking"/>
    <s v="Aarav"/>
  </r>
  <r>
    <x v="1276"/>
    <x v="255"/>
    <s v="Delhi"/>
    <x v="3"/>
    <x v="3"/>
    <x v="12"/>
    <x v="2"/>
    <s v="Consumer"/>
    <n v="4"/>
    <n v="1217"/>
    <n v="0.05"/>
    <x v="1269"/>
    <n v="3901.35"/>
    <n v="723.25"/>
    <s v="Cash"/>
    <s v="Meera"/>
  </r>
  <r>
    <x v="1277"/>
    <x v="212"/>
    <s v="Delhi"/>
    <x v="3"/>
    <x v="2"/>
    <x v="21"/>
    <x v="0"/>
    <s v="Corporate"/>
    <n v="2"/>
    <n v="6215"/>
    <n v="0.1"/>
    <x v="1270"/>
    <n v="9349.75"/>
    <n v="1837.25"/>
    <s v="UPI"/>
    <s v="Anaya"/>
  </r>
  <r>
    <x v="1278"/>
    <x v="349"/>
    <s v="Delhi"/>
    <x v="3"/>
    <x v="4"/>
    <x v="31"/>
    <x v="0"/>
    <s v="Corporate"/>
    <n v="4"/>
    <n v="20500"/>
    <n v="0.05"/>
    <x v="1271"/>
    <n v="47982.81"/>
    <n v="29917.19"/>
    <s v="UPI"/>
    <s v="Rohan"/>
  </r>
  <r>
    <x v="1279"/>
    <x v="79"/>
    <s v="Hyderabad"/>
    <x v="0"/>
    <x v="0"/>
    <x v="26"/>
    <x v="1"/>
    <s v="Small Business"/>
    <n v="2"/>
    <n v="2137"/>
    <n v="0.1"/>
    <x v="1272"/>
    <n v="3030.44"/>
    <n v="816.16"/>
    <s v="UPI"/>
    <s v="Rohan"/>
  </r>
  <r>
    <x v="1280"/>
    <x v="282"/>
    <s v="Pune"/>
    <x v="2"/>
    <x v="5"/>
    <x v="25"/>
    <x v="1"/>
    <s v="Consumer"/>
    <n v="5"/>
    <n v="4920"/>
    <n v="0"/>
    <x v="1273"/>
    <n v="13894.38"/>
    <n v="10705.62"/>
    <s v="Cash"/>
    <s v="Diya"/>
  </r>
  <r>
    <x v="1281"/>
    <x v="288"/>
    <s v="Mumbai"/>
    <x v="2"/>
    <x v="3"/>
    <x v="12"/>
    <x v="0"/>
    <s v="Corporate"/>
    <n v="1"/>
    <n v="2437"/>
    <n v="0.05"/>
    <x v="1274"/>
    <n v="1380.55"/>
    <n v="934.6"/>
    <s v="UPI"/>
    <s v="Diya"/>
  </r>
  <r>
    <x v="1282"/>
    <x v="312"/>
    <s v="Delhi"/>
    <x v="3"/>
    <x v="2"/>
    <x v="2"/>
    <x v="2"/>
    <s v="Consumer"/>
    <n v="4"/>
    <n v="14151"/>
    <n v="0.05"/>
    <x v="1275"/>
    <n v="32214.11"/>
    <n v="21559.69"/>
    <s v="Credit Card"/>
    <s v="Aarav"/>
  </r>
  <r>
    <x v="1283"/>
    <x v="108"/>
    <s v="Mumbai"/>
    <x v="2"/>
    <x v="3"/>
    <x v="3"/>
    <x v="2"/>
    <s v="Consumer"/>
    <n v="1"/>
    <n v="1723"/>
    <n v="0.05"/>
    <x v="1276"/>
    <n v="1164.78"/>
    <n v="472.07"/>
    <s v="Debit Card"/>
    <s v="Diya"/>
  </r>
  <r>
    <x v="1284"/>
    <x v="16"/>
    <s v="Mumbai"/>
    <x v="2"/>
    <x v="1"/>
    <x v="7"/>
    <x v="1"/>
    <s v="Corporate"/>
    <n v="8"/>
    <n v="8427"/>
    <n v="0"/>
    <x v="1277"/>
    <n v="56468.24"/>
    <n v="10947.76"/>
    <s v="Credit Card"/>
    <s v="Aarav"/>
  </r>
  <r>
    <x v="1285"/>
    <x v="43"/>
    <s v="Ahmedabad"/>
    <x v="2"/>
    <x v="4"/>
    <x v="14"/>
    <x v="2"/>
    <s v="Small Business"/>
    <n v="7"/>
    <n v="17472"/>
    <n v="0.05"/>
    <x v="1278"/>
    <n v="87146.07"/>
    <n v="29042.73"/>
    <s v="UPI"/>
    <s v="Anaya"/>
  </r>
  <r>
    <x v="1286"/>
    <x v="17"/>
    <s v="Kolkata"/>
    <x v="1"/>
    <x v="2"/>
    <x v="29"/>
    <x v="0"/>
    <s v="Corporate"/>
    <n v="8"/>
    <n v="36011"/>
    <n v="0.1"/>
    <x v="1279"/>
    <n v="151063.19"/>
    <n v="108216.01"/>
    <s v="UPI"/>
    <s v="Rohan"/>
  </r>
  <r>
    <x v="1287"/>
    <x v="338"/>
    <s v="Delhi"/>
    <x v="3"/>
    <x v="6"/>
    <x v="33"/>
    <x v="2"/>
    <s v="Small Business"/>
    <n v="4"/>
    <n v="4457"/>
    <n v="0.2"/>
    <x v="1280"/>
    <n v="9377.01"/>
    <n v="4885.3900000000003"/>
    <s v="Net Banking"/>
    <s v="Anaya"/>
  </r>
  <r>
    <x v="1288"/>
    <x v="350"/>
    <s v="Kolkata"/>
    <x v="1"/>
    <x v="5"/>
    <x v="25"/>
    <x v="0"/>
    <s v="Corporate"/>
    <n v="3"/>
    <n v="42872"/>
    <n v="0"/>
    <x v="1281"/>
    <n v="107572.46"/>
    <n v="21043.54"/>
    <s v="Cash"/>
    <s v="Anaya"/>
  </r>
  <r>
    <x v="1289"/>
    <x v="180"/>
    <s v="Chennai"/>
    <x v="0"/>
    <x v="2"/>
    <x v="5"/>
    <x v="2"/>
    <s v="Corporate"/>
    <n v="2"/>
    <n v="59442"/>
    <n v="0.15"/>
    <x v="1282"/>
    <n v="63599.839999999997"/>
    <n v="37451.56"/>
    <s v="Credit Card"/>
    <s v="Anaya"/>
  </r>
  <r>
    <x v="1290"/>
    <x v="218"/>
    <s v="Bengaluru"/>
    <x v="0"/>
    <x v="1"/>
    <x v="1"/>
    <x v="2"/>
    <s v="Consumer"/>
    <n v="8"/>
    <n v="9863"/>
    <n v="0"/>
    <x v="1283"/>
    <n v="57593.58"/>
    <n v="21310.42"/>
    <s v="Credit Card"/>
    <s v="Diya"/>
  </r>
  <r>
    <x v="1291"/>
    <x v="326"/>
    <s v="Delhi"/>
    <x v="3"/>
    <x v="5"/>
    <x v="25"/>
    <x v="2"/>
    <s v="Small Business"/>
    <n v="1"/>
    <n v="13871"/>
    <n v="0.15"/>
    <x v="1284"/>
    <n v="7205.18"/>
    <n v="4585.17"/>
    <s v="UPI"/>
    <s v="Kabir"/>
  </r>
  <r>
    <x v="1292"/>
    <x v="251"/>
    <s v="Ahmedabad"/>
    <x v="2"/>
    <x v="0"/>
    <x v="23"/>
    <x v="1"/>
    <s v="Small Business"/>
    <n v="1"/>
    <n v="823"/>
    <n v="0"/>
    <x v="1285"/>
    <n v="683.52"/>
    <n v="139.47999999999999"/>
    <s v="UPI"/>
    <s v="Rohan"/>
  </r>
  <r>
    <x v="1293"/>
    <x v="103"/>
    <s v="Bengaluru"/>
    <x v="0"/>
    <x v="1"/>
    <x v="7"/>
    <x v="2"/>
    <s v="Small Business"/>
    <n v="8"/>
    <n v="6250"/>
    <n v="0.1"/>
    <x v="1286"/>
    <n v="32605.97"/>
    <n v="12394.03"/>
    <s v="Net Banking"/>
    <s v="Diya"/>
  </r>
  <r>
    <x v="1294"/>
    <x v="14"/>
    <s v="Pune"/>
    <x v="2"/>
    <x v="4"/>
    <x v="27"/>
    <x v="0"/>
    <s v="Consumer"/>
    <n v="2"/>
    <n v="15335"/>
    <n v="0.15"/>
    <x v="1287"/>
    <n v="19012.8"/>
    <n v="7056.7"/>
    <s v="Debit Card"/>
    <s v="Vikram"/>
  </r>
  <r>
    <x v="1295"/>
    <x v="301"/>
    <s v="Chennai"/>
    <x v="0"/>
    <x v="5"/>
    <x v="11"/>
    <x v="1"/>
    <s v="Corporate"/>
    <n v="1"/>
    <n v="46135"/>
    <n v="0"/>
    <x v="1288"/>
    <n v="36456.239999999998"/>
    <n v="9678.76"/>
    <s v="Credit Card"/>
    <s v="Kabir"/>
  </r>
  <r>
    <x v="1296"/>
    <x v="34"/>
    <s v="Chennai"/>
    <x v="0"/>
    <x v="6"/>
    <x v="8"/>
    <x v="1"/>
    <s v="Corporate"/>
    <n v="6"/>
    <n v="2158"/>
    <n v="0.05"/>
    <x v="1235"/>
    <n v="9991.7000000000007"/>
    <n v="2308.9"/>
    <s v="UPI"/>
    <s v="Rohan"/>
  </r>
  <r>
    <x v="1297"/>
    <x v="104"/>
    <s v="Kolkata"/>
    <x v="1"/>
    <x v="3"/>
    <x v="12"/>
    <x v="1"/>
    <s v="Corporate"/>
    <n v="4"/>
    <n v="1927"/>
    <n v="0"/>
    <x v="1289"/>
    <n v="6034.92"/>
    <n v="1673.08"/>
    <s v="Credit Card"/>
    <s v="Diya"/>
  </r>
  <r>
    <x v="1298"/>
    <x v="285"/>
    <s v="Chennai"/>
    <x v="0"/>
    <x v="2"/>
    <x v="5"/>
    <x v="2"/>
    <s v="Corporate"/>
    <n v="3"/>
    <n v="48766"/>
    <n v="0.1"/>
    <x v="1290"/>
    <n v="108501.4"/>
    <n v="23166.799999999999"/>
    <s v="Debit Card"/>
    <s v="Diya"/>
  </r>
  <r>
    <x v="1299"/>
    <x v="184"/>
    <s v="Mumbai"/>
    <x v="2"/>
    <x v="6"/>
    <x v="33"/>
    <x v="1"/>
    <s v="Small Business"/>
    <n v="6"/>
    <n v="160"/>
    <n v="0.1"/>
    <x v="1291"/>
    <n v="655.99"/>
    <n v="208.01"/>
    <s v="Net Banking"/>
    <s v="Sara"/>
  </r>
  <r>
    <x v="1300"/>
    <x v="267"/>
    <s v="Delhi"/>
    <x v="3"/>
    <x v="6"/>
    <x v="8"/>
    <x v="2"/>
    <s v="Consumer"/>
    <n v="7"/>
    <n v="5407"/>
    <n v="0.1"/>
    <x v="1292"/>
    <n v="20409.990000000002"/>
    <n v="13654.11"/>
    <s v="Net Banking"/>
    <s v="Diya"/>
  </r>
  <r>
    <x v="1301"/>
    <x v="224"/>
    <s v="Kolkata"/>
    <x v="1"/>
    <x v="5"/>
    <x v="11"/>
    <x v="2"/>
    <s v="Consumer"/>
    <n v="4"/>
    <n v="33738"/>
    <n v="0"/>
    <x v="1293"/>
    <n v="84790.74"/>
    <n v="50161.26"/>
    <s v="Cash"/>
    <s v="Meera"/>
  </r>
  <r>
    <x v="1302"/>
    <x v="221"/>
    <s v="Ahmedabad"/>
    <x v="2"/>
    <x v="5"/>
    <x v="24"/>
    <x v="1"/>
    <s v="Corporate"/>
    <n v="8"/>
    <n v="36117"/>
    <n v="0.1"/>
    <x v="1294"/>
    <n v="187170.02"/>
    <n v="72872.38"/>
    <s v="Net Banking"/>
    <s v="Aarav"/>
  </r>
  <r>
    <x v="1303"/>
    <x v="351"/>
    <s v="Hyderabad"/>
    <x v="0"/>
    <x v="3"/>
    <x v="3"/>
    <x v="0"/>
    <s v="Consumer"/>
    <n v="5"/>
    <n v="797"/>
    <n v="0.2"/>
    <x v="1295"/>
    <n v="2752.95"/>
    <n v="435.05"/>
    <s v="Net Banking"/>
    <s v="Anaya"/>
  </r>
  <r>
    <x v="1304"/>
    <x v="47"/>
    <s v="Mumbai"/>
    <x v="2"/>
    <x v="2"/>
    <x v="29"/>
    <x v="2"/>
    <s v="Corporate"/>
    <n v="5"/>
    <n v="18377"/>
    <n v="0"/>
    <x v="1296"/>
    <n v="66170.61"/>
    <n v="25714.39"/>
    <s v="Net Banking"/>
    <s v="Vikram"/>
  </r>
  <r>
    <x v="1305"/>
    <x v="257"/>
    <s v="Ahmedabad"/>
    <x v="2"/>
    <x v="0"/>
    <x v="28"/>
    <x v="0"/>
    <s v="Consumer"/>
    <n v="1"/>
    <n v="274"/>
    <n v="0.1"/>
    <x v="1297"/>
    <n v="159.15"/>
    <n v="87.45"/>
    <s v="UPI"/>
    <s v="Vikram"/>
  </r>
  <r>
    <x v="1306"/>
    <x v="114"/>
    <s v="Pune"/>
    <x v="2"/>
    <x v="4"/>
    <x v="31"/>
    <x v="1"/>
    <s v="Consumer"/>
    <n v="8"/>
    <n v="12523"/>
    <n v="0.15"/>
    <x v="1298"/>
    <n v="51487.39"/>
    <n v="33669.01"/>
    <s v="Debit Card"/>
    <s v="Rohan"/>
  </r>
  <r>
    <x v="1307"/>
    <x v="142"/>
    <s v="Bengaluru"/>
    <x v="0"/>
    <x v="5"/>
    <x v="17"/>
    <x v="2"/>
    <s v="Corporate"/>
    <n v="7"/>
    <n v="19577"/>
    <n v="0.05"/>
    <x v="1299"/>
    <n v="89255.94"/>
    <n v="40931.11"/>
    <s v="Debit Card"/>
    <s v="Aarav"/>
  </r>
  <r>
    <x v="1308"/>
    <x v="278"/>
    <s v="Mumbai"/>
    <x v="2"/>
    <x v="0"/>
    <x v="19"/>
    <x v="0"/>
    <s v="Consumer"/>
    <n v="1"/>
    <n v="1045"/>
    <n v="0.05"/>
    <x v="1300"/>
    <n v="704.44"/>
    <n v="288.31"/>
    <s v="Net Banking"/>
    <s v="Aarav"/>
  </r>
  <r>
    <x v="1309"/>
    <x v="174"/>
    <s v="Chennai"/>
    <x v="0"/>
    <x v="6"/>
    <x v="8"/>
    <x v="0"/>
    <s v="Consumer"/>
    <n v="3"/>
    <n v="5364"/>
    <n v="0.15"/>
    <x v="1301"/>
    <n v="8812.42"/>
    <n v="4865.78"/>
    <s v="UPI"/>
    <s v="Vikram"/>
  </r>
  <r>
    <x v="1310"/>
    <x v="70"/>
    <s v="Kolkata"/>
    <x v="1"/>
    <x v="2"/>
    <x v="2"/>
    <x v="0"/>
    <s v="Small Business"/>
    <n v="2"/>
    <n v="60916"/>
    <n v="0"/>
    <x v="1302"/>
    <n v="78457.539999999994"/>
    <n v="43374.46"/>
    <s v="Cash"/>
    <s v="Aarav"/>
  </r>
  <r>
    <x v="1311"/>
    <x v="267"/>
    <s v="Bengaluru"/>
    <x v="0"/>
    <x v="1"/>
    <x v="10"/>
    <x v="0"/>
    <s v="Corporate"/>
    <n v="4"/>
    <n v="5177"/>
    <n v="0"/>
    <x v="1303"/>
    <n v="15702.36"/>
    <n v="5005.6400000000003"/>
    <s v="Credit Card"/>
    <s v="Diya"/>
  </r>
  <r>
    <x v="1312"/>
    <x v="150"/>
    <s v="Delhi"/>
    <x v="3"/>
    <x v="1"/>
    <x v="1"/>
    <x v="1"/>
    <s v="Consumer"/>
    <n v="5"/>
    <n v="6592"/>
    <n v="0.05"/>
    <x v="1304"/>
    <n v="23493.14"/>
    <n v="7818.86"/>
    <s v="UPI"/>
    <s v="Meera"/>
  </r>
  <r>
    <x v="1313"/>
    <x v="27"/>
    <s v="Kolkata"/>
    <x v="1"/>
    <x v="1"/>
    <x v="22"/>
    <x v="1"/>
    <s v="Small Business"/>
    <n v="1"/>
    <n v="9410"/>
    <n v="0"/>
    <x v="1305"/>
    <n v="6288.2"/>
    <n v="3121.8"/>
    <s v="Debit Card"/>
    <s v="Meera"/>
  </r>
  <r>
    <x v="1314"/>
    <x v="317"/>
    <s v="Mumbai"/>
    <x v="2"/>
    <x v="1"/>
    <x v="7"/>
    <x v="2"/>
    <s v="Small Business"/>
    <n v="6"/>
    <n v="7455"/>
    <n v="0"/>
    <x v="1306"/>
    <n v="38866.720000000001"/>
    <n v="5863.28"/>
    <s v="Net Banking"/>
    <s v="Anaya"/>
  </r>
  <r>
    <x v="1315"/>
    <x v="85"/>
    <s v="Mumbai"/>
    <x v="2"/>
    <x v="3"/>
    <x v="32"/>
    <x v="2"/>
    <s v="Corporate"/>
    <n v="8"/>
    <n v="576"/>
    <n v="0.1"/>
    <x v="1307"/>
    <n v="3239.62"/>
    <n v="907.58"/>
    <s v="Cash"/>
    <s v="Diya"/>
  </r>
  <r>
    <x v="1316"/>
    <x v="72"/>
    <s v="Hyderabad"/>
    <x v="0"/>
    <x v="4"/>
    <x v="14"/>
    <x v="2"/>
    <s v="Consumer"/>
    <n v="3"/>
    <n v="14179"/>
    <n v="0.1"/>
    <x v="1308"/>
    <n v="26053.34"/>
    <n v="12229.96"/>
    <s v="Credit Card"/>
    <s v="Sara"/>
  </r>
  <r>
    <x v="1317"/>
    <x v="102"/>
    <s v="Chennai"/>
    <x v="0"/>
    <x v="5"/>
    <x v="17"/>
    <x v="2"/>
    <s v="Corporate"/>
    <n v="5"/>
    <n v="2827"/>
    <n v="0.15"/>
    <x v="1309"/>
    <n v="7080.21"/>
    <n v="4934.54"/>
    <s v="Cash"/>
    <s v="Kabir"/>
  </r>
  <r>
    <x v="1318"/>
    <x v="166"/>
    <s v="Chennai"/>
    <x v="0"/>
    <x v="3"/>
    <x v="34"/>
    <x v="0"/>
    <s v="Corporate"/>
    <n v="4"/>
    <n v="1284"/>
    <n v="0.05"/>
    <x v="1310"/>
    <n v="3703.34"/>
    <n v="1175.8599999999999"/>
    <s v="Debit Card"/>
    <s v="Sara"/>
  </r>
  <r>
    <x v="1319"/>
    <x v="168"/>
    <s v="Hyderabad"/>
    <x v="0"/>
    <x v="5"/>
    <x v="17"/>
    <x v="1"/>
    <s v="Small Business"/>
    <n v="5"/>
    <n v="22137"/>
    <n v="0"/>
    <x v="1311"/>
    <n v="61554.51"/>
    <n v="49130.49"/>
    <s v="Net Banking"/>
    <s v="Sara"/>
  </r>
  <r>
    <x v="1320"/>
    <x v="201"/>
    <s v="Mumbai"/>
    <x v="2"/>
    <x v="2"/>
    <x v="29"/>
    <x v="0"/>
    <s v="Consumer"/>
    <n v="4"/>
    <n v="17487"/>
    <n v="0.1"/>
    <x v="1312"/>
    <n v="48310.07"/>
    <n v="14643.13"/>
    <s v="UPI"/>
    <s v="Vikram"/>
  </r>
  <r>
    <x v="1321"/>
    <x v="327"/>
    <s v="Mumbai"/>
    <x v="2"/>
    <x v="0"/>
    <x v="26"/>
    <x v="0"/>
    <s v="Corporate"/>
    <n v="5"/>
    <n v="1943"/>
    <n v="0"/>
    <x v="1313"/>
    <n v="7507.44"/>
    <n v="2207.56"/>
    <s v="Net Banking"/>
    <s v="Kabir"/>
  </r>
  <r>
    <x v="1322"/>
    <x v="36"/>
    <s v="Delhi"/>
    <x v="3"/>
    <x v="6"/>
    <x v="30"/>
    <x v="1"/>
    <s v="Consumer"/>
    <n v="6"/>
    <n v="374"/>
    <n v="0.1"/>
    <x v="1314"/>
    <n v="1490.69"/>
    <n v="528.91"/>
    <s v="Net Banking"/>
    <s v="Vikram"/>
  </r>
  <r>
    <x v="1323"/>
    <x v="165"/>
    <s v="Ahmedabad"/>
    <x v="2"/>
    <x v="4"/>
    <x v="14"/>
    <x v="0"/>
    <s v="Consumer"/>
    <n v="7"/>
    <n v="3116"/>
    <n v="0.15"/>
    <x v="1315"/>
    <n v="12651.94"/>
    <n v="5888.26"/>
    <s v="Credit Card"/>
    <s v="Kabir"/>
  </r>
  <r>
    <x v="1324"/>
    <x v="254"/>
    <s v="Hyderabad"/>
    <x v="0"/>
    <x v="1"/>
    <x v="22"/>
    <x v="0"/>
    <s v="Consumer"/>
    <n v="7"/>
    <n v="7543"/>
    <n v="0.05"/>
    <x v="1316"/>
    <n v="30049.96"/>
    <n v="20110.990000000002"/>
    <s v="UPI"/>
    <s v="Meera"/>
  </r>
  <r>
    <x v="1325"/>
    <x v="263"/>
    <s v="Mumbai"/>
    <x v="2"/>
    <x v="2"/>
    <x v="2"/>
    <x v="1"/>
    <s v="Small Business"/>
    <n v="8"/>
    <n v="69703"/>
    <n v="0"/>
    <x v="1317"/>
    <n v="407028.51"/>
    <n v="150595.49"/>
    <s v="UPI"/>
    <s v="Rohan"/>
  </r>
  <r>
    <x v="1326"/>
    <x v="348"/>
    <s v="Mumbai"/>
    <x v="2"/>
    <x v="4"/>
    <x v="31"/>
    <x v="1"/>
    <s v="Corporate"/>
    <n v="8"/>
    <n v="20270"/>
    <n v="0.05"/>
    <x v="1318"/>
    <n v="133918.6"/>
    <n v="20133.400000000001"/>
    <s v="UPI"/>
    <s v="Diya"/>
  </r>
  <r>
    <x v="1327"/>
    <x v="315"/>
    <s v="Mumbai"/>
    <x v="2"/>
    <x v="1"/>
    <x v="7"/>
    <x v="0"/>
    <s v="Consumer"/>
    <n v="6"/>
    <n v="4724"/>
    <n v="0.2"/>
    <x v="1319"/>
    <n v="14683.04"/>
    <n v="7992.16"/>
    <s v="Debit Card"/>
    <s v="Anaya"/>
  </r>
  <r>
    <x v="1328"/>
    <x v="77"/>
    <s v="Hyderabad"/>
    <x v="0"/>
    <x v="6"/>
    <x v="8"/>
    <x v="2"/>
    <s v="Consumer"/>
    <n v="3"/>
    <n v="2155"/>
    <n v="0.1"/>
    <x v="1320"/>
    <n v="3708.57"/>
    <n v="2109.9299999999998"/>
    <s v="Debit Card"/>
    <s v="Meera"/>
  </r>
  <r>
    <x v="1329"/>
    <x v="115"/>
    <s v="Bengaluru"/>
    <x v="0"/>
    <x v="0"/>
    <x v="19"/>
    <x v="0"/>
    <s v="Corporate"/>
    <n v="8"/>
    <n v="2317"/>
    <n v="0.15"/>
    <x v="1321"/>
    <n v="9106.8799999999992"/>
    <n v="6648.72"/>
    <s v="Net Banking"/>
    <s v="Rohan"/>
  </r>
  <r>
    <x v="1330"/>
    <x v="116"/>
    <s v="Bengaluru"/>
    <x v="0"/>
    <x v="0"/>
    <x v="19"/>
    <x v="2"/>
    <s v="Corporate"/>
    <n v="8"/>
    <n v="1434"/>
    <n v="0"/>
    <x v="1322"/>
    <n v="7040.67"/>
    <n v="4431.33"/>
    <s v="Cash"/>
    <s v="Rohan"/>
  </r>
  <r>
    <x v="1331"/>
    <x v="293"/>
    <s v="Mumbai"/>
    <x v="2"/>
    <x v="0"/>
    <x v="0"/>
    <x v="2"/>
    <s v="Small Business"/>
    <n v="4"/>
    <n v="1713"/>
    <n v="0.05"/>
    <x v="1323"/>
    <n v="5554.91"/>
    <n v="954.49"/>
    <s v="Net Banking"/>
    <s v="Aarav"/>
  </r>
  <r>
    <x v="1332"/>
    <x v="10"/>
    <s v="Delhi"/>
    <x v="3"/>
    <x v="3"/>
    <x v="32"/>
    <x v="1"/>
    <s v="Small Business"/>
    <n v="6"/>
    <n v="550"/>
    <n v="0"/>
    <x v="1324"/>
    <n v="2872.53"/>
    <n v="427.47"/>
    <s v="UPI"/>
    <s v="Anaya"/>
  </r>
  <r>
    <x v="1333"/>
    <x v="53"/>
    <s v="Mumbai"/>
    <x v="2"/>
    <x v="6"/>
    <x v="16"/>
    <x v="1"/>
    <s v="Corporate"/>
    <n v="3"/>
    <n v="3527"/>
    <n v="0"/>
    <x v="1325"/>
    <n v="7145.1"/>
    <n v="3435.9"/>
    <s v="Cash"/>
    <s v="Anaya"/>
  </r>
  <r>
    <x v="1334"/>
    <x v="284"/>
    <s v="Delhi"/>
    <x v="3"/>
    <x v="4"/>
    <x v="13"/>
    <x v="2"/>
    <s v="Small Business"/>
    <n v="5"/>
    <n v="7150"/>
    <n v="0"/>
    <x v="1326"/>
    <n v="24663.61"/>
    <n v="11086.39"/>
    <s v="UPI"/>
    <s v="Anaya"/>
  </r>
  <r>
    <x v="1335"/>
    <x v="197"/>
    <s v="Bengaluru"/>
    <x v="0"/>
    <x v="6"/>
    <x v="16"/>
    <x v="1"/>
    <s v="Small Business"/>
    <n v="4"/>
    <n v="3740"/>
    <n v="0.05"/>
    <x v="1327"/>
    <n v="11210.63"/>
    <n v="3001.37"/>
    <s v="Debit Card"/>
    <s v="Vikram"/>
  </r>
  <r>
    <x v="1336"/>
    <x v="7"/>
    <s v="Bengaluru"/>
    <x v="0"/>
    <x v="6"/>
    <x v="16"/>
    <x v="1"/>
    <s v="Consumer"/>
    <n v="2"/>
    <n v="3515"/>
    <n v="0.05"/>
    <x v="1328"/>
    <n v="3789.91"/>
    <n v="2888.59"/>
    <s v="Cash"/>
    <s v="Diya"/>
  </r>
  <r>
    <x v="1337"/>
    <x v="155"/>
    <s v="Mumbai"/>
    <x v="2"/>
    <x v="6"/>
    <x v="8"/>
    <x v="2"/>
    <s v="Corporate"/>
    <n v="7"/>
    <n v="3878"/>
    <n v="0"/>
    <x v="1329"/>
    <n v="17759.16"/>
    <n v="9386.84"/>
    <s v="Net Banking"/>
    <s v="Rohan"/>
  </r>
  <r>
    <x v="1338"/>
    <x v="183"/>
    <s v="Chennai"/>
    <x v="0"/>
    <x v="6"/>
    <x v="33"/>
    <x v="0"/>
    <s v="Corporate"/>
    <n v="4"/>
    <n v="5506"/>
    <n v="0"/>
    <x v="1330"/>
    <n v="12596.2"/>
    <n v="9427.7999999999993"/>
    <s v="Cash"/>
    <s v="Sara"/>
  </r>
  <r>
    <x v="1339"/>
    <x v="335"/>
    <s v="Pune"/>
    <x v="2"/>
    <x v="0"/>
    <x v="0"/>
    <x v="0"/>
    <s v="Consumer"/>
    <n v="6"/>
    <n v="1744"/>
    <n v="0"/>
    <x v="1331"/>
    <n v="7707.89"/>
    <n v="2756.11"/>
    <s v="Cash"/>
    <s v="Vikram"/>
  </r>
  <r>
    <x v="1340"/>
    <x v="309"/>
    <s v="Pune"/>
    <x v="2"/>
    <x v="0"/>
    <x v="0"/>
    <x v="2"/>
    <s v="Consumer"/>
    <n v="6"/>
    <n v="627"/>
    <n v="0"/>
    <x v="1332"/>
    <n v="2639.14"/>
    <n v="1122.8599999999999"/>
    <s v="Debit Card"/>
    <s v="Aarav"/>
  </r>
  <r>
    <x v="1341"/>
    <x v="229"/>
    <s v="Chennai"/>
    <x v="0"/>
    <x v="6"/>
    <x v="20"/>
    <x v="0"/>
    <s v="Consumer"/>
    <n v="3"/>
    <n v="1017"/>
    <n v="0"/>
    <x v="1333"/>
    <n v="1846.14"/>
    <n v="1204.8599999999999"/>
    <s v="Cash"/>
    <s v="Rohan"/>
  </r>
  <r>
    <x v="1342"/>
    <x v="352"/>
    <s v="Mumbai"/>
    <x v="2"/>
    <x v="5"/>
    <x v="11"/>
    <x v="0"/>
    <s v="Consumer"/>
    <n v="8"/>
    <n v="47968"/>
    <n v="0.1"/>
    <x v="1334"/>
    <n v="302029.62"/>
    <n v="43339.98"/>
    <s v="Cash"/>
    <s v="Kabir"/>
  </r>
  <r>
    <x v="1343"/>
    <x v="110"/>
    <s v="Mumbai"/>
    <x v="2"/>
    <x v="3"/>
    <x v="32"/>
    <x v="0"/>
    <s v="Small Business"/>
    <n v="4"/>
    <n v="2178"/>
    <n v="0.1"/>
    <x v="1335"/>
    <n v="5178.46"/>
    <n v="2662.34"/>
    <s v="Debit Card"/>
    <s v="Aarav"/>
  </r>
  <r>
    <x v="1344"/>
    <x v="321"/>
    <s v="Hyderabad"/>
    <x v="0"/>
    <x v="5"/>
    <x v="24"/>
    <x v="1"/>
    <s v="Consumer"/>
    <n v="2"/>
    <n v="16768"/>
    <n v="0.05"/>
    <x v="1336"/>
    <n v="21816.48"/>
    <n v="10042.719999999999"/>
    <s v="Net Banking"/>
    <s v="Rohan"/>
  </r>
  <r>
    <x v="1345"/>
    <x v="44"/>
    <s v="Pune"/>
    <x v="2"/>
    <x v="3"/>
    <x v="12"/>
    <x v="0"/>
    <s v="Consumer"/>
    <n v="7"/>
    <n v="434"/>
    <n v="0"/>
    <x v="1337"/>
    <n v="1732.03"/>
    <n v="1305.97"/>
    <s v="Debit Card"/>
    <s v="Kabir"/>
  </r>
  <r>
    <x v="1346"/>
    <x v="329"/>
    <s v="Mumbai"/>
    <x v="2"/>
    <x v="0"/>
    <x v="23"/>
    <x v="0"/>
    <s v="Consumer"/>
    <n v="2"/>
    <n v="1776"/>
    <n v="0.1"/>
    <x v="1338"/>
    <n v="1807.59"/>
    <n v="1389.21"/>
    <s v="Debit Card"/>
    <s v="Meera"/>
  </r>
  <r>
    <x v="1347"/>
    <x v="101"/>
    <s v="Ahmedabad"/>
    <x v="2"/>
    <x v="6"/>
    <x v="16"/>
    <x v="0"/>
    <s v="Corporate"/>
    <n v="8"/>
    <n v="4113"/>
    <n v="0.15"/>
    <x v="1339"/>
    <n v="20289.64"/>
    <n v="7678.76"/>
    <s v="Credit Card"/>
    <s v="Rohan"/>
  </r>
  <r>
    <x v="1348"/>
    <x v="192"/>
    <s v="Hyderabad"/>
    <x v="0"/>
    <x v="4"/>
    <x v="4"/>
    <x v="1"/>
    <s v="Corporate"/>
    <n v="2"/>
    <n v="9605"/>
    <n v="0.05"/>
    <x v="1340"/>
    <n v="11322.69"/>
    <n v="6926.81"/>
    <s v="UPI"/>
    <s v="Rohan"/>
  </r>
  <r>
    <x v="1349"/>
    <x v="285"/>
    <s v="Delhi"/>
    <x v="3"/>
    <x v="6"/>
    <x v="30"/>
    <x v="1"/>
    <s v="Consumer"/>
    <n v="5"/>
    <n v="2669"/>
    <n v="0"/>
    <x v="1341"/>
    <n v="7798.82"/>
    <n v="5546.18"/>
    <s v="Net Banking"/>
    <s v="Anaya"/>
  </r>
  <r>
    <x v="1350"/>
    <x v="242"/>
    <s v="Bengaluru"/>
    <x v="0"/>
    <x v="1"/>
    <x v="22"/>
    <x v="0"/>
    <s v="Consumer"/>
    <n v="3"/>
    <n v="1873"/>
    <n v="0.1"/>
    <x v="1342"/>
    <n v="3953.45"/>
    <n v="1103.6500000000001"/>
    <s v="Debit Card"/>
    <s v="Aarav"/>
  </r>
  <r>
    <x v="1351"/>
    <x v="2"/>
    <s v="Mumbai"/>
    <x v="2"/>
    <x v="6"/>
    <x v="16"/>
    <x v="2"/>
    <s v="Small Business"/>
    <n v="3"/>
    <n v="5821"/>
    <n v="0.1"/>
    <x v="1343"/>
    <n v="13449.72"/>
    <n v="2266.98"/>
    <s v="Cash"/>
    <s v="Kabir"/>
  </r>
  <r>
    <x v="1352"/>
    <x v="147"/>
    <s v="Bengaluru"/>
    <x v="0"/>
    <x v="1"/>
    <x v="22"/>
    <x v="2"/>
    <s v="Small Business"/>
    <n v="5"/>
    <n v="8216"/>
    <n v="0.05"/>
    <x v="1344"/>
    <n v="23640.06"/>
    <n v="15385.94"/>
    <s v="UPI"/>
    <s v="Vikram"/>
  </r>
  <r>
    <x v="1353"/>
    <x v="19"/>
    <s v="Mumbai"/>
    <x v="2"/>
    <x v="0"/>
    <x v="26"/>
    <x v="2"/>
    <s v="Corporate"/>
    <n v="4"/>
    <n v="1076"/>
    <n v="0"/>
    <x v="1345"/>
    <n v="3101.5"/>
    <n v="1202.5"/>
    <s v="Debit Card"/>
    <s v="Diya"/>
  </r>
  <r>
    <x v="1354"/>
    <x v="19"/>
    <s v="Delhi"/>
    <x v="3"/>
    <x v="1"/>
    <x v="18"/>
    <x v="1"/>
    <s v="Small Business"/>
    <n v="5"/>
    <n v="11908"/>
    <n v="0"/>
    <x v="1346"/>
    <n v="33539.53"/>
    <n v="26000.47"/>
    <s v="Cash"/>
    <s v="Meera"/>
  </r>
  <r>
    <x v="1355"/>
    <x v="251"/>
    <s v="Mumbai"/>
    <x v="2"/>
    <x v="1"/>
    <x v="18"/>
    <x v="2"/>
    <s v="Small Business"/>
    <n v="3"/>
    <n v="4351"/>
    <n v="0.05"/>
    <x v="1347"/>
    <n v="9349.25"/>
    <n v="3051.1"/>
    <s v="Cash"/>
    <s v="Aarav"/>
  </r>
  <r>
    <x v="1356"/>
    <x v="148"/>
    <s v="Chennai"/>
    <x v="0"/>
    <x v="2"/>
    <x v="9"/>
    <x v="0"/>
    <s v="Small Business"/>
    <n v="6"/>
    <n v="29799"/>
    <n v="0.1"/>
    <x v="1348"/>
    <n v="124961.73"/>
    <n v="35952.870000000003"/>
    <s v="Debit Card"/>
    <s v="Rohan"/>
  </r>
  <r>
    <x v="1357"/>
    <x v="145"/>
    <s v="Mumbai"/>
    <x v="2"/>
    <x v="2"/>
    <x v="21"/>
    <x v="2"/>
    <s v="Small Business"/>
    <n v="5"/>
    <n v="52429"/>
    <n v="0"/>
    <x v="1349"/>
    <n v="184383.43"/>
    <n v="77761.570000000007"/>
    <s v="UPI"/>
    <s v="Sara"/>
  </r>
  <r>
    <x v="1358"/>
    <x v="296"/>
    <s v="Pune"/>
    <x v="2"/>
    <x v="2"/>
    <x v="5"/>
    <x v="1"/>
    <s v="Small Business"/>
    <n v="3"/>
    <n v="12670"/>
    <n v="0"/>
    <x v="1350"/>
    <n v="27917.29"/>
    <n v="10092.709999999999"/>
    <s v="Net Banking"/>
    <s v="Meera"/>
  </r>
  <r>
    <x v="1359"/>
    <x v="314"/>
    <s v="Hyderabad"/>
    <x v="0"/>
    <x v="6"/>
    <x v="30"/>
    <x v="2"/>
    <s v="Consumer"/>
    <n v="2"/>
    <n v="4082"/>
    <n v="0.05"/>
    <x v="1351"/>
    <n v="6339.86"/>
    <n v="1415.94"/>
    <s v="Cash"/>
    <s v="Aarav"/>
  </r>
  <r>
    <x v="1360"/>
    <x v="106"/>
    <s v="Mumbai"/>
    <x v="2"/>
    <x v="2"/>
    <x v="29"/>
    <x v="0"/>
    <s v="Corporate"/>
    <n v="8"/>
    <n v="35238"/>
    <n v="0.2"/>
    <x v="1352"/>
    <n v="151152.12"/>
    <n v="74371.08"/>
    <s v="Cash"/>
    <s v="Aarav"/>
  </r>
  <r>
    <x v="1361"/>
    <x v="176"/>
    <s v="Delhi"/>
    <x v="3"/>
    <x v="5"/>
    <x v="6"/>
    <x v="2"/>
    <s v="Consumer"/>
    <n v="3"/>
    <n v="38597"/>
    <n v="0.05"/>
    <x v="1353"/>
    <n v="92527.6"/>
    <n v="17473.849999999999"/>
    <s v="Cash"/>
    <s v="Vikram"/>
  </r>
  <r>
    <x v="1362"/>
    <x v="173"/>
    <s v="Bengaluru"/>
    <x v="0"/>
    <x v="0"/>
    <x v="28"/>
    <x v="0"/>
    <s v="Consumer"/>
    <n v="2"/>
    <n v="150"/>
    <n v="0.05"/>
    <x v="1354"/>
    <n v="225.72"/>
    <n v="59.28"/>
    <s v="UPI"/>
    <s v="Aarav"/>
  </r>
  <r>
    <x v="1363"/>
    <x v="232"/>
    <s v="Ahmedabad"/>
    <x v="2"/>
    <x v="1"/>
    <x v="10"/>
    <x v="2"/>
    <s v="Corporate"/>
    <n v="1"/>
    <n v="10189"/>
    <n v="0.15"/>
    <x v="1355"/>
    <n v="5981.83"/>
    <n v="2678.82"/>
    <s v="Net Banking"/>
    <s v="Sara"/>
  </r>
  <r>
    <x v="1364"/>
    <x v="137"/>
    <s v="Delhi"/>
    <x v="3"/>
    <x v="1"/>
    <x v="22"/>
    <x v="0"/>
    <s v="Consumer"/>
    <n v="1"/>
    <n v="8036"/>
    <n v="0.1"/>
    <x v="1356"/>
    <n v="3988.91"/>
    <n v="3243.49"/>
    <s v="Credit Card"/>
    <s v="Sara"/>
  </r>
  <r>
    <x v="1365"/>
    <x v="248"/>
    <s v="Delhi"/>
    <x v="3"/>
    <x v="5"/>
    <x v="6"/>
    <x v="1"/>
    <s v="Corporate"/>
    <n v="4"/>
    <n v="21775"/>
    <n v="0.2"/>
    <x v="1357"/>
    <n v="49786.879999999997"/>
    <n v="19893.12"/>
    <s v="Cash"/>
    <s v="Aarav"/>
  </r>
  <r>
    <x v="1366"/>
    <x v="287"/>
    <s v="Delhi"/>
    <x v="3"/>
    <x v="1"/>
    <x v="10"/>
    <x v="2"/>
    <s v="Corporate"/>
    <n v="7"/>
    <n v="5157"/>
    <n v="0.15"/>
    <x v="1358"/>
    <n v="22512.97"/>
    <n v="8171.18"/>
    <s v="UPI"/>
    <s v="Vikram"/>
  </r>
  <r>
    <x v="1367"/>
    <x v="4"/>
    <s v="Ahmedabad"/>
    <x v="2"/>
    <x v="6"/>
    <x v="30"/>
    <x v="1"/>
    <s v="Corporate"/>
    <n v="7"/>
    <n v="188"/>
    <n v="0.15"/>
    <x v="1359"/>
    <n v="808.93"/>
    <n v="309.67"/>
    <s v="Cash"/>
    <s v="Sara"/>
  </r>
  <r>
    <x v="1368"/>
    <x v="6"/>
    <s v="Mumbai"/>
    <x v="2"/>
    <x v="3"/>
    <x v="15"/>
    <x v="1"/>
    <s v="Corporate"/>
    <n v="1"/>
    <n v="368"/>
    <n v="0.1"/>
    <x v="1360"/>
    <n v="194.59"/>
    <n v="136.61000000000001"/>
    <s v="Debit Card"/>
    <s v="Diya"/>
  </r>
  <r>
    <x v="1369"/>
    <x v="143"/>
    <s v="Hyderabad"/>
    <x v="0"/>
    <x v="5"/>
    <x v="11"/>
    <x v="0"/>
    <s v="Consumer"/>
    <n v="4"/>
    <n v="9000"/>
    <n v="0.1"/>
    <x v="1361"/>
    <n v="23676.95"/>
    <n v="8723.0499999999993"/>
    <s v="Net Banking"/>
    <s v="Meera"/>
  </r>
  <r>
    <x v="1370"/>
    <x v="229"/>
    <s v="Pune"/>
    <x v="2"/>
    <x v="0"/>
    <x v="28"/>
    <x v="0"/>
    <s v="Small Business"/>
    <n v="2"/>
    <n v="1046"/>
    <n v="0.05"/>
    <x v="1362"/>
    <n v="1478.26"/>
    <n v="509.14"/>
    <s v="Debit Card"/>
    <s v="Diya"/>
  </r>
  <r>
    <x v="1371"/>
    <x v="8"/>
    <s v="Pune"/>
    <x v="2"/>
    <x v="6"/>
    <x v="8"/>
    <x v="2"/>
    <s v="Small Business"/>
    <n v="5"/>
    <n v="5611"/>
    <n v="0.1"/>
    <x v="1363"/>
    <n v="19086.84"/>
    <n v="6162.66"/>
    <s v="UPI"/>
    <s v="Aarav"/>
  </r>
  <r>
    <x v="1372"/>
    <x v="200"/>
    <s v="Chennai"/>
    <x v="0"/>
    <x v="2"/>
    <x v="29"/>
    <x v="2"/>
    <s v="Small Business"/>
    <n v="7"/>
    <n v="29270"/>
    <n v="0.1"/>
    <x v="1364"/>
    <n v="130698.54"/>
    <n v="53702.46"/>
    <s v="Credit Card"/>
    <s v="Anaya"/>
  </r>
  <r>
    <x v="1373"/>
    <x v="61"/>
    <s v="Chennai"/>
    <x v="0"/>
    <x v="5"/>
    <x v="17"/>
    <x v="1"/>
    <s v="Consumer"/>
    <n v="2"/>
    <n v="16747"/>
    <n v="0.15"/>
    <x v="1365"/>
    <n v="17597.669999999998"/>
    <n v="10872.23"/>
    <s v="Debit Card"/>
    <s v="Rohan"/>
  </r>
  <r>
    <x v="1374"/>
    <x v="229"/>
    <s v="Chennai"/>
    <x v="0"/>
    <x v="1"/>
    <x v="7"/>
    <x v="0"/>
    <s v="Consumer"/>
    <n v="4"/>
    <n v="5869"/>
    <n v="0.05"/>
    <x v="1366"/>
    <n v="16155.08"/>
    <n v="6147.12"/>
    <s v="UPI"/>
    <s v="Anaya"/>
  </r>
  <r>
    <x v="1375"/>
    <x v="319"/>
    <s v="Mumbai"/>
    <x v="2"/>
    <x v="4"/>
    <x v="14"/>
    <x v="2"/>
    <s v="Small Business"/>
    <n v="6"/>
    <n v="10449"/>
    <n v="0.1"/>
    <x v="1367"/>
    <n v="49020.79"/>
    <n v="7403.81"/>
    <s v="Net Banking"/>
    <s v="Rohan"/>
  </r>
  <r>
    <x v="1376"/>
    <x v="34"/>
    <s v="Delhi"/>
    <x v="3"/>
    <x v="5"/>
    <x v="24"/>
    <x v="1"/>
    <s v="Corporate"/>
    <n v="7"/>
    <n v="31872"/>
    <n v="0.1"/>
    <x v="1368"/>
    <n v="155807.49"/>
    <n v="44986.11"/>
    <s v="UPI"/>
    <s v="Vikram"/>
  </r>
  <r>
    <x v="1377"/>
    <x v="37"/>
    <s v="Mumbai"/>
    <x v="2"/>
    <x v="0"/>
    <x v="0"/>
    <x v="1"/>
    <s v="Consumer"/>
    <n v="2"/>
    <n v="1001"/>
    <n v="0.05"/>
    <x v="1369"/>
    <n v="1529.03"/>
    <n v="372.87"/>
    <s v="UPI"/>
    <s v="Vikram"/>
  </r>
  <r>
    <x v="1378"/>
    <x v="180"/>
    <s v="Kolkata"/>
    <x v="1"/>
    <x v="5"/>
    <x v="17"/>
    <x v="1"/>
    <s v="Small Business"/>
    <n v="2"/>
    <n v="29928"/>
    <n v="0.05"/>
    <x v="1370"/>
    <n v="37600.15"/>
    <n v="19263.05"/>
    <s v="Net Banking"/>
    <s v="Sara"/>
  </r>
  <r>
    <x v="1379"/>
    <x v="209"/>
    <s v="Mumbai"/>
    <x v="2"/>
    <x v="2"/>
    <x v="9"/>
    <x v="2"/>
    <s v="Small Business"/>
    <n v="1"/>
    <n v="41824"/>
    <n v="0.1"/>
    <x v="1371"/>
    <n v="24843.439999999999"/>
    <n v="12798.16"/>
    <s v="Net Banking"/>
    <s v="Aarav"/>
  </r>
  <r>
    <x v="1380"/>
    <x v="135"/>
    <s v="Bengaluru"/>
    <x v="0"/>
    <x v="0"/>
    <x v="19"/>
    <x v="1"/>
    <s v="Corporate"/>
    <n v="4"/>
    <n v="277"/>
    <n v="0.05"/>
    <x v="1372"/>
    <n v="621.08000000000004"/>
    <n v="431.52"/>
    <s v="Debit Card"/>
    <s v="Sara"/>
  </r>
  <r>
    <x v="1381"/>
    <x v="299"/>
    <s v="Mumbai"/>
    <x v="2"/>
    <x v="2"/>
    <x v="5"/>
    <x v="1"/>
    <s v="Consumer"/>
    <n v="2"/>
    <n v="24206"/>
    <n v="0.05"/>
    <x v="1373"/>
    <n v="38714.47"/>
    <n v="7276.93"/>
    <s v="UPI"/>
    <s v="Sara"/>
  </r>
  <r>
    <x v="1382"/>
    <x v="287"/>
    <s v="Mumbai"/>
    <x v="2"/>
    <x v="2"/>
    <x v="2"/>
    <x v="1"/>
    <s v="Small Business"/>
    <n v="1"/>
    <n v="54146"/>
    <n v="0.1"/>
    <x v="1374"/>
    <n v="30127.84"/>
    <n v="18603.560000000001"/>
    <s v="Cash"/>
    <s v="Vikram"/>
  </r>
  <r>
    <x v="1383"/>
    <x v="92"/>
    <s v="Delhi"/>
    <x v="3"/>
    <x v="5"/>
    <x v="25"/>
    <x v="2"/>
    <s v="Small Business"/>
    <n v="1"/>
    <n v="4205"/>
    <n v="0.2"/>
    <x v="1375"/>
    <n v="2331.3000000000002"/>
    <n v="1032.7"/>
    <s v="UPI"/>
    <s v="Meera"/>
  </r>
  <r>
    <x v="1384"/>
    <x v="34"/>
    <s v="Mumbai"/>
    <x v="2"/>
    <x v="3"/>
    <x v="12"/>
    <x v="2"/>
    <s v="Small Business"/>
    <n v="1"/>
    <n v="1455"/>
    <n v="0.1"/>
    <x v="1376"/>
    <n v="743.98"/>
    <n v="565.52"/>
    <s v="Credit Card"/>
    <s v="Meera"/>
  </r>
  <r>
    <x v="1385"/>
    <x v="104"/>
    <s v="Chennai"/>
    <x v="0"/>
    <x v="1"/>
    <x v="7"/>
    <x v="1"/>
    <s v="Consumer"/>
    <n v="5"/>
    <n v="11333"/>
    <n v="0.05"/>
    <x v="1377"/>
    <n v="46051.39"/>
    <n v="7780.36"/>
    <s v="Cash"/>
    <s v="Kabir"/>
  </r>
  <r>
    <x v="1386"/>
    <x v="341"/>
    <s v="Hyderabad"/>
    <x v="0"/>
    <x v="1"/>
    <x v="22"/>
    <x v="2"/>
    <s v="Consumer"/>
    <n v="1"/>
    <n v="4492"/>
    <n v="0.05"/>
    <x v="1378"/>
    <n v="3586.43"/>
    <n v="680.97"/>
    <s v="UPI"/>
    <s v="Rohan"/>
  </r>
  <r>
    <x v="1387"/>
    <x v="59"/>
    <s v="Pune"/>
    <x v="2"/>
    <x v="5"/>
    <x v="6"/>
    <x v="0"/>
    <s v="Small Business"/>
    <n v="7"/>
    <n v="21652"/>
    <n v="0.15"/>
    <x v="1379"/>
    <n v="72175.41"/>
    <n v="56653.99"/>
    <s v="UPI"/>
    <s v="Diya"/>
  </r>
  <r>
    <x v="1388"/>
    <x v="96"/>
    <s v="Bengaluru"/>
    <x v="0"/>
    <x v="5"/>
    <x v="6"/>
    <x v="0"/>
    <s v="Consumer"/>
    <n v="3"/>
    <n v="47767"/>
    <n v="0"/>
    <x v="1380"/>
    <n v="89952.87"/>
    <n v="53348.13"/>
    <s v="Debit Card"/>
    <s v="Anaya"/>
  </r>
  <r>
    <x v="1389"/>
    <x v="352"/>
    <s v="Delhi"/>
    <x v="3"/>
    <x v="0"/>
    <x v="26"/>
    <x v="0"/>
    <s v="Small Business"/>
    <n v="6"/>
    <n v="1505"/>
    <n v="0.1"/>
    <x v="1381"/>
    <n v="5060.6400000000003"/>
    <n v="3066.36"/>
    <s v="Net Banking"/>
    <s v="Diya"/>
  </r>
  <r>
    <x v="1390"/>
    <x v="231"/>
    <s v="Kolkata"/>
    <x v="1"/>
    <x v="1"/>
    <x v="1"/>
    <x v="2"/>
    <s v="Small Business"/>
    <n v="5"/>
    <n v="5894"/>
    <n v="0.05"/>
    <x v="1382"/>
    <n v="21562.78"/>
    <n v="6433.72"/>
    <s v="Cash"/>
    <s v="Vikram"/>
  </r>
  <r>
    <x v="1391"/>
    <x v="163"/>
    <s v="Delhi"/>
    <x v="3"/>
    <x v="3"/>
    <x v="34"/>
    <x v="2"/>
    <s v="Corporate"/>
    <n v="5"/>
    <n v="2429"/>
    <n v="0.1"/>
    <x v="1383"/>
    <n v="6912.71"/>
    <n v="4017.79"/>
    <s v="UPI"/>
    <s v="Sara"/>
  </r>
  <r>
    <x v="1392"/>
    <x v="235"/>
    <s v="Hyderabad"/>
    <x v="0"/>
    <x v="5"/>
    <x v="17"/>
    <x v="0"/>
    <s v="Corporate"/>
    <n v="3"/>
    <n v="3318"/>
    <n v="0.1"/>
    <x v="1384"/>
    <n v="5501.46"/>
    <n v="3457.14"/>
    <s v="UPI"/>
    <s v="Vikram"/>
  </r>
  <r>
    <x v="1393"/>
    <x v="255"/>
    <s v="Mumbai"/>
    <x v="2"/>
    <x v="2"/>
    <x v="9"/>
    <x v="2"/>
    <s v="Corporate"/>
    <n v="5"/>
    <n v="13266"/>
    <n v="0.1"/>
    <x v="1385"/>
    <n v="50553.51"/>
    <n v="9143.49"/>
    <s v="Debit Card"/>
    <s v="Meera"/>
  </r>
  <r>
    <x v="1394"/>
    <x v="211"/>
    <s v="Delhi"/>
    <x v="3"/>
    <x v="1"/>
    <x v="22"/>
    <x v="2"/>
    <s v="Small Business"/>
    <n v="4"/>
    <n v="8120"/>
    <n v="0.1"/>
    <x v="1386"/>
    <n v="22293.64"/>
    <n v="6938.36"/>
    <s v="Credit Card"/>
    <s v="Diya"/>
  </r>
  <r>
    <x v="1395"/>
    <x v="146"/>
    <s v="Mumbai"/>
    <x v="2"/>
    <x v="6"/>
    <x v="8"/>
    <x v="1"/>
    <s v="Small Business"/>
    <n v="7"/>
    <n v="1572"/>
    <n v="0"/>
    <x v="1387"/>
    <n v="9253.34"/>
    <n v="1750.66"/>
    <s v="Debit Card"/>
    <s v="Anaya"/>
  </r>
  <r>
    <x v="1396"/>
    <x v="300"/>
    <s v="Chennai"/>
    <x v="0"/>
    <x v="1"/>
    <x v="10"/>
    <x v="0"/>
    <s v="Small Business"/>
    <n v="5"/>
    <n v="7826"/>
    <n v="0"/>
    <x v="1388"/>
    <n v="30368.92"/>
    <n v="8761.08"/>
    <s v="UPI"/>
    <s v="Anaya"/>
  </r>
  <r>
    <x v="1397"/>
    <x v="215"/>
    <s v="Pune"/>
    <x v="2"/>
    <x v="5"/>
    <x v="11"/>
    <x v="1"/>
    <s v="Consumer"/>
    <n v="6"/>
    <n v="15391"/>
    <n v="0.05"/>
    <x v="1389"/>
    <n v="55400.65"/>
    <n v="32328.05"/>
    <s v="Net Banking"/>
    <s v="Vikram"/>
  </r>
  <r>
    <x v="1398"/>
    <x v="156"/>
    <s v="Ahmedabad"/>
    <x v="2"/>
    <x v="0"/>
    <x v="26"/>
    <x v="0"/>
    <s v="Corporate"/>
    <n v="8"/>
    <n v="1397"/>
    <n v="0"/>
    <x v="1390"/>
    <n v="7103.41"/>
    <n v="4072.59"/>
    <s v="UPI"/>
    <s v="Diya"/>
  </r>
  <r>
    <x v="1399"/>
    <x v="38"/>
    <s v="Mumbai"/>
    <x v="2"/>
    <x v="5"/>
    <x v="17"/>
    <x v="1"/>
    <s v="Corporate"/>
    <n v="4"/>
    <n v="35975"/>
    <n v="0.05"/>
    <x v="1391"/>
    <n v="78680.47"/>
    <n v="58024.53"/>
    <s v="Credit Card"/>
    <s v="Kabir"/>
  </r>
  <r>
    <x v="1400"/>
    <x v="88"/>
    <s v="Delhi"/>
    <x v="3"/>
    <x v="4"/>
    <x v="14"/>
    <x v="0"/>
    <s v="Consumer"/>
    <n v="8"/>
    <n v="8499"/>
    <n v="0"/>
    <x v="1392"/>
    <n v="51269.52"/>
    <n v="16722.48"/>
    <s v="Cash"/>
    <s v="Sara"/>
  </r>
  <r>
    <x v="1401"/>
    <x v="208"/>
    <s v="Ahmedabad"/>
    <x v="2"/>
    <x v="5"/>
    <x v="11"/>
    <x v="0"/>
    <s v="Consumer"/>
    <n v="6"/>
    <n v="49552"/>
    <n v="0.1"/>
    <x v="1393"/>
    <n v="232139.37"/>
    <n v="35441.43"/>
    <s v="UPI"/>
    <s v="Sara"/>
  </r>
  <r>
    <x v="1402"/>
    <x v="38"/>
    <s v="Ahmedabad"/>
    <x v="2"/>
    <x v="6"/>
    <x v="8"/>
    <x v="0"/>
    <s v="Corporate"/>
    <n v="7"/>
    <n v="5522"/>
    <n v="0"/>
    <x v="1394"/>
    <n v="22761.29"/>
    <n v="15892.71"/>
    <s v="Net Banking"/>
    <s v="Anaya"/>
  </r>
  <r>
    <x v="1403"/>
    <x v="199"/>
    <s v="Mumbai"/>
    <x v="2"/>
    <x v="3"/>
    <x v="34"/>
    <x v="1"/>
    <s v="Small Business"/>
    <n v="1"/>
    <n v="2058"/>
    <n v="0.05"/>
    <x v="1395"/>
    <n v="1377.03"/>
    <n v="578.07000000000005"/>
    <s v="Credit Card"/>
    <s v="Vikram"/>
  </r>
  <r>
    <x v="1404"/>
    <x v="318"/>
    <s v="Mumbai"/>
    <x v="2"/>
    <x v="6"/>
    <x v="20"/>
    <x v="1"/>
    <s v="Corporate"/>
    <n v="7"/>
    <n v="1135"/>
    <n v="0.05"/>
    <x v="1396"/>
    <n v="6441.8"/>
    <n v="1105.95"/>
    <s v="Credit Card"/>
    <s v="Sara"/>
  </r>
  <r>
    <x v="1405"/>
    <x v="136"/>
    <s v="Chennai"/>
    <x v="0"/>
    <x v="6"/>
    <x v="30"/>
    <x v="2"/>
    <s v="Corporate"/>
    <n v="3"/>
    <n v="1314"/>
    <n v="0.2"/>
    <x v="1397"/>
    <n v="2077.34"/>
    <n v="1076.26"/>
    <s v="Cash"/>
    <s v="Anaya"/>
  </r>
  <r>
    <x v="1406"/>
    <x v="107"/>
    <s v="Bengaluru"/>
    <x v="0"/>
    <x v="1"/>
    <x v="18"/>
    <x v="1"/>
    <s v="Corporate"/>
    <n v="6"/>
    <n v="3766"/>
    <n v="0.15"/>
    <x v="1398"/>
    <n v="14029.38"/>
    <n v="5177.22"/>
    <s v="Credit Card"/>
    <s v="Rohan"/>
  </r>
  <r>
    <x v="1407"/>
    <x v="99"/>
    <s v="Mumbai"/>
    <x v="2"/>
    <x v="1"/>
    <x v="18"/>
    <x v="2"/>
    <s v="Corporate"/>
    <n v="3"/>
    <n v="856"/>
    <n v="0"/>
    <x v="1399"/>
    <n v="1740.99"/>
    <n v="827.01"/>
    <s v="Debit Card"/>
    <s v="Anaya"/>
  </r>
  <r>
    <x v="1408"/>
    <x v="227"/>
    <s v="Ahmedabad"/>
    <x v="2"/>
    <x v="4"/>
    <x v="27"/>
    <x v="2"/>
    <s v="Small Business"/>
    <n v="4"/>
    <n v="6715"/>
    <n v="0.1"/>
    <x v="1400"/>
    <n v="15953.11"/>
    <n v="8220.89"/>
    <s v="UPI"/>
    <s v="Meera"/>
  </r>
  <r>
    <x v="1409"/>
    <x v="86"/>
    <s v="Ahmedabad"/>
    <x v="2"/>
    <x v="6"/>
    <x v="30"/>
    <x v="0"/>
    <s v="Consumer"/>
    <n v="4"/>
    <n v="3015"/>
    <n v="0.05"/>
    <x v="1401"/>
    <n v="7048.43"/>
    <n v="4408.57"/>
    <s v="Credit Card"/>
    <s v="Anaya"/>
  </r>
  <r>
    <x v="1410"/>
    <x v="351"/>
    <s v="Mumbai"/>
    <x v="2"/>
    <x v="5"/>
    <x v="25"/>
    <x v="0"/>
    <s v="Corporate"/>
    <n v="1"/>
    <n v="30710"/>
    <n v="0.1"/>
    <x v="1402"/>
    <n v="21577.64"/>
    <n v="6061.36"/>
    <s v="Net Banking"/>
    <s v="Kabir"/>
  </r>
  <r>
    <x v="1411"/>
    <x v="270"/>
    <s v="Delhi"/>
    <x v="3"/>
    <x v="3"/>
    <x v="3"/>
    <x v="2"/>
    <s v="Consumer"/>
    <n v="5"/>
    <n v="1294"/>
    <n v="0.15"/>
    <x v="1403"/>
    <n v="4436.47"/>
    <n v="1063.03"/>
    <s v="Net Banking"/>
    <s v="Sara"/>
  </r>
  <r>
    <x v="1412"/>
    <x v="36"/>
    <s v="Hyderabad"/>
    <x v="0"/>
    <x v="6"/>
    <x v="30"/>
    <x v="0"/>
    <s v="Small Business"/>
    <n v="6"/>
    <n v="1204"/>
    <n v="0.1"/>
    <x v="1404"/>
    <n v="3941.08"/>
    <n v="2560.52"/>
    <s v="Net Banking"/>
    <s v="Meera"/>
  </r>
  <r>
    <x v="1413"/>
    <x v="120"/>
    <s v="Mumbai"/>
    <x v="2"/>
    <x v="0"/>
    <x v="19"/>
    <x v="0"/>
    <s v="Corporate"/>
    <n v="6"/>
    <n v="2093"/>
    <n v="0"/>
    <x v="1405"/>
    <n v="9786.59"/>
    <n v="2771.41"/>
    <s v="Credit Card"/>
    <s v="Kabir"/>
  </r>
  <r>
    <x v="1414"/>
    <x v="130"/>
    <s v="Mumbai"/>
    <x v="2"/>
    <x v="2"/>
    <x v="21"/>
    <x v="2"/>
    <s v="Small Business"/>
    <n v="2"/>
    <n v="57381"/>
    <n v="0.1"/>
    <x v="1406"/>
    <n v="73667.62"/>
    <n v="29618.18"/>
    <s v="Credit Card"/>
    <s v="Aarav"/>
  </r>
  <r>
    <x v="1415"/>
    <x v="107"/>
    <s v="Delhi"/>
    <x v="3"/>
    <x v="1"/>
    <x v="10"/>
    <x v="0"/>
    <s v="Corporate"/>
    <n v="4"/>
    <n v="3362"/>
    <n v="0"/>
    <x v="1407"/>
    <n v="9779.85"/>
    <n v="3668.15"/>
    <s v="UPI"/>
    <s v="Sara"/>
  </r>
  <r>
    <x v="1416"/>
    <x v="19"/>
    <s v="Hyderabad"/>
    <x v="0"/>
    <x v="0"/>
    <x v="19"/>
    <x v="1"/>
    <s v="Small Business"/>
    <n v="5"/>
    <n v="1502"/>
    <n v="0.15"/>
    <x v="1408"/>
    <n v="3590.87"/>
    <n v="2792.63"/>
    <s v="UPI"/>
    <s v="Meera"/>
  </r>
  <r>
    <x v="1417"/>
    <x v="338"/>
    <s v="Hyderabad"/>
    <x v="0"/>
    <x v="0"/>
    <x v="19"/>
    <x v="2"/>
    <s v="Corporate"/>
    <n v="1"/>
    <n v="1963"/>
    <n v="0.05"/>
    <x v="1409"/>
    <n v="1167.8"/>
    <n v="697.05"/>
    <s v="Net Banking"/>
    <s v="Vikram"/>
  </r>
  <r>
    <x v="1418"/>
    <x v="142"/>
    <s v="Delhi"/>
    <x v="3"/>
    <x v="4"/>
    <x v="31"/>
    <x v="0"/>
    <s v="Small Business"/>
    <n v="3"/>
    <n v="11210"/>
    <n v="0.1"/>
    <x v="1410"/>
    <n v="22989.81"/>
    <n v="7277.19"/>
    <s v="Debit Card"/>
    <s v="Sara"/>
  </r>
  <r>
    <x v="1419"/>
    <x v="115"/>
    <s v="Pune"/>
    <x v="2"/>
    <x v="2"/>
    <x v="29"/>
    <x v="1"/>
    <s v="Small Business"/>
    <n v="7"/>
    <n v="68086"/>
    <n v="0.1"/>
    <x v="1411"/>
    <n v="292525.37"/>
    <n v="136416.43"/>
    <s v="Credit Card"/>
    <s v="Vikram"/>
  </r>
  <r>
    <x v="1420"/>
    <x v="328"/>
    <s v="Delhi"/>
    <x v="3"/>
    <x v="0"/>
    <x v="19"/>
    <x v="2"/>
    <s v="Small Business"/>
    <n v="2"/>
    <n v="487"/>
    <n v="0"/>
    <x v="1412"/>
    <n v="801.05"/>
    <n v="172.95"/>
    <s v="Credit Card"/>
    <s v="Anaya"/>
  </r>
  <r>
    <x v="1421"/>
    <x v="153"/>
    <s v="Bengaluru"/>
    <x v="0"/>
    <x v="1"/>
    <x v="18"/>
    <x v="1"/>
    <s v="Consumer"/>
    <n v="3"/>
    <n v="6628"/>
    <n v="0.05"/>
    <x v="1413"/>
    <n v="13472.76"/>
    <n v="5417.04"/>
    <s v="UPI"/>
    <s v="Anaya"/>
  </r>
  <r>
    <x v="1422"/>
    <x v="119"/>
    <s v="Chennai"/>
    <x v="0"/>
    <x v="1"/>
    <x v="22"/>
    <x v="2"/>
    <s v="Small Business"/>
    <n v="7"/>
    <n v="11143"/>
    <n v="0.2"/>
    <x v="1414"/>
    <n v="42733.38"/>
    <n v="19667.419999999998"/>
    <s v="Credit Card"/>
    <s v="Diya"/>
  </r>
  <r>
    <x v="1423"/>
    <x v="246"/>
    <s v="Bengaluru"/>
    <x v="0"/>
    <x v="6"/>
    <x v="20"/>
    <x v="0"/>
    <s v="Small Business"/>
    <n v="7"/>
    <n v="1636"/>
    <n v="0.05"/>
    <x v="1415"/>
    <n v="6300.16"/>
    <n v="4579.24"/>
    <s v="Net Banking"/>
    <s v="Aarav"/>
  </r>
  <r>
    <x v="1424"/>
    <x v="213"/>
    <s v="Delhi"/>
    <x v="3"/>
    <x v="3"/>
    <x v="34"/>
    <x v="1"/>
    <s v="Small Business"/>
    <n v="1"/>
    <n v="2256"/>
    <n v="0"/>
    <x v="1416"/>
    <n v="1793.63"/>
    <n v="462.37"/>
    <s v="Debit Card"/>
    <s v="Anaya"/>
  </r>
  <r>
    <x v="1425"/>
    <x v="322"/>
    <s v="Delhi"/>
    <x v="3"/>
    <x v="2"/>
    <x v="9"/>
    <x v="1"/>
    <s v="Corporate"/>
    <n v="5"/>
    <n v="69196"/>
    <n v="0.15"/>
    <x v="1417"/>
    <n v="247412.96"/>
    <n v="46670.04"/>
    <s v="Net Banking"/>
    <s v="Meera"/>
  </r>
  <r>
    <x v="1426"/>
    <x v="205"/>
    <s v="Pune"/>
    <x v="2"/>
    <x v="3"/>
    <x v="32"/>
    <x v="2"/>
    <s v="Small Business"/>
    <n v="8"/>
    <n v="1745"/>
    <n v="0.1"/>
    <x v="1418"/>
    <n v="8573.48"/>
    <n v="3990.52"/>
    <s v="Net Banking"/>
    <s v="Diya"/>
  </r>
  <r>
    <x v="1427"/>
    <x v="208"/>
    <s v="Bengaluru"/>
    <x v="0"/>
    <x v="3"/>
    <x v="32"/>
    <x v="2"/>
    <s v="Small Business"/>
    <n v="1"/>
    <n v="1707"/>
    <n v="0.05"/>
    <x v="1419"/>
    <n v="984.13"/>
    <n v="637.52"/>
    <s v="Net Banking"/>
    <s v="Kabir"/>
  </r>
  <r>
    <x v="1428"/>
    <x v="78"/>
    <s v="Delhi"/>
    <x v="3"/>
    <x v="5"/>
    <x v="6"/>
    <x v="0"/>
    <s v="Consumer"/>
    <n v="1"/>
    <n v="48031"/>
    <n v="0.1"/>
    <x v="1420"/>
    <n v="35982.5"/>
    <n v="7245.4"/>
    <s v="UPI"/>
    <s v="Sara"/>
  </r>
  <r>
    <x v="1429"/>
    <x v="73"/>
    <s v="Hyderabad"/>
    <x v="0"/>
    <x v="2"/>
    <x v="9"/>
    <x v="1"/>
    <s v="Corporate"/>
    <n v="1"/>
    <n v="26778"/>
    <n v="0.1"/>
    <x v="1421"/>
    <n v="20292.22"/>
    <n v="3807.98"/>
    <s v="Credit Card"/>
    <s v="Anaya"/>
  </r>
  <r>
    <x v="1430"/>
    <x v="137"/>
    <s v="Pune"/>
    <x v="2"/>
    <x v="0"/>
    <x v="19"/>
    <x v="0"/>
    <s v="Consumer"/>
    <n v="8"/>
    <n v="2002"/>
    <n v="0.05"/>
    <x v="1422"/>
    <n v="11203.87"/>
    <n v="4011.33"/>
    <s v="UPI"/>
    <s v="Rohan"/>
  </r>
  <r>
    <x v="1431"/>
    <x v="277"/>
    <s v="Pune"/>
    <x v="2"/>
    <x v="0"/>
    <x v="23"/>
    <x v="0"/>
    <s v="Corporate"/>
    <n v="8"/>
    <n v="1480"/>
    <n v="0.1"/>
    <x v="1423"/>
    <n v="8988.9"/>
    <n v="1667.1"/>
    <s v="Net Banking"/>
    <s v="Aarav"/>
  </r>
  <r>
    <x v="1432"/>
    <x v="269"/>
    <s v="Mumbai"/>
    <x v="2"/>
    <x v="4"/>
    <x v="14"/>
    <x v="2"/>
    <s v="Small Business"/>
    <n v="4"/>
    <n v="15182"/>
    <n v="0.1"/>
    <x v="1424"/>
    <n v="47459.22"/>
    <n v="7195.98"/>
    <s v="Debit Card"/>
    <s v="Vikram"/>
  </r>
  <r>
    <x v="1433"/>
    <x v="219"/>
    <s v="Mumbai"/>
    <x v="2"/>
    <x v="4"/>
    <x v="31"/>
    <x v="0"/>
    <s v="Corporate"/>
    <n v="8"/>
    <n v="5906"/>
    <n v="0.1"/>
    <x v="1425"/>
    <n v="26750.720000000001"/>
    <n v="15772.48"/>
    <s v="UPI"/>
    <s v="Diya"/>
  </r>
  <r>
    <x v="1434"/>
    <x v="152"/>
    <s v="Bengaluru"/>
    <x v="0"/>
    <x v="4"/>
    <x v="27"/>
    <x v="2"/>
    <s v="Corporate"/>
    <n v="2"/>
    <n v="8268"/>
    <n v="0.05"/>
    <x v="1426"/>
    <n v="10359.85"/>
    <n v="5349.35"/>
    <s v="UPI"/>
    <s v="Diya"/>
  </r>
  <r>
    <x v="1435"/>
    <x v="27"/>
    <s v="Delhi"/>
    <x v="3"/>
    <x v="0"/>
    <x v="23"/>
    <x v="0"/>
    <s v="Consumer"/>
    <n v="1"/>
    <n v="1832"/>
    <n v="0.1"/>
    <x v="1427"/>
    <n v="1366.74"/>
    <n v="282.06"/>
    <s v="Net Banking"/>
    <s v="Meera"/>
  </r>
  <r>
    <x v="1436"/>
    <x v="178"/>
    <s v="Mumbai"/>
    <x v="2"/>
    <x v="0"/>
    <x v="19"/>
    <x v="0"/>
    <s v="Small Business"/>
    <n v="3"/>
    <n v="1692"/>
    <n v="0.05"/>
    <x v="1428"/>
    <n v="4124.43"/>
    <n v="697.77"/>
    <s v="Cash"/>
    <s v="Anaya"/>
  </r>
  <r>
    <x v="1437"/>
    <x v="332"/>
    <s v="Ahmedabad"/>
    <x v="2"/>
    <x v="0"/>
    <x v="0"/>
    <x v="0"/>
    <s v="Corporate"/>
    <n v="6"/>
    <n v="151"/>
    <n v="0.1"/>
    <x v="1429"/>
    <n v="448.56"/>
    <n v="366.84"/>
    <s v="Net Banking"/>
    <s v="Diya"/>
  </r>
  <r>
    <x v="1438"/>
    <x v="16"/>
    <s v="Delhi"/>
    <x v="3"/>
    <x v="3"/>
    <x v="12"/>
    <x v="0"/>
    <s v="Consumer"/>
    <n v="3"/>
    <n v="1392"/>
    <n v="0.1"/>
    <x v="1430"/>
    <n v="2486.33"/>
    <n v="1272.07"/>
    <s v="Credit Card"/>
    <s v="Vikram"/>
  </r>
  <r>
    <x v="1439"/>
    <x v="196"/>
    <s v="Kolkata"/>
    <x v="1"/>
    <x v="2"/>
    <x v="2"/>
    <x v="1"/>
    <s v="Corporate"/>
    <n v="2"/>
    <n v="65866"/>
    <n v="0.15"/>
    <x v="1431"/>
    <n v="69131.58"/>
    <n v="42840.62"/>
    <s v="Cash"/>
    <s v="Sara"/>
  </r>
  <r>
    <x v="1440"/>
    <x v="117"/>
    <s v="Mumbai"/>
    <x v="2"/>
    <x v="4"/>
    <x v="4"/>
    <x v="2"/>
    <s v="Small Business"/>
    <n v="2"/>
    <n v="12056"/>
    <n v="0"/>
    <x v="1432"/>
    <n v="20324.66"/>
    <n v="3787.34"/>
    <s v="Cash"/>
    <s v="Sara"/>
  </r>
  <r>
    <x v="1441"/>
    <x v="8"/>
    <s v="Delhi"/>
    <x v="3"/>
    <x v="6"/>
    <x v="20"/>
    <x v="0"/>
    <s v="Small Business"/>
    <n v="2"/>
    <n v="3582"/>
    <n v="0.05"/>
    <x v="1433"/>
    <n v="5374.27"/>
    <n v="1431.53"/>
    <s v="Cash"/>
    <s v="Rohan"/>
  </r>
  <r>
    <x v="1442"/>
    <x v="243"/>
    <s v="Bengaluru"/>
    <x v="0"/>
    <x v="6"/>
    <x v="16"/>
    <x v="2"/>
    <s v="Corporate"/>
    <n v="5"/>
    <n v="484"/>
    <n v="0"/>
    <x v="1434"/>
    <n v="1393.6"/>
    <n v="1026.4000000000001"/>
    <s v="UPI"/>
    <s v="Rohan"/>
  </r>
  <r>
    <x v="1443"/>
    <x v="283"/>
    <s v="Ahmedabad"/>
    <x v="2"/>
    <x v="6"/>
    <x v="33"/>
    <x v="2"/>
    <s v="Consumer"/>
    <n v="4"/>
    <n v="4811"/>
    <n v="0.05"/>
    <x v="1435"/>
    <n v="11164.75"/>
    <n v="7117.05"/>
    <s v="Cash"/>
    <s v="Vikram"/>
  </r>
  <r>
    <x v="1444"/>
    <x v="164"/>
    <s v="Mumbai"/>
    <x v="2"/>
    <x v="5"/>
    <x v="24"/>
    <x v="2"/>
    <s v="Consumer"/>
    <n v="3"/>
    <n v="10780"/>
    <n v="0.15"/>
    <x v="1436"/>
    <n v="17991.61"/>
    <n v="9497.39"/>
    <s v="Net Banking"/>
    <s v="Diya"/>
  </r>
  <r>
    <x v="1445"/>
    <x v="233"/>
    <s v="Delhi"/>
    <x v="3"/>
    <x v="1"/>
    <x v="22"/>
    <x v="0"/>
    <s v="Small Business"/>
    <n v="3"/>
    <n v="6464"/>
    <n v="0.1"/>
    <x v="1437"/>
    <n v="13542.35"/>
    <n v="3910.45"/>
    <s v="Credit Card"/>
    <s v="Rohan"/>
  </r>
  <r>
    <x v="1446"/>
    <x v="274"/>
    <s v="Chennai"/>
    <x v="0"/>
    <x v="6"/>
    <x v="8"/>
    <x v="2"/>
    <s v="Corporate"/>
    <n v="7"/>
    <n v="910"/>
    <n v="0"/>
    <x v="1438"/>
    <n v="4698.0600000000004"/>
    <n v="1671.94"/>
    <s v="Credit Card"/>
    <s v="Kabir"/>
  </r>
  <r>
    <x v="1447"/>
    <x v="146"/>
    <s v="Hyderabad"/>
    <x v="0"/>
    <x v="1"/>
    <x v="10"/>
    <x v="1"/>
    <s v="Corporate"/>
    <n v="6"/>
    <n v="7107"/>
    <n v="0.05"/>
    <x v="1439"/>
    <n v="30521.43"/>
    <n v="9988.4699999999993"/>
    <s v="Credit Card"/>
    <s v="Sara"/>
  </r>
  <r>
    <x v="1448"/>
    <x v="79"/>
    <s v="Kolkata"/>
    <x v="1"/>
    <x v="5"/>
    <x v="11"/>
    <x v="0"/>
    <s v="Consumer"/>
    <n v="5"/>
    <n v="22841"/>
    <n v="0.05"/>
    <x v="1440"/>
    <n v="94862.44"/>
    <n v="13632.31"/>
    <s v="Credit Card"/>
    <s v="Sara"/>
  </r>
  <r>
    <x v="1449"/>
    <x v="243"/>
    <s v="Delhi"/>
    <x v="3"/>
    <x v="4"/>
    <x v="31"/>
    <x v="1"/>
    <s v="Corporate"/>
    <n v="6"/>
    <n v="16851"/>
    <n v="0.15"/>
    <x v="1441"/>
    <n v="64283.32"/>
    <n v="21656.78"/>
    <s v="Cash"/>
    <s v="Kabir"/>
  </r>
  <r>
    <x v="1450"/>
    <x v="200"/>
    <s v="Delhi"/>
    <x v="3"/>
    <x v="0"/>
    <x v="28"/>
    <x v="1"/>
    <s v="Corporate"/>
    <n v="4"/>
    <n v="2150"/>
    <n v="0.1"/>
    <x v="1442"/>
    <n v="5447.15"/>
    <n v="2292.85"/>
    <s v="Debit Card"/>
    <s v="Sara"/>
  </r>
  <r>
    <x v="1451"/>
    <x v="303"/>
    <s v="Hyderabad"/>
    <x v="0"/>
    <x v="2"/>
    <x v="2"/>
    <x v="0"/>
    <s v="Consumer"/>
    <n v="8"/>
    <n v="49243"/>
    <n v="0.05"/>
    <x v="1443"/>
    <n v="254358.51"/>
    <n v="119888.29"/>
    <s v="UPI"/>
    <s v="Meera"/>
  </r>
  <r>
    <x v="1452"/>
    <x v="142"/>
    <s v="Pune"/>
    <x v="2"/>
    <x v="2"/>
    <x v="9"/>
    <x v="0"/>
    <s v="Consumer"/>
    <n v="5"/>
    <n v="41994"/>
    <n v="0"/>
    <x v="1444"/>
    <n v="174231.89"/>
    <n v="35738.11"/>
    <s v="Net Banking"/>
    <s v="Meera"/>
  </r>
  <r>
    <x v="1453"/>
    <x v="162"/>
    <s v="Delhi"/>
    <x v="3"/>
    <x v="1"/>
    <x v="10"/>
    <x v="1"/>
    <s v="Consumer"/>
    <n v="8"/>
    <n v="4813"/>
    <n v="0.05"/>
    <x v="1445"/>
    <n v="28746.32"/>
    <n v="7832.48"/>
    <s v="Net Banking"/>
    <s v="Vikram"/>
  </r>
  <r>
    <x v="1454"/>
    <x v="353"/>
    <s v="Delhi"/>
    <x v="3"/>
    <x v="0"/>
    <x v="23"/>
    <x v="0"/>
    <s v="Small Business"/>
    <n v="5"/>
    <n v="1774"/>
    <n v="0.1"/>
    <x v="1446"/>
    <n v="5416.82"/>
    <n v="2566.1799999999998"/>
    <s v="Net Banking"/>
    <s v="Vikram"/>
  </r>
  <r>
    <x v="1455"/>
    <x v="113"/>
    <s v="Delhi"/>
    <x v="3"/>
    <x v="1"/>
    <x v="7"/>
    <x v="1"/>
    <s v="Small Business"/>
    <n v="1"/>
    <n v="6729"/>
    <n v="0.1"/>
    <x v="1447"/>
    <n v="4821.09"/>
    <n v="1235.01"/>
    <s v="Debit Card"/>
    <s v="Kabir"/>
  </r>
  <r>
    <x v="1456"/>
    <x v="297"/>
    <s v="Delhi"/>
    <x v="3"/>
    <x v="3"/>
    <x v="32"/>
    <x v="0"/>
    <s v="Consumer"/>
    <n v="1"/>
    <n v="2264"/>
    <n v="0.1"/>
    <x v="1448"/>
    <n v="1140.72"/>
    <n v="896.88"/>
    <s v="Net Banking"/>
    <s v="Diya"/>
  </r>
  <r>
    <x v="1457"/>
    <x v="263"/>
    <s v="Pune"/>
    <x v="2"/>
    <x v="5"/>
    <x v="24"/>
    <x v="1"/>
    <s v="Consumer"/>
    <n v="7"/>
    <n v="15049"/>
    <n v="0.05"/>
    <x v="1449"/>
    <n v="86033.13"/>
    <n v="14042.72"/>
    <s v="Cash"/>
    <s v="Sara"/>
  </r>
  <r>
    <x v="1458"/>
    <x v="244"/>
    <s v="Hyderabad"/>
    <x v="0"/>
    <x v="4"/>
    <x v="27"/>
    <x v="0"/>
    <s v="Small Business"/>
    <n v="6"/>
    <n v="5747"/>
    <n v="0"/>
    <x v="1450"/>
    <n v="19519.48"/>
    <n v="14962.52"/>
    <s v="Debit Card"/>
    <s v="Vikram"/>
  </r>
  <r>
    <x v="1459"/>
    <x v="226"/>
    <s v="Kolkata"/>
    <x v="1"/>
    <x v="5"/>
    <x v="24"/>
    <x v="1"/>
    <s v="Corporate"/>
    <n v="2"/>
    <n v="38995"/>
    <n v="0.15"/>
    <x v="1451"/>
    <n v="44270.79"/>
    <n v="22020.71"/>
    <s v="Credit Card"/>
    <s v="Vikram"/>
  </r>
  <r>
    <x v="1460"/>
    <x v="43"/>
    <s v="Mumbai"/>
    <x v="2"/>
    <x v="0"/>
    <x v="0"/>
    <x v="2"/>
    <s v="Consumer"/>
    <n v="3"/>
    <n v="2371"/>
    <n v="0.1"/>
    <x v="1452"/>
    <n v="4386.55"/>
    <n v="2015.15"/>
    <s v="Net Banking"/>
    <s v="Rohan"/>
  </r>
  <r>
    <x v="1461"/>
    <x v="211"/>
    <s v="Hyderabad"/>
    <x v="0"/>
    <x v="4"/>
    <x v="13"/>
    <x v="2"/>
    <s v="Small Business"/>
    <n v="5"/>
    <n v="11427"/>
    <n v="0"/>
    <x v="1453"/>
    <n v="35402.81"/>
    <n v="21732.19"/>
    <s v="Credit Card"/>
    <s v="Rohan"/>
  </r>
  <r>
    <x v="1462"/>
    <x v="260"/>
    <s v="Hyderabad"/>
    <x v="0"/>
    <x v="0"/>
    <x v="0"/>
    <x v="0"/>
    <s v="Small Business"/>
    <n v="2"/>
    <n v="1569"/>
    <n v="0.1"/>
    <x v="1454"/>
    <n v="2089.91"/>
    <n v="734.29"/>
    <s v="Net Banking"/>
    <s v="Vikram"/>
  </r>
  <r>
    <x v="1463"/>
    <x v="66"/>
    <s v="Mumbai"/>
    <x v="2"/>
    <x v="4"/>
    <x v="27"/>
    <x v="1"/>
    <s v="Small Business"/>
    <n v="6"/>
    <n v="7638"/>
    <n v="0"/>
    <x v="1455"/>
    <n v="27178.41"/>
    <n v="18649.59"/>
    <s v="Credit Card"/>
    <s v="Diya"/>
  </r>
  <r>
    <x v="1464"/>
    <x v="292"/>
    <s v="Delhi"/>
    <x v="3"/>
    <x v="3"/>
    <x v="34"/>
    <x v="1"/>
    <s v="Consumer"/>
    <n v="8"/>
    <n v="1534"/>
    <n v="0.05"/>
    <x v="1456"/>
    <n v="6741.64"/>
    <n v="4916.76"/>
    <s v="Credit Card"/>
    <s v="Meera"/>
  </r>
  <r>
    <x v="1465"/>
    <x v="78"/>
    <s v="Mumbai"/>
    <x v="2"/>
    <x v="2"/>
    <x v="21"/>
    <x v="1"/>
    <s v="Small Business"/>
    <n v="2"/>
    <n v="53350"/>
    <n v="0.05"/>
    <x v="1457"/>
    <n v="83202.2"/>
    <n v="18162.8"/>
    <s v="Net Banking"/>
    <s v="Vikram"/>
  </r>
  <r>
    <x v="1466"/>
    <x v="65"/>
    <s v="Pune"/>
    <x v="2"/>
    <x v="4"/>
    <x v="14"/>
    <x v="0"/>
    <s v="Corporate"/>
    <n v="2"/>
    <n v="18395"/>
    <n v="0.1"/>
    <x v="1458"/>
    <n v="24468.01"/>
    <n v="8642.99"/>
    <s v="Debit Card"/>
    <s v="Kabir"/>
  </r>
  <r>
    <x v="1467"/>
    <x v="285"/>
    <s v="Mumbai"/>
    <x v="2"/>
    <x v="3"/>
    <x v="32"/>
    <x v="2"/>
    <s v="Consumer"/>
    <n v="4"/>
    <n v="2213"/>
    <n v="0.1"/>
    <x v="1459"/>
    <n v="4737.47"/>
    <n v="3229.33"/>
    <s v="Debit Card"/>
    <s v="Aarav"/>
  </r>
  <r>
    <x v="1468"/>
    <x v="10"/>
    <s v="Chennai"/>
    <x v="0"/>
    <x v="6"/>
    <x v="30"/>
    <x v="1"/>
    <s v="Consumer"/>
    <n v="5"/>
    <n v="427"/>
    <n v="0"/>
    <x v="1460"/>
    <n v="1694.36"/>
    <n v="440.64"/>
    <s v="Cash"/>
    <s v="Meera"/>
  </r>
  <r>
    <x v="1469"/>
    <x v="120"/>
    <s v="Delhi"/>
    <x v="3"/>
    <x v="4"/>
    <x v="14"/>
    <x v="1"/>
    <s v="Corporate"/>
    <n v="7"/>
    <n v="17278"/>
    <n v="0"/>
    <x v="1461"/>
    <n v="70112.710000000006"/>
    <n v="50833.29"/>
    <s v="UPI"/>
    <s v="Meera"/>
  </r>
  <r>
    <x v="1470"/>
    <x v="196"/>
    <s v="Kolkata"/>
    <x v="1"/>
    <x v="3"/>
    <x v="12"/>
    <x v="0"/>
    <s v="Consumer"/>
    <n v="8"/>
    <n v="670"/>
    <n v="0.1"/>
    <x v="1462"/>
    <n v="2795.7"/>
    <n v="2028.3"/>
    <s v="Net Banking"/>
    <s v="Aarav"/>
  </r>
  <r>
    <x v="1471"/>
    <x v="46"/>
    <s v="Mumbai"/>
    <x v="2"/>
    <x v="5"/>
    <x v="24"/>
    <x v="0"/>
    <s v="Consumer"/>
    <n v="6"/>
    <n v="35525"/>
    <n v="0"/>
    <x v="1463"/>
    <n v="153463.32"/>
    <n v="59686.68"/>
    <s v="Debit Card"/>
    <s v="Kabir"/>
  </r>
  <r>
    <x v="1472"/>
    <x v="103"/>
    <s v="Chennai"/>
    <x v="0"/>
    <x v="2"/>
    <x v="29"/>
    <x v="1"/>
    <s v="Small Business"/>
    <n v="2"/>
    <n v="55657"/>
    <n v="0"/>
    <x v="1464"/>
    <n v="96035.06"/>
    <n v="15278.94"/>
    <s v="Credit Card"/>
    <s v="Sara"/>
  </r>
  <r>
    <x v="1473"/>
    <x v="319"/>
    <s v="Hyderabad"/>
    <x v="0"/>
    <x v="5"/>
    <x v="11"/>
    <x v="1"/>
    <s v="Corporate"/>
    <n v="1"/>
    <n v="18302"/>
    <n v="0.1"/>
    <x v="1465"/>
    <n v="9740.0499999999993"/>
    <n v="6731.75"/>
    <s v="Cash"/>
    <s v="Anaya"/>
  </r>
  <r>
    <x v="1474"/>
    <x v="173"/>
    <s v="Pune"/>
    <x v="2"/>
    <x v="1"/>
    <x v="18"/>
    <x v="1"/>
    <s v="Consumer"/>
    <n v="8"/>
    <n v="7728"/>
    <n v="0.05"/>
    <x v="1466"/>
    <n v="37356.050000000003"/>
    <n v="21376.75"/>
    <s v="Debit Card"/>
    <s v="Meera"/>
  </r>
  <r>
    <x v="1475"/>
    <x v="212"/>
    <s v="Mumbai"/>
    <x v="2"/>
    <x v="3"/>
    <x v="3"/>
    <x v="0"/>
    <s v="Consumer"/>
    <n v="2"/>
    <n v="834"/>
    <n v="0.15"/>
    <x v="1467"/>
    <n v="1235.1099999999999"/>
    <n v="182.69"/>
    <s v="Debit Card"/>
    <s v="Anaya"/>
  </r>
  <r>
    <x v="1476"/>
    <x v="306"/>
    <s v="Chennai"/>
    <x v="0"/>
    <x v="4"/>
    <x v="27"/>
    <x v="2"/>
    <s v="Small Business"/>
    <n v="8"/>
    <n v="10608"/>
    <n v="0.1"/>
    <x v="1468"/>
    <n v="62153.32"/>
    <n v="14224.28"/>
    <s v="Cash"/>
    <s v="Rohan"/>
  </r>
  <r>
    <x v="1477"/>
    <x v="345"/>
    <s v="Pune"/>
    <x v="2"/>
    <x v="1"/>
    <x v="22"/>
    <x v="2"/>
    <s v="Small Business"/>
    <n v="5"/>
    <n v="7921"/>
    <n v="0"/>
    <x v="1469"/>
    <n v="25569.23"/>
    <n v="14035.77"/>
    <s v="Cash"/>
    <s v="Meera"/>
  </r>
  <r>
    <x v="1478"/>
    <x v="99"/>
    <s v="Ahmedabad"/>
    <x v="2"/>
    <x v="3"/>
    <x v="3"/>
    <x v="2"/>
    <s v="Corporate"/>
    <n v="4"/>
    <n v="1158"/>
    <n v="0.15"/>
    <x v="1470"/>
    <n v="2234.91"/>
    <n v="1702.29"/>
    <s v="UPI"/>
    <s v="Sara"/>
  </r>
  <r>
    <x v="1479"/>
    <x v="333"/>
    <s v="Kolkata"/>
    <x v="1"/>
    <x v="2"/>
    <x v="5"/>
    <x v="0"/>
    <s v="Small Business"/>
    <n v="1"/>
    <n v="2297"/>
    <n v="0"/>
    <x v="1471"/>
    <n v="1590.59"/>
    <n v="706.41"/>
    <s v="Debit Card"/>
    <s v="Diya"/>
  </r>
  <r>
    <x v="1480"/>
    <x v="344"/>
    <s v="Delhi"/>
    <x v="3"/>
    <x v="4"/>
    <x v="31"/>
    <x v="1"/>
    <s v="Consumer"/>
    <n v="8"/>
    <n v="7486"/>
    <n v="0.1"/>
    <x v="1472"/>
    <n v="46401.86"/>
    <n v="7497.34"/>
    <s v="Debit Card"/>
    <s v="Vikram"/>
  </r>
  <r>
    <x v="1481"/>
    <x v="206"/>
    <s v="Kolkata"/>
    <x v="1"/>
    <x v="4"/>
    <x v="13"/>
    <x v="2"/>
    <s v="Corporate"/>
    <n v="1"/>
    <n v="2164"/>
    <n v="0.05"/>
    <x v="1473"/>
    <n v="1597.46"/>
    <n v="458.34"/>
    <s v="Credit Card"/>
    <s v="Vikram"/>
  </r>
  <r>
    <x v="1482"/>
    <x v="335"/>
    <s v="Bengaluru"/>
    <x v="0"/>
    <x v="4"/>
    <x v="27"/>
    <x v="2"/>
    <s v="Corporate"/>
    <n v="1"/>
    <n v="11986"/>
    <n v="0.05"/>
    <x v="1474"/>
    <n v="8875.7999999999993"/>
    <n v="2510.9"/>
    <s v="Debit Card"/>
    <s v="Rohan"/>
  </r>
  <r>
    <x v="1483"/>
    <x v="194"/>
    <s v="Delhi"/>
    <x v="3"/>
    <x v="3"/>
    <x v="34"/>
    <x v="2"/>
    <s v="Small Business"/>
    <n v="2"/>
    <n v="1773"/>
    <n v="0"/>
    <x v="1475"/>
    <n v="2125.35"/>
    <n v="1420.65"/>
    <s v="Debit Card"/>
    <s v="Diya"/>
  </r>
  <r>
    <x v="1484"/>
    <x v="199"/>
    <s v="Pune"/>
    <x v="2"/>
    <x v="5"/>
    <x v="17"/>
    <x v="1"/>
    <s v="Consumer"/>
    <n v="6"/>
    <n v="37535"/>
    <n v="0.05"/>
    <x v="1476"/>
    <n v="155198.18"/>
    <n v="58751.32"/>
    <s v="Net Banking"/>
    <s v="Rohan"/>
  </r>
  <r>
    <x v="1485"/>
    <x v="282"/>
    <s v="Mumbai"/>
    <x v="2"/>
    <x v="2"/>
    <x v="5"/>
    <x v="0"/>
    <s v="Small Business"/>
    <n v="8"/>
    <n v="45497"/>
    <n v="0.2"/>
    <x v="1477"/>
    <n v="246938.63"/>
    <n v="44242.17"/>
    <s v="Cash"/>
    <s v="Kabir"/>
  </r>
  <r>
    <x v="1486"/>
    <x v="334"/>
    <s v="Kolkata"/>
    <x v="1"/>
    <x v="5"/>
    <x v="25"/>
    <x v="2"/>
    <s v="Small Business"/>
    <n v="1"/>
    <n v="37315"/>
    <n v="0.05"/>
    <x v="1478"/>
    <n v="24489.15"/>
    <n v="10960.1"/>
    <s v="Debit Card"/>
    <s v="Anaya"/>
  </r>
  <r>
    <x v="1487"/>
    <x v="11"/>
    <s v="Delhi"/>
    <x v="3"/>
    <x v="4"/>
    <x v="31"/>
    <x v="1"/>
    <s v="Corporate"/>
    <n v="3"/>
    <n v="18027"/>
    <n v="0.05"/>
    <x v="1479"/>
    <n v="39329.49"/>
    <n v="12047.46"/>
    <s v="Debit Card"/>
    <s v="Aarav"/>
  </r>
  <r>
    <x v="1488"/>
    <x v="242"/>
    <s v="Delhi"/>
    <x v="3"/>
    <x v="6"/>
    <x v="16"/>
    <x v="0"/>
    <s v="Consumer"/>
    <n v="7"/>
    <n v="533"/>
    <n v="0.15"/>
    <x v="1480"/>
    <n v="2619.7399999999998"/>
    <n v="551.61"/>
    <s v="Credit Card"/>
    <s v="Diya"/>
  </r>
  <r>
    <x v="1489"/>
    <x v="115"/>
    <s v="Hyderabad"/>
    <x v="0"/>
    <x v="4"/>
    <x v="27"/>
    <x v="1"/>
    <s v="Consumer"/>
    <n v="5"/>
    <n v="23253"/>
    <n v="0"/>
    <x v="1481"/>
    <n v="90744.68"/>
    <n v="25520.32"/>
    <s v="Net Banking"/>
    <s v="Rohan"/>
  </r>
  <r>
    <x v="1490"/>
    <x v="57"/>
    <s v="Bengaluru"/>
    <x v="0"/>
    <x v="6"/>
    <x v="33"/>
    <x v="2"/>
    <s v="Consumer"/>
    <n v="2"/>
    <n v="2051"/>
    <n v="0.1"/>
    <x v="1482"/>
    <n v="2461.85"/>
    <n v="1229.95"/>
    <s v="Cash"/>
    <s v="Vikram"/>
  </r>
  <r>
    <x v="1491"/>
    <x v="339"/>
    <s v="Bengaluru"/>
    <x v="0"/>
    <x v="4"/>
    <x v="4"/>
    <x v="2"/>
    <s v="Small Business"/>
    <n v="4"/>
    <n v="9188"/>
    <n v="0.05"/>
    <x v="1483"/>
    <n v="23857.21"/>
    <n v="11057.19"/>
    <s v="UPI"/>
    <s v="Rohan"/>
  </r>
  <r>
    <x v="1492"/>
    <x v="81"/>
    <s v="Kolkata"/>
    <x v="1"/>
    <x v="5"/>
    <x v="25"/>
    <x v="0"/>
    <s v="Consumer"/>
    <n v="1"/>
    <n v="13879"/>
    <n v="0.1"/>
    <x v="1484"/>
    <n v="10627.57"/>
    <n v="1863.53"/>
    <s v="Net Banking"/>
    <s v="Sara"/>
  </r>
  <r>
    <x v="1493"/>
    <x v="100"/>
    <s v="Kolkata"/>
    <x v="1"/>
    <x v="0"/>
    <x v="0"/>
    <x v="0"/>
    <s v="Consumer"/>
    <n v="8"/>
    <n v="702"/>
    <n v="0.05"/>
    <x v="1485"/>
    <n v="3313.62"/>
    <n v="2021.58"/>
    <s v="Cash"/>
    <s v="Meera"/>
  </r>
  <r>
    <x v="1494"/>
    <x v="45"/>
    <s v="Pune"/>
    <x v="2"/>
    <x v="0"/>
    <x v="19"/>
    <x v="2"/>
    <s v="Corporate"/>
    <n v="4"/>
    <n v="2214"/>
    <n v="0.05"/>
    <x v="1486"/>
    <n v="6023.89"/>
    <n v="2389.31"/>
    <s v="Cash"/>
    <s v="Kabir"/>
  </r>
  <r>
    <x v="1495"/>
    <x v="37"/>
    <s v="Pune"/>
    <x v="2"/>
    <x v="3"/>
    <x v="32"/>
    <x v="1"/>
    <s v="Consumer"/>
    <n v="6"/>
    <n v="1182"/>
    <n v="0.05"/>
    <x v="1487"/>
    <n v="3709.64"/>
    <n v="3027.76"/>
    <s v="Debit Card"/>
    <s v="Kabir"/>
  </r>
  <r>
    <x v="1496"/>
    <x v="102"/>
    <s v="Bengaluru"/>
    <x v="0"/>
    <x v="2"/>
    <x v="29"/>
    <x v="0"/>
    <s v="Small Business"/>
    <n v="8"/>
    <n v="62901"/>
    <n v="0"/>
    <x v="1488"/>
    <n v="300960.02"/>
    <n v="202247.98"/>
    <s v="Credit Card"/>
    <s v="Anaya"/>
  </r>
  <r>
    <x v="1497"/>
    <x v="165"/>
    <s v="Mumbai"/>
    <x v="2"/>
    <x v="2"/>
    <x v="9"/>
    <x v="0"/>
    <s v="Consumer"/>
    <n v="8"/>
    <n v="37201"/>
    <n v="0.05"/>
    <x v="1489"/>
    <n v="173301.9"/>
    <n v="109425.7"/>
    <s v="Credit Card"/>
    <s v="Aarav"/>
  </r>
  <r>
    <x v="1498"/>
    <x v="55"/>
    <s v="Mumbai"/>
    <x v="2"/>
    <x v="5"/>
    <x v="17"/>
    <x v="1"/>
    <s v="Small Business"/>
    <n v="6"/>
    <n v="20484"/>
    <n v="0.05"/>
    <x v="1490"/>
    <n v="81678.320000000007"/>
    <n v="35080.480000000003"/>
    <s v="Cash"/>
    <s v="Sara"/>
  </r>
  <r>
    <x v="1499"/>
    <x v="354"/>
    <s v="Pune"/>
    <x v="2"/>
    <x v="3"/>
    <x v="3"/>
    <x v="2"/>
    <s v="Corporate"/>
    <n v="3"/>
    <n v="1290"/>
    <n v="0"/>
    <x v="1491"/>
    <n v="2566.0500000000002"/>
    <n v="1303.95"/>
    <s v="Cash"/>
    <s v="Anaya"/>
  </r>
  <r>
    <x v="1500"/>
    <x v="66"/>
    <s v="Kolkata"/>
    <x v="1"/>
    <x v="0"/>
    <x v="19"/>
    <x v="2"/>
    <s v="Corporate"/>
    <n v="8"/>
    <n v="2121"/>
    <n v="0.15"/>
    <x v="1492"/>
    <n v="11308.29"/>
    <n v="3114.51"/>
    <s v="Cash"/>
    <s v="Rohan"/>
  </r>
  <r>
    <x v="1501"/>
    <x v="101"/>
    <s v="Bengaluru"/>
    <x v="0"/>
    <x v="4"/>
    <x v="14"/>
    <x v="0"/>
    <s v="Consumer"/>
    <n v="7"/>
    <n v="1683"/>
    <n v="0.05"/>
    <x v="1493"/>
    <n v="7869.03"/>
    <n v="3322.92"/>
    <s v="Credit Card"/>
    <s v="Meera"/>
  </r>
  <r>
    <x v="1502"/>
    <x v="105"/>
    <s v="Bengaluru"/>
    <x v="0"/>
    <x v="4"/>
    <x v="31"/>
    <x v="0"/>
    <s v="Consumer"/>
    <n v="8"/>
    <n v="4615"/>
    <n v="0.1"/>
    <x v="1494"/>
    <n v="21928.799999999999"/>
    <n v="11299.2"/>
    <s v="Credit Card"/>
    <s v="Meera"/>
  </r>
  <r>
    <x v="1503"/>
    <x v="208"/>
    <s v="Delhi"/>
    <x v="3"/>
    <x v="6"/>
    <x v="33"/>
    <x v="0"/>
    <s v="Small Business"/>
    <n v="3"/>
    <n v="4653"/>
    <n v="0.15"/>
    <x v="1495"/>
    <n v="9891.4699999999993"/>
    <n v="1973.68"/>
    <s v="Credit Card"/>
    <s v="Anaya"/>
  </r>
  <r>
    <x v="1504"/>
    <x v="123"/>
    <s v="Hyderabad"/>
    <x v="0"/>
    <x v="4"/>
    <x v="27"/>
    <x v="0"/>
    <s v="Consumer"/>
    <n v="1"/>
    <n v="13940"/>
    <n v="0.05"/>
    <x v="1496"/>
    <n v="7560.94"/>
    <n v="5682.06"/>
    <s v="UPI"/>
    <s v="Anaya"/>
  </r>
  <r>
    <x v="1505"/>
    <x v="23"/>
    <s v="Bengaluru"/>
    <x v="0"/>
    <x v="2"/>
    <x v="5"/>
    <x v="0"/>
    <s v="Small Business"/>
    <n v="1"/>
    <n v="7164"/>
    <n v="0.15"/>
    <x v="1497"/>
    <n v="4526.68"/>
    <n v="1562.72"/>
    <s v="Credit Card"/>
    <s v="Kabir"/>
  </r>
  <r>
    <x v="1506"/>
    <x v="61"/>
    <s v="Pune"/>
    <x v="2"/>
    <x v="0"/>
    <x v="23"/>
    <x v="1"/>
    <s v="Corporate"/>
    <n v="4"/>
    <n v="1595"/>
    <n v="0.1"/>
    <x v="1498"/>
    <n v="4645.5600000000004"/>
    <n v="1096.44"/>
    <s v="Cash"/>
    <s v="Diya"/>
  </r>
  <r>
    <x v="1507"/>
    <x v="190"/>
    <s v="Mumbai"/>
    <x v="2"/>
    <x v="1"/>
    <x v="7"/>
    <x v="1"/>
    <s v="Corporate"/>
    <n v="1"/>
    <n v="2773"/>
    <n v="0.1"/>
    <x v="1499"/>
    <n v="2155.85"/>
    <n v="339.85"/>
    <s v="Debit Card"/>
    <s v="Aarav"/>
  </r>
  <r>
    <x v="1508"/>
    <x v="144"/>
    <s v="Mumbai"/>
    <x v="2"/>
    <x v="4"/>
    <x v="4"/>
    <x v="1"/>
    <s v="Corporate"/>
    <n v="7"/>
    <n v="2533"/>
    <n v="0.15"/>
    <x v="1500"/>
    <n v="12016.03"/>
    <n v="3055.32"/>
    <s v="Cash"/>
    <s v="Anaya"/>
  </r>
  <r>
    <x v="1509"/>
    <x v="12"/>
    <s v="Bengaluru"/>
    <x v="0"/>
    <x v="3"/>
    <x v="34"/>
    <x v="2"/>
    <s v="Corporate"/>
    <n v="6"/>
    <n v="1246"/>
    <n v="0.2"/>
    <x v="1501"/>
    <n v="5138.21"/>
    <n v="842.59"/>
    <s v="Net Banking"/>
    <s v="Kabir"/>
  </r>
  <r>
    <x v="1510"/>
    <x v="110"/>
    <s v="Delhi"/>
    <x v="3"/>
    <x v="1"/>
    <x v="18"/>
    <x v="0"/>
    <s v="Corporate"/>
    <n v="2"/>
    <n v="6490"/>
    <n v="0.1"/>
    <x v="1502"/>
    <n v="7836.21"/>
    <n v="3845.79"/>
    <s v="Credit Card"/>
    <s v="Kabir"/>
  </r>
  <r>
    <x v="1511"/>
    <x v="345"/>
    <s v="Mumbai"/>
    <x v="2"/>
    <x v="5"/>
    <x v="25"/>
    <x v="1"/>
    <s v="Small Business"/>
    <n v="2"/>
    <n v="17349"/>
    <n v="0.1"/>
    <x v="1503"/>
    <n v="18220.55"/>
    <n v="13007.65"/>
    <s v="Credit Card"/>
    <s v="Vikram"/>
  </r>
  <r>
    <x v="1512"/>
    <x v="244"/>
    <s v="Bengaluru"/>
    <x v="0"/>
    <x v="5"/>
    <x v="24"/>
    <x v="0"/>
    <s v="Consumer"/>
    <n v="4"/>
    <n v="24256"/>
    <n v="0"/>
    <x v="1504"/>
    <n v="72794.509999999995"/>
    <n v="24229.49"/>
    <s v="Net Banking"/>
    <s v="Vikram"/>
  </r>
  <r>
    <x v="1513"/>
    <x v="307"/>
    <s v="Chennai"/>
    <x v="0"/>
    <x v="1"/>
    <x v="22"/>
    <x v="0"/>
    <s v="Small Business"/>
    <n v="7"/>
    <n v="690"/>
    <n v="0.05"/>
    <x v="1505"/>
    <n v="3298.53"/>
    <n v="1289.97"/>
    <s v="Credit Card"/>
    <s v="Aarav"/>
  </r>
  <r>
    <x v="1514"/>
    <x v="38"/>
    <s v="Kolkata"/>
    <x v="1"/>
    <x v="6"/>
    <x v="16"/>
    <x v="2"/>
    <s v="Corporate"/>
    <n v="7"/>
    <n v="3994"/>
    <n v="0.05"/>
    <x v="1506"/>
    <n v="18945.240000000002"/>
    <n v="7614.86"/>
    <s v="UPI"/>
    <s v="Aarav"/>
  </r>
  <r>
    <x v="1515"/>
    <x v="97"/>
    <s v="Ahmedabad"/>
    <x v="2"/>
    <x v="2"/>
    <x v="29"/>
    <x v="2"/>
    <s v="Corporate"/>
    <n v="3"/>
    <n v="11690"/>
    <n v="0.1"/>
    <x v="1507"/>
    <n v="21078.46"/>
    <n v="10484.540000000001"/>
    <s v="Debit Card"/>
    <s v="Diya"/>
  </r>
  <r>
    <x v="1516"/>
    <x v="148"/>
    <s v="Delhi"/>
    <x v="3"/>
    <x v="2"/>
    <x v="21"/>
    <x v="2"/>
    <s v="Corporate"/>
    <n v="5"/>
    <n v="35263"/>
    <n v="0.15"/>
    <x v="1508"/>
    <n v="112295.36"/>
    <n v="37572.39"/>
    <s v="Net Banking"/>
    <s v="Rohan"/>
  </r>
  <r>
    <x v="1517"/>
    <x v="111"/>
    <s v="Ahmedabad"/>
    <x v="2"/>
    <x v="0"/>
    <x v="0"/>
    <x v="1"/>
    <s v="Corporate"/>
    <n v="3"/>
    <n v="1586"/>
    <n v="0.1"/>
    <x v="1509"/>
    <n v="2763.36"/>
    <n v="1518.84"/>
    <s v="Cash"/>
    <s v="Rohan"/>
  </r>
  <r>
    <x v="1518"/>
    <x v="344"/>
    <s v="Mumbai"/>
    <x v="2"/>
    <x v="5"/>
    <x v="17"/>
    <x v="0"/>
    <s v="Corporate"/>
    <n v="7"/>
    <n v="20525"/>
    <n v="0.05"/>
    <x v="1510"/>
    <n v="75528.490000000005"/>
    <n v="60962.76"/>
    <s v="Net Banking"/>
    <s v="Rohan"/>
  </r>
  <r>
    <x v="1519"/>
    <x v="188"/>
    <s v="Mumbai"/>
    <x v="2"/>
    <x v="2"/>
    <x v="2"/>
    <x v="1"/>
    <s v="Small Business"/>
    <n v="6"/>
    <n v="42496"/>
    <n v="0.05"/>
    <x v="1511"/>
    <n v="210494.4"/>
    <n v="31732.799999999999"/>
    <s v="UPI"/>
    <s v="Aarav"/>
  </r>
  <r>
    <x v="1520"/>
    <x v="46"/>
    <s v="Hyderabad"/>
    <x v="0"/>
    <x v="3"/>
    <x v="12"/>
    <x v="0"/>
    <s v="Corporate"/>
    <n v="4"/>
    <n v="302"/>
    <n v="0"/>
    <x v="1512"/>
    <n v="770.81"/>
    <n v="437.19"/>
    <s v="Net Banking"/>
    <s v="Vikram"/>
  </r>
  <r>
    <x v="1521"/>
    <x v="246"/>
    <s v="Pune"/>
    <x v="2"/>
    <x v="4"/>
    <x v="13"/>
    <x v="1"/>
    <s v="Corporate"/>
    <n v="4"/>
    <n v="3611"/>
    <n v="0"/>
    <x v="1513"/>
    <n v="9444.4599999999991"/>
    <n v="4999.54"/>
    <s v="Cash"/>
    <s v="Meera"/>
  </r>
  <r>
    <x v="1522"/>
    <x v="168"/>
    <s v="Hyderabad"/>
    <x v="0"/>
    <x v="2"/>
    <x v="5"/>
    <x v="1"/>
    <s v="Consumer"/>
    <n v="5"/>
    <n v="53640"/>
    <n v="0.15"/>
    <x v="1514"/>
    <n v="182322.66"/>
    <n v="45647.34"/>
    <s v="Debit Card"/>
    <s v="Sara"/>
  </r>
  <r>
    <x v="1523"/>
    <x v="240"/>
    <s v="Delhi"/>
    <x v="3"/>
    <x v="6"/>
    <x v="8"/>
    <x v="2"/>
    <s v="Consumer"/>
    <n v="5"/>
    <n v="562"/>
    <n v="0.15"/>
    <x v="1515"/>
    <n v="1682.22"/>
    <n v="706.28"/>
    <s v="Cash"/>
    <s v="Sara"/>
  </r>
  <r>
    <x v="1524"/>
    <x v="123"/>
    <s v="Hyderabad"/>
    <x v="0"/>
    <x v="6"/>
    <x v="30"/>
    <x v="0"/>
    <s v="Corporate"/>
    <n v="6"/>
    <n v="2751"/>
    <n v="0.1"/>
    <x v="1516"/>
    <n v="9495.0400000000009"/>
    <n v="5360.36"/>
    <s v="Cash"/>
    <s v="Anaya"/>
  </r>
  <r>
    <x v="1525"/>
    <x v="344"/>
    <s v="Delhi"/>
    <x v="3"/>
    <x v="3"/>
    <x v="15"/>
    <x v="0"/>
    <s v="Corporate"/>
    <n v="7"/>
    <n v="720"/>
    <n v="0.1"/>
    <x v="1517"/>
    <n v="3965.65"/>
    <n v="570.35"/>
    <s v="Net Banking"/>
    <s v="Vikram"/>
  </r>
  <r>
    <x v="1526"/>
    <x v="59"/>
    <s v="Kolkata"/>
    <x v="1"/>
    <x v="6"/>
    <x v="16"/>
    <x v="1"/>
    <s v="Corporate"/>
    <n v="3"/>
    <n v="5181"/>
    <n v="0"/>
    <x v="1518"/>
    <n v="9979.7800000000007"/>
    <n v="5563.22"/>
    <s v="Cash"/>
    <s v="Diya"/>
  </r>
  <r>
    <x v="1527"/>
    <x v="339"/>
    <s v="Delhi"/>
    <x v="3"/>
    <x v="4"/>
    <x v="27"/>
    <x v="1"/>
    <s v="Small Business"/>
    <n v="8"/>
    <n v="2747"/>
    <n v="0.15"/>
    <x v="1519"/>
    <n v="16394.68"/>
    <n v="2284.92"/>
    <s v="Net Banking"/>
    <s v="Meera"/>
  </r>
  <r>
    <x v="1528"/>
    <x v="2"/>
    <s v="Pune"/>
    <x v="2"/>
    <x v="4"/>
    <x v="4"/>
    <x v="1"/>
    <s v="Consumer"/>
    <n v="6"/>
    <n v="13608"/>
    <n v="0.15"/>
    <x v="1520"/>
    <n v="39383.61"/>
    <n v="30017.19"/>
    <s v="Debit Card"/>
    <s v="Anaya"/>
  </r>
  <r>
    <x v="1529"/>
    <x v="56"/>
    <s v="Chennai"/>
    <x v="0"/>
    <x v="4"/>
    <x v="14"/>
    <x v="2"/>
    <s v="Consumer"/>
    <n v="1"/>
    <n v="20391"/>
    <n v="0"/>
    <x v="1521"/>
    <n v="15975.96"/>
    <n v="4415.04"/>
    <s v="Net Banking"/>
    <s v="Aarav"/>
  </r>
  <r>
    <x v="1530"/>
    <x v="119"/>
    <s v="Bengaluru"/>
    <x v="0"/>
    <x v="4"/>
    <x v="13"/>
    <x v="1"/>
    <s v="Corporate"/>
    <n v="6"/>
    <n v="19381"/>
    <n v="0.05"/>
    <x v="1522"/>
    <n v="65819.13"/>
    <n v="44652.57"/>
    <s v="Cash"/>
    <s v="Meera"/>
  </r>
  <r>
    <x v="1531"/>
    <x v="142"/>
    <s v="Hyderabad"/>
    <x v="0"/>
    <x v="4"/>
    <x v="31"/>
    <x v="2"/>
    <s v="Small Business"/>
    <n v="7"/>
    <n v="11916"/>
    <n v="0.15"/>
    <x v="1523"/>
    <n v="41726.129999999997"/>
    <n v="29174.07"/>
    <s v="Debit Card"/>
    <s v="Kabir"/>
  </r>
  <r>
    <x v="1532"/>
    <x v="113"/>
    <s v="Delhi"/>
    <x v="3"/>
    <x v="0"/>
    <x v="28"/>
    <x v="1"/>
    <s v="Small Business"/>
    <n v="5"/>
    <n v="1352"/>
    <n v="0.1"/>
    <x v="1524"/>
    <n v="4601.3500000000004"/>
    <n v="1482.65"/>
    <s v="Cash"/>
    <s v="Aarav"/>
  </r>
  <r>
    <x v="1533"/>
    <x v="237"/>
    <s v="Bengaluru"/>
    <x v="0"/>
    <x v="2"/>
    <x v="5"/>
    <x v="1"/>
    <s v="Consumer"/>
    <n v="7"/>
    <n v="43471"/>
    <n v="0.05"/>
    <x v="1525"/>
    <n v="208164.99"/>
    <n v="80917.16"/>
    <s v="Cash"/>
    <s v="Diya"/>
  </r>
  <r>
    <x v="1534"/>
    <x v="102"/>
    <s v="Pune"/>
    <x v="2"/>
    <x v="3"/>
    <x v="3"/>
    <x v="2"/>
    <s v="Small Business"/>
    <n v="8"/>
    <n v="1890"/>
    <n v="0.1"/>
    <x v="1526"/>
    <n v="10447.07"/>
    <n v="3160.93"/>
    <s v="Cash"/>
    <s v="Rohan"/>
  </r>
  <r>
    <x v="1535"/>
    <x v="251"/>
    <s v="Ahmedabad"/>
    <x v="2"/>
    <x v="6"/>
    <x v="33"/>
    <x v="0"/>
    <s v="Small Business"/>
    <n v="4"/>
    <n v="4692"/>
    <n v="0.2"/>
    <x v="1527"/>
    <n v="8331.41"/>
    <n v="6682.99"/>
    <s v="Cash"/>
    <s v="Anaya"/>
  </r>
  <r>
    <x v="1536"/>
    <x v="158"/>
    <s v="Mumbai"/>
    <x v="2"/>
    <x v="3"/>
    <x v="3"/>
    <x v="2"/>
    <s v="Small Business"/>
    <n v="7"/>
    <n v="1935"/>
    <n v="0"/>
    <x v="866"/>
    <n v="9701.11"/>
    <n v="3843.89"/>
    <s v="Net Banking"/>
    <s v="Aarav"/>
  </r>
  <r>
    <x v="1537"/>
    <x v="354"/>
    <s v="Hyderabad"/>
    <x v="0"/>
    <x v="2"/>
    <x v="29"/>
    <x v="1"/>
    <s v="Consumer"/>
    <n v="6"/>
    <n v="12084"/>
    <n v="0"/>
    <x v="1528"/>
    <n v="40687.65"/>
    <n v="31816.35"/>
    <s v="Net Banking"/>
    <s v="Sara"/>
  </r>
  <r>
    <x v="1538"/>
    <x v="184"/>
    <s v="Pune"/>
    <x v="2"/>
    <x v="1"/>
    <x v="18"/>
    <x v="1"/>
    <s v="Consumer"/>
    <n v="8"/>
    <n v="1763"/>
    <n v="0"/>
    <x v="1529"/>
    <n v="7982.92"/>
    <n v="6121.08"/>
    <s v="Net Banking"/>
    <s v="Sara"/>
  </r>
  <r>
    <x v="1539"/>
    <x v="178"/>
    <s v="Hyderabad"/>
    <x v="0"/>
    <x v="1"/>
    <x v="7"/>
    <x v="2"/>
    <s v="Small Business"/>
    <n v="4"/>
    <n v="9650"/>
    <n v="0.2"/>
    <x v="1530"/>
    <n v="24836.18"/>
    <n v="6043.82"/>
    <s v="Credit Card"/>
    <s v="Diya"/>
  </r>
  <r>
    <x v="1540"/>
    <x v="197"/>
    <s v="Mumbai"/>
    <x v="2"/>
    <x v="6"/>
    <x v="16"/>
    <x v="1"/>
    <s v="Consumer"/>
    <n v="3"/>
    <n v="2998"/>
    <n v="0.05"/>
    <x v="1531"/>
    <n v="6553.34"/>
    <n v="1990.96"/>
    <s v="Net Banking"/>
    <s v="Aarav"/>
  </r>
  <r>
    <x v="1541"/>
    <x v="0"/>
    <s v="Kolkata"/>
    <x v="1"/>
    <x v="3"/>
    <x v="3"/>
    <x v="0"/>
    <s v="Corporate"/>
    <n v="2"/>
    <n v="1545"/>
    <n v="0.1"/>
    <x v="1532"/>
    <n v="1972.7"/>
    <n v="808.3"/>
    <s v="Cash"/>
    <s v="Vikram"/>
  </r>
  <r>
    <x v="1542"/>
    <x v="203"/>
    <s v="Hyderabad"/>
    <x v="0"/>
    <x v="3"/>
    <x v="15"/>
    <x v="1"/>
    <s v="Consumer"/>
    <n v="2"/>
    <n v="1983"/>
    <n v="0.1"/>
    <x v="1533"/>
    <n v="2455.44"/>
    <n v="1113.96"/>
    <s v="Cash"/>
    <s v="Aarav"/>
  </r>
  <r>
    <x v="1543"/>
    <x v="323"/>
    <s v="Ahmedabad"/>
    <x v="2"/>
    <x v="1"/>
    <x v="18"/>
    <x v="1"/>
    <s v="Small Business"/>
    <n v="8"/>
    <n v="9392"/>
    <n v="0.1"/>
    <x v="1534"/>
    <n v="37936.400000000001"/>
    <n v="29686"/>
    <s v="Credit Card"/>
    <s v="Aarav"/>
  </r>
  <r>
    <x v="1544"/>
    <x v="21"/>
    <s v="Pune"/>
    <x v="2"/>
    <x v="6"/>
    <x v="20"/>
    <x v="0"/>
    <s v="Consumer"/>
    <n v="7"/>
    <n v="4303"/>
    <n v="0.15"/>
    <x v="1535"/>
    <n v="15464.09"/>
    <n v="10138.76"/>
    <s v="Net Banking"/>
    <s v="Meera"/>
  </r>
  <r>
    <x v="1545"/>
    <x v="77"/>
    <s v="Pune"/>
    <x v="2"/>
    <x v="2"/>
    <x v="29"/>
    <x v="1"/>
    <s v="Consumer"/>
    <n v="8"/>
    <n v="15337"/>
    <n v="0.05"/>
    <x v="1536"/>
    <n v="94108.49"/>
    <n v="22452.71"/>
    <s v="Cash"/>
    <s v="Anaya"/>
  </r>
  <r>
    <x v="1546"/>
    <x v="355"/>
    <s v="Bengaluru"/>
    <x v="0"/>
    <x v="5"/>
    <x v="11"/>
    <x v="2"/>
    <s v="Consumer"/>
    <n v="1"/>
    <n v="40777"/>
    <n v="0.1"/>
    <x v="1537"/>
    <n v="24334.52"/>
    <n v="12364.78"/>
    <s v="Net Banking"/>
    <s v="Vikram"/>
  </r>
  <r>
    <x v="1547"/>
    <x v="121"/>
    <s v="Bengaluru"/>
    <x v="0"/>
    <x v="2"/>
    <x v="29"/>
    <x v="1"/>
    <s v="Small Business"/>
    <n v="3"/>
    <n v="58524"/>
    <n v="0"/>
    <x v="1538"/>
    <n v="99793.25"/>
    <n v="75778.75"/>
    <s v="Credit Card"/>
    <s v="Rohan"/>
  </r>
  <r>
    <x v="1548"/>
    <x v="295"/>
    <s v="Bengaluru"/>
    <x v="0"/>
    <x v="5"/>
    <x v="11"/>
    <x v="1"/>
    <s v="Consumer"/>
    <n v="3"/>
    <n v="3975"/>
    <n v="0.05"/>
    <x v="1539"/>
    <n v="7411.54"/>
    <n v="3917.21"/>
    <s v="Net Banking"/>
    <s v="Diya"/>
  </r>
  <r>
    <x v="1549"/>
    <x v="103"/>
    <s v="Kolkata"/>
    <x v="1"/>
    <x v="6"/>
    <x v="20"/>
    <x v="1"/>
    <s v="Corporate"/>
    <n v="6"/>
    <n v="5950"/>
    <n v="0.15"/>
    <x v="1540"/>
    <n v="22738.22"/>
    <n v="7606.78"/>
    <s v="Debit Card"/>
    <s v="Kabir"/>
  </r>
  <r>
    <x v="1550"/>
    <x v="223"/>
    <s v="Ahmedabad"/>
    <x v="2"/>
    <x v="0"/>
    <x v="19"/>
    <x v="1"/>
    <s v="Small Business"/>
    <n v="8"/>
    <n v="884"/>
    <n v="0"/>
    <x v="1541"/>
    <n v="4161.54"/>
    <n v="2910.46"/>
    <s v="Debit Card"/>
    <s v="Meera"/>
  </r>
  <r>
    <x v="1551"/>
    <x v="75"/>
    <s v="Mumbai"/>
    <x v="2"/>
    <x v="4"/>
    <x v="31"/>
    <x v="1"/>
    <s v="Corporate"/>
    <n v="2"/>
    <n v="19581"/>
    <n v="0"/>
    <x v="1542"/>
    <n v="30115.74"/>
    <n v="9046.26"/>
    <s v="Debit Card"/>
    <s v="Rohan"/>
  </r>
  <r>
    <x v="1552"/>
    <x v="100"/>
    <s v="Hyderabad"/>
    <x v="0"/>
    <x v="3"/>
    <x v="12"/>
    <x v="0"/>
    <s v="Corporate"/>
    <n v="5"/>
    <n v="2207"/>
    <n v="0.05"/>
    <x v="1543"/>
    <n v="6576.45"/>
    <n v="3906.8"/>
    <s v="Debit Card"/>
    <s v="Meera"/>
  </r>
  <r>
    <x v="1553"/>
    <x v="59"/>
    <s v="Pune"/>
    <x v="2"/>
    <x v="4"/>
    <x v="14"/>
    <x v="0"/>
    <s v="Small Business"/>
    <n v="4"/>
    <n v="18394"/>
    <n v="0.05"/>
    <x v="1544"/>
    <n v="49521.84"/>
    <n v="20375.36"/>
    <s v="Credit Card"/>
    <s v="Meera"/>
  </r>
  <r>
    <x v="1554"/>
    <x v="213"/>
    <s v="Mumbai"/>
    <x v="2"/>
    <x v="1"/>
    <x v="1"/>
    <x v="0"/>
    <s v="Small Business"/>
    <n v="3"/>
    <n v="5922"/>
    <n v="0.05"/>
    <x v="1545"/>
    <n v="13593.07"/>
    <n v="3284.63"/>
    <s v="UPI"/>
    <s v="Vikram"/>
  </r>
  <r>
    <x v="1555"/>
    <x v="231"/>
    <s v="Ahmedabad"/>
    <x v="2"/>
    <x v="0"/>
    <x v="19"/>
    <x v="0"/>
    <s v="Small Business"/>
    <n v="5"/>
    <n v="295"/>
    <n v="0"/>
    <x v="1546"/>
    <n v="1017.17"/>
    <n v="457.83"/>
    <s v="Net Banking"/>
    <s v="Vikram"/>
  </r>
  <r>
    <x v="1556"/>
    <x v="18"/>
    <s v="Hyderabad"/>
    <x v="0"/>
    <x v="6"/>
    <x v="33"/>
    <x v="2"/>
    <s v="Consumer"/>
    <n v="6"/>
    <n v="2753"/>
    <n v="0.15"/>
    <x v="1547"/>
    <n v="9119.66"/>
    <n v="4920.6400000000003"/>
    <s v="Cash"/>
    <s v="Sara"/>
  </r>
  <r>
    <x v="1557"/>
    <x v="185"/>
    <s v="Mumbai"/>
    <x v="2"/>
    <x v="0"/>
    <x v="23"/>
    <x v="1"/>
    <s v="Consumer"/>
    <n v="3"/>
    <n v="1308"/>
    <n v="0.15"/>
    <x v="1548"/>
    <n v="2176.2600000000002"/>
    <n v="1159.1400000000001"/>
    <s v="Debit Card"/>
    <s v="Sara"/>
  </r>
  <r>
    <x v="1558"/>
    <x v="83"/>
    <s v="Chennai"/>
    <x v="0"/>
    <x v="0"/>
    <x v="26"/>
    <x v="1"/>
    <s v="Small Business"/>
    <n v="4"/>
    <n v="2212"/>
    <n v="0.1"/>
    <x v="1549"/>
    <n v="4940.1099999999997"/>
    <n v="3023.09"/>
    <s v="UPI"/>
    <s v="Vikram"/>
  </r>
  <r>
    <x v="1559"/>
    <x v="20"/>
    <s v="Mumbai"/>
    <x v="2"/>
    <x v="0"/>
    <x v="23"/>
    <x v="0"/>
    <s v="Corporate"/>
    <n v="6"/>
    <n v="1854"/>
    <n v="0.2"/>
    <x v="1550"/>
    <n v="7554.02"/>
    <n v="1345.18"/>
    <s v="Cash"/>
    <s v="Diya"/>
  </r>
  <r>
    <x v="1560"/>
    <x v="285"/>
    <s v="Mumbai"/>
    <x v="2"/>
    <x v="2"/>
    <x v="21"/>
    <x v="0"/>
    <s v="Corporate"/>
    <n v="5"/>
    <n v="62937"/>
    <n v="0"/>
    <x v="1551"/>
    <n v="249960.69"/>
    <n v="64724.31"/>
    <s v="Credit Card"/>
    <s v="Diya"/>
  </r>
  <r>
    <x v="1561"/>
    <x v="217"/>
    <s v="Hyderabad"/>
    <x v="0"/>
    <x v="5"/>
    <x v="17"/>
    <x v="0"/>
    <s v="Consumer"/>
    <n v="6"/>
    <n v="15909"/>
    <n v="0.05"/>
    <x v="1552"/>
    <n v="64804.93"/>
    <n v="25876.37"/>
    <s v="Debit Card"/>
    <s v="Sara"/>
  </r>
  <r>
    <x v="1562"/>
    <x v="134"/>
    <s v="Delhi"/>
    <x v="3"/>
    <x v="4"/>
    <x v="31"/>
    <x v="1"/>
    <s v="Corporate"/>
    <n v="6"/>
    <n v="11717"/>
    <n v="0.05"/>
    <x v="1553"/>
    <n v="42776.24"/>
    <n v="24010.66"/>
    <s v="Cash"/>
    <s v="Meera"/>
  </r>
  <r>
    <x v="1563"/>
    <x v="22"/>
    <s v="Bengaluru"/>
    <x v="0"/>
    <x v="6"/>
    <x v="33"/>
    <x v="2"/>
    <s v="Small Business"/>
    <n v="3"/>
    <n v="2856"/>
    <n v="0.1"/>
    <x v="1554"/>
    <n v="6029.48"/>
    <n v="1681.72"/>
    <s v="Net Banking"/>
    <s v="Rohan"/>
  </r>
  <r>
    <x v="1564"/>
    <x v="47"/>
    <s v="Mumbai"/>
    <x v="2"/>
    <x v="6"/>
    <x v="33"/>
    <x v="2"/>
    <s v="Consumer"/>
    <n v="2"/>
    <n v="314"/>
    <n v="0.1"/>
    <x v="1555"/>
    <n v="455.69"/>
    <n v="109.51"/>
    <s v="Cash"/>
    <s v="Anaya"/>
  </r>
  <r>
    <x v="1565"/>
    <x v="108"/>
    <s v="Mumbai"/>
    <x v="2"/>
    <x v="1"/>
    <x v="7"/>
    <x v="2"/>
    <s v="Consumer"/>
    <n v="1"/>
    <n v="4783"/>
    <n v="0.05"/>
    <x v="1556"/>
    <n v="3254.47"/>
    <n v="1289.3800000000001"/>
    <s v="Cash"/>
    <s v="Anaya"/>
  </r>
  <r>
    <x v="1566"/>
    <x v="260"/>
    <s v="Mumbai"/>
    <x v="2"/>
    <x v="3"/>
    <x v="15"/>
    <x v="1"/>
    <s v="Corporate"/>
    <n v="4"/>
    <n v="1571"/>
    <n v="0.05"/>
    <x v="1557"/>
    <n v="4868.3599999999997"/>
    <n v="1101.44"/>
    <s v="Credit Card"/>
    <s v="Aarav"/>
  </r>
  <r>
    <x v="1567"/>
    <x v="307"/>
    <s v="Ahmedabad"/>
    <x v="2"/>
    <x v="5"/>
    <x v="6"/>
    <x v="2"/>
    <s v="Consumer"/>
    <n v="8"/>
    <n v="15578"/>
    <n v="0.15"/>
    <x v="1558"/>
    <n v="72395.009999999995"/>
    <n v="33535.39"/>
    <s v="Net Banking"/>
    <s v="Sara"/>
  </r>
  <r>
    <x v="1568"/>
    <x v="269"/>
    <s v="Hyderabad"/>
    <x v="0"/>
    <x v="1"/>
    <x v="10"/>
    <x v="2"/>
    <s v="Corporate"/>
    <n v="1"/>
    <n v="3318"/>
    <n v="0.1"/>
    <x v="1559"/>
    <n v="1940.46"/>
    <n v="1045.74"/>
    <s v="Cash"/>
    <s v="Diya"/>
  </r>
  <r>
    <x v="1569"/>
    <x v="226"/>
    <s v="Kolkata"/>
    <x v="1"/>
    <x v="3"/>
    <x v="3"/>
    <x v="0"/>
    <s v="Corporate"/>
    <n v="6"/>
    <n v="701"/>
    <n v="0"/>
    <x v="1560"/>
    <n v="3182.25"/>
    <n v="1023.75"/>
    <s v="Credit Card"/>
    <s v="Meera"/>
  </r>
  <r>
    <x v="1570"/>
    <x v="328"/>
    <s v="Hyderabad"/>
    <x v="0"/>
    <x v="3"/>
    <x v="12"/>
    <x v="0"/>
    <s v="Consumer"/>
    <n v="1"/>
    <n v="652"/>
    <n v="0.15"/>
    <x v="1561"/>
    <n v="356.67"/>
    <n v="197.53"/>
    <s v="UPI"/>
    <s v="Aarav"/>
  </r>
  <r>
    <x v="1571"/>
    <x v="100"/>
    <s v="Pune"/>
    <x v="2"/>
    <x v="1"/>
    <x v="18"/>
    <x v="2"/>
    <s v="Small Business"/>
    <n v="2"/>
    <n v="9411"/>
    <n v="0.15"/>
    <x v="1562"/>
    <n v="12589.06"/>
    <n v="3409.64"/>
    <s v="Net Banking"/>
    <s v="Diya"/>
  </r>
  <r>
    <x v="1572"/>
    <x v="130"/>
    <s v="Bengaluru"/>
    <x v="0"/>
    <x v="1"/>
    <x v="7"/>
    <x v="0"/>
    <s v="Small Business"/>
    <n v="2"/>
    <n v="10484"/>
    <n v="0.1"/>
    <x v="1563"/>
    <n v="12290.72"/>
    <n v="6580.48"/>
    <s v="Net Banking"/>
    <s v="Anaya"/>
  </r>
  <r>
    <x v="1573"/>
    <x v="318"/>
    <s v="Mumbai"/>
    <x v="2"/>
    <x v="3"/>
    <x v="15"/>
    <x v="2"/>
    <s v="Consumer"/>
    <n v="5"/>
    <n v="976"/>
    <n v="0.05"/>
    <x v="1564"/>
    <n v="3670.89"/>
    <n v="965.11"/>
    <s v="Cash"/>
    <s v="Sara"/>
  </r>
  <r>
    <x v="1574"/>
    <x v="93"/>
    <s v="Delhi"/>
    <x v="3"/>
    <x v="0"/>
    <x v="19"/>
    <x v="1"/>
    <s v="Corporate"/>
    <n v="1"/>
    <n v="2496"/>
    <n v="0"/>
    <x v="1565"/>
    <n v="1547.99"/>
    <n v="948.01"/>
    <s v="Cash"/>
    <s v="Vikram"/>
  </r>
  <r>
    <x v="1575"/>
    <x v="276"/>
    <s v="Mumbai"/>
    <x v="2"/>
    <x v="2"/>
    <x v="5"/>
    <x v="2"/>
    <s v="Corporate"/>
    <n v="5"/>
    <n v="22950"/>
    <n v="0.1"/>
    <x v="1566"/>
    <n v="84235.520000000004"/>
    <n v="19039.48"/>
    <s v="UPI"/>
    <s v="Sara"/>
  </r>
  <r>
    <x v="1576"/>
    <x v="238"/>
    <s v="Kolkata"/>
    <x v="1"/>
    <x v="2"/>
    <x v="9"/>
    <x v="0"/>
    <s v="Corporate"/>
    <n v="6"/>
    <n v="39974"/>
    <n v="0.15"/>
    <x v="1567"/>
    <n v="161155.4"/>
    <n v="42712"/>
    <s v="UPI"/>
    <s v="Vikram"/>
  </r>
  <r>
    <x v="1577"/>
    <x v="159"/>
    <s v="Hyderabad"/>
    <x v="0"/>
    <x v="1"/>
    <x v="7"/>
    <x v="1"/>
    <s v="Corporate"/>
    <n v="3"/>
    <n v="3654"/>
    <n v="0.1"/>
    <x v="1568"/>
    <n v="7298.5"/>
    <n v="2567.3000000000002"/>
    <s v="Cash"/>
    <s v="Aarav"/>
  </r>
  <r>
    <x v="1578"/>
    <x v="139"/>
    <s v="Kolkata"/>
    <x v="1"/>
    <x v="4"/>
    <x v="31"/>
    <x v="0"/>
    <s v="Corporate"/>
    <n v="4"/>
    <n v="10611"/>
    <n v="0.1"/>
    <x v="1569"/>
    <n v="27397.9"/>
    <n v="10801.7"/>
    <s v="Credit Card"/>
    <s v="Diya"/>
  </r>
  <r>
    <x v="1579"/>
    <x v="286"/>
    <s v="Pune"/>
    <x v="2"/>
    <x v="2"/>
    <x v="21"/>
    <x v="2"/>
    <s v="Corporate"/>
    <n v="4"/>
    <n v="30192"/>
    <n v="0"/>
    <x v="1570"/>
    <n v="95948.32"/>
    <n v="24819.68"/>
    <s v="Debit Card"/>
    <s v="Vikram"/>
  </r>
  <r>
    <x v="1580"/>
    <x v="310"/>
    <s v="Hyderabad"/>
    <x v="0"/>
    <x v="2"/>
    <x v="5"/>
    <x v="1"/>
    <s v="Consumer"/>
    <n v="8"/>
    <n v="26064"/>
    <n v="0"/>
    <x v="1571"/>
    <n v="172383.1"/>
    <n v="36128.9"/>
    <s v="Credit Card"/>
    <s v="Sara"/>
  </r>
  <r>
    <x v="1581"/>
    <x v="88"/>
    <s v="Pune"/>
    <x v="2"/>
    <x v="0"/>
    <x v="19"/>
    <x v="1"/>
    <s v="Corporate"/>
    <n v="1"/>
    <n v="2002"/>
    <n v="0"/>
    <x v="1572"/>
    <n v="1347.04"/>
    <n v="654.96"/>
    <s v="Net Banking"/>
    <s v="Vikram"/>
  </r>
  <r>
    <x v="1582"/>
    <x v="18"/>
    <s v="Mumbai"/>
    <x v="2"/>
    <x v="0"/>
    <x v="19"/>
    <x v="2"/>
    <s v="Corporate"/>
    <n v="8"/>
    <n v="1313"/>
    <n v="0.1"/>
    <x v="1573"/>
    <n v="5449.01"/>
    <n v="4004.59"/>
    <s v="Debit Card"/>
    <s v="Aarav"/>
  </r>
  <r>
    <x v="1583"/>
    <x v="234"/>
    <s v="Chennai"/>
    <x v="0"/>
    <x v="3"/>
    <x v="3"/>
    <x v="2"/>
    <s v="Small Business"/>
    <n v="2"/>
    <n v="2308"/>
    <n v="0.05"/>
    <x v="1574"/>
    <n v="3594.8"/>
    <n v="790.4"/>
    <s v="Cash"/>
    <s v="Aarav"/>
  </r>
  <r>
    <x v="1584"/>
    <x v="232"/>
    <s v="Kolkata"/>
    <x v="1"/>
    <x v="6"/>
    <x v="16"/>
    <x v="1"/>
    <s v="Small Business"/>
    <n v="3"/>
    <n v="5611"/>
    <n v="0.2"/>
    <x v="1575"/>
    <n v="8476.3700000000008"/>
    <n v="4990.03"/>
    <s v="Net Banking"/>
    <s v="Kabir"/>
  </r>
  <r>
    <x v="1585"/>
    <x v="8"/>
    <s v="Pune"/>
    <x v="2"/>
    <x v="4"/>
    <x v="31"/>
    <x v="1"/>
    <s v="Corporate"/>
    <n v="5"/>
    <n v="14799"/>
    <n v="0.05"/>
    <x v="1576"/>
    <n v="58688.87"/>
    <n v="11606.38"/>
    <s v="Credit Card"/>
    <s v="Kabir"/>
  </r>
  <r>
    <x v="1586"/>
    <x v="209"/>
    <s v="Delhi"/>
    <x v="3"/>
    <x v="6"/>
    <x v="20"/>
    <x v="2"/>
    <s v="Consumer"/>
    <n v="7"/>
    <n v="5171"/>
    <n v="0"/>
    <x v="1577"/>
    <n v="20118.02"/>
    <n v="16078.98"/>
    <s v="Cash"/>
    <s v="Kabir"/>
  </r>
  <r>
    <x v="1587"/>
    <x v="126"/>
    <s v="Bengaluru"/>
    <x v="0"/>
    <x v="4"/>
    <x v="13"/>
    <x v="0"/>
    <s v="Corporate"/>
    <n v="2"/>
    <n v="8626"/>
    <n v="0.2"/>
    <x v="1578"/>
    <n v="11540.95"/>
    <n v="2260.65"/>
    <s v="UPI"/>
    <s v="Rohan"/>
  </r>
  <r>
    <x v="1588"/>
    <x v="154"/>
    <s v="Bengaluru"/>
    <x v="0"/>
    <x v="1"/>
    <x v="18"/>
    <x v="1"/>
    <s v="Consumer"/>
    <n v="2"/>
    <n v="3878"/>
    <n v="0.15"/>
    <x v="1579"/>
    <n v="3816.86"/>
    <n v="2775.74"/>
    <s v="Net Banking"/>
    <s v="Vikram"/>
  </r>
  <r>
    <x v="1589"/>
    <x v="214"/>
    <s v="Mumbai"/>
    <x v="2"/>
    <x v="3"/>
    <x v="12"/>
    <x v="2"/>
    <s v="Small Business"/>
    <n v="4"/>
    <n v="1071"/>
    <n v="0.1"/>
    <x v="1580"/>
    <n v="3281.67"/>
    <n v="573.92999999999995"/>
    <s v="Net Banking"/>
    <s v="Sara"/>
  </r>
  <r>
    <x v="1590"/>
    <x v="125"/>
    <s v="Mumbai"/>
    <x v="2"/>
    <x v="1"/>
    <x v="22"/>
    <x v="1"/>
    <s v="Consumer"/>
    <n v="4"/>
    <n v="1045"/>
    <n v="0.15"/>
    <x v="1581"/>
    <n v="2140.63"/>
    <n v="1412.37"/>
    <s v="Net Banking"/>
    <s v="Diya"/>
  </r>
  <r>
    <x v="1591"/>
    <x v="253"/>
    <s v="Mumbai"/>
    <x v="2"/>
    <x v="3"/>
    <x v="15"/>
    <x v="2"/>
    <s v="Small Business"/>
    <n v="3"/>
    <n v="2003"/>
    <n v="0"/>
    <x v="1582"/>
    <n v="4275.51"/>
    <n v="1733.49"/>
    <s v="UPI"/>
    <s v="Vikram"/>
  </r>
  <r>
    <x v="1592"/>
    <x v="233"/>
    <s v="Mumbai"/>
    <x v="2"/>
    <x v="4"/>
    <x v="27"/>
    <x v="1"/>
    <s v="Consumer"/>
    <n v="1"/>
    <n v="11482"/>
    <n v="0.1"/>
    <x v="1583"/>
    <n v="6409.83"/>
    <n v="3923.97"/>
    <s v="Debit Card"/>
    <s v="Meera"/>
  </r>
  <r>
    <x v="1593"/>
    <x v="11"/>
    <s v="Mumbai"/>
    <x v="2"/>
    <x v="0"/>
    <x v="19"/>
    <x v="1"/>
    <s v="Corporate"/>
    <n v="4"/>
    <n v="493"/>
    <n v="0.1"/>
    <x v="1584"/>
    <n v="983.72"/>
    <n v="791.08"/>
    <s v="UPI"/>
    <s v="Vikram"/>
  </r>
  <r>
    <x v="1594"/>
    <x v="28"/>
    <s v="Ahmedabad"/>
    <x v="2"/>
    <x v="0"/>
    <x v="28"/>
    <x v="1"/>
    <s v="Small Business"/>
    <n v="1"/>
    <n v="587"/>
    <n v="0.05"/>
    <x v="1585"/>
    <n v="354.4"/>
    <n v="203.25"/>
    <s v="Credit Card"/>
    <s v="Aarav"/>
  </r>
  <r>
    <x v="1595"/>
    <x v="39"/>
    <s v="Kolkata"/>
    <x v="1"/>
    <x v="4"/>
    <x v="14"/>
    <x v="0"/>
    <s v="Corporate"/>
    <n v="2"/>
    <n v="22963"/>
    <n v="0.05"/>
    <x v="1586"/>
    <n v="30501.45"/>
    <n v="13128.25"/>
    <s v="UPI"/>
    <s v="Sara"/>
  </r>
  <r>
    <x v="1596"/>
    <x v="308"/>
    <s v="Delhi"/>
    <x v="3"/>
    <x v="6"/>
    <x v="30"/>
    <x v="1"/>
    <s v="Corporate"/>
    <n v="4"/>
    <n v="490"/>
    <n v="0.2"/>
    <x v="1587"/>
    <n v="1011.84"/>
    <n v="556.16"/>
    <s v="Debit Card"/>
    <s v="Rohan"/>
  </r>
  <r>
    <x v="1597"/>
    <x v="178"/>
    <s v="Delhi"/>
    <x v="3"/>
    <x v="1"/>
    <x v="22"/>
    <x v="2"/>
    <s v="Consumer"/>
    <n v="3"/>
    <n v="10377"/>
    <n v="0"/>
    <x v="1588"/>
    <n v="21652.82"/>
    <n v="9478.18"/>
    <s v="UPI"/>
    <s v="Meera"/>
  </r>
  <r>
    <x v="1598"/>
    <x v="224"/>
    <s v="Delhi"/>
    <x v="3"/>
    <x v="5"/>
    <x v="11"/>
    <x v="0"/>
    <s v="Small Business"/>
    <n v="1"/>
    <n v="5448"/>
    <n v="0"/>
    <x v="1589"/>
    <n v="3555.15"/>
    <n v="1892.85"/>
    <s v="Debit Card"/>
    <s v="Diya"/>
  </r>
  <r>
    <x v="1599"/>
    <x v="150"/>
    <s v="Bengaluru"/>
    <x v="0"/>
    <x v="6"/>
    <x v="20"/>
    <x v="1"/>
    <s v="Consumer"/>
    <n v="8"/>
    <n v="4001"/>
    <n v="0"/>
    <x v="1590"/>
    <n v="24299.439999999999"/>
    <n v="7708.56"/>
    <s v="Net Banking"/>
    <s v="Rohan"/>
  </r>
  <r>
    <x v="1600"/>
    <x v="2"/>
    <s v="Bengaluru"/>
    <x v="0"/>
    <x v="3"/>
    <x v="32"/>
    <x v="2"/>
    <s v="Small Business"/>
    <n v="6"/>
    <n v="1481"/>
    <n v="0.05"/>
    <x v="1591"/>
    <n v="7180.83"/>
    <n v="1260.8699999999999"/>
    <s v="Debit Card"/>
    <s v="Diya"/>
  </r>
  <r>
    <x v="1601"/>
    <x v="46"/>
    <s v="Chennai"/>
    <x v="0"/>
    <x v="2"/>
    <x v="2"/>
    <x v="1"/>
    <s v="Consumer"/>
    <n v="4"/>
    <n v="41326"/>
    <n v="0.1"/>
    <x v="1592"/>
    <n v="110679.67999999999"/>
    <n v="38093.919999999998"/>
    <s v="Debit Card"/>
    <s v="Kabir"/>
  </r>
  <r>
    <x v="1602"/>
    <x v="300"/>
    <s v="Kolkata"/>
    <x v="1"/>
    <x v="3"/>
    <x v="12"/>
    <x v="2"/>
    <s v="Small Business"/>
    <n v="1"/>
    <n v="1016"/>
    <n v="0"/>
    <x v="1593"/>
    <n v="831.54"/>
    <n v="184.46"/>
    <s v="Debit Card"/>
    <s v="Diya"/>
  </r>
  <r>
    <x v="1603"/>
    <x v="245"/>
    <s v="Hyderabad"/>
    <x v="0"/>
    <x v="3"/>
    <x v="34"/>
    <x v="0"/>
    <s v="Small Business"/>
    <n v="4"/>
    <n v="2055"/>
    <n v="0.1"/>
    <x v="1594"/>
    <n v="4826.6899999999996"/>
    <n v="2571.31"/>
    <s v="UPI"/>
    <s v="Meera"/>
  </r>
  <r>
    <x v="1604"/>
    <x v="299"/>
    <s v="Pune"/>
    <x v="2"/>
    <x v="2"/>
    <x v="2"/>
    <x v="1"/>
    <s v="Consumer"/>
    <n v="6"/>
    <n v="22685"/>
    <n v="0.15"/>
    <x v="1595"/>
    <n v="72114.350000000006"/>
    <n v="43579.15"/>
    <s v="Cash"/>
    <s v="Meera"/>
  </r>
  <r>
    <x v="1605"/>
    <x v="355"/>
    <s v="Pune"/>
    <x v="2"/>
    <x v="6"/>
    <x v="8"/>
    <x v="1"/>
    <s v="Corporate"/>
    <n v="7"/>
    <n v="755"/>
    <n v="0.1"/>
    <x v="1596"/>
    <n v="3092.2"/>
    <n v="1664.3"/>
    <s v="Cash"/>
    <s v="Kabir"/>
  </r>
  <r>
    <x v="1606"/>
    <x v="185"/>
    <s v="Pune"/>
    <x v="2"/>
    <x v="1"/>
    <x v="10"/>
    <x v="1"/>
    <s v="Small Business"/>
    <n v="5"/>
    <n v="10141"/>
    <n v="0.05"/>
    <x v="1597"/>
    <n v="32295.07"/>
    <n v="15874.68"/>
    <s v="Credit Card"/>
    <s v="Anaya"/>
  </r>
  <r>
    <x v="1607"/>
    <x v="269"/>
    <s v="Chennai"/>
    <x v="0"/>
    <x v="3"/>
    <x v="15"/>
    <x v="2"/>
    <s v="Small Business"/>
    <n v="3"/>
    <n v="408"/>
    <n v="0.2"/>
    <x v="1598"/>
    <n v="586.64"/>
    <n v="392.56"/>
    <s v="Cash"/>
    <s v="Vikram"/>
  </r>
  <r>
    <x v="1608"/>
    <x v="159"/>
    <s v="Bengaluru"/>
    <x v="0"/>
    <x v="5"/>
    <x v="24"/>
    <x v="2"/>
    <s v="Small Business"/>
    <n v="1"/>
    <n v="36384"/>
    <n v="0"/>
    <x v="1599"/>
    <n v="31436.1"/>
    <n v="4947.8999999999996"/>
    <s v="UPI"/>
    <s v="Anaya"/>
  </r>
  <r>
    <x v="1609"/>
    <x v="184"/>
    <s v="Chennai"/>
    <x v="0"/>
    <x v="6"/>
    <x v="33"/>
    <x v="0"/>
    <s v="Corporate"/>
    <n v="4"/>
    <n v="5886"/>
    <n v="0.05"/>
    <x v="1600"/>
    <n v="14063.44"/>
    <n v="8303.36"/>
    <s v="Debit Card"/>
    <s v="Anaya"/>
  </r>
  <r>
    <x v="1610"/>
    <x v="188"/>
    <s v="Pune"/>
    <x v="2"/>
    <x v="3"/>
    <x v="32"/>
    <x v="1"/>
    <s v="Corporate"/>
    <n v="1"/>
    <n v="2414"/>
    <n v="0.15"/>
    <x v="1601"/>
    <n v="1636.41"/>
    <n v="415.49"/>
    <s v="Net Banking"/>
    <s v="Rohan"/>
  </r>
  <r>
    <x v="1611"/>
    <x v="246"/>
    <s v="Mumbai"/>
    <x v="2"/>
    <x v="2"/>
    <x v="21"/>
    <x v="0"/>
    <s v="Small Business"/>
    <n v="3"/>
    <n v="40942"/>
    <n v="0.15"/>
    <x v="1602"/>
    <n v="57431.73"/>
    <n v="46970.37"/>
    <s v="Net Banking"/>
    <s v="Aarav"/>
  </r>
  <r>
    <x v="1612"/>
    <x v="308"/>
    <s v="Mumbai"/>
    <x v="2"/>
    <x v="6"/>
    <x v="20"/>
    <x v="2"/>
    <s v="Corporate"/>
    <n v="5"/>
    <n v="4164"/>
    <n v="0"/>
    <x v="1603"/>
    <n v="17853.009999999998"/>
    <n v="2966.99"/>
    <s v="UPI"/>
    <s v="Anaya"/>
  </r>
  <r>
    <x v="1613"/>
    <x v="70"/>
    <s v="Mumbai"/>
    <x v="2"/>
    <x v="5"/>
    <x v="25"/>
    <x v="2"/>
    <s v="Small Business"/>
    <n v="8"/>
    <n v="17941"/>
    <n v="0"/>
    <x v="1604"/>
    <n v="104857.31"/>
    <n v="38670.69"/>
    <s v="Credit Card"/>
    <s v="Vikram"/>
  </r>
  <r>
    <x v="1614"/>
    <x v="334"/>
    <s v="Chennai"/>
    <x v="0"/>
    <x v="5"/>
    <x v="11"/>
    <x v="1"/>
    <s v="Corporate"/>
    <n v="6"/>
    <n v="29756"/>
    <n v="0.2"/>
    <x v="1605"/>
    <n v="125102.71"/>
    <n v="17726.09"/>
    <s v="UPI"/>
    <s v="Rohan"/>
  </r>
  <r>
    <x v="1615"/>
    <x v="75"/>
    <s v="Delhi"/>
    <x v="3"/>
    <x v="5"/>
    <x v="11"/>
    <x v="0"/>
    <s v="Corporate"/>
    <n v="1"/>
    <n v="25599"/>
    <n v="0.05"/>
    <x v="1606"/>
    <n v="19013.22"/>
    <n v="5305.83"/>
    <s v="Debit Card"/>
    <s v="Vikram"/>
  </r>
  <r>
    <x v="1616"/>
    <x v="320"/>
    <s v="Delhi"/>
    <x v="3"/>
    <x v="5"/>
    <x v="11"/>
    <x v="1"/>
    <s v="Small Business"/>
    <n v="2"/>
    <n v="11234"/>
    <n v="0.05"/>
    <x v="1607"/>
    <n v="16280.21"/>
    <n v="5064.3900000000003"/>
    <s v="Cash"/>
    <s v="Kabir"/>
  </r>
  <r>
    <x v="1617"/>
    <x v="16"/>
    <s v="Hyderabad"/>
    <x v="0"/>
    <x v="6"/>
    <x v="20"/>
    <x v="0"/>
    <s v="Consumer"/>
    <n v="8"/>
    <n v="5014"/>
    <n v="0.05"/>
    <x v="1608"/>
    <n v="30321.54"/>
    <n v="7784.86"/>
    <s v="Credit Card"/>
    <s v="Sara"/>
  </r>
  <r>
    <x v="1618"/>
    <x v="170"/>
    <s v="Pune"/>
    <x v="2"/>
    <x v="1"/>
    <x v="22"/>
    <x v="1"/>
    <s v="Corporate"/>
    <n v="3"/>
    <n v="6899"/>
    <n v="0.15"/>
    <x v="1609"/>
    <n v="12427.84"/>
    <n v="5164.6099999999997"/>
    <s v="UPI"/>
    <s v="Sara"/>
  </r>
  <r>
    <x v="1619"/>
    <x v="100"/>
    <s v="Delhi"/>
    <x v="3"/>
    <x v="4"/>
    <x v="27"/>
    <x v="0"/>
    <s v="Corporate"/>
    <n v="6"/>
    <n v="17702"/>
    <n v="0"/>
    <x v="1610"/>
    <n v="64115.24"/>
    <n v="42096.76"/>
    <s v="UPI"/>
    <s v="Aarav"/>
  </r>
  <r>
    <x v="1620"/>
    <x v="137"/>
    <s v="Chennai"/>
    <x v="0"/>
    <x v="5"/>
    <x v="11"/>
    <x v="1"/>
    <s v="Corporate"/>
    <n v="3"/>
    <n v="10780"/>
    <n v="0.05"/>
    <x v="1611"/>
    <n v="19161.39"/>
    <n v="11561.61"/>
    <s v="Credit Card"/>
    <s v="Kabir"/>
  </r>
  <r>
    <x v="1621"/>
    <x v="236"/>
    <s v="Chennai"/>
    <x v="0"/>
    <x v="6"/>
    <x v="20"/>
    <x v="1"/>
    <s v="Small Business"/>
    <n v="3"/>
    <n v="2081"/>
    <n v="0.15"/>
    <x v="1612"/>
    <n v="4178.25"/>
    <n v="1128.3"/>
    <s v="Net Banking"/>
    <s v="Sara"/>
  </r>
  <r>
    <x v="1622"/>
    <x v="40"/>
    <s v="Kolkata"/>
    <x v="1"/>
    <x v="2"/>
    <x v="29"/>
    <x v="1"/>
    <s v="Corporate"/>
    <n v="4"/>
    <n v="50706"/>
    <n v="0.05"/>
    <x v="1613"/>
    <n v="163871"/>
    <n v="28811.8"/>
    <s v="Net Banking"/>
    <s v="Anaya"/>
  </r>
  <r>
    <x v="1623"/>
    <x v="0"/>
    <s v="Ahmedabad"/>
    <x v="2"/>
    <x v="2"/>
    <x v="21"/>
    <x v="2"/>
    <s v="Consumer"/>
    <n v="6"/>
    <n v="5130"/>
    <n v="0.15"/>
    <x v="1614"/>
    <n v="16419.12"/>
    <n v="9743.8799999999992"/>
    <s v="Debit Card"/>
    <s v="Vikram"/>
  </r>
  <r>
    <x v="1624"/>
    <x v="316"/>
    <s v="Mumbai"/>
    <x v="2"/>
    <x v="2"/>
    <x v="2"/>
    <x v="1"/>
    <s v="Corporate"/>
    <n v="3"/>
    <n v="66547"/>
    <n v="0.15"/>
    <x v="1615"/>
    <n v="147894.85"/>
    <n v="21800"/>
    <s v="Credit Card"/>
    <s v="Sara"/>
  </r>
  <r>
    <x v="1625"/>
    <x v="102"/>
    <s v="Chennai"/>
    <x v="0"/>
    <x v="2"/>
    <x v="29"/>
    <x v="0"/>
    <s v="Consumer"/>
    <n v="8"/>
    <n v="26185"/>
    <n v="0"/>
    <x v="1616"/>
    <n v="181733.61"/>
    <n v="27746.39"/>
    <s v="Credit Card"/>
    <s v="Sara"/>
  </r>
  <r>
    <x v="1626"/>
    <x v="7"/>
    <s v="Delhi"/>
    <x v="3"/>
    <x v="5"/>
    <x v="24"/>
    <x v="1"/>
    <s v="Corporate"/>
    <n v="2"/>
    <n v="33445"/>
    <n v="0.15"/>
    <x v="1617"/>
    <n v="40818.480000000003"/>
    <n v="16038.02"/>
    <s v="Debit Card"/>
    <s v="Kabir"/>
  </r>
  <r>
    <x v="1627"/>
    <x v="320"/>
    <s v="Ahmedabad"/>
    <x v="2"/>
    <x v="0"/>
    <x v="26"/>
    <x v="1"/>
    <s v="Small Business"/>
    <n v="2"/>
    <n v="844"/>
    <n v="0.2"/>
    <x v="1618"/>
    <n v="816.27"/>
    <n v="534.13"/>
    <s v="Cash"/>
    <s v="Rohan"/>
  </r>
  <r>
    <x v="1628"/>
    <x v="6"/>
    <s v="Bengaluru"/>
    <x v="0"/>
    <x v="5"/>
    <x v="17"/>
    <x v="2"/>
    <s v="Consumer"/>
    <n v="7"/>
    <n v="25849"/>
    <n v="0.1"/>
    <x v="1619"/>
    <n v="117577.8"/>
    <n v="45270.9"/>
    <s v="Debit Card"/>
    <s v="Aarav"/>
  </r>
  <r>
    <x v="1629"/>
    <x v="116"/>
    <s v="Mumbai"/>
    <x v="2"/>
    <x v="5"/>
    <x v="17"/>
    <x v="1"/>
    <s v="Consumer"/>
    <n v="4"/>
    <n v="21571"/>
    <n v="0.15"/>
    <x v="1620"/>
    <n v="51921.05"/>
    <n v="21420.35"/>
    <s v="Debit Card"/>
    <s v="Diya"/>
  </r>
  <r>
    <x v="1630"/>
    <x v="97"/>
    <s v="Kolkata"/>
    <x v="1"/>
    <x v="0"/>
    <x v="28"/>
    <x v="1"/>
    <s v="Consumer"/>
    <n v="2"/>
    <n v="794"/>
    <n v="0.05"/>
    <x v="1621"/>
    <n v="944.32"/>
    <n v="564.28"/>
    <s v="Debit Card"/>
    <s v="Vikram"/>
  </r>
  <r>
    <x v="1631"/>
    <x v="293"/>
    <s v="Delhi"/>
    <x v="3"/>
    <x v="2"/>
    <x v="21"/>
    <x v="2"/>
    <s v="Corporate"/>
    <n v="3"/>
    <n v="28544"/>
    <n v="0.05"/>
    <x v="1622"/>
    <n v="52221.52"/>
    <n v="29128.880000000001"/>
    <s v="Net Banking"/>
    <s v="Anaya"/>
  </r>
  <r>
    <x v="1632"/>
    <x v="308"/>
    <s v="Mumbai"/>
    <x v="2"/>
    <x v="5"/>
    <x v="11"/>
    <x v="1"/>
    <s v="Consumer"/>
    <n v="1"/>
    <n v="11116"/>
    <n v="0.1"/>
    <x v="1623"/>
    <n v="6332.84"/>
    <n v="3671.56"/>
    <s v="Debit Card"/>
    <s v="Rohan"/>
  </r>
  <r>
    <x v="1633"/>
    <x v="120"/>
    <s v="Kolkata"/>
    <x v="1"/>
    <x v="3"/>
    <x v="15"/>
    <x v="1"/>
    <s v="Consumer"/>
    <n v="2"/>
    <n v="811"/>
    <n v="0"/>
    <x v="1624"/>
    <n v="981.96"/>
    <n v="640.04"/>
    <s v="UPI"/>
    <s v="Meera"/>
  </r>
  <r>
    <x v="1634"/>
    <x v="94"/>
    <s v="Mumbai"/>
    <x v="2"/>
    <x v="4"/>
    <x v="4"/>
    <x v="1"/>
    <s v="Consumer"/>
    <n v="7"/>
    <n v="2281"/>
    <n v="0.05"/>
    <x v="1625"/>
    <n v="11533.5"/>
    <n v="3635.15"/>
    <s v="Debit Card"/>
    <s v="Rohan"/>
  </r>
  <r>
    <x v="1635"/>
    <x v="49"/>
    <s v="Pune"/>
    <x v="2"/>
    <x v="2"/>
    <x v="9"/>
    <x v="0"/>
    <s v="Corporate"/>
    <n v="8"/>
    <n v="62944"/>
    <n v="0.1"/>
    <x v="1626"/>
    <n v="376254.78"/>
    <n v="76942.02"/>
    <s v="Net Banking"/>
    <s v="Kabir"/>
  </r>
  <r>
    <x v="1636"/>
    <x v="158"/>
    <s v="Hyderabad"/>
    <x v="0"/>
    <x v="0"/>
    <x v="26"/>
    <x v="1"/>
    <s v="Consumer"/>
    <n v="1"/>
    <n v="1097"/>
    <n v="0.15"/>
    <x v="1627"/>
    <n v="799.5"/>
    <n v="132.94999999999999"/>
    <s v="UPI"/>
    <s v="Aarav"/>
  </r>
  <r>
    <x v="1637"/>
    <x v="78"/>
    <s v="Hyderabad"/>
    <x v="0"/>
    <x v="6"/>
    <x v="16"/>
    <x v="0"/>
    <s v="Corporate"/>
    <n v="3"/>
    <n v="3561"/>
    <n v="0.15"/>
    <x v="1628"/>
    <n v="6167.13"/>
    <n v="2913.42"/>
    <s v="UPI"/>
    <s v="Aarav"/>
  </r>
  <r>
    <x v="1638"/>
    <x v="55"/>
    <s v="Mumbai"/>
    <x v="2"/>
    <x v="5"/>
    <x v="24"/>
    <x v="2"/>
    <s v="Small Business"/>
    <n v="4"/>
    <n v="32725"/>
    <n v="0.05"/>
    <x v="1629"/>
    <n v="98415.92"/>
    <n v="25939.08"/>
    <s v="Debit Card"/>
    <s v="Diya"/>
  </r>
  <r>
    <x v="1639"/>
    <x v="49"/>
    <s v="Ahmedabad"/>
    <x v="2"/>
    <x v="2"/>
    <x v="9"/>
    <x v="1"/>
    <s v="Small Business"/>
    <n v="1"/>
    <n v="13408"/>
    <n v="0.1"/>
    <x v="1630"/>
    <n v="8369.09"/>
    <n v="3698.11"/>
    <s v="Debit Card"/>
    <s v="Diya"/>
  </r>
  <r>
    <x v="1640"/>
    <x v="232"/>
    <s v="Mumbai"/>
    <x v="2"/>
    <x v="2"/>
    <x v="5"/>
    <x v="1"/>
    <s v="Small Business"/>
    <n v="3"/>
    <n v="5525"/>
    <n v="0.15"/>
    <x v="1631"/>
    <n v="7816.8"/>
    <n v="6271.95"/>
    <s v="Net Banking"/>
    <s v="Rohan"/>
  </r>
  <r>
    <x v="1641"/>
    <x v="84"/>
    <s v="Bengaluru"/>
    <x v="0"/>
    <x v="6"/>
    <x v="33"/>
    <x v="0"/>
    <s v="Corporate"/>
    <n v="8"/>
    <n v="2741"/>
    <n v="0.1"/>
    <x v="1632"/>
    <n v="13181.18"/>
    <n v="6554.02"/>
    <s v="Cash"/>
    <s v="Aarav"/>
  </r>
  <r>
    <x v="1642"/>
    <x v="4"/>
    <s v="Delhi"/>
    <x v="3"/>
    <x v="1"/>
    <x v="1"/>
    <x v="2"/>
    <s v="Corporate"/>
    <n v="8"/>
    <n v="3904"/>
    <n v="0.1"/>
    <x v="1633"/>
    <n v="16452.36"/>
    <n v="11656.44"/>
    <s v="Credit Card"/>
    <s v="Rohan"/>
  </r>
  <r>
    <x v="1643"/>
    <x v="57"/>
    <s v="Bengaluru"/>
    <x v="0"/>
    <x v="4"/>
    <x v="13"/>
    <x v="0"/>
    <s v="Consumer"/>
    <n v="1"/>
    <n v="11200"/>
    <n v="0.1"/>
    <x v="1634"/>
    <n v="5857.23"/>
    <n v="4222.7700000000004"/>
    <s v="UPI"/>
    <s v="Aarav"/>
  </r>
  <r>
    <x v="1644"/>
    <x v="191"/>
    <s v="Ahmedabad"/>
    <x v="2"/>
    <x v="6"/>
    <x v="33"/>
    <x v="0"/>
    <s v="Small Business"/>
    <n v="7"/>
    <n v="825"/>
    <n v="0.15"/>
    <x v="1635"/>
    <n v="4156.08"/>
    <n v="752.67"/>
    <s v="UPI"/>
    <s v="Kabir"/>
  </r>
  <r>
    <x v="1645"/>
    <x v="101"/>
    <s v="Chennai"/>
    <x v="0"/>
    <x v="6"/>
    <x v="33"/>
    <x v="0"/>
    <s v="Small Business"/>
    <n v="2"/>
    <n v="3478"/>
    <n v="0.05"/>
    <x v="1636"/>
    <n v="5502.25"/>
    <n v="1105.95"/>
    <s v="UPI"/>
    <s v="Rohan"/>
  </r>
  <r>
    <x v="1646"/>
    <x v="49"/>
    <s v="Mumbai"/>
    <x v="2"/>
    <x v="5"/>
    <x v="6"/>
    <x v="2"/>
    <s v="Consumer"/>
    <n v="6"/>
    <n v="21643"/>
    <n v="0.1"/>
    <x v="1637"/>
    <n v="90406.54"/>
    <n v="26465.66"/>
    <s v="UPI"/>
    <s v="Rohan"/>
  </r>
  <r>
    <x v="1647"/>
    <x v="11"/>
    <s v="Kolkata"/>
    <x v="1"/>
    <x v="0"/>
    <x v="19"/>
    <x v="0"/>
    <s v="Small Business"/>
    <n v="2"/>
    <n v="910"/>
    <n v="0.1"/>
    <x v="1638"/>
    <n v="1179.43"/>
    <n v="458.57"/>
    <s v="Credit Card"/>
    <s v="Meera"/>
  </r>
  <r>
    <x v="1648"/>
    <x v="206"/>
    <s v="Ahmedabad"/>
    <x v="2"/>
    <x v="1"/>
    <x v="10"/>
    <x v="1"/>
    <s v="Consumer"/>
    <n v="1"/>
    <n v="6201"/>
    <n v="0.05"/>
    <x v="1639"/>
    <n v="3343.42"/>
    <n v="2547.5300000000002"/>
    <s v="Credit Card"/>
    <s v="Meera"/>
  </r>
  <r>
    <x v="1649"/>
    <x v="64"/>
    <s v="Kolkata"/>
    <x v="1"/>
    <x v="4"/>
    <x v="13"/>
    <x v="2"/>
    <s v="Small Business"/>
    <n v="4"/>
    <n v="7016"/>
    <n v="0"/>
    <x v="1640"/>
    <n v="21882.99"/>
    <n v="6181.01"/>
    <s v="Debit Card"/>
    <s v="Meera"/>
  </r>
  <r>
    <x v="1650"/>
    <x v="208"/>
    <s v="Delhi"/>
    <x v="3"/>
    <x v="4"/>
    <x v="14"/>
    <x v="0"/>
    <s v="Small Business"/>
    <n v="7"/>
    <n v="8966"/>
    <n v="0.2"/>
    <x v="1641"/>
    <n v="37227.339999999997"/>
    <n v="12982.26"/>
    <s v="Debit Card"/>
    <s v="Meera"/>
  </r>
  <r>
    <x v="1651"/>
    <x v="76"/>
    <s v="Mumbai"/>
    <x v="2"/>
    <x v="6"/>
    <x v="8"/>
    <x v="1"/>
    <s v="Small Business"/>
    <n v="7"/>
    <n v="3092"/>
    <n v="0.1"/>
    <x v="1642"/>
    <n v="16281.8"/>
    <n v="3197.8"/>
    <s v="UPI"/>
    <s v="Kabir"/>
  </r>
  <r>
    <x v="1652"/>
    <x v="338"/>
    <s v="Bengaluru"/>
    <x v="0"/>
    <x v="4"/>
    <x v="14"/>
    <x v="0"/>
    <s v="Small Business"/>
    <n v="3"/>
    <n v="14215"/>
    <n v="0.15"/>
    <x v="1643"/>
    <n v="23145.78"/>
    <n v="13102.47"/>
    <s v="Cash"/>
    <s v="Sara"/>
  </r>
  <r>
    <x v="1653"/>
    <x v="167"/>
    <s v="Hyderabad"/>
    <x v="0"/>
    <x v="3"/>
    <x v="12"/>
    <x v="0"/>
    <s v="Corporate"/>
    <n v="4"/>
    <n v="1792"/>
    <n v="0.05"/>
    <x v="1644"/>
    <n v="3991.43"/>
    <n v="2818.17"/>
    <s v="Net Banking"/>
    <s v="Anaya"/>
  </r>
  <r>
    <x v="1654"/>
    <x v="144"/>
    <s v="Pune"/>
    <x v="2"/>
    <x v="2"/>
    <x v="21"/>
    <x v="0"/>
    <s v="Corporate"/>
    <n v="7"/>
    <n v="3172"/>
    <n v="0.05"/>
    <x v="1645"/>
    <n v="12950.19"/>
    <n v="8143.61"/>
    <s v="Credit Card"/>
    <s v="Anaya"/>
  </r>
  <r>
    <x v="1655"/>
    <x v="77"/>
    <s v="Pune"/>
    <x v="2"/>
    <x v="5"/>
    <x v="17"/>
    <x v="2"/>
    <s v="Small Business"/>
    <n v="3"/>
    <n v="33306"/>
    <n v="0.1"/>
    <x v="1646"/>
    <n v="72032.77"/>
    <n v="17893.43"/>
    <s v="Credit Card"/>
    <s v="Anaya"/>
  </r>
  <r>
    <x v="1656"/>
    <x v="158"/>
    <s v="Bengaluru"/>
    <x v="0"/>
    <x v="4"/>
    <x v="27"/>
    <x v="1"/>
    <s v="Consumer"/>
    <n v="7"/>
    <n v="18418"/>
    <n v="0.15"/>
    <x v="1647"/>
    <n v="71471.34"/>
    <n v="38115.760000000002"/>
    <s v="Net Banking"/>
    <s v="Aarav"/>
  </r>
  <r>
    <x v="1657"/>
    <x v="165"/>
    <s v="Delhi"/>
    <x v="3"/>
    <x v="0"/>
    <x v="19"/>
    <x v="2"/>
    <s v="Consumer"/>
    <n v="8"/>
    <n v="1224"/>
    <n v="0.15"/>
    <x v="1648"/>
    <n v="6624.62"/>
    <n v="1698.58"/>
    <s v="Net Banking"/>
    <s v="Sara"/>
  </r>
  <r>
    <x v="1658"/>
    <x v="117"/>
    <s v="Pune"/>
    <x v="2"/>
    <x v="6"/>
    <x v="20"/>
    <x v="0"/>
    <s v="Small Business"/>
    <n v="6"/>
    <n v="5353"/>
    <n v="0.05"/>
    <x v="1649"/>
    <n v="24764.66"/>
    <n v="5747.44"/>
    <s v="Net Banking"/>
    <s v="Rohan"/>
  </r>
  <r>
    <x v="1659"/>
    <x v="107"/>
    <s v="Delhi"/>
    <x v="3"/>
    <x v="4"/>
    <x v="27"/>
    <x v="1"/>
    <s v="Small Business"/>
    <n v="3"/>
    <n v="21494"/>
    <n v="0.1"/>
    <x v="1650"/>
    <n v="38148"/>
    <n v="19885.8"/>
    <s v="UPI"/>
    <s v="Sara"/>
  </r>
  <r>
    <x v="1660"/>
    <x v="17"/>
    <s v="Delhi"/>
    <x v="3"/>
    <x v="1"/>
    <x v="7"/>
    <x v="1"/>
    <s v="Corporate"/>
    <n v="6"/>
    <n v="11573"/>
    <n v="0"/>
    <x v="1651"/>
    <n v="49818.94"/>
    <n v="19619.060000000001"/>
    <s v="Debit Card"/>
    <s v="Diya"/>
  </r>
  <r>
    <x v="1661"/>
    <x v="196"/>
    <s v="Bengaluru"/>
    <x v="0"/>
    <x v="3"/>
    <x v="12"/>
    <x v="2"/>
    <s v="Consumer"/>
    <n v="5"/>
    <n v="1384"/>
    <n v="0.15"/>
    <x v="1652"/>
    <n v="5173.3"/>
    <n v="708.7"/>
    <s v="Credit Card"/>
    <s v="Meera"/>
  </r>
  <r>
    <x v="1662"/>
    <x v="209"/>
    <s v="Chennai"/>
    <x v="0"/>
    <x v="1"/>
    <x v="10"/>
    <x v="1"/>
    <s v="Consumer"/>
    <n v="3"/>
    <n v="5767"/>
    <n v="0.1"/>
    <x v="1653"/>
    <n v="12120.36"/>
    <n v="3450.54"/>
    <s v="Debit Card"/>
    <s v="Anaya"/>
  </r>
  <r>
    <x v="1663"/>
    <x v="132"/>
    <s v="Mumbai"/>
    <x v="2"/>
    <x v="3"/>
    <x v="32"/>
    <x v="1"/>
    <s v="Corporate"/>
    <n v="1"/>
    <n v="695"/>
    <n v="0.1"/>
    <x v="1654"/>
    <n v="371.7"/>
    <n v="253.8"/>
    <s v="Net Banking"/>
    <s v="Meera"/>
  </r>
  <r>
    <x v="1664"/>
    <x v="113"/>
    <s v="Hyderabad"/>
    <x v="0"/>
    <x v="5"/>
    <x v="6"/>
    <x v="0"/>
    <s v="Corporate"/>
    <n v="5"/>
    <n v="29298"/>
    <n v="0.1"/>
    <x v="1655"/>
    <n v="115273.46"/>
    <n v="16567.54"/>
    <s v="UPI"/>
    <s v="Diya"/>
  </r>
  <r>
    <x v="1665"/>
    <x v="11"/>
    <s v="Bengaluru"/>
    <x v="0"/>
    <x v="3"/>
    <x v="34"/>
    <x v="0"/>
    <s v="Corporate"/>
    <n v="3"/>
    <n v="1368"/>
    <n v="0.2"/>
    <x v="1656"/>
    <n v="2363.3200000000002"/>
    <n v="919.88"/>
    <s v="Net Banking"/>
    <s v="Meera"/>
  </r>
  <r>
    <x v="1666"/>
    <x v="246"/>
    <s v="Mumbai"/>
    <x v="2"/>
    <x v="4"/>
    <x v="4"/>
    <x v="1"/>
    <s v="Corporate"/>
    <n v="8"/>
    <n v="10596"/>
    <n v="0.1"/>
    <x v="1657"/>
    <n v="54468.05"/>
    <n v="21823.15"/>
    <s v="Debit Card"/>
    <s v="Kabir"/>
  </r>
  <r>
    <x v="1667"/>
    <x v="76"/>
    <s v="Pune"/>
    <x v="2"/>
    <x v="5"/>
    <x v="25"/>
    <x v="1"/>
    <s v="Corporate"/>
    <n v="8"/>
    <n v="48683"/>
    <n v="0.05"/>
    <x v="1658"/>
    <n v="287949.83"/>
    <n v="82040.97"/>
    <s v="Credit Card"/>
    <s v="Rohan"/>
  </r>
  <r>
    <x v="1668"/>
    <x v="109"/>
    <s v="Ahmedabad"/>
    <x v="2"/>
    <x v="0"/>
    <x v="23"/>
    <x v="1"/>
    <s v="Small Business"/>
    <n v="2"/>
    <n v="2360"/>
    <n v="0"/>
    <x v="1659"/>
    <n v="3186.03"/>
    <n v="1533.97"/>
    <s v="Net Banking"/>
    <s v="Sara"/>
  </r>
  <r>
    <x v="1669"/>
    <x v="348"/>
    <s v="Bengaluru"/>
    <x v="0"/>
    <x v="1"/>
    <x v="1"/>
    <x v="0"/>
    <s v="Consumer"/>
    <n v="4"/>
    <n v="11354"/>
    <n v="0.1"/>
    <x v="1660"/>
    <n v="23002.799999999999"/>
    <n v="17871.599999999999"/>
    <s v="Credit Card"/>
    <s v="Meera"/>
  </r>
  <r>
    <x v="1670"/>
    <x v="54"/>
    <s v="Mumbai"/>
    <x v="2"/>
    <x v="3"/>
    <x v="15"/>
    <x v="2"/>
    <s v="Small Business"/>
    <n v="6"/>
    <n v="2061"/>
    <n v="0"/>
    <x v="1661"/>
    <n v="8010.56"/>
    <n v="4355.4399999999996"/>
    <s v="Debit Card"/>
    <s v="Kabir"/>
  </r>
  <r>
    <x v="1671"/>
    <x v="202"/>
    <s v="Pune"/>
    <x v="2"/>
    <x v="6"/>
    <x v="8"/>
    <x v="1"/>
    <s v="Corporate"/>
    <n v="8"/>
    <n v="652"/>
    <n v="0.15"/>
    <x v="1662"/>
    <n v="3420.98"/>
    <n v="1012.62"/>
    <s v="Credit Card"/>
    <s v="Aarav"/>
  </r>
  <r>
    <x v="1672"/>
    <x v="32"/>
    <s v="Delhi"/>
    <x v="3"/>
    <x v="1"/>
    <x v="10"/>
    <x v="0"/>
    <s v="Small Business"/>
    <n v="7"/>
    <n v="10732"/>
    <n v="0.15"/>
    <x v="1663"/>
    <n v="53027.31"/>
    <n v="10828.09"/>
    <s v="Credit Card"/>
    <s v="Anaya"/>
  </r>
  <r>
    <x v="1673"/>
    <x v="36"/>
    <s v="Ahmedabad"/>
    <x v="2"/>
    <x v="3"/>
    <x v="32"/>
    <x v="0"/>
    <s v="Corporate"/>
    <n v="8"/>
    <n v="1823"/>
    <n v="0.15"/>
    <x v="1664"/>
    <n v="9016.34"/>
    <n v="3380.06"/>
    <s v="Credit Card"/>
    <s v="Kabir"/>
  </r>
  <r>
    <x v="1674"/>
    <x v="268"/>
    <s v="Ahmedabad"/>
    <x v="2"/>
    <x v="1"/>
    <x v="10"/>
    <x v="0"/>
    <s v="Small Business"/>
    <n v="3"/>
    <n v="11404"/>
    <n v="0.1"/>
    <x v="1665"/>
    <n v="26404.16"/>
    <n v="4386.6400000000003"/>
    <s v="UPI"/>
    <s v="Rohan"/>
  </r>
  <r>
    <x v="1675"/>
    <x v="116"/>
    <s v="Delhi"/>
    <x v="3"/>
    <x v="1"/>
    <x v="18"/>
    <x v="1"/>
    <s v="Corporate"/>
    <n v="7"/>
    <n v="2892"/>
    <n v="0"/>
    <x v="1666"/>
    <n v="12483.22"/>
    <n v="7760.78"/>
    <s v="Debit Card"/>
    <s v="Aarav"/>
  </r>
  <r>
    <x v="1676"/>
    <x v="97"/>
    <s v="Mumbai"/>
    <x v="2"/>
    <x v="3"/>
    <x v="34"/>
    <x v="0"/>
    <s v="Consumer"/>
    <n v="6"/>
    <n v="508"/>
    <n v="0.1"/>
    <x v="1667"/>
    <n v="1561.39"/>
    <n v="1181.81"/>
    <s v="Cash"/>
    <s v="Vikram"/>
  </r>
  <r>
    <x v="1677"/>
    <x v="77"/>
    <s v="Mumbai"/>
    <x v="2"/>
    <x v="6"/>
    <x v="8"/>
    <x v="0"/>
    <s v="Consumer"/>
    <n v="3"/>
    <n v="3296"/>
    <n v="0"/>
    <x v="1668"/>
    <n v="7689.1"/>
    <n v="2198.9"/>
    <s v="UPI"/>
    <s v="Aarav"/>
  </r>
  <r>
    <x v="1678"/>
    <x v="111"/>
    <s v="Ahmedabad"/>
    <x v="2"/>
    <x v="2"/>
    <x v="21"/>
    <x v="1"/>
    <s v="Consumer"/>
    <n v="7"/>
    <n v="68196"/>
    <n v="0"/>
    <x v="1669"/>
    <n v="290696.56"/>
    <n v="186675.44"/>
    <s v="UPI"/>
    <s v="Rohan"/>
  </r>
  <r>
    <x v="1679"/>
    <x v="321"/>
    <s v="Hyderabad"/>
    <x v="0"/>
    <x v="6"/>
    <x v="16"/>
    <x v="2"/>
    <s v="Corporate"/>
    <n v="3"/>
    <n v="4128"/>
    <n v="0"/>
    <x v="1670"/>
    <n v="8500.41"/>
    <n v="3883.59"/>
    <s v="Net Banking"/>
    <s v="Meera"/>
  </r>
  <r>
    <x v="1680"/>
    <x v="251"/>
    <s v="Mumbai"/>
    <x v="2"/>
    <x v="4"/>
    <x v="27"/>
    <x v="1"/>
    <s v="Corporate"/>
    <n v="1"/>
    <n v="12740"/>
    <n v="0"/>
    <x v="1671"/>
    <n v="8379.14"/>
    <n v="4360.8599999999997"/>
    <s v="Debit Card"/>
    <s v="Meera"/>
  </r>
  <r>
    <x v="1681"/>
    <x v="136"/>
    <s v="Chennai"/>
    <x v="0"/>
    <x v="1"/>
    <x v="7"/>
    <x v="0"/>
    <s v="Corporate"/>
    <n v="3"/>
    <n v="5499"/>
    <n v="0"/>
    <x v="1672"/>
    <n v="12858.6"/>
    <n v="3638.4"/>
    <s v="UPI"/>
    <s v="Diya"/>
  </r>
  <r>
    <x v="1682"/>
    <x v="44"/>
    <s v="Bengaluru"/>
    <x v="0"/>
    <x v="5"/>
    <x v="6"/>
    <x v="2"/>
    <s v="Small Business"/>
    <n v="1"/>
    <n v="27630"/>
    <n v="0.1"/>
    <x v="1673"/>
    <n v="14698.97"/>
    <n v="10168.030000000001"/>
    <s v="Net Banking"/>
    <s v="Diya"/>
  </r>
  <r>
    <x v="1683"/>
    <x v="101"/>
    <s v="Pune"/>
    <x v="2"/>
    <x v="5"/>
    <x v="17"/>
    <x v="2"/>
    <s v="Small Business"/>
    <n v="6"/>
    <n v="8740"/>
    <n v="0"/>
    <x v="1674"/>
    <n v="42060.71"/>
    <n v="10379.290000000001"/>
    <s v="Net Banking"/>
    <s v="Meera"/>
  </r>
  <r>
    <x v="1684"/>
    <x v="332"/>
    <s v="Kolkata"/>
    <x v="1"/>
    <x v="6"/>
    <x v="33"/>
    <x v="1"/>
    <s v="Small Business"/>
    <n v="4"/>
    <n v="1666"/>
    <n v="0.05"/>
    <x v="1675"/>
    <n v="4993.6099999999997"/>
    <n v="1337.19"/>
    <s v="Debit Card"/>
    <s v="Sara"/>
  </r>
  <r>
    <x v="1685"/>
    <x v="321"/>
    <s v="Mumbai"/>
    <x v="2"/>
    <x v="0"/>
    <x v="19"/>
    <x v="0"/>
    <s v="Small Business"/>
    <n v="8"/>
    <n v="1097"/>
    <n v="0"/>
    <x v="1676"/>
    <n v="7363.73"/>
    <n v="1412.27"/>
    <s v="Credit Card"/>
    <s v="Kabir"/>
  </r>
  <r>
    <x v="1686"/>
    <x v="107"/>
    <s v="Pune"/>
    <x v="2"/>
    <x v="4"/>
    <x v="27"/>
    <x v="2"/>
    <s v="Consumer"/>
    <n v="8"/>
    <n v="18983"/>
    <n v="0"/>
    <x v="1677"/>
    <n v="94859.4"/>
    <n v="57004.6"/>
    <s v="Net Banking"/>
    <s v="Kabir"/>
  </r>
  <r>
    <x v="1687"/>
    <x v="128"/>
    <s v="Mumbai"/>
    <x v="2"/>
    <x v="6"/>
    <x v="16"/>
    <x v="0"/>
    <s v="Corporate"/>
    <n v="1"/>
    <n v="2120"/>
    <n v="0"/>
    <x v="1678"/>
    <n v="1739.92"/>
    <n v="380.08"/>
    <s v="UPI"/>
    <s v="Vikram"/>
  </r>
  <r>
    <x v="1688"/>
    <x v="345"/>
    <s v="Chennai"/>
    <x v="0"/>
    <x v="1"/>
    <x v="1"/>
    <x v="1"/>
    <s v="Consumer"/>
    <n v="6"/>
    <n v="4571"/>
    <n v="0.05"/>
    <x v="1679"/>
    <n v="22290.560000000001"/>
    <n v="3764.14"/>
    <s v="UPI"/>
    <s v="Rohan"/>
  </r>
  <r>
    <x v="1689"/>
    <x v="61"/>
    <s v="Hyderabad"/>
    <x v="0"/>
    <x v="0"/>
    <x v="19"/>
    <x v="2"/>
    <s v="Consumer"/>
    <n v="2"/>
    <n v="241"/>
    <n v="0.15"/>
    <x v="1680"/>
    <n v="229.48"/>
    <n v="180.22"/>
    <s v="Net Banking"/>
    <s v="Anaya"/>
  </r>
  <r>
    <x v="1690"/>
    <x v="129"/>
    <s v="Mumbai"/>
    <x v="2"/>
    <x v="5"/>
    <x v="17"/>
    <x v="1"/>
    <s v="Small Business"/>
    <n v="6"/>
    <n v="38633"/>
    <n v="0.15"/>
    <x v="1681"/>
    <n v="136266.88"/>
    <n v="60761.42"/>
    <s v="Net Banking"/>
    <s v="Aarav"/>
  </r>
  <r>
    <x v="1691"/>
    <x v="301"/>
    <s v="Bengaluru"/>
    <x v="0"/>
    <x v="2"/>
    <x v="2"/>
    <x v="1"/>
    <s v="Consumer"/>
    <n v="5"/>
    <n v="10845"/>
    <n v="0"/>
    <x v="1682"/>
    <n v="36620.959999999999"/>
    <n v="17604.04"/>
    <s v="UPI"/>
    <s v="Anaya"/>
  </r>
  <r>
    <x v="1692"/>
    <x v="96"/>
    <s v="Mumbai"/>
    <x v="2"/>
    <x v="3"/>
    <x v="12"/>
    <x v="0"/>
    <s v="Small Business"/>
    <n v="4"/>
    <n v="2316"/>
    <n v="0.05"/>
    <x v="1683"/>
    <n v="5912.85"/>
    <n v="2887.95"/>
    <s v="Net Banking"/>
    <s v="Vikram"/>
  </r>
  <r>
    <x v="1693"/>
    <x v="348"/>
    <s v="Ahmedabad"/>
    <x v="2"/>
    <x v="0"/>
    <x v="26"/>
    <x v="2"/>
    <s v="Corporate"/>
    <n v="3"/>
    <n v="1070"/>
    <n v="0.05"/>
    <x v="1684"/>
    <n v="2612.96"/>
    <n v="436.54"/>
    <s v="Credit Card"/>
    <s v="Anaya"/>
  </r>
  <r>
    <x v="1694"/>
    <x v="309"/>
    <s v="Mumbai"/>
    <x v="2"/>
    <x v="4"/>
    <x v="14"/>
    <x v="2"/>
    <s v="Consumer"/>
    <n v="7"/>
    <n v="22475"/>
    <n v="0.05"/>
    <x v="1685"/>
    <n v="113295.31"/>
    <n v="36163.440000000002"/>
    <s v="Net Banking"/>
    <s v="Vikram"/>
  </r>
  <r>
    <x v="1695"/>
    <x v="158"/>
    <s v="Mumbai"/>
    <x v="2"/>
    <x v="5"/>
    <x v="24"/>
    <x v="1"/>
    <s v="Small Business"/>
    <n v="3"/>
    <n v="3145"/>
    <n v="0.15"/>
    <x v="1686"/>
    <n v="6640.5"/>
    <n v="1379.25"/>
    <s v="Net Banking"/>
    <s v="Rohan"/>
  </r>
  <r>
    <x v="1696"/>
    <x v="47"/>
    <s v="Ahmedabad"/>
    <x v="2"/>
    <x v="3"/>
    <x v="34"/>
    <x v="0"/>
    <s v="Consumer"/>
    <n v="8"/>
    <n v="1263"/>
    <n v="0.15"/>
    <x v="1687"/>
    <n v="5359.36"/>
    <n v="3229.04"/>
    <s v="Credit Card"/>
    <s v="Kabir"/>
  </r>
  <r>
    <x v="1697"/>
    <x v="253"/>
    <s v="Delhi"/>
    <x v="3"/>
    <x v="0"/>
    <x v="0"/>
    <x v="1"/>
    <s v="Small Business"/>
    <n v="3"/>
    <n v="1534"/>
    <n v="0.15"/>
    <x v="1688"/>
    <n v="2275.4299999999998"/>
    <n v="1636.27"/>
    <s v="Cash"/>
    <s v="Aarav"/>
  </r>
  <r>
    <x v="1698"/>
    <x v="328"/>
    <s v="Mumbai"/>
    <x v="2"/>
    <x v="5"/>
    <x v="6"/>
    <x v="2"/>
    <s v="Small Business"/>
    <n v="5"/>
    <n v="44560"/>
    <n v="0.05"/>
    <x v="1689"/>
    <n v="116745.9"/>
    <n v="94914.1"/>
    <s v="Debit Card"/>
    <s v="Anaya"/>
  </r>
  <r>
    <x v="1699"/>
    <x v="165"/>
    <s v="Delhi"/>
    <x v="3"/>
    <x v="0"/>
    <x v="28"/>
    <x v="1"/>
    <s v="Consumer"/>
    <n v="4"/>
    <n v="1314"/>
    <n v="0.05"/>
    <x v="1690"/>
    <n v="3170.34"/>
    <n v="1822.86"/>
    <s v="Cash"/>
    <s v="Rohan"/>
  </r>
  <r>
    <x v="1700"/>
    <x v="331"/>
    <s v="Mumbai"/>
    <x v="2"/>
    <x v="0"/>
    <x v="23"/>
    <x v="2"/>
    <s v="Corporate"/>
    <n v="7"/>
    <n v="1804"/>
    <n v="0"/>
    <x v="1691"/>
    <n v="7106.55"/>
    <n v="5521.45"/>
    <s v="Net Banking"/>
    <s v="Anaya"/>
  </r>
  <r>
    <x v="1701"/>
    <x v="191"/>
    <s v="Kolkata"/>
    <x v="1"/>
    <x v="3"/>
    <x v="34"/>
    <x v="1"/>
    <s v="Corporate"/>
    <n v="4"/>
    <n v="1492"/>
    <n v="0.15"/>
    <x v="1692"/>
    <n v="3987.55"/>
    <n v="1085.25"/>
    <s v="Cash"/>
    <s v="Kabir"/>
  </r>
  <r>
    <x v="1702"/>
    <x v="145"/>
    <s v="Ahmedabad"/>
    <x v="2"/>
    <x v="3"/>
    <x v="32"/>
    <x v="1"/>
    <s v="Corporate"/>
    <n v="7"/>
    <n v="608"/>
    <n v="0.1"/>
    <x v="962"/>
    <n v="3272.43"/>
    <n v="557.97"/>
    <s v="Cash"/>
    <s v="Meera"/>
  </r>
  <r>
    <x v="1703"/>
    <x v="35"/>
    <s v="Delhi"/>
    <x v="3"/>
    <x v="5"/>
    <x v="6"/>
    <x v="2"/>
    <s v="Consumer"/>
    <n v="6"/>
    <n v="3235"/>
    <n v="0"/>
    <x v="1693"/>
    <n v="15552.94"/>
    <n v="3857.06"/>
    <s v="UPI"/>
    <s v="Aarav"/>
  </r>
  <r>
    <x v="1704"/>
    <x v="113"/>
    <s v="Pune"/>
    <x v="2"/>
    <x v="4"/>
    <x v="13"/>
    <x v="1"/>
    <s v="Corporate"/>
    <n v="2"/>
    <n v="22449"/>
    <n v="0"/>
    <x v="1694"/>
    <n v="33247.06"/>
    <n v="11650.94"/>
    <s v="Debit Card"/>
    <s v="Vikram"/>
  </r>
  <r>
    <x v="1705"/>
    <x v="327"/>
    <s v="Hyderabad"/>
    <x v="0"/>
    <x v="3"/>
    <x v="32"/>
    <x v="0"/>
    <s v="Small Business"/>
    <n v="8"/>
    <n v="665"/>
    <n v="0.05"/>
    <x v="1695"/>
    <n v="4317.38"/>
    <n v="736.62"/>
    <s v="Net Banking"/>
    <s v="Anaya"/>
  </r>
  <r>
    <x v="1706"/>
    <x v="216"/>
    <s v="Mumbai"/>
    <x v="2"/>
    <x v="0"/>
    <x v="23"/>
    <x v="1"/>
    <s v="Corporate"/>
    <n v="4"/>
    <n v="2416"/>
    <n v="0.1"/>
    <x v="1696"/>
    <n v="5637.28"/>
    <n v="3060.32"/>
    <s v="Cash"/>
    <s v="Kabir"/>
  </r>
  <r>
    <x v="1707"/>
    <x v="340"/>
    <s v="Delhi"/>
    <x v="3"/>
    <x v="3"/>
    <x v="3"/>
    <x v="2"/>
    <s v="Corporate"/>
    <n v="2"/>
    <n v="142"/>
    <n v="0.15"/>
    <x v="1697"/>
    <n v="158.47"/>
    <n v="82.93"/>
    <s v="Net Banking"/>
    <s v="Aarav"/>
  </r>
  <r>
    <x v="1708"/>
    <x v="324"/>
    <s v="Bengaluru"/>
    <x v="0"/>
    <x v="0"/>
    <x v="28"/>
    <x v="1"/>
    <s v="Corporate"/>
    <n v="2"/>
    <n v="380"/>
    <n v="0"/>
    <x v="1698"/>
    <n v="455.39"/>
    <n v="304.61"/>
    <s v="Credit Card"/>
    <s v="Meera"/>
  </r>
  <r>
    <x v="1709"/>
    <x v="99"/>
    <s v="Mumbai"/>
    <x v="2"/>
    <x v="5"/>
    <x v="24"/>
    <x v="1"/>
    <s v="Consumer"/>
    <n v="3"/>
    <n v="45828"/>
    <n v="0.1"/>
    <x v="1699"/>
    <n v="100619.55"/>
    <n v="23116.05"/>
    <s v="Cash"/>
    <s v="Vikram"/>
  </r>
  <r>
    <x v="1710"/>
    <x v="96"/>
    <s v="Chennai"/>
    <x v="0"/>
    <x v="2"/>
    <x v="29"/>
    <x v="0"/>
    <s v="Corporate"/>
    <n v="7"/>
    <n v="69962"/>
    <n v="0.05"/>
    <x v="1700"/>
    <n v="401518.23"/>
    <n v="63729.07"/>
    <s v="Cash"/>
    <s v="Vikram"/>
  </r>
  <r>
    <x v="1711"/>
    <x v="165"/>
    <s v="Bengaluru"/>
    <x v="0"/>
    <x v="5"/>
    <x v="17"/>
    <x v="0"/>
    <s v="Small Business"/>
    <n v="4"/>
    <n v="41778"/>
    <n v="0.1"/>
    <x v="1701"/>
    <n v="93922.59"/>
    <n v="56478.21"/>
    <s v="Cash"/>
    <s v="Kabir"/>
  </r>
  <r>
    <x v="1712"/>
    <x v="205"/>
    <s v="Kolkata"/>
    <x v="1"/>
    <x v="3"/>
    <x v="32"/>
    <x v="1"/>
    <s v="Corporate"/>
    <n v="8"/>
    <n v="2212"/>
    <n v="0"/>
    <x v="1702"/>
    <n v="14047.41"/>
    <n v="3648.59"/>
    <s v="Debit Card"/>
    <s v="Aarav"/>
  </r>
  <r>
    <x v="1713"/>
    <x v="264"/>
    <s v="Mumbai"/>
    <x v="2"/>
    <x v="3"/>
    <x v="32"/>
    <x v="0"/>
    <s v="Consumer"/>
    <n v="4"/>
    <n v="463"/>
    <n v="0.15"/>
    <x v="1703"/>
    <n v="1208.73"/>
    <n v="365.47"/>
    <s v="UPI"/>
    <s v="Meera"/>
  </r>
  <r>
    <x v="1714"/>
    <x v="74"/>
    <s v="Mumbai"/>
    <x v="2"/>
    <x v="6"/>
    <x v="33"/>
    <x v="0"/>
    <s v="Small Business"/>
    <n v="4"/>
    <n v="3439"/>
    <n v="0.1"/>
    <x v="1704"/>
    <n v="7033.78"/>
    <n v="5346.62"/>
    <s v="Cash"/>
    <s v="Meera"/>
  </r>
  <r>
    <x v="1715"/>
    <x v="151"/>
    <s v="Hyderabad"/>
    <x v="0"/>
    <x v="2"/>
    <x v="5"/>
    <x v="2"/>
    <s v="Consumer"/>
    <n v="4"/>
    <n v="59777"/>
    <n v="0.05"/>
    <x v="1705"/>
    <n v="132085.41"/>
    <n v="95067.19"/>
    <s v="Cash"/>
    <s v="Vikram"/>
  </r>
  <r>
    <x v="1716"/>
    <x v="356"/>
    <s v="Mumbai"/>
    <x v="2"/>
    <x v="3"/>
    <x v="32"/>
    <x v="0"/>
    <s v="Corporate"/>
    <n v="7"/>
    <n v="2454"/>
    <n v="0"/>
    <x v="1706"/>
    <n v="9529.36"/>
    <n v="7648.64"/>
    <s v="Debit Card"/>
    <s v="Aarav"/>
  </r>
  <r>
    <x v="1717"/>
    <x v="334"/>
    <s v="Mumbai"/>
    <x v="2"/>
    <x v="5"/>
    <x v="25"/>
    <x v="2"/>
    <s v="Corporate"/>
    <n v="2"/>
    <n v="35561"/>
    <n v="0.05"/>
    <x v="1707"/>
    <n v="51632.639999999999"/>
    <n v="15933.26"/>
    <s v="Cash"/>
    <s v="Sara"/>
  </r>
  <r>
    <x v="1718"/>
    <x v="59"/>
    <s v="Kolkata"/>
    <x v="1"/>
    <x v="1"/>
    <x v="10"/>
    <x v="2"/>
    <s v="Consumer"/>
    <n v="8"/>
    <n v="4390"/>
    <n v="0.15"/>
    <x v="1708"/>
    <n v="24144.5"/>
    <n v="5707.5"/>
    <s v="Debit Card"/>
    <s v="Kabir"/>
  </r>
  <r>
    <x v="1719"/>
    <x v="1"/>
    <s v="Kolkata"/>
    <x v="1"/>
    <x v="1"/>
    <x v="22"/>
    <x v="2"/>
    <s v="Corporate"/>
    <n v="2"/>
    <n v="5651"/>
    <n v="0.15"/>
    <x v="1709"/>
    <n v="6732.21"/>
    <n v="2874.49"/>
    <s v="Net Banking"/>
    <s v="Aarav"/>
  </r>
  <r>
    <x v="1720"/>
    <x v="195"/>
    <s v="Kolkata"/>
    <x v="1"/>
    <x v="4"/>
    <x v="4"/>
    <x v="1"/>
    <s v="Corporate"/>
    <n v="3"/>
    <n v="4406"/>
    <n v="0"/>
    <x v="1710"/>
    <n v="9114.14"/>
    <n v="4103.8599999999997"/>
    <s v="Debit Card"/>
    <s v="Vikram"/>
  </r>
  <r>
    <x v="1721"/>
    <x v="323"/>
    <s v="Pune"/>
    <x v="2"/>
    <x v="4"/>
    <x v="27"/>
    <x v="1"/>
    <s v="Corporate"/>
    <n v="5"/>
    <n v="6999"/>
    <n v="0.05"/>
    <x v="1711"/>
    <n v="24832.89"/>
    <n v="8412.36"/>
    <s v="UPI"/>
    <s v="Kabir"/>
  </r>
  <r>
    <x v="1722"/>
    <x v="256"/>
    <s v="Ahmedabad"/>
    <x v="2"/>
    <x v="4"/>
    <x v="27"/>
    <x v="0"/>
    <s v="Corporate"/>
    <n v="1"/>
    <n v="8570"/>
    <n v="0.05"/>
    <x v="1712"/>
    <n v="5192.41"/>
    <n v="2949.09"/>
    <s v="UPI"/>
    <s v="Diya"/>
  </r>
  <r>
    <x v="1723"/>
    <x v="173"/>
    <s v="Kolkata"/>
    <x v="1"/>
    <x v="4"/>
    <x v="27"/>
    <x v="1"/>
    <s v="Small Business"/>
    <n v="6"/>
    <n v="13362"/>
    <n v="0.1"/>
    <x v="1713"/>
    <n v="55868.160000000003"/>
    <n v="16286.64"/>
    <s v="Debit Card"/>
    <s v="Diya"/>
  </r>
  <r>
    <x v="1724"/>
    <x v="32"/>
    <s v="Delhi"/>
    <x v="3"/>
    <x v="3"/>
    <x v="15"/>
    <x v="2"/>
    <s v="Small Business"/>
    <n v="1"/>
    <n v="2031"/>
    <n v="0"/>
    <x v="1714"/>
    <n v="1509.73"/>
    <n v="521.27"/>
    <s v="UPI"/>
    <s v="Rohan"/>
  </r>
  <r>
    <x v="1725"/>
    <x v="104"/>
    <s v="Pune"/>
    <x v="2"/>
    <x v="5"/>
    <x v="6"/>
    <x v="1"/>
    <s v="Small Business"/>
    <n v="4"/>
    <n v="13152"/>
    <n v="0"/>
    <x v="1715"/>
    <n v="41336.239999999998"/>
    <n v="11271.76"/>
    <s v="Credit Card"/>
    <s v="Rohan"/>
  </r>
  <r>
    <x v="1726"/>
    <x v="35"/>
    <s v="Mumbai"/>
    <x v="2"/>
    <x v="0"/>
    <x v="19"/>
    <x v="2"/>
    <s v="Small Business"/>
    <n v="8"/>
    <n v="1108"/>
    <n v="0.1"/>
    <x v="1716"/>
    <n v="5681.12"/>
    <n v="2296.48"/>
    <s v="Credit Card"/>
    <s v="Aarav"/>
  </r>
  <r>
    <x v="1727"/>
    <x v="219"/>
    <s v="Bengaluru"/>
    <x v="0"/>
    <x v="6"/>
    <x v="20"/>
    <x v="0"/>
    <s v="Small Business"/>
    <n v="3"/>
    <n v="5204"/>
    <n v="0.15"/>
    <x v="1717"/>
    <n v="9370.7099999999991"/>
    <n v="3899.49"/>
    <s v="UPI"/>
    <s v="Vikram"/>
  </r>
  <r>
    <x v="1728"/>
    <x v="272"/>
    <s v="Delhi"/>
    <x v="3"/>
    <x v="2"/>
    <x v="5"/>
    <x v="0"/>
    <s v="Small Business"/>
    <n v="6"/>
    <n v="19705"/>
    <n v="0.15"/>
    <x v="1718"/>
    <n v="57620.800000000003"/>
    <n v="42874.7"/>
    <s v="Cash"/>
    <s v="Vikram"/>
  </r>
  <r>
    <x v="1729"/>
    <x v="187"/>
    <s v="Chennai"/>
    <x v="0"/>
    <x v="4"/>
    <x v="13"/>
    <x v="0"/>
    <s v="Corporate"/>
    <n v="7"/>
    <n v="12308"/>
    <n v="0.2"/>
    <x v="1719"/>
    <n v="48139.95"/>
    <n v="20784.849999999999"/>
    <s v="Credit Card"/>
    <s v="Anaya"/>
  </r>
  <r>
    <x v="1730"/>
    <x v="286"/>
    <s v="Hyderabad"/>
    <x v="0"/>
    <x v="3"/>
    <x v="12"/>
    <x v="0"/>
    <s v="Corporate"/>
    <n v="7"/>
    <n v="1018"/>
    <n v="0.05"/>
    <x v="1720"/>
    <n v="5765.03"/>
    <n v="1004.67"/>
    <s v="Credit Card"/>
    <s v="Rohan"/>
  </r>
  <r>
    <x v="1731"/>
    <x v="65"/>
    <s v="Delhi"/>
    <x v="3"/>
    <x v="5"/>
    <x v="11"/>
    <x v="1"/>
    <s v="Consumer"/>
    <n v="5"/>
    <n v="8056"/>
    <n v="0.05"/>
    <x v="1721"/>
    <n v="32223.98"/>
    <n v="6042.02"/>
    <s v="Credit Card"/>
    <s v="Rohan"/>
  </r>
  <r>
    <x v="1732"/>
    <x v="28"/>
    <s v="Mumbai"/>
    <x v="2"/>
    <x v="3"/>
    <x v="12"/>
    <x v="2"/>
    <s v="Corporate"/>
    <n v="5"/>
    <n v="2244"/>
    <n v="0.1"/>
    <x v="1111"/>
    <n v="6934.53"/>
    <n v="3163.47"/>
    <s v="Debit Card"/>
    <s v="Sara"/>
  </r>
  <r>
    <x v="1733"/>
    <x v="344"/>
    <s v="Bengaluru"/>
    <x v="0"/>
    <x v="1"/>
    <x v="18"/>
    <x v="0"/>
    <s v="Corporate"/>
    <n v="7"/>
    <n v="2967"/>
    <n v="0.15"/>
    <x v="1722"/>
    <n v="10554.53"/>
    <n v="7099.12"/>
    <s v="Net Banking"/>
    <s v="Kabir"/>
  </r>
  <r>
    <x v="1734"/>
    <x v="24"/>
    <s v="Mumbai"/>
    <x v="2"/>
    <x v="0"/>
    <x v="0"/>
    <x v="0"/>
    <s v="Consumer"/>
    <n v="7"/>
    <n v="436"/>
    <n v="0"/>
    <x v="1723"/>
    <n v="2576.16"/>
    <n v="475.84"/>
    <s v="Credit Card"/>
    <s v="Rohan"/>
  </r>
  <r>
    <x v="1735"/>
    <x v="15"/>
    <s v="Delhi"/>
    <x v="3"/>
    <x v="0"/>
    <x v="19"/>
    <x v="1"/>
    <s v="Small Business"/>
    <n v="3"/>
    <n v="1332"/>
    <n v="0.05"/>
    <x v="1724"/>
    <n v="2148.8000000000002"/>
    <n v="1647.4"/>
    <s v="UPI"/>
    <s v="Kabir"/>
  </r>
  <r>
    <x v="1736"/>
    <x v="55"/>
    <s v="Bengaluru"/>
    <x v="0"/>
    <x v="1"/>
    <x v="1"/>
    <x v="0"/>
    <s v="Consumer"/>
    <n v="3"/>
    <n v="11356"/>
    <n v="0"/>
    <x v="1725"/>
    <n v="23829.47"/>
    <n v="10238.530000000001"/>
    <s v="Net Banking"/>
    <s v="Sara"/>
  </r>
  <r>
    <x v="1737"/>
    <x v="270"/>
    <s v="Chennai"/>
    <x v="0"/>
    <x v="1"/>
    <x v="7"/>
    <x v="1"/>
    <s v="Consumer"/>
    <n v="2"/>
    <n v="10194"/>
    <n v="0.05"/>
    <x v="1726"/>
    <n v="10722.35"/>
    <n v="8646.25"/>
    <s v="UPI"/>
    <s v="Aarav"/>
  </r>
  <r>
    <x v="1738"/>
    <x v="216"/>
    <s v="Mumbai"/>
    <x v="2"/>
    <x v="0"/>
    <x v="0"/>
    <x v="2"/>
    <s v="Corporate"/>
    <n v="7"/>
    <n v="1001"/>
    <n v="0.1"/>
    <x v="1727"/>
    <n v="4494.66"/>
    <n v="1811.64"/>
    <s v="UPI"/>
    <s v="Vikram"/>
  </r>
  <r>
    <x v="1739"/>
    <x v="305"/>
    <s v="Pune"/>
    <x v="2"/>
    <x v="3"/>
    <x v="3"/>
    <x v="2"/>
    <s v="Consumer"/>
    <n v="5"/>
    <n v="1242"/>
    <n v="0.15"/>
    <x v="1728"/>
    <n v="3223.5"/>
    <n v="2055"/>
    <s v="Debit Card"/>
    <s v="Rohan"/>
  </r>
  <r>
    <x v="1740"/>
    <x v="249"/>
    <s v="Mumbai"/>
    <x v="2"/>
    <x v="3"/>
    <x v="15"/>
    <x v="2"/>
    <s v="Consumer"/>
    <n v="2"/>
    <n v="399"/>
    <n v="0.1"/>
    <x v="1729"/>
    <n v="569.79999999999995"/>
    <n v="148.4"/>
    <s v="UPI"/>
    <s v="Meera"/>
  </r>
  <r>
    <x v="1741"/>
    <x v="208"/>
    <s v="Pune"/>
    <x v="2"/>
    <x v="1"/>
    <x v="10"/>
    <x v="0"/>
    <s v="Corporate"/>
    <n v="2"/>
    <n v="1522"/>
    <n v="0.2"/>
    <x v="1730"/>
    <n v="1731.98"/>
    <n v="703.22"/>
    <s v="Debit Card"/>
    <s v="Vikram"/>
  </r>
  <r>
    <x v="1742"/>
    <x v="191"/>
    <s v="Mumbai"/>
    <x v="2"/>
    <x v="1"/>
    <x v="10"/>
    <x v="1"/>
    <s v="Small Business"/>
    <n v="4"/>
    <n v="3854"/>
    <n v="0"/>
    <x v="1731"/>
    <n v="10664.86"/>
    <n v="4751.1400000000003"/>
    <s v="Debit Card"/>
    <s v="Vikram"/>
  </r>
  <r>
    <x v="1743"/>
    <x v="212"/>
    <s v="Delhi"/>
    <x v="3"/>
    <x v="3"/>
    <x v="32"/>
    <x v="0"/>
    <s v="Corporate"/>
    <n v="2"/>
    <n v="876"/>
    <n v="0.2"/>
    <x v="1732"/>
    <n v="1081.0999999999999"/>
    <n v="320.5"/>
    <s v="Net Banking"/>
    <s v="Vikram"/>
  </r>
  <r>
    <x v="1744"/>
    <x v="178"/>
    <s v="Pune"/>
    <x v="2"/>
    <x v="5"/>
    <x v="6"/>
    <x v="1"/>
    <s v="Consumer"/>
    <n v="4"/>
    <n v="40781"/>
    <n v="0"/>
    <x v="1733"/>
    <n v="94032.39"/>
    <n v="69091.61"/>
    <s v="Cash"/>
    <s v="Diya"/>
  </r>
  <r>
    <x v="1745"/>
    <x v="57"/>
    <s v="Mumbai"/>
    <x v="2"/>
    <x v="3"/>
    <x v="12"/>
    <x v="2"/>
    <s v="Corporate"/>
    <n v="7"/>
    <n v="1850"/>
    <n v="0"/>
    <x v="1734"/>
    <n v="8071.61"/>
    <n v="4878.3900000000003"/>
    <s v="Net Banking"/>
    <s v="Anaya"/>
  </r>
  <r>
    <x v="1746"/>
    <x v="252"/>
    <s v="Hyderabad"/>
    <x v="0"/>
    <x v="1"/>
    <x v="7"/>
    <x v="1"/>
    <s v="Consumer"/>
    <n v="4"/>
    <n v="2129"/>
    <n v="0.1"/>
    <x v="1735"/>
    <n v="4807.51"/>
    <n v="2856.89"/>
    <s v="Debit Card"/>
    <s v="Kabir"/>
  </r>
  <r>
    <x v="1747"/>
    <x v="232"/>
    <s v="Mumbai"/>
    <x v="2"/>
    <x v="1"/>
    <x v="10"/>
    <x v="0"/>
    <s v="Corporate"/>
    <n v="3"/>
    <n v="3780"/>
    <n v="0.2"/>
    <x v="1736"/>
    <n v="7862"/>
    <n v="1210"/>
    <s v="Debit Card"/>
    <s v="Anaya"/>
  </r>
  <r>
    <x v="1748"/>
    <x v="264"/>
    <s v="Pune"/>
    <x v="2"/>
    <x v="4"/>
    <x v="31"/>
    <x v="2"/>
    <s v="Small Business"/>
    <n v="6"/>
    <n v="8836"/>
    <n v="0.1"/>
    <x v="1737"/>
    <n v="37818.83"/>
    <n v="9895.57"/>
    <s v="Cash"/>
    <s v="Aarav"/>
  </r>
  <r>
    <x v="1749"/>
    <x v="16"/>
    <s v="Ahmedabad"/>
    <x v="2"/>
    <x v="6"/>
    <x v="8"/>
    <x v="2"/>
    <s v="Small Business"/>
    <n v="1"/>
    <n v="1437"/>
    <n v="0"/>
    <x v="1738"/>
    <n v="1182.7"/>
    <n v="254.3"/>
    <s v="Cash"/>
    <s v="Kabir"/>
  </r>
  <r>
    <x v="1750"/>
    <x v="73"/>
    <s v="Pune"/>
    <x v="2"/>
    <x v="0"/>
    <x v="19"/>
    <x v="1"/>
    <s v="Small Business"/>
    <n v="8"/>
    <n v="643"/>
    <n v="0"/>
    <x v="1739"/>
    <n v="3997.06"/>
    <n v="1146.94"/>
    <s v="Debit Card"/>
    <s v="Sara"/>
  </r>
  <r>
    <x v="1751"/>
    <x v="101"/>
    <s v="Ahmedabad"/>
    <x v="2"/>
    <x v="5"/>
    <x v="24"/>
    <x v="2"/>
    <s v="Consumer"/>
    <n v="8"/>
    <n v="27643"/>
    <n v="0"/>
    <x v="1740"/>
    <n v="150761.85999999999"/>
    <n v="70382.14"/>
    <s v="Credit Card"/>
    <s v="Diya"/>
  </r>
  <r>
    <x v="1752"/>
    <x v="351"/>
    <s v="Hyderabad"/>
    <x v="0"/>
    <x v="0"/>
    <x v="23"/>
    <x v="2"/>
    <s v="Small Business"/>
    <n v="7"/>
    <n v="592"/>
    <n v="0.1"/>
    <x v="1741"/>
    <n v="2270.44"/>
    <n v="1459.16"/>
    <s v="Cash"/>
    <s v="Vikram"/>
  </r>
  <r>
    <x v="1753"/>
    <x v="200"/>
    <s v="Delhi"/>
    <x v="3"/>
    <x v="0"/>
    <x v="0"/>
    <x v="2"/>
    <s v="Corporate"/>
    <n v="6"/>
    <n v="1034"/>
    <n v="0.05"/>
    <x v="1742"/>
    <n v="4653.38"/>
    <n v="1240.42"/>
    <s v="UPI"/>
    <s v="Rohan"/>
  </r>
  <r>
    <x v="1754"/>
    <x v="315"/>
    <s v="Hyderabad"/>
    <x v="0"/>
    <x v="3"/>
    <x v="34"/>
    <x v="0"/>
    <s v="Corporate"/>
    <n v="5"/>
    <n v="450"/>
    <n v="0"/>
    <x v="1743"/>
    <n v="1683.02"/>
    <n v="566.98"/>
    <s v="UPI"/>
    <s v="Diya"/>
  </r>
  <r>
    <x v="1755"/>
    <x v="312"/>
    <s v="Ahmedabad"/>
    <x v="2"/>
    <x v="2"/>
    <x v="2"/>
    <x v="0"/>
    <s v="Corporate"/>
    <n v="1"/>
    <n v="5169"/>
    <n v="0"/>
    <x v="1744"/>
    <n v="3373.44"/>
    <n v="1795.56"/>
    <s v="Debit Card"/>
    <s v="Anaya"/>
  </r>
  <r>
    <x v="1756"/>
    <x v="332"/>
    <s v="Hyderabad"/>
    <x v="0"/>
    <x v="2"/>
    <x v="9"/>
    <x v="2"/>
    <s v="Small Business"/>
    <n v="7"/>
    <n v="53703"/>
    <n v="0.05"/>
    <x v="1745"/>
    <n v="199260.31"/>
    <n v="157864.64000000001"/>
    <s v="Net Banking"/>
    <s v="Sara"/>
  </r>
  <r>
    <x v="1757"/>
    <x v="38"/>
    <s v="Delhi"/>
    <x v="3"/>
    <x v="0"/>
    <x v="23"/>
    <x v="0"/>
    <s v="Corporate"/>
    <n v="2"/>
    <n v="557"/>
    <n v="0.05"/>
    <x v="1746"/>
    <n v="598.02"/>
    <n v="460.28"/>
    <s v="Credit Card"/>
    <s v="Rohan"/>
  </r>
  <r>
    <x v="1758"/>
    <x v="195"/>
    <s v="Bengaluru"/>
    <x v="0"/>
    <x v="3"/>
    <x v="15"/>
    <x v="1"/>
    <s v="Consumer"/>
    <n v="6"/>
    <n v="2182"/>
    <n v="0.1"/>
    <x v="1747"/>
    <n v="9527.4"/>
    <n v="2255.4"/>
    <s v="Cash"/>
    <s v="Vikram"/>
  </r>
  <r>
    <x v="1759"/>
    <x v="335"/>
    <s v="Ahmedabad"/>
    <x v="2"/>
    <x v="4"/>
    <x v="13"/>
    <x v="1"/>
    <s v="Small Business"/>
    <n v="6"/>
    <n v="2398"/>
    <n v="0.1"/>
    <x v="1748"/>
    <n v="8145.95"/>
    <n v="4803.25"/>
    <s v="UPI"/>
    <s v="Rohan"/>
  </r>
  <r>
    <x v="1760"/>
    <x v="109"/>
    <s v="Bengaluru"/>
    <x v="0"/>
    <x v="3"/>
    <x v="15"/>
    <x v="2"/>
    <s v="Small Business"/>
    <n v="2"/>
    <n v="468"/>
    <n v="0.15"/>
    <x v="1749"/>
    <n v="454.74"/>
    <n v="340.86"/>
    <s v="Credit Card"/>
    <s v="Meera"/>
  </r>
  <r>
    <x v="1761"/>
    <x v="277"/>
    <s v="Kolkata"/>
    <x v="1"/>
    <x v="2"/>
    <x v="21"/>
    <x v="2"/>
    <s v="Corporate"/>
    <n v="2"/>
    <n v="34331"/>
    <n v="0.05"/>
    <x v="1750"/>
    <n v="54378.07"/>
    <n v="10850.83"/>
    <s v="Debit Card"/>
    <s v="Rohan"/>
  </r>
  <r>
    <x v="1762"/>
    <x v="79"/>
    <s v="Chennai"/>
    <x v="0"/>
    <x v="1"/>
    <x v="22"/>
    <x v="1"/>
    <s v="Small Business"/>
    <n v="2"/>
    <n v="7686"/>
    <n v="0.1"/>
    <x v="1751"/>
    <n v="9664.9699999999993"/>
    <n v="4169.83"/>
    <s v="UPI"/>
    <s v="Meera"/>
  </r>
  <r>
    <x v="1763"/>
    <x v="353"/>
    <s v="Bengaluru"/>
    <x v="0"/>
    <x v="1"/>
    <x v="18"/>
    <x v="2"/>
    <s v="Corporate"/>
    <n v="2"/>
    <n v="8403"/>
    <n v="0.1"/>
    <x v="1752"/>
    <n v="9592.2000000000007"/>
    <n v="5533.2"/>
    <s v="UPI"/>
    <s v="Sara"/>
  </r>
  <r>
    <x v="1764"/>
    <x v="105"/>
    <s v="Hyderabad"/>
    <x v="0"/>
    <x v="1"/>
    <x v="7"/>
    <x v="0"/>
    <s v="Corporate"/>
    <n v="4"/>
    <n v="7502"/>
    <n v="0.05"/>
    <x v="1753"/>
    <n v="16146.91"/>
    <n v="12360.69"/>
    <s v="UPI"/>
    <s v="Anaya"/>
  </r>
  <r>
    <x v="1765"/>
    <x v="239"/>
    <s v="Pune"/>
    <x v="2"/>
    <x v="4"/>
    <x v="4"/>
    <x v="2"/>
    <s v="Corporate"/>
    <n v="2"/>
    <n v="14084"/>
    <n v="0.05"/>
    <x v="1754"/>
    <n v="16439.400000000001"/>
    <n v="10320.200000000001"/>
    <s v="Credit Card"/>
    <s v="Rohan"/>
  </r>
  <r>
    <x v="1766"/>
    <x v="298"/>
    <s v="Mumbai"/>
    <x v="2"/>
    <x v="6"/>
    <x v="30"/>
    <x v="1"/>
    <s v="Consumer"/>
    <n v="5"/>
    <n v="4618"/>
    <n v="0.05"/>
    <x v="1755"/>
    <n v="14139.61"/>
    <n v="7795.89"/>
    <s v="Cash"/>
    <s v="Sara"/>
  </r>
  <r>
    <x v="1767"/>
    <x v="220"/>
    <s v="Kolkata"/>
    <x v="1"/>
    <x v="0"/>
    <x v="0"/>
    <x v="2"/>
    <s v="Corporate"/>
    <n v="7"/>
    <n v="346"/>
    <n v="0.1"/>
    <x v="1756"/>
    <n v="1894.79"/>
    <n v="285.01"/>
    <s v="Cash"/>
    <s v="Rohan"/>
  </r>
  <r>
    <x v="1768"/>
    <x v="244"/>
    <s v="Hyderabad"/>
    <x v="0"/>
    <x v="5"/>
    <x v="17"/>
    <x v="1"/>
    <s v="Consumer"/>
    <n v="7"/>
    <n v="46863"/>
    <n v="0.15"/>
    <x v="1757"/>
    <n v="207732.68"/>
    <n v="71102.17"/>
    <s v="Debit Card"/>
    <s v="Anaya"/>
  </r>
  <r>
    <x v="1769"/>
    <x v="191"/>
    <s v="Delhi"/>
    <x v="3"/>
    <x v="6"/>
    <x v="30"/>
    <x v="0"/>
    <s v="Consumer"/>
    <n v="6"/>
    <n v="3248"/>
    <n v="0.15"/>
    <x v="1758"/>
    <n v="12483.01"/>
    <n v="4081.79"/>
    <s v="Cash"/>
    <s v="Vikram"/>
  </r>
  <r>
    <x v="1770"/>
    <x v="341"/>
    <s v="Bengaluru"/>
    <x v="0"/>
    <x v="6"/>
    <x v="30"/>
    <x v="0"/>
    <s v="Corporate"/>
    <n v="8"/>
    <n v="4001"/>
    <n v="0"/>
    <x v="1590"/>
    <n v="22512.29"/>
    <n v="9495.7099999999991"/>
    <s v="UPI"/>
    <s v="Kabir"/>
  </r>
  <r>
    <x v="1771"/>
    <x v="199"/>
    <s v="Ahmedabad"/>
    <x v="2"/>
    <x v="6"/>
    <x v="30"/>
    <x v="2"/>
    <s v="Consumer"/>
    <n v="6"/>
    <n v="5773"/>
    <n v="0.05"/>
    <x v="1759"/>
    <n v="18883.650000000001"/>
    <n v="14022.45"/>
    <s v="Net Banking"/>
    <s v="Diya"/>
  </r>
  <r>
    <x v="1772"/>
    <x v="154"/>
    <s v="Delhi"/>
    <x v="3"/>
    <x v="1"/>
    <x v="7"/>
    <x v="2"/>
    <s v="Small Business"/>
    <n v="3"/>
    <n v="11343"/>
    <n v="0.1"/>
    <x v="1760"/>
    <n v="26065.15"/>
    <n v="4560.95"/>
    <s v="Net Banking"/>
    <s v="Kabir"/>
  </r>
  <r>
    <x v="1773"/>
    <x v="151"/>
    <s v="Delhi"/>
    <x v="3"/>
    <x v="6"/>
    <x v="16"/>
    <x v="2"/>
    <s v="Consumer"/>
    <n v="2"/>
    <n v="5324"/>
    <n v="0.1"/>
    <x v="1761"/>
    <n v="7564.15"/>
    <n v="2019.05"/>
    <s v="UPI"/>
    <s v="Kabir"/>
  </r>
  <r>
    <x v="1774"/>
    <x v="11"/>
    <s v="Chennai"/>
    <x v="0"/>
    <x v="2"/>
    <x v="29"/>
    <x v="0"/>
    <s v="Consumer"/>
    <n v="7"/>
    <n v="36436"/>
    <n v="0.1"/>
    <x v="1762"/>
    <n v="132828.64000000001"/>
    <n v="96718.16"/>
    <s v="UPI"/>
    <s v="Meera"/>
  </r>
  <r>
    <x v="1775"/>
    <x v="337"/>
    <s v="Mumbai"/>
    <x v="2"/>
    <x v="5"/>
    <x v="11"/>
    <x v="0"/>
    <s v="Corporate"/>
    <n v="1"/>
    <n v="34460"/>
    <n v="0.15"/>
    <x v="1763"/>
    <n v="21869.89"/>
    <n v="7421.11"/>
    <s v="Debit Card"/>
    <s v="Anaya"/>
  </r>
  <r>
    <x v="1776"/>
    <x v="298"/>
    <s v="Kolkata"/>
    <x v="1"/>
    <x v="0"/>
    <x v="26"/>
    <x v="1"/>
    <s v="Corporate"/>
    <n v="8"/>
    <n v="436"/>
    <n v="0.1"/>
    <x v="1764"/>
    <n v="2316.7800000000002"/>
    <n v="822.42"/>
    <s v="Credit Card"/>
    <s v="Vikram"/>
  </r>
  <r>
    <x v="1777"/>
    <x v="222"/>
    <s v="Delhi"/>
    <x v="3"/>
    <x v="2"/>
    <x v="29"/>
    <x v="0"/>
    <s v="Corporate"/>
    <n v="3"/>
    <n v="15557"/>
    <n v="0.2"/>
    <x v="1765"/>
    <n v="29614.71"/>
    <n v="7722.09"/>
    <s v="Cash"/>
    <s v="Sara"/>
  </r>
  <r>
    <x v="1778"/>
    <x v="130"/>
    <s v="Bengaluru"/>
    <x v="0"/>
    <x v="5"/>
    <x v="11"/>
    <x v="2"/>
    <s v="Corporate"/>
    <n v="1"/>
    <n v="46131"/>
    <n v="0.1"/>
    <x v="1766"/>
    <n v="25150.04"/>
    <n v="16367.86"/>
    <s v="Cash"/>
    <s v="Rohan"/>
  </r>
  <r>
    <x v="1779"/>
    <x v="290"/>
    <s v="Chennai"/>
    <x v="0"/>
    <x v="1"/>
    <x v="7"/>
    <x v="1"/>
    <s v="Small Business"/>
    <n v="4"/>
    <n v="9253"/>
    <n v="0"/>
    <x v="1767"/>
    <n v="22797.53"/>
    <n v="14214.47"/>
    <s v="Cash"/>
    <s v="Meera"/>
  </r>
  <r>
    <x v="1780"/>
    <x v="298"/>
    <s v="Delhi"/>
    <x v="3"/>
    <x v="6"/>
    <x v="8"/>
    <x v="0"/>
    <s v="Small Business"/>
    <n v="6"/>
    <n v="3956"/>
    <n v="0.05"/>
    <x v="1768"/>
    <n v="15886.79"/>
    <n v="6662.41"/>
    <s v="Debit Card"/>
    <s v="Anaya"/>
  </r>
  <r>
    <x v="1781"/>
    <x v="272"/>
    <s v="Delhi"/>
    <x v="3"/>
    <x v="4"/>
    <x v="13"/>
    <x v="0"/>
    <s v="Corporate"/>
    <n v="1"/>
    <n v="22631"/>
    <n v="0.15"/>
    <x v="1769"/>
    <n v="15789.43"/>
    <n v="3446.92"/>
    <s v="Net Banking"/>
    <s v="Rohan"/>
  </r>
  <r>
    <x v="1782"/>
    <x v="310"/>
    <s v="Kolkata"/>
    <x v="1"/>
    <x v="5"/>
    <x v="25"/>
    <x v="2"/>
    <s v="Corporate"/>
    <n v="2"/>
    <n v="41506"/>
    <n v="0.05"/>
    <x v="1770"/>
    <n v="65523.87"/>
    <n v="13337.53"/>
    <s v="Cash"/>
    <s v="Vikram"/>
  </r>
  <r>
    <x v="1783"/>
    <x v="150"/>
    <s v="Mumbai"/>
    <x v="2"/>
    <x v="5"/>
    <x v="24"/>
    <x v="2"/>
    <s v="Corporate"/>
    <n v="3"/>
    <n v="7395"/>
    <n v="0.15"/>
    <x v="1771"/>
    <n v="11296"/>
    <n v="7561.25"/>
    <s v="UPI"/>
    <s v="Vikram"/>
  </r>
  <r>
    <x v="1784"/>
    <x v="237"/>
    <s v="Mumbai"/>
    <x v="2"/>
    <x v="6"/>
    <x v="30"/>
    <x v="0"/>
    <s v="Small Business"/>
    <n v="5"/>
    <n v="1827"/>
    <n v="0.1"/>
    <x v="1772"/>
    <n v="5383.67"/>
    <n v="2837.83"/>
    <s v="Net Banking"/>
    <s v="Rohan"/>
  </r>
  <r>
    <x v="1785"/>
    <x v="262"/>
    <s v="Mumbai"/>
    <x v="2"/>
    <x v="1"/>
    <x v="10"/>
    <x v="2"/>
    <s v="Consumer"/>
    <n v="5"/>
    <n v="11003"/>
    <n v="0.05"/>
    <x v="1773"/>
    <n v="35344.01"/>
    <n v="16920.240000000002"/>
    <s v="Credit Card"/>
    <s v="Kabir"/>
  </r>
  <r>
    <x v="1786"/>
    <x v="171"/>
    <s v="Ahmedabad"/>
    <x v="2"/>
    <x v="6"/>
    <x v="20"/>
    <x v="2"/>
    <s v="Consumer"/>
    <n v="2"/>
    <n v="3390"/>
    <n v="0"/>
    <x v="1774"/>
    <n v="3828.32"/>
    <n v="2951.68"/>
    <s v="Net Banking"/>
    <s v="Sara"/>
  </r>
  <r>
    <x v="1787"/>
    <x v="118"/>
    <s v="Hyderabad"/>
    <x v="0"/>
    <x v="1"/>
    <x v="22"/>
    <x v="1"/>
    <s v="Small Business"/>
    <n v="8"/>
    <n v="4372"/>
    <n v="0"/>
    <x v="1775"/>
    <n v="19819.43"/>
    <n v="15156.57"/>
    <s v="Debit Card"/>
    <s v="Rohan"/>
  </r>
  <r>
    <x v="1788"/>
    <x v="274"/>
    <s v="Hyderabad"/>
    <x v="0"/>
    <x v="5"/>
    <x v="11"/>
    <x v="2"/>
    <s v="Consumer"/>
    <n v="3"/>
    <n v="19358"/>
    <n v="0.15"/>
    <x v="1776"/>
    <n v="39751.550000000003"/>
    <n v="9611.35"/>
    <s v="Net Banking"/>
    <s v="Vikram"/>
  </r>
  <r>
    <x v="1789"/>
    <x v="112"/>
    <s v="Kolkata"/>
    <x v="1"/>
    <x v="4"/>
    <x v="13"/>
    <x v="1"/>
    <s v="Consumer"/>
    <n v="4"/>
    <n v="15922"/>
    <n v="0.1"/>
    <x v="1777"/>
    <n v="47422.1"/>
    <n v="9897.1"/>
    <s v="Credit Card"/>
    <s v="Aarav"/>
  </r>
  <r>
    <x v="1790"/>
    <x v="275"/>
    <s v="Chennai"/>
    <x v="0"/>
    <x v="6"/>
    <x v="33"/>
    <x v="2"/>
    <s v="Small Business"/>
    <n v="4"/>
    <n v="2224"/>
    <n v="0.05"/>
    <x v="1778"/>
    <n v="6839.71"/>
    <n v="1611.49"/>
    <s v="UPI"/>
    <s v="Kabir"/>
  </r>
  <r>
    <x v="1791"/>
    <x v="272"/>
    <s v="Ahmedabad"/>
    <x v="2"/>
    <x v="2"/>
    <x v="9"/>
    <x v="2"/>
    <s v="Small Business"/>
    <n v="6"/>
    <n v="62836"/>
    <n v="0.05"/>
    <x v="1779"/>
    <n v="266439.74"/>
    <n v="91725.46"/>
    <s v="Debit Card"/>
    <s v="Anaya"/>
  </r>
  <r>
    <x v="1792"/>
    <x v="72"/>
    <s v="Chennai"/>
    <x v="0"/>
    <x v="0"/>
    <x v="0"/>
    <x v="1"/>
    <s v="Corporate"/>
    <n v="8"/>
    <n v="1535"/>
    <n v="0.15"/>
    <x v="1780"/>
    <n v="7842.17"/>
    <n v="2595.83"/>
    <s v="Debit Card"/>
    <s v="Kabir"/>
  </r>
  <r>
    <x v="1793"/>
    <x v="278"/>
    <s v="Bengaluru"/>
    <x v="0"/>
    <x v="0"/>
    <x v="0"/>
    <x v="0"/>
    <s v="Corporate"/>
    <n v="2"/>
    <n v="576"/>
    <n v="0.1"/>
    <x v="1781"/>
    <n v="839.46"/>
    <n v="197.34"/>
    <s v="UPI"/>
    <s v="Vikram"/>
  </r>
  <r>
    <x v="1794"/>
    <x v="136"/>
    <s v="Kolkata"/>
    <x v="1"/>
    <x v="5"/>
    <x v="25"/>
    <x v="2"/>
    <s v="Corporate"/>
    <n v="8"/>
    <n v="19311"/>
    <n v="0.1"/>
    <x v="1782"/>
    <n v="89388.479999999996"/>
    <n v="49650.720000000001"/>
    <s v="Debit Card"/>
    <s v="Vikram"/>
  </r>
  <r>
    <x v="1795"/>
    <x v="218"/>
    <s v="Mumbai"/>
    <x v="2"/>
    <x v="2"/>
    <x v="2"/>
    <x v="2"/>
    <s v="Corporate"/>
    <n v="8"/>
    <n v="10137"/>
    <n v="0"/>
    <x v="1783"/>
    <n v="66102.53"/>
    <n v="14993.47"/>
    <s v="UPI"/>
    <s v="Sara"/>
  </r>
  <r>
    <x v="1796"/>
    <x v="124"/>
    <s v="Pune"/>
    <x v="2"/>
    <x v="4"/>
    <x v="4"/>
    <x v="0"/>
    <s v="Corporate"/>
    <n v="4"/>
    <n v="3384"/>
    <n v="0.15"/>
    <x v="1784"/>
    <n v="8557.31"/>
    <n v="2948.29"/>
    <s v="Net Banking"/>
    <s v="Sara"/>
  </r>
  <r>
    <x v="1797"/>
    <x v="335"/>
    <s v="Hyderabad"/>
    <x v="0"/>
    <x v="4"/>
    <x v="4"/>
    <x v="0"/>
    <s v="Corporate"/>
    <n v="1"/>
    <n v="1905"/>
    <n v="0.05"/>
    <x v="1785"/>
    <n v="1518.4"/>
    <n v="291.35000000000002"/>
    <s v="Net Banking"/>
    <s v="Rohan"/>
  </r>
  <r>
    <x v="1798"/>
    <x v="59"/>
    <s v="Mumbai"/>
    <x v="2"/>
    <x v="6"/>
    <x v="8"/>
    <x v="0"/>
    <s v="Consumer"/>
    <n v="8"/>
    <n v="2824"/>
    <n v="0.15"/>
    <x v="1786"/>
    <n v="10643.9"/>
    <n v="8559.2999999999993"/>
    <s v="Credit Card"/>
    <s v="Sara"/>
  </r>
  <r>
    <x v="1799"/>
    <x v="275"/>
    <s v="Bengaluru"/>
    <x v="0"/>
    <x v="1"/>
    <x v="1"/>
    <x v="2"/>
    <s v="Small Business"/>
    <n v="7"/>
    <n v="11218"/>
    <n v="0.1"/>
    <x v="1787"/>
    <n v="43950.34"/>
    <n v="26723.06"/>
    <s v="Credit Card"/>
    <s v="Kabir"/>
  </r>
  <r>
    <x v="1800"/>
    <x v="154"/>
    <s v="Mumbai"/>
    <x v="2"/>
    <x v="4"/>
    <x v="27"/>
    <x v="1"/>
    <s v="Consumer"/>
    <n v="4"/>
    <n v="17326"/>
    <n v="0.05"/>
    <x v="1788"/>
    <n v="57689.279999999999"/>
    <n v="8149.52"/>
    <s v="Debit Card"/>
    <s v="Sara"/>
  </r>
  <r>
    <x v="1801"/>
    <x v="232"/>
    <s v="Ahmedabad"/>
    <x v="2"/>
    <x v="0"/>
    <x v="19"/>
    <x v="2"/>
    <s v="Small Business"/>
    <n v="4"/>
    <n v="1162"/>
    <n v="0"/>
    <x v="1789"/>
    <n v="2782.18"/>
    <n v="1865.82"/>
    <s v="Credit Card"/>
    <s v="Sara"/>
  </r>
  <r>
    <x v="1802"/>
    <x v="3"/>
    <s v="Mumbai"/>
    <x v="2"/>
    <x v="0"/>
    <x v="19"/>
    <x v="1"/>
    <s v="Corporate"/>
    <n v="7"/>
    <n v="1823"/>
    <n v="0.15"/>
    <x v="1790"/>
    <n v="6316.44"/>
    <n v="4530.41"/>
    <s v="Debit Card"/>
    <s v="Diya"/>
  </r>
  <r>
    <x v="1803"/>
    <x v="15"/>
    <s v="Delhi"/>
    <x v="3"/>
    <x v="5"/>
    <x v="25"/>
    <x v="1"/>
    <s v="Small Business"/>
    <n v="6"/>
    <n v="3887"/>
    <n v="0"/>
    <x v="1791"/>
    <n v="14308.21"/>
    <n v="9013.7900000000009"/>
    <s v="Cash"/>
    <s v="Anaya"/>
  </r>
  <r>
    <x v="1804"/>
    <x v="19"/>
    <s v="Mumbai"/>
    <x v="2"/>
    <x v="0"/>
    <x v="19"/>
    <x v="1"/>
    <s v="Small Business"/>
    <n v="3"/>
    <n v="1861"/>
    <n v="0.05"/>
    <x v="1792"/>
    <n v="4482.5"/>
    <n v="821.35"/>
    <s v="Debit Card"/>
    <s v="Diya"/>
  </r>
  <r>
    <x v="1805"/>
    <x v="348"/>
    <s v="Hyderabad"/>
    <x v="0"/>
    <x v="1"/>
    <x v="1"/>
    <x v="2"/>
    <s v="Consumer"/>
    <n v="6"/>
    <n v="457"/>
    <n v="0.05"/>
    <x v="1793"/>
    <n v="1914.34"/>
    <n v="690.56"/>
    <s v="Cash"/>
    <s v="Diya"/>
  </r>
  <r>
    <x v="1806"/>
    <x v="121"/>
    <s v="Hyderabad"/>
    <x v="0"/>
    <x v="5"/>
    <x v="11"/>
    <x v="0"/>
    <s v="Consumer"/>
    <n v="7"/>
    <n v="47138"/>
    <n v="0.1"/>
    <x v="1794"/>
    <n v="211562.25"/>
    <n v="85407.15"/>
    <s v="Net Banking"/>
    <s v="Sara"/>
  </r>
  <r>
    <x v="1807"/>
    <x v="232"/>
    <s v="Delhi"/>
    <x v="3"/>
    <x v="6"/>
    <x v="30"/>
    <x v="0"/>
    <s v="Corporate"/>
    <n v="2"/>
    <n v="3192"/>
    <n v="0.1"/>
    <x v="1795"/>
    <n v="4373.12"/>
    <n v="1372.48"/>
    <s v="Net Banking"/>
    <s v="Kabir"/>
  </r>
  <r>
    <x v="1808"/>
    <x v="7"/>
    <s v="Delhi"/>
    <x v="3"/>
    <x v="5"/>
    <x v="6"/>
    <x v="1"/>
    <s v="Small Business"/>
    <n v="7"/>
    <n v="32572"/>
    <n v="0.05"/>
    <x v="1796"/>
    <n v="132650.91"/>
    <n v="83952.89"/>
    <s v="Debit Card"/>
    <s v="Rohan"/>
  </r>
  <r>
    <x v="1809"/>
    <x v="38"/>
    <s v="Ahmedabad"/>
    <x v="2"/>
    <x v="4"/>
    <x v="14"/>
    <x v="2"/>
    <s v="Corporate"/>
    <n v="3"/>
    <n v="2725"/>
    <n v="0"/>
    <x v="1797"/>
    <n v="5238.91"/>
    <n v="2936.09"/>
    <s v="Net Banking"/>
    <s v="Aarav"/>
  </r>
  <r>
    <x v="1810"/>
    <x v="247"/>
    <s v="Kolkata"/>
    <x v="1"/>
    <x v="5"/>
    <x v="24"/>
    <x v="1"/>
    <s v="Consumer"/>
    <n v="1"/>
    <n v="29446"/>
    <n v="0.15"/>
    <x v="1798"/>
    <n v="15375.27"/>
    <n v="9653.83"/>
    <s v="Net Banking"/>
    <s v="Kabir"/>
  </r>
  <r>
    <x v="1811"/>
    <x v="226"/>
    <s v="Hyderabad"/>
    <x v="0"/>
    <x v="4"/>
    <x v="31"/>
    <x v="2"/>
    <s v="Corporate"/>
    <n v="2"/>
    <n v="6437"/>
    <n v="0.1"/>
    <x v="1799"/>
    <n v="7778.24"/>
    <n v="3808.36"/>
    <s v="UPI"/>
    <s v="Rohan"/>
  </r>
  <r>
    <x v="1812"/>
    <x v="41"/>
    <s v="Kolkata"/>
    <x v="1"/>
    <x v="4"/>
    <x v="27"/>
    <x v="0"/>
    <s v="Small Business"/>
    <n v="2"/>
    <n v="16105"/>
    <n v="0.05"/>
    <x v="1800"/>
    <n v="26922.01"/>
    <n v="3677.49"/>
    <s v="UPI"/>
    <s v="Vikram"/>
  </r>
  <r>
    <x v="1813"/>
    <x v="167"/>
    <s v="Ahmedabad"/>
    <x v="2"/>
    <x v="2"/>
    <x v="29"/>
    <x v="0"/>
    <s v="Consumer"/>
    <n v="4"/>
    <n v="5411"/>
    <n v="0.15"/>
    <x v="1801"/>
    <n v="13743.04"/>
    <n v="4654.3599999999997"/>
    <s v="Credit Card"/>
    <s v="Aarav"/>
  </r>
  <r>
    <x v="1814"/>
    <x v="106"/>
    <s v="Chennai"/>
    <x v="0"/>
    <x v="4"/>
    <x v="4"/>
    <x v="0"/>
    <s v="Consumer"/>
    <n v="2"/>
    <n v="23446"/>
    <n v="0.1"/>
    <x v="1802"/>
    <n v="29721.51"/>
    <n v="12481.29"/>
    <s v="Credit Card"/>
    <s v="Anaya"/>
  </r>
  <r>
    <x v="1815"/>
    <x v="294"/>
    <s v="Chennai"/>
    <x v="0"/>
    <x v="2"/>
    <x v="9"/>
    <x v="0"/>
    <s v="Small Business"/>
    <n v="7"/>
    <n v="15084"/>
    <n v="0.15"/>
    <x v="1803"/>
    <n v="50109.78"/>
    <n v="39640.019999999997"/>
    <s v="Net Banking"/>
    <s v="Diya"/>
  </r>
  <r>
    <x v="1816"/>
    <x v="269"/>
    <s v="Delhi"/>
    <x v="3"/>
    <x v="6"/>
    <x v="33"/>
    <x v="2"/>
    <s v="Consumer"/>
    <n v="6"/>
    <n v="1196"/>
    <n v="0"/>
    <x v="1804"/>
    <n v="5128.91"/>
    <n v="2047.09"/>
    <s v="Credit Card"/>
    <s v="Sara"/>
  </r>
  <r>
    <x v="1817"/>
    <x v="70"/>
    <s v="Bengaluru"/>
    <x v="0"/>
    <x v="0"/>
    <x v="0"/>
    <x v="1"/>
    <s v="Consumer"/>
    <n v="5"/>
    <n v="849"/>
    <n v="0.1"/>
    <x v="1805"/>
    <n v="2152.77"/>
    <n v="1667.73"/>
    <s v="Cash"/>
    <s v="Diya"/>
  </r>
  <r>
    <x v="1818"/>
    <x v="5"/>
    <s v="Bengaluru"/>
    <x v="0"/>
    <x v="6"/>
    <x v="33"/>
    <x v="1"/>
    <s v="Consumer"/>
    <n v="3"/>
    <n v="2924"/>
    <n v="0.1"/>
    <x v="1806"/>
    <n v="5960.27"/>
    <n v="1934.53"/>
    <s v="Debit Card"/>
    <s v="Sara"/>
  </r>
  <r>
    <x v="1819"/>
    <x v="202"/>
    <s v="Kolkata"/>
    <x v="1"/>
    <x v="3"/>
    <x v="15"/>
    <x v="1"/>
    <s v="Corporate"/>
    <n v="7"/>
    <n v="1894"/>
    <n v="0"/>
    <x v="1807"/>
    <n v="10933.5"/>
    <n v="2324.5"/>
    <s v="Net Banking"/>
    <s v="Sara"/>
  </r>
  <r>
    <x v="1820"/>
    <x v="354"/>
    <s v="Hyderabad"/>
    <x v="0"/>
    <x v="1"/>
    <x v="22"/>
    <x v="1"/>
    <s v="Consumer"/>
    <n v="5"/>
    <n v="5049"/>
    <n v="0.05"/>
    <x v="1808"/>
    <n v="18798.830000000002"/>
    <n v="5183.92"/>
    <s v="Debit Card"/>
    <s v="Vikram"/>
  </r>
  <r>
    <x v="1821"/>
    <x v="221"/>
    <s v="Mumbai"/>
    <x v="2"/>
    <x v="1"/>
    <x v="1"/>
    <x v="1"/>
    <s v="Consumer"/>
    <n v="3"/>
    <n v="6490"/>
    <n v="0.05"/>
    <x v="1809"/>
    <n v="14289.71"/>
    <n v="4206.79"/>
    <s v="Cash"/>
    <s v="Anaya"/>
  </r>
  <r>
    <x v="1822"/>
    <x v="71"/>
    <s v="Bengaluru"/>
    <x v="0"/>
    <x v="0"/>
    <x v="0"/>
    <x v="0"/>
    <s v="Consumer"/>
    <n v="3"/>
    <n v="533"/>
    <n v="0.1"/>
    <x v="1810"/>
    <n v="1110.54"/>
    <n v="328.56"/>
    <s v="Debit Card"/>
    <s v="Aarav"/>
  </r>
  <r>
    <x v="1823"/>
    <x v="119"/>
    <s v="Mumbai"/>
    <x v="2"/>
    <x v="2"/>
    <x v="21"/>
    <x v="1"/>
    <s v="Corporate"/>
    <n v="4"/>
    <n v="49397"/>
    <n v="0.1"/>
    <x v="1811"/>
    <n v="148881.60000000001"/>
    <n v="28947.599999999999"/>
    <s v="Credit Card"/>
    <s v="Diya"/>
  </r>
  <r>
    <x v="1824"/>
    <x v="9"/>
    <s v="Hyderabad"/>
    <x v="0"/>
    <x v="2"/>
    <x v="29"/>
    <x v="1"/>
    <s v="Corporate"/>
    <n v="8"/>
    <n v="40997"/>
    <n v="0"/>
    <x v="1812"/>
    <n v="218606.95"/>
    <n v="109369.05"/>
    <s v="Net Banking"/>
    <s v="Meera"/>
  </r>
  <r>
    <x v="1825"/>
    <x v="107"/>
    <s v="Bengaluru"/>
    <x v="0"/>
    <x v="4"/>
    <x v="27"/>
    <x v="1"/>
    <s v="Consumer"/>
    <n v="4"/>
    <n v="19527"/>
    <n v="0.05"/>
    <x v="1813"/>
    <n v="56345.83"/>
    <n v="17856.77"/>
    <s v="Credit Card"/>
    <s v="Aarav"/>
  </r>
  <r>
    <x v="1826"/>
    <x v="186"/>
    <s v="Chennai"/>
    <x v="0"/>
    <x v="0"/>
    <x v="19"/>
    <x v="0"/>
    <s v="Consumer"/>
    <n v="6"/>
    <n v="1853"/>
    <n v="0.15"/>
    <x v="1814"/>
    <n v="6842.04"/>
    <n v="2608.2600000000002"/>
    <s v="UPI"/>
    <s v="Meera"/>
  </r>
  <r>
    <x v="1827"/>
    <x v="154"/>
    <s v="Delhi"/>
    <x v="3"/>
    <x v="5"/>
    <x v="25"/>
    <x v="1"/>
    <s v="Corporate"/>
    <n v="7"/>
    <n v="4571"/>
    <n v="0.15"/>
    <x v="1815"/>
    <n v="16930.97"/>
    <n v="10266.48"/>
    <s v="UPI"/>
    <s v="Meera"/>
  </r>
  <r>
    <x v="1828"/>
    <x v="126"/>
    <s v="Hyderabad"/>
    <x v="0"/>
    <x v="4"/>
    <x v="27"/>
    <x v="1"/>
    <s v="Corporate"/>
    <n v="4"/>
    <n v="4554"/>
    <n v="0"/>
    <x v="1816"/>
    <n v="14817.21"/>
    <n v="3398.79"/>
    <s v="Credit Card"/>
    <s v="Diya"/>
  </r>
  <r>
    <x v="1829"/>
    <x v="344"/>
    <s v="Kolkata"/>
    <x v="1"/>
    <x v="0"/>
    <x v="26"/>
    <x v="0"/>
    <s v="Small Business"/>
    <n v="1"/>
    <n v="1786"/>
    <n v="0"/>
    <x v="1817"/>
    <n v="1024.67"/>
    <n v="761.33"/>
    <s v="Net Banking"/>
    <s v="Meera"/>
  </r>
  <r>
    <x v="1830"/>
    <x v="196"/>
    <s v="Delhi"/>
    <x v="3"/>
    <x v="1"/>
    <x v="18"/>
    <x v="0"/>
    <s v="Consumer"/>
    <n v="8"/>
    <n v="3127"/>
    <n v="0"/>
    <x v="1818"/>
    <n v="19034.03"/>
    <n v="5981.97"/>
    <s v="Credit Card"/>
    <s v="Vikram"/>
  </r>
  <r>
    <x v="1831"/>
    <x v="236"/>
    <s v="Hyderabad"/>
    <x v="0"/>
    <x v="2"/>
    <x v="21"/>
    <x v="1"/>
    <s v="Consumer"/>
    <n v="6"/>
    <n v="14761"/>
    <n v="0"/>
    <x v="1819"/>
    <n v="52200.5"/>
    <n v="36365.5"/>
    <s v="Credit Card"/>
    <s v="Aarav"/>
  </r>
  <r>
    <x v="1832"/>
    <x v="354"/>
    <s v="Delhi"/>
    <x v="3"/>
    <x v="0"/>
    <x v="23"/>
    <x v="0"/>
    <s v="Consumer"/>
    <n v="3"/>
    <n v="700"/>
    <n v="0.15"/>
    <x v="1820"/>
    <n v="1466.67"/>
    <n v="318.33"/>
    <s v="UPI"/>
    <s v="Sara"/>
  </r>
  <r>
    <x v="1833"/>
    <x v="213"/>
    <s v="Hyderabad"/>
    <x v="0"/>
    <x v="4"/>
    <x v="4"/>
    <x v="0"/>
    <s v="Small Business"/>
    <n v="5"/>
    <n v="9683"/>
    <n v="0.1"/>
    <x v="1821"/>
    <n v="27246.11"/>
    <n v="16327.39"/>
    <s v="Cash"/>
    <s v="Meera"/>
  </r>
  <r>
    <x v="1834"/>
    <x v="2"/>
    <s v="Pune"/>
    <x v="2"/>
    <x v="2"/>
    <x v="5"/>
    <x v="1"/>
    <s v="Consumer"/>
    <n v="3"/>
    <n v="5763"/>
    <n v="0.05"/>
    <x v="1822"/>
    <n v="13649.4"/>
    <n v="2775.15"/>
    <s v="UPI"/>
    <s v="Anaya"/>
  </r>
  <r>
    <x v="1835"/>
    <x v="89"/>
    <s v="Bengaluru"/>
    <x v="0"/>
    <x v="2"/>
    <x v="9"/>
    <x v="2"/>
    <s v="Corporate"/>
    <n v="5"/>
    <n v="62539"/>
    <n v="0.1"/>
    <x v="1823"/>
    <n v="200113.62"/>
    <n v="81311.88"/>
    <s v="Cash"/>
    <s v="Rohan"/>
  </r>
  <r>
    <x v="1836"/>
    <x v="260"/>
    <s v="Ahmedabad"/>
    <x v="2"/>
    <x v="5"/>
    <x v="17"/>
    <x v="1"/>
    <s v="Consumer"/>
    <n v="3"/>
    <n v="21844"/>
    <n v="0.1"/>
    <x v="1824"/>
    <n v="33440.980000000003"/>
    <n v="25537.82"/>
    <s v="Credit Card"/>
    <s v="Diya"/>
  </r>
  <r>
    <x v="1837"/>
    <x v="251"/>
    <s v="Mumbai"/>
    <x v="2"/>
    <x v="4"/>
    <x v="4"/>
    <x v="2"/>
    <s v="Corporate"/>
    <n v="1"/>
    <n v="16852"/>
    <n v="0.1"/>
    <x v="1825"/>
    <n v="10632.47"/>
    <n v="4534.33"/>
    <s v="Credit Card"/>
    <s v="Diya"/>
  </r>
  <r>
    <x v="1838"/>
    <x v="295"/>
    <s v="Delhi"/>
    <x v="3"/>
    <x v="5"/>
    <x v="25"/>
    <x v="0"/>
    <s v="Small Business"/>
    <n v="2"/>
    <n v="45630"/>
    <n v="0.05"/>
    <x v="1826"/>
    <n v="63063.08"/>
    <n v="23633.919999999998"/>
    <s v="Cash"/>
    <s v="Diya"/>
  </r>
  <r>
    <x v="1839"/>
    <x v="263"/>
    <s v="Pune"/>
    <x v="2"/>
    <x v="0"/>
    <x v="23"/>
    <x v="2"/>
    <s v="Corporate"/>
    <n v="5"/>
    <n v="920"/>
    <n v="0.1"/>
    <x v="1827"/>
    <n v="2996.88"/>
    <n v="1143.1199999999999"/>
    <s v="Cash"/>
    <s v="Anaya"/>
  </r>
  <r>
    <x v="1840"/>
    <x v="107"/>
    <s v="Mumbai"/>
    <x v="2"/>
    <x v="3"/>
    <x v="3"/>
    <x v="1"/>
    <s v="Corporate"/>
    <n v="4"/>
    <n v="2405"/>
    <n v="0.05"/>
    <x v="1828"/>
    <n v="5871.36"/>
    <n v="3267.64"/>
    <s v="Cash"/>
    <s v="Sara"/>
  </r>
  <r>
    <x v="1841"/>
    <x v="14"/>
    <s v="Pune"/>
    <x v="2"/>
    <x v="6"/>
    <x v="33"/>
    <x v="1"/>
    <s v="Consumer"/>
    <n v="3"/>
    <n v="2235"/>
    <n v="0"/>
    <x v="1829"/>
    <n v="5475.94"/>
    <n v="1229.06"/>
    <s v="Debit Card"/>
    <s v="Anaya"/>
  </r>
  <r>
    <x v="1842"/>
    <x v="272"/>
    <s v="Ahmedabad"/>
    <x v="2"/>
    <x v="0"/>
    <x v="23"/>
    <x v="0"/>
    <s v="Small Business"/>
    <n v="6"/>
    <n v="858"/>
    <n v="0.05"/>
    <x v="1830"/>
    <n v="3690.22"/>
    <n v="1200.3800000000001"/>
    <s v="UPI"/>
    <s v="Diya"/>
  </r>
  <r>
    <x v="1843"/>
    <x v="152"/>
    <s v="Pune"/>
    <x v="2"/>
    <x v="4"/>
    <x v="14"/>
    <x v="0"/>
    <s v="Small Business"/>
    <n v="4"/>
    <n v="12124"/>
    <n v="0.1"/>
    <x v="1831"/>
    <n v="36326.589999999997"/>
    <n v="7319.81"/>
    <s v="Cash"/>
    <s v="Diya"/>
  </r>
  <r>
    <x v="1844"/>
    <x v="144"/>
    <s v="Mumbai"/>
    <x v="2"/>
    <x v="5"/>
    <x v="25"/>
    <x v="1"/>
    <s v="Consumer"/>
    <n v="5"/>
    <n v="46794"/>
    <n v="0.1"/>
    <x v="1832"/>
    <n v="159700.62"/>
    <n v="50872.38"/>
    <s v="UPI"/>
    <s v="Vikram"/>
  </r>
  <r>
    <x v="1845"/>
    <x v="58"/>
    <s v="Mumbai"/>
    <x v="2"/>
    <x v="5"/>
    <x v="24"/>
    <x v="2"/>
    <s v="Small Business"/>
    <n v="4"/>
    <n v="48616"/>
    <n v="0.05"/>
    <x v="1833"/>
    <n v="154867.69"/>
    <n v="29873.11"/>
    <s v="Credit Card"/>
    <s v="Meera"/>
  </r>
  <r>
    <x v="1846"/>
    <x v="287"/>
    <s v="Pune"/>
    <x v="2"/>
    <x v="3"/>
    <x v="3"/>
    <x v="2"/>
    <s v="Small Business"/>
    <n v="4"/>
    <n v="1166"/>
    <n v="0.15"/>
    <x v="1834"/>
    <n v="2240.56"/>
    <n v="1723.84"/>
    <s v="Debit Card"/>
    <s v="Diya"/>
  </r>
  <r>
    <x v="1847"/>
    <x v="272"/>
    <s v="Hyderabad"/>
    <x v="0"/>
    <x v="1"/>
    <x v="7"/>
    <x v="0"/>
    <s v="Small Business"/>
    <n v="4"/>
    <n v="7900"/>
    <n v="0.1"/>
    <x v="1835"/>
    <n v="24492.45"/>
    <n v="3947.55"/>
    <s v="Cash"/>
    <s v="Sara"/>
  </r>
  <r>
    <x v="1848"/>
    <x v="214"/>
    <s v="Ahmedabad"/>
    <x v="2"/>
    <x v="3"/>
    <x v="15"/>
    <x v="1"/>
    <s v="Corporate"/>
    <n v="2"/>
    <n v="346"/>
    <n v="0.05"/>
    <x v="1836"/>
    <n v="386.34"/>
    <n v="271.06"/>
    <s v="Debit Card"/>
    <s v="Meera"/>
  </r>
  <r>
    <x v="1849"/>
    <x v="44"/>
    <s v="Pune"/>
    <x v="2"/>
    <x v="0"/>
    <x v="23"/>
    <x v="0"/>
    <s v="Small Business"/>
    <n v="5"/>
    <n v="2262"/>
    <n v="0.1"/>
    <x v="1837"/>
    <n v="8563.01"/>
    <n v="1615.99"/>
    <s v="Debit Card"/>
    <s v="Kabir"/>
  </r>
  <r>
    <x v="1850"/>
    <x v="73"/>
    <s v="Hyderabad"/>
    <x v="0"/>
    <x v="4"/>
    <x v="31"/>
    <x v="0"/>
    <s v="Small Business"/>
    <n v="4"/>
    <n v="21047"/>
    <n v="0.15"/>
    <x v="1838"/>
    <n v="62413.26"/>
    <n v="9146.5400000000009"/>
    <s v="UPI"/>
    <s v="Diya"/>
  </r>
  <r>
    <x v="1851"/>
    <x v="357"/>
    <s v="Ahmedabad"/>
    <x v="2"/>
    <x v="3"/>
    <x v="32"/>
    <x v="0"/>
    <s v="Corporate"/>
    <n v="3"/>
    <n v="1760"/>
    <n v="0.1"/>
    <x v="1839"/>
    <n v="2630.92"/>
    <n v="2121.08"/>
    <s v="UPI"/>
    <s v="Meera"/>
  </r>
  <r>
    <x v="1852"/>
    <x v="244"/>
    <s v="Mumbai"/>
    <x v="2"/>
    <x v="6"/>
    <x v="20"/>
    <x v="1"/>
    <s v="Small Business"/>
    <n v="6"/>
    <n v="5307"/>
    <n v="0"/>
    <x v="1840"/>
    <n v="24312.05"/>
    <n v="7529.95"/>
    <s v="Credit Card"/>
    <s v="Diya"/>
  </r>
  <r>
    <x v="1853"/>
    <x v="305"/>
    <s v="Ahmedabad"/>
    <x v="2"/>
    <x v="5"/>
    <x v="25"/>
    <x v="0"/>
    <s v="Small Business"/>
    <n v="7"/>
    <n v="25485"/>
    <n v="0.1"/>
    <x v="1841"/>
    <n v="105755.55"/>
    <n v="54799.95"/>
    <s v="Net Banking"/>
    <s v="Anaya"/>
  </r>
  <r>
    <x v="1854"/>
    <x v="225"/>
    <s v="Delhi"/>
    <x v="3"/>
    <x v="2"/>
    <x v="5"/>
    <x v="2"/>
    <s v="Consumer"/>
    <n v="3"/>
    <n v="37037"/>
    <n v="0.1"/>
    <x v="1842"/>
    <n v="87075.59"/>
    <n v="12924.31"/>
    <s v="Net Banking"/>
    <s v="Sara"/>
  </r>
  <r>
    <x v="1855"/>
    <x v="3"/>
    <s v="Pune"/>
    <x v="2"/>
    <x v="4"/>
    <x v="27"/>
    <x v="2"/>
    <s v="Small Business"/>
    <n v="1"/>
    <n v="4243"/>
    <n v="0.15"/>
    <x v="1843"/>
    <n v="2784.46"/>
    <n v="822.09"/>
    <s v="UPI"/>
    <s v="Meera"/>
  </r>
  <r>
    <x v="1856"/>
    <x v="259"/>
    <s v="Mumbai"/>
    <x v="2"/>
    <x v="0"/>
    <x v="19"/>
    <x v="2"/>
    <s v="Consumer"/>
    <n v="6"/>
    <n v="1583"/>
    <n v="0.1"/>
    <x v="1844"/>
    <n v="5578.45"/>
    <n v="2969.75"/>
    <s v="Cash"/>
    <s v="Aarav"/>
  </r>
  <r>
    <x v="1857"/>
    <x v="9"/>
    <s v="Kolkata"/>
    <x v="1"/>
    <x v="1"/>
    <x v="18"/>
    <x v="0"/>
    <s v="Corporate"/>
    <n v="2"/>
    <n v="10605"/>
    <n v="0.1"/>
    <x v="1845"/>
    <n v="12264.05"/>
    <n v="6824.95"/>
    <s v="Cash"/>
    <s v="Aarav"/>
  </r>
  <r>
    <x v="1858"/>
    <x v="236"/>
    <s v="Delhi"/>
    <x v="3"/>
    <x v="2"/>
    <x v="29"/>
    <x v="1"/>
    <s v="Consumer"/>
    <n v="5"/>
    <n v="37039"/>
    <n v="0.05"/>
    <x v="1846"/>
    <n v="149002.12"/>
    <n v="26933.13"/>
    <s v="Cash"/>
    <s v="Kabir"/>
  </r>
  <r>
    <x v="1859"/>
    <x v="16"/>
    <s v="Pune"/>
    <x v="2"/>
    <x v="6"/>
    <x v="30"/>
    <x v="0"/>
    <s v="Small Business"/>
    <n v="5"/>
    <n v="2303"/>
    <n v="0.15"/>
    <x v="1847"/>
    <n v="7244.92"/>
    <n v="2542.83"/>
    <s v="Debit Card"/>
    <s v="Kabir"/>
  </r>
  <r>
    <x v="1860"/>
    <x v="24"/>
    <s v="Mumbai"/>
    <x v="2"/>
    <x v="4"/>
    <x v="14"/>
    <x v="1"/>
    <s v="Small Business"/>
    <n v="1"/>
    <n v="12198"/>
    <n v="0.15"/>
    <x v="1848"/>
    <n v="5988.8"/>
    <n v="4379.5"/>
    <s v="Net Banking"/>
    <s v="Sara"/>
  </r>
  <r>
    <x v="1861"/>
    <x v="113"/>
    <s v="Ahmedabad"/>
    <x v="2"/>
    <x v="1"/>
    <x v="10"/>
    <x v="0"/>
    <s v="Small Business"/>
    <n v="4"/>
    <n v="4772"/>
    <n v="0.05"/>
    <x v="1849"/>
    <n v="14379.21"/>
    <n v="3754.39"/>
    <s v="Net Banking"/>
    <s v="Aarav"/>
  </r>
  <r>
    <x v="1862"/>
    <x v="46"/>
    <s v="Ahmedabad"/>
    <x v="2"/>
    <x v="3"/>
    <x v="15"/>
    <x v="1"/>
    <s v="Consumer"/>
    <n v="6"/>
    <n v="1979"/>
    <n v="0"/>
    <x v="1850"/>
    <n v="9324.09"/>
    <n v="2549.91"/>
    <s v="UPI"/>
    <s v="Anaya"/>
  </r>
  <r>
    <x v="1863"/>
    <x v="153"/>
    <s v="Chennai"/>
    <x v="0"/>
    <x v="5"/>
    <x v="11"/>
    <x v="1"/>
    <s v="Corporate"/>
    <n v="4"/>
    <n v="43689"/>
    <n v="0.05"/>
    <x v="1851"/>
    <n v="123660.67"/>
    <n v="42357.53"/>
    <s v="UPI"/>
    <s v="Meera"/>
  </r>
  <r>
    <x v="1864"/>
    <x v="229"/>
    <s v="Kolkata"/>
    <x v="1"/>
    <x v="0"/>
    <x v="28"/>
    <x v="0"/>
    <s v="Small Business"/>
    <n v="6"/>
    <n v="2433"/>
    <n v="0.05"/>
    <x v="1852"/>
    <n v="10609.79"/>
    <n v="3258.31"/>
    <s v="Cash"/>
    <s v="Diya"/>
  </r>
  <r>
    <x v="1865"/>
    <x v="208"/>
    <s v="Hyderabad"/>
    <x v="0"/>
    <x v="1"/>
    <x v="1"/>
    <x v="2"/>
    <s v="Consumer"/>
    <n v="8"/>
    <n v="11685"/>
    <n v="0.2"/>
    <x v="1853"/>
    <n v="60824.58"/>
    <n v="13959.42"/>
    <s v="Credit Card"/>
    <s v="Anaya"/>
  </r>
  <r>
    <x v="1866"/>
    <x v="191"/>
    <s v="Delhi"/>
    <x v="3"/>
    <x v="0"/>
    <x v="19"/>
    <x v="2"/>
    <s v="Corporate"/>
    <n v="7"/>
    <n v="1378"/>
    <n v="0.1"/>
    <x v="1854"/>
    <n v="6919.57"/>
    <n v="1761.83"/>
    <s v="Net Banking"/>
    <s v="Meera"/>
  </r>
  <r>
    <x v="1867"/>
    <x v="26"/>
    <s v="Ahmedabad"/>
    <x v="2"/>
    <x v="1"/>
    <x v="18"/>
    <x v="2"/>
    <s v="Corporate"/>
    <n v="5"/>
    <n v="6100"/>
    <n v="0.2"/>
    <x v="1855"/>
    <n v="20327.78"/>
    <n v="4072.22"/>
    <s v="Cash"/>
    <s v="Aarav"/>
  </r>
  <r>
    <x v="1868"/>
    <x v="60"/>
    <s v="Hyderabad"/>
    <x v="0"/>
    <x v="1"/>
    <x v="10"/>
    <x v="2"/>
    <s v="Small Business"/>
    <n v="3"/>
    <n v="9869"/>
    <n v="0.05"/>
    <x v="1856"/>
    <n v="18943.96"/>
    <n v="9182.69"/>
    <s v="Cash"/>
    <s v="Rohan"/>
  </r>
  <r>
    <x v="1869"/>
    <x v="309"/>
    <s v="Chennai"/>
    <x v="0"/>
    <x v="0"/>
    <x v="0"/>
    <x v="0"/>
    <s v="Small Business"/>
    <n v="4"/>
    <n v="2042"/>
    <n v="0.1"/>
    <x v="1857"/>
    <n v="4657.57"/>
    <n v="2693.63"/>
    <s v="Credit Card"/>
    <s v="Anaya"/>
  </r>
  <r>
    <x v="1870"/>
    <x v="122"/>
    <s v="Mumbai"/>
    <x v="2"/>
    <x v="5"/>
    <x v="6"/>
    <x v="1"/>
    <s v="Small Business"/>
    <n v="5"/>
    <n v="3768"/>
    <n v="0.1"/>
    <x v="1858"/>
    <n v="12488.42"/>
    <n v="4467.58"/>
    <s v="Net Banking"/>
    <s v="Diya"/>
  </r>
  <r>
    <x v="1871"/>
    <x v="74"/>
    <s v="Pune"/>
    <x v="2"/>
    <x v="5"/>
    <x v="17"/>
    <x v="1"/>
    <s v="Consumer"/>
    <n v="8"/>
    <n v="5664"/>
    <n v="0"/>
    <x v="1859"/>
    <n v="38898.769999999997"/>
    <n v="6413.23"/>
    <s v="Debit Card"/>
    <s v="Vikram"/>
  </r>
  <r>
    <x v="1872"/>
    <x v="10"/>
    <s v="Delhi"/>
    <x v="3"/>
    <x v="2"/>
    <x v="9"/>
    <x v="0"/>
    <s v="Consumer"/>
    <n v="4"/>
    <n v="36212"/>
    <n v="0.1"/>
    <x v="1860"/>
    <n v="89803.59"/>
    <n v="40559.61"/>
    <s v="Net Banking"/>
    <s v="Aarav"/>
  </r>
  <r>
    <x v="1873"/>
    <x v="315"/>
    <s v="Chennai"/>
    <x v="0"/>
    <x v="5"/>
    <x v="11"/>
    <x v="1"/>
    <s v="Corporate"/>
    <n v="1"/>
    <n v="15473"/>
    <n v="0"/>
    <x v="1861"/>
    <n v="9456.98"/>
    <n v="6016.02"/>
    <s v="Debit Card"/>
    <s v="Sara"/>
  </r>
  <r>
    <x v="1874"/>
    <x v="0"/>
    <s v="Pune"/>
    <x v="2"/>
    <x v="1"/>
    <x v="18"/>
    <x v="1"/>
    <s v="Small Business"/>
    <n v="5"/>
    <n v="3702"/>
    <n v="0"/>
    <x v="1862"/>
    <n v="15636.14"/>
    <n v="2873.86"/>
    <s v="Debit Card"/>
    <s v="Rohan"/>
  </r>
  <r>
    <x v="1875"/>
    <x v="354"/>
    <s v="Chennai"/>
    <x v="0"/>
    <x v="1"/>
    <x v="7"/>
    <x v="0"/>
    <s v="Corporate"/>
    <n v="5"/>
    <n v="7444"/>
    <n v="0.05"/>
    <x v="1863"/>
    <n v="23695.88"/>
    <n v="11663.12"/>
    <s v="Debit Card"/>
    <s v="Rohan"/>
  </r>
  <r>
    <x v="1876"/>
    <x v="252"/>
    <s v="Mumbai"/>
    <x v="2"/>
    <x v="2"/>
    <x v="9"/>
    <x v="1"/>
    <s v="Small Business"/>
    <n v="2"/>
    <n v="21213"/>
    <n v="0.05"/>
    <x v="1864"/>
    <n v="28905.17"/>
    <n v="11399.53"/>
    <s v="Debit Card"/>
    <s v="Vikram"/>
  </r>
  <r>
    <x v="1877"/>
    <x v="16"/>
    <s v="Bengaluru"/>
    <x v="0"/>
    <x v="2"/>
    <x v="2"/>
    <x v="1"/>
    <s v="Corporate"/>
    <n v="2"/>
    <n v="4760"/>
    <n v="0.05"/>
    <x v="1865"/>
    <n v="6300.47"/>
    <n v="2743.53"/>
    <s v="Cash"/>
    <s v="Diya"/>
  </r>
  <r>
    <x v="1878"/>
    <x v="300"/>
    <s v="Hyderabad"/>
    <x v="0"/>
    <x v="5"/>
    <x v="11"/>
    <x v="2"/>
    <s v="Corporate"/>
    <n v="2"/>
    <n v="33722"/>
    <n v="0"/>
    <x v="1866"/>
    <n v="50506.7"/>
    <n v="16937.3"/>
    <s v="Cash"/>
    <s v="Vikram"/>
  </r>
  <r>
    <x v="1879"/>
    <x v="306"/>
    <s v="Pune"/>
    <x v="2"/>
    <x v="3"/>
    <x v="12"/>
    <x v="0"/>
    <s v="Small Business"/>
    <n v="4"/>
    <n v="2130"/>
    <n v="0.15"/>
    <x v="1867"/>
    <n v="5850.83"/>
    <n v="1391.17"/>
    <s v="Debit Card"/>
    <s v="Vikram"/>
  </r>
  <r>
    <x v="1880"/>
    <x v="132"/>
    <s v="Mumbai"/>
    <x v="2"/>
    <x v="1"/>
    <x v="10"/>
    <x v="0"/>
    <s v="Small Business"/>
    <n v="5"/>
    <n v="11213"/>
    <n v="0.15"/>
    <x v="1868"/>
    <n v="27570.17"/>
    <n v="20085.080000000002"/>
    <s v="Credit Card"/>
    <s v="Kabir"/>
  </r>
  <r>
    <x v="1881"/>
    <x v="328"/>
    <s v="Chennai"/>
    <x v="0"/>
    <x v="3"/>
    <x v="3"/>
    <x v="2"/>
    <s v="Corporate"/>
    <n v="2"/>
    <n v="440"/>
    <n v="0.1"/>
    <x v="1869"/>
    <n v="508.57"/>
    <n v="283.43"/>
    <s v="Net Banking"/>
    <s v="Diya"/>
  </r>
  <r>
    <x v="1882"/>
    <x v="46"/>
    <s v="Delhi"/>
    <x v="3"/>
    <x v="4"/>
    <x v="27"/>
    <x v="1"/>
    <s v="Small Business"/>
    <n v="8"/>
    <n v="6931"/>
    <n v="0.05"/>
    <x v="1870"/>
    <n v="30658.07"/>
    <n v="22017.53"/>
    <s v="Cash"/>
    <s v="Diya"/>
  </r>
  <r>
    <x v="1883"/>
    <x v="185"/>
    <s v="Delhi"/>
    <x v="3"/>
    <x v="0"/>
    <x v="19"/>
    <x v="2"/>
    <s v="Corporate"/>
    <n v="1"/>
    <n v="2410"/>
    <n v="0.15"/>
    <x v="1871"/>
    <n v="1237.22"/>
    <n v="811.28"/>
    <s v="Cash"/>
    <s v="Diya"/>
  </r>
  <r>
    <x v="1884"/>
    <x v="198"/>
    <s v="Chennai"/>
    <x v="0"/>
    <x v="5"/>
    <x v="11"/>
    <x v="0"/>
    <s v="Corporate"/>
    <n v="3"/>
    <n v="23815"/>
    <n v="0.1"/>
    <x v="1872"/>
    <n v="37344.22"/>
    <n v="26956.28"/>
    <s v="Net Banking"/>
    <s v="Kabir"/>
  </r>
  <r>
    <x v="1885"/>
    <x v="62"/>
    <s v="Pune"/>
    <x v="2"/>
    <x v="4"/>
    <x v="27"/>
    <x v="2"/>
    <s v="Small Business"/>
    <n v="6"/>
    <n v="24867"/>
    <n v="0.05"/>
    <x v="1873"/>
    <n v="116367.26"/>
    <n v="25374.639999999999"/>
    <s v="Cash"/>
    <s v="Meera"/>
  </r>
  <r>
    <x v="1886"/>
    <x v="269"/>
    <s v="Kolkata"/>
    <x v="1"/>
    <x v="5"/>
    <x v="6"/>
    <x v="2"/>
    <s v="Small Business"/>
    <n v="1"/>
    <n v="5312"/>
    <n v="0.2"/>
    <x v="1874"/>
    <n v="3403.96"/>
    <n v="845.64"/>
    <s v="Credit Card"/>
    <s v="Anaya"/>
  </r>
  <r>
    <x v="1887"/>
    <x v="276"/>
    <s v="Bengaluru"/>
    <x v="0"/>
    <x v="0"/>
    <x v="26"/>
    <x v="1"/>
    <s v="Small Business"/>
    <n v="5"/>
    <n v="2285"/>
    <n v="0.1"/>
    <x v="1875"/>
    <n v="8118.53"/>
    <n v="2163.9699999999998"/>
    <s v="Debit Card"/>
    <s v="Rohan"/>
  </r>
  <r>
    <x v="1888"/>
    <x v="75"/>
    <s v="Delhi"/>
    <x v="3"/>
    <x v="4"/>
    <x v="14"/>
    <x v="0"/>
    <s v="Corporate"/>
    <n v="4"/>
    <n v="16602"/>
    <n v="0.1"/>
    <x v="1876"/>
    <n v="41332.51"/>
    <n v="18434.689999999999"/>
    <s v="Debit Card"/>
    <s v="Rohan"/>
  </r>
  <r>
    <x v="1889"/>
    <x v="173"/>
    <s v="Delhi"/>
    <x v="3"/>
    <x v="1"/>
    <x v="18"/>
    <x v="1"/>
    <s v="Small Business"/>
    <n v="1"/>
    <n v="5620"/>
    <n v="0.1"/>
    <x v="1877"/>
    <n v="2844.09"/>
    <n v="2213.91"/>
    <s v="Net Banking"/>
    <s v="Rohan"/>
  </r>
  <r>
    <x v="1890"/>
    <x v="306"/>
    <s v="Bengaluru"/>
    <x v="0"/>
    <x v="5"/>
    <x v="25"/>
    <x v="2"/>
    <s v="Consumer"/>
    <n v="7"/>
    <n v="5383"/>
    <n v="0"/>
    <x v="1878"/>
    <n v="28399.54"/>
    <n v="9281.4599999999991"/>
    <s v="Net Banking"/>
    <s v="Anaya"/>
  </r>
  <r>
    <x v="1891"/>
    <x v="304"/>
    <s v="Mumbai"/>
    <x v="2"/>
    <x v="4"/>
    <x v="4"/>
    <x v="2"/>
    <s v="Corporate"/>
    <n v="4"/>
    <n v="6788"/>
    <n v="0.1"/>
    <x v="1879"/>
    <n v="20987.74"/>
    <n v="3449.06"/>
    <s v="Credit Card"/>
    <s v="Kabir"/>
  </r>
  <r>
    <x v="1892"/>
    <x v="8"/>
    <s v="Pune"/>
    <x v="2"/>
    <x v="1"/>
    <x v="10"/>
    <x v="2"/>
    <s v="Small Business"/>
    <n v="7"/>
    <n v="4315"/>
    <n v="0.15"/>
    <x v="1880"/>
    <n v="16992.400000000001"/>
    <n v="8681.85"/>
    <s v="Credit Card"/>
    <s v="Anaya"/>
  </r>
  <r>
    <x v="1893"/>
    <x v="45"/>
    <s v="Mumbai"/>
    <x v="2"/>
    <x v="6"/>
    <x v="33"/>
    <x v="2"/>
    <s v="Consumer"/>
    <n v="4"/>
    <n v="3195"/>
    <n v="0.1"/>
    <x v="1881"/>
    <n v="7739.62"/>
    <n v="3762.38"/>
    <s v="UPI"/>
    <s v="Vikram"/>
  </r>
  <r>
    <x v="1894"/>
    <x v="142"/>
    <s v="Mumbai"/>
    <x v="2"/>
    <x v="6"/>
    <x v="33"/>
    <x v="0"/>
    <s v="Small Business"/>
    <n v="7"/>
    <n v="2662"/>
    <n v="0.05"/>
    <x v="1882"/>
    <n v="13606.07"/>
    <n v="4096.2299999999996"/>
    <s v="Net Banking"/>
    <s v="Rohan"/>
  </r>
  <r>
    <x v="1895"/>
    <x v="58"/>
    <s v="Chennai"/>
    <x v="0"/>
    <x v="4"/>
    <x v="13"/>
    <x v="0"/>
    <s v="Small Business"/>
    <n v="6"/>
    <n v="21919"/>
    <n v="0"/>
    <x v="1883"/>
    <n v="98056.87"/>
    <n v="33457.129999999997"/>
    <s v="UPI"/>
    <s v="Vikram"/>
  </r>
  <r>
    <x v="1896"/>
    <x v="206"/>
    <s v="Mumbai"/>
    <x v="2"/>
    <x v="0"/>
    <x v="23"/>
    <x v="2"/>
    <s v="Small Business"/>
    <n v="2"/>
    <n v="1580"/>
    <n v="0"/>
    <x v="1884"/>
    <n v="2561.37"/>
    <n v="598.63"/>
    <s v="Credit Card"/>
    <s v="Kabir"/>
  </r>
  <r>
    <x v="1897"/>
    <x v="115"/>
    <s v="Ahmedabad"/>
    <x v="2"/>
    <x v="2"/>
    <x v="21"/>
    <x v="1"/>
    <s v="Consumer"/>
    <n v="3"/>
    <n v="11007"/>
    <n v="0.05"/>
    <x v="1885"/>
    <n v="25993.919999999998"/>
    <n v="5376.03"/>
    <s v="Cash"/>
    <s v="Sara"/>
  </r>
  <r>
    <x v="1898"/>
    <x v="82"/>
    <s v="Chennai"/>
    <x v="0"/>
    <x v="3"/>
    <x v="12"/>
    <x v="2"/>
    <s v="Consumer"/>
    <n v="2"/>
    <n v="739"/>
    <n v="0"/>
    <x v="1886"/>
    <n v="1012.17"/>
    <n v="465.83"/>
    <s v="UPI"/>
    <s v="Diya"/>
  </r>
  <r>
    <x v="1899"/>
    <x v="324"/>
    <s v="Bengaluru"/>
    <x v="0"/>
    <x v="3"/>
    <x v="3"/>
    <x v="0"/>
    <s v="Consumer"/>
    <n v="4"/>
    <n v="1424"/>
    <n v="0"/>
    <x v="1887"/>
    <n v="3592.41"/>
    <n v="2103.59"/>
    <s v="Debit Card"/>
    <s v="Rohan"/>
  </r>
  <r>
    <x v="1900"/>
    <x v="350"/>
    <s v="Bengaluru"/>
    <x v="0"/>
    <x v="1"/>
    <x v="18"/>
    <x v="0"/>
    <s v="Small Business"/>
    <n v="6"/>
    <n v="558"/>
    <n v="0"/>
    <x v="1888"/>
    <n v="2881.92"/>
    <n v="466.08"/>
    <s v="Debit Card"/>
    <s v="Vikram"/>
  </r>
  <r>
    <x v="1901"/>
    <x v="235"/>
    <s v="Bengaluru"/>
    <x v="0"/>
    <x v="3"/>
    <x v="3"/>
    <x v="2"/>
    <s v="Small Business"/>
    <n v="5"/>
    <n v="988"/>
    <n v="0.2"/>
    <x v="1889"/>
    <n v="2545.6999999999998"/>
    <n v="1406.3"/>
    <s v="Cash"/>
    <s v="Diya"/>
  </r>
  <r>
    <x v="1902"/>
    <x v="129"/>
    <s v="Kolkata"/>
    <x v="1"/>
    <x v="1"/>
    <x v="1"/>
    <x v="0"/>
    <s v="Consumer"/>
    <n v="1"/>
    <n v="5423"/>
    <n v="0.1"/>
    <x v="1890"/>
    <n v="2895.88"/>
    <n v="1984.82"/>
    <s v="Debit Card"/>
    <s v="Rohan"/>
  </r>
  <r>
    <x v="1903"/>
    <x v="228"/>
    <s v="Mumbai"/>
    <x v="2"/>
    <x v="6"/>
    <x v="20"/>
    <x v="1"/>
    <s v="Small Business"/>
    <n v="5"/>
    <n v="1904"/>
    <n v="0.05"/>
    <x v="1865"/>
    <n v="5191.05"/>
    <n v="3852.95"/>
    <s v="Credit Card"/>
    <s v="Aarav"/>
  </r>
  <r>
    <x v="1904"/>
    <x v="45"/>
    <s v="Delhi"/>
    <x v="3"/>
    <x v="6"/>
    <x v="16"/>
    <x v="2"/>
    <s v="Small Business"/>
    <n v="5"/>
    <n v="4074"/>
    <n v="0.05"/>
    <x v="1891"/>
    <n v="12213.2"/>
    <n v="7138.3"/>
    <s v="Debit Card"/>
    <s v="Kabir"/>
  </r>
  <r>
    <x v="1905"/>
    <x v="274"/>
    <s v="Delhi"/>
    <x v="3"/>
    <x v="3"/>
    <x v="3"/>
    <x v="0"/>
    <s v="Consumer"/>
    <n v="3"/>
    <n v="1171"/>
    <n v="0.05"/>
    <x v="1892"/>
    <n v="1983.62"/>
    <n v="1353.73"/>
    <s v="Debit Card"/>
    <s v="Diya"/>
  </r>
  <r>
    <x v="1906"/>
    <x v="238"/>
    <s v="Pune"/>
    <x v="2"/>
    <x v="2"/>
    <x v="5"/>
    <x v="1"/>
    <s v="Corporate"/>
    <n v="4"/>
    <n v="47142"/>
    <n v="0.05"/>
    <x v="1893"/>
    <n v="122840.63"/>
    <n v="56298.97"/>
    <s v="Debit Card"/>
    <s v="Kabir"/>
  </r>
  <r>
    <x v="1907"/>
    <x v="176"/>
    <s v="Chennai"/>
    <x v="0"/>
    <x v="5"/>
    <x v="6"/>
    <x v="1"/>
    <s v="Corporate"/>
    <n v="8"/>
    <n v="46319"/>
    <n v="0.2"/>
    <x v="1894"/>
    <n v="236125.32"/>
    <n v="60316.28"/>
    <s v="UPI"/>
    <s v="Aarav"/>
  </r>
  <r>
    <x v="1908"/>
    <x v="281"/>
    <s v="Mumbai"/>
    <x v="2"/>
    <x v="5"/>
    <x v="24"/>
    <x v="1"/>
    <s v="Small Business"/>
    <n v="8"/>
    <n v="47397"/>
    <n v="0.15"/>
    <x v="1895"/>
    <n v="228291.85"/>
    <n v="94007.75"/>
    <s v="UPI"/>
    <s v="Anaya"/>
  </r>
  <r>
    <x v="1909"/>
    <x v="109"/>
    <s v="Mumbai"/>
    <x v="2"/>
    <x v="1"/>
    <x v="7"/>
    <x v="2"/>
    <s v="Corporate"/>
    <n v="4"/>
    <n v="933"/>
    <n v="0.1"/>
    <x v="1896"/>
    <n v="2101.7600000000002"/>
    <n v="1257.04"/>
    <s v="Net Banking"/>
    <s v="Rohan"/>
  </r>
  <r>
    <x v="1910"/>
    <x v="60"/>
    <s v="Ahmedabad"/>
    <x v="2"/>
    <x v="4"/>
    <x v="14"/>
    <x v="0"/>
    <s v="Corporate"/>
    <n v="7"/>
    <n v="10041"/>
    <n v="0.05"/>
    <x v="1897"/>
    <n v="41538.67"/>
    <n v="25233.98"/>
    <s v="Credit Card"/>
    <s v="Aarav"/>
  </r>
  <r>
    <x v="1911"/>
    <x v="56"/>
    <s v="Kolkata"/>
    <x v="1"/>
    <x v="6"/>
    <x v="8"/>
    <x v="2"/>
    <s v="Corporate"/>
    <n v="3"/>
    <n v="893"/>
    <n v="0"/>
    <x v="1898"/>
    <n v="1696.81"/>
    <n v="982.19"/>
    <s v="UPI"/>
    <s v="Meera"/>
  </r>
  <r>
    <x v="1912"/>
    <x v="358"/>
    <s v="Delhi"/>
    <x v="3"/>
    <x v="3"/>
    <x v="3"/>
    <x v="1"/>
    <s v="Small Business"/>
    <n v="4"/>
    <n v="641"/>
    <n v="0.15"/>
    <x v="1899"/>
    <n v="1779.65"/>
    <n v="399.75"/>
    <s v="UPI"/>
    <s v="Rohan"/>
  </r>
  <r>
    <x v="1913"/>
    <x v="94"/>
    <s v="Ahmedabad"/>
    <x v="2"/>
    <x v="1"/>
    <x v="10"/>
    <x v="1"/>
    <s v="Corporate"/>
    <n v="2"/>
    <n v="7119"/>
    <n v="0.2"/>
    <x v="1900"/>
    <n v="7132.13"/>
    <n v="4258.2700000000004"/>
    <s v="Credit Card"/>
    <s v="Vikram"/>
  </r>
  <r>
    <x v="1914"/>
    <x v="27"/>
    <s v="Pune"/>
    <x v="2"/>
    <x v="5"/>
    <x v="6"/>
    <x v="0"/>
    <s v="Corporate"/>
    <n v="2"/>
    <n v="48221"/>
    <n v="0.1"/>
    <x v="1901"/>
    <n v="59642.7"/>
    <n v="27155.1"/>
    <s v="UPI"/>
    <s v="Vikram"/>
  </r>
  <r>
    <x v="1915"/>
    <x v="74"/>
    <s v="Bengaluru"/>
    <x v="0"/>
    <x v="3"/>
    <x v="12"/>
    <x v="2"/>
    <s v="Small Business"/>
    <n v="4"/>
    <n v="883"/>
    <n v="0.05"/>
    <x v="1902"/>
    <n v="2099.92"/>
    <n v="1255.48"/>
    <s v="Credit Card"/>
    <s v="Anaya"/>
  </r>
  <r>
    <x v="1916"/>
    <x v="172"/>
    <s v="Mumbai"/>
    <x v="2"/>
    <x v="1"/>
    <x v="18"/>
    <x v="0"/>
    <s v="Small Business"/>
    <n v="5"/>
    <n v="9940"/>
    <n v="0.1"/>
    <x v="1306"/>
    <n v="37744"/>
    <n v="6986"/>
    <s v="Credit Card"/>
    <s v="Meera"/>
  </r>
  <r>
    <x v="1917"/>
    <x v="77"/>
    <s v="Mumbai"/>
    <x v="2"/>
    <x v="3"/>
    <x v="12"/>
    <x v="0"/>
    <s v="Consumer"/>
    <n v="3"/>
    <n v="1610"/>
    <n v="0.1"/>
    <x v="1903"/>
    <n v="3708.77"/>
    <n v="638.23"/>
    <s v="UPI"/>
    <s v="Anaya"/>
  </r>
  <r>
    <x v="1918"/>
    <x v="149"/>
    <s v="Bengaluru"/>
    <x v="0"/>
    <x v="2"/>
    <x v="5"/>
    <x v="0"/>
    <s v="Small Business"/>
    <n v="3"/>
    <n v="32608"/>
    <n v="0"/>
    <x v="1904"/>
    <n v="67626.37"/>
    <n v="30197.63"/>
    <s v="UPI"/>
    <s v="Vikram"/>
  </r>
  <r>
    <x v="1919"/>
    <x v="11"/>
    <s v="Ahmedabad"/>
    <x v="2"/>
    <x v="0"/>
    <x v="28"/>
    <x v="0"/>
    <s v="Small Business"/>
    <n v="5"/>
    <n v="363"/>
    <n v="0"/>
    <x v="1905"/>
    <n v="1387"/>
    <n v="428"/>
    <s v="Cash"/>
    <s v="Vikram"/>
  </r>
  <r>
    <x v="1920"/>
    <x v="18"/>
    <s v="Kolkata"/>
    <x v="1"/>
    <x v="0"/>
    <x v="28"/>
    <x v="0"/>
    <s v="Corporate"/>
    <n v="7"/>
    <n v="2260"/>
    <n v="0.05"/>
    <x v="1906"/>
    <n v="10003.49"/>
    <n v="5025.51"/>
    <s v="Credit Card"/>
    <s v="Anaya"/>
  </r>
  <r>
    <x v="1921"/>
    <x v="44"/>
    <s v="Ahmedabad"/>
    <x v="2"/>
    <x v="5"/>
    <x v="17"/>
    <x v="0"/>
    <s v="Consumer"/>
    <n v="7"/>
    <n v="17977"/>
    <n v="0.15"/>
    <x v="1907"/>
    <n v="87673.08"/>
    <n v="19290.07"/>
    <s v="Debit Card"/>
    <s v="Rohan"/>
  </r>
  <r>
    <x v="1922"/>
    <x v="21"/>
    <s v="Pune"/>
    <x v="2"/>
    <x v="6"/>
    <x v="33"/>
    <x v="2"/>
    <s v="Consumer"/>
    <n v="3"/>
    <n v="4887"/>
    <n v="0.1"/>
    <x v="1908"/>
    <n v="9910.93"/>
    <n v="3283.97"/>
    <s v="Cash"/>
    <s v="Vikram"/>
  </r>
  <r>
    <x v="1923"/>
    <x v="190"/>
    <s v="Ahmedabad"/>
    <x v="2"/>
    <x v="4"/>
    <x v="27"/>
    <x v="0"/>
    <s v="Corporate"/>
    <n v="4"/>
    <n v="20239"/>
    <n v="0"/>
    <x v="1909"/>
    <n v="63103.17"/>
    <n v="17852.830000000002"/>
    <s v="Debit Card"/>
    <s v="Aarav"/>
  </r>
  <r>
    <x v="1924"/>
    <x v="232"/>
    <s v="Mumbai"/>
    <x v="2"/>
    <x v="4"/>
    <x v="4"/>
    <x v="0"/>
    <s v="Corporate"/>
    <n v="2"/>
    <n v="23865"/>
    <n v="0.1"/>
    <x v="1910"/>
    <n v="26062.25"/>
    <n v="16894.75"/>
    <s v="Credit Card"/>
    <s v="Aarav"/>
  </r>
  <r>
    <x v="1925"/>
    <x v="146"/>
    <s v="Mumbai"/>
    <x v="2"/>
    <x v="2"/>
    <x v="2"/>
    <x v="2"/>
    <s v="Small Business"/>
    <n v="7"/>
    <n v="38444"/>
    <n v="0"/>
    <x v="1911"/>
    <n v="225993.07"/>
    <n v="43114.93"/>
    <s v="Cash"/>
    <s v="Kabir"/>
  </r>
  <r>
    <x v="1926"/>
    <x v="255"/>
    <s v="Pune"/>
    <x v="2"/>
    <x v="1"/>
    <x v="18"/>
    <x v="0"/>
    <s v="Corporate"/>
    <n v="6"/>
    <n v="7270"/>
    <n v="0"/>
    <x v="1912"/>
    <n v="30877.79"/>
    <n v="12742.21"/>
    <s v="UPI"/>
    <s v="Aarav"/>
  </r>
  <r>
    <x v="1927"/>
    <x v="347"/>
    <s v="Mumbai"/>
    <x v="2"/>
    <x v="1"/>
    <x v="1"/>
    <x v="2"/>
    <s v="Small Business"/>
    <n v="5"/>
    <n v="8695"/>
    <n v="0.05"/>
    <x v="1913"/>
    <n v="31923.3"/>
    <n v="9377.9500000000007"/>
    <s v="Credit Card"/>
    <s v="Meera"/>
  </r>
  <r>
    <x v="1928"/>
    <x v="264"/>
    <s v="Pune"/>
    <x v="2"/>
    <x v="5"/>
    <x v="17"/>
    <x v="0"/>
    <s v="Consumer"/>
    <n v="5"/>
    <n v="45662"/>
    <n v="0"/>
    <x v="1914"/>
    <n v="161410.82999999999"/>
    <n v="66899.17"/>
    <s v="Debit Card"/>
    <s v="Meera"/>
  </r>
  <r>
    <x v="1929"/>
    <x v="288"/>
    <s v="Mumbai"/>
    <x v="2"/>
    <x v="1"/>
    <x v="18"/>
    <x v="1"/>
    <s v="Consumer"/>
    <n v="6"/>
    <n v="7367"/>
    <n v="0.1"/>
    <x v="1915"/>
    <n v="25031.15"/>
    <n v="14750.65"/>
    <s v="UPI"/>
    <s v="Kabir"/>
  </r>
  <r>
    <x v="1930"/>
    <x v="58"/>
    <s v="Hyderabad"/>
    <x v="0"/>
    <x v="6"/>
    <x v="8"/>
    <x v="0"/>
    <s v="Corporate"/>
    <n v="2"/>
    <n v="4458"/>
    <n v="0.1"/>
    <x v="1916"/>
    <n v="5715.54"/>
    <n v="2308.86"/>
    <s v="Net Banking"/>
    <s v="Sara"/>
  </r>
  <r>
    <x v="1931"/>
    <x v="299"/>
    <s v="Pune"/>
    <x v="2"/>
    <x v="5"/>
    <x v="11"/>
    <x v="2"/>
    <s v="Corporate"/>
    <n v="3"/>
    <n v="31047"/>
    <n v="0.05"/>
    <x v="1917"/>
    <n v="73429.73"/>
    <n v="15054.22"/>
    <s v="Net Banking"/>
    <s v="Meera"/>
  </r>
  <r>
    <x v="1932"/>
    <x v="58"/>
    <s v="Chennai"/>
    <x v="0"/>
    <x v="1"/>
    <x v="18"/>
    <x v="0"/>
    <s v="Small Business"/>
    <n v="4"/>
    <n v="11970"/>
    <n v="0.1"/>
    <x v="1918"/>
    <n v="26764.7"/>
    <n v="16327.3"/>
    <s v="Credit Card"/>
    <s v="Aarav"/>
  </r>
  <r>
    <x v="1933"/>
    <x v="22"/>
    <s v="Delhi"/>
    <x v="3"/>
    <x v="6"/>
    <x v="8"/>
    <x v="1"/>
    <s v="Small Business"/>
    <n v="6"/>
    <n v="3083"/>
    <n v="0"/>
    <x v="1919"/>
    <n v="15019.41"/>
    <n v="3478.59"/>
    <s v="Net Banking"/>
    <s v="Meera"/>
  </r>
  <r>
    <x v="1934"/>
    <x v="207"/>
    <s v="Bengaluru"/>
    <x v="0"/>
    <x v="2"/>
    <x v="9"/>
    <x v="0"/>
    <s v="Consumer"/>
    <n v="6"/>
    <n v="39353"/>
    <n v="0.1"/>
    <x v="1920"/>
    <n v="183314.52"/>
    <n v="29191.68"/>
    <s v="Net Banking"/>
    <s v="Rohan"/>
  </r>
  <r>
    <x v="1935"/>
    <x v="247"/>
    <s v="Delhi"/>
    <x v="3"/>
    <x v="4"/>
    <x v="31"/>
    <x v="0"/>
    <s v="Consumer"/>
    <n v="3"/>
    <n v="6426"/>
    <n v="0.1"/>
    <x v="1921"/>
    <n v="11816.22"/>
    <n v="5533.98"/>
    <s v="Debit Card"/>
    <s v="Vikram"/>
  </r>
  <r>
    <x v="1936"/>
    <x v="154"/>
    <s v="Hyderabad"/>
    <x v="0"/>
    <x v="5"/>
    <x v="17"/>
    <x v="1"/>
    <s v="Small Business"/>
    <n v="4"/>
    <n v="35842"/>
    <n v="0"/>
    <x v="1922"/>
    <n v="114649.65"/>
    <n v="28718.35"/>
    <s v="UPI"/>
    <s v="Meera"/>
  </r>
  <r>
    <x v="1937"/>
    <x v="4"/>
    <s v="Pune"/>
    <x v="2"/>
    <x v="0"/>
    <x v="0"/>
    <x v="2"/>
    <s v="Small Business"/>
    <n v="2"/>
    <n v="376"/>
    <n v="0.1"/>
    <x v="1923"/>
    <n v="522.22"/>
    <n v="154.58000000000001"/>
    <s v="Debit Card"/>
    <s v="Aarav"/>
  </r>
  <r>
    <x v="1938"/>
    <x v="354"/>
    <s v="Ahmedabad"/>
    <x v="2"/>
    <x v="5"/>
    <x v="24"/>
    <x v="1"/>
    <s v="Small Business"/>
    <n v="7"/>
    <n v="40485"/>
    <n v="0.1"/>
    <x v="1924"/>
    <n v="173731.79"/>
    <n v="81323.710000000006"/>
    <s v="Cash"/>
    <s v="Rohan"/>
  </r>
  <r>
    <x v="1939"/>
    <x v="37"/>
    <s v="Kolkata"/>
    <x v="1"/>
    <x v="0"/>
    <x v="23"/>
    <x v="0"/>
    <s v="Small Business"/>
    <n v="6"/>
    <n v="900"/>
    <n v="0.05"/>
    <x v="1925"/>
    <n v="2979.97"/>
    <n v="2150.0300000000002"/>
    <s v="Net Banking"/>
    <s v="Anaya"/>
  </r>
  <r>
    <x v="1940"/>
    <x v="2"/>
    <s v="Chennai"/>
    <x v="0"/>
    <x v="0"/>
    <x v="26"/>
    <x v="1"/>
    <s v="Consumer"/>
    <n v="3"/>
    <n v="1474"/>
    <n v="0.1"/>
    <x v="1926"/>
    <n v="2976.25"/>
    <n v="1003.55"/>
    <s v="Cash"/>
    <s v="Aarav"/>
  </r>
  <r>
    <x v="1941"/>
    <x v="161"/>
    <s v="Delhi"/>
    <x v="3"/>
    <x v="5"/>
    <x v="6"/>
    <x v="2"/>
    <s v="Small Business"/>
    <n v="3"/>
    <n v="49630"/>
    <n v="0.05"/>
    <x v="1927"/>
    <n v="86888.46"/>
    <n v="54557.04"/>
    <s v="Debit Card"/>
    <s v="Meera"/>
  </r>
  <r>
    <x v="1942"/>
    <x v="330"/>
    <s v="Ahmedabad"/>
    <x v="2"/>
    <x v="0"/>
    <x v="26"/>
    <x v="0"/>
    <s v="Corporate"/>
    <n v="5"/>
    <n v="375"/>
    <n v="0.05"/>
    <x v="1928"/>
    <n v="1547.64"/>
    <n v="233.61"/>
    <s v="Cash"/>
    <s v="Anaya"/>
  </r>
  <r>
    <x v="1943"/>
    <x v="227"/>
    <s v="Pune"/>
    <x v="2"/>
    <x v="6"/>
    <x v="33"/>
    <x v="0"/>
    <s v="Corporate"/>
    <n v="2"/>
    <n v="3454"/>
    <n v="0.05"/>
    <x v="1929"/>
    <n v="4216.26"/>
    <n v="2346.34"/>
    <s v="Cash"/>
    <s v="Diya"/>
  </r>
  <r>
    <x v="1944"/>
    <x v="205"/>
    <s v="Delhi"/>
    <x v="3"/>
    <x v="6"/>
    <x v="16"/>
    <x v="2"/>
    <s v="Corporate"/>
    <n v="2"/>
    <n v="4218"/>
    <n v="0.05"/>
    <x v="1930"/>
    <n v="6263.33"/>
    <n v="1750.87"/>
    <s v="UPI"/>
    <s v="Sara"/>
  </r>
  <r>
    <x v="1945"/>
    <x v="7"/>
    <s v="Kolkata"/>
    <x v="1"/>
    <x v="6"/>
    <x v="20"/>
    <x v="2"/>
    <s v="Consumer"/>
    <n v="7"/>
    <n v="3084"/>
    <n v="0.05"/>
    <x v="1931"/>
    <n v="13526.64"/>
    <n v="6981.96"/>
    <s v="UPI"/>
    <s v="Sara"/>
  </r>
  <r>
    <x v="1946"/>
    <x v="40"/>
    <s v="Hyderabad"/>
    <x v="0"/>
    <x v="4"/>
    <x v="31"/>
    <x v="1"/>
    <s v="Corporate"/>
    <n v="3"/>
    <n v="22625"/>
    <n v="0.05"/>
    <x v="1932"/>
    <n v="38608.769999999997"/>
    <n v="25872.48"/>
    <s v="UPI"/>
    <s v="Kabir"/>
  </r>
  <r>
    <x v="1947"/>
    <x v="121"/>
    <s v="Bengaluru"/>
    <x v="0"/>
    <x v="3"/>
    <x v="34"/>
    <x v="2"/>
    <s v="Corporate"/>
    <n v="6"/>
    <n v="838"/>
    <n v="0.05"/>
    <x v="1933"/>
    <n v="3094.4"/>
    <n v="1682.2"/>
    <s v="Credit Card"/>
    <s v="Kabir"/>
  </r>
  <r>
    <x v="1948"/>
    <x v="314"/>
    <s v="Bengaluru"/>
    <x v="0"/>
    <x v="2"/>
    <x v="29"/>
    <x v="0"/>
    <s v="Consumer"/>
    <n v="4"/>
    <n v="16853"/>
    <n v="0.05"/>
    <x v="1934"/>
    <n v="46098.13"/>
    <n v="17943.27"/>
    <s v="Net Banking"/>
    <s v="Aarav"/>
  </r>
  <r>
    <x v="1949"/>
    <x v="194"/>
    <s v="Kolkata"/>
    <x v="1"/>
    <x v="1"/>
    <x v="18"/>
    <x v="0"/>
    <s v="Consumer"/>
    <n v="7"/>
    <n v="8581"/>
    <n v="0.05"/>
    <x v="1935"/>
    <n v="47732.5"/>
    <n v="9331.15"/>
    <s v="Net Banking"/>
    <s v="Rohan"/>
  </r>
  <r>
    <x v="1950"/>
    <x v="41"/>
    <s v="Kolkata"/>
    <x v="1"/>
    <x v="6"/>
    <x v="16"/>
    <x v="0"/>
    <s v="Small Business"/>
    <n v="1"/>
    <n v="4813"/>
    <n v="0"/>
    <x v="1936"/>
    <n v="4062.02"/>
    <n v="750.98"/>
    <s v="Cash"/>
    <s v="Vikram"/>
  </r>
  <r>
    <x v="1951"/>
    <x v="201"/>
    <s v="Ahmedabad"/>
    <x v="2"/>
    <x v="6"/>
    <x v="33"/>
    <x v="2"/>
    <s v="Corporate"/>
    <n v="6"/>
    <n v="2274"/>
    <n v="0.1"/>
    <x v="1937"/>
    <n v="9350.2900000000009"/>
    <n v="2929.31"/>
    <s v="Cash"/>
    <s v="Meera"/>
  </r>
  <r>
    <x v="1952"/>
    <x v="72"/>
    <s v="Mumbai"/>
    <x v="2"/>
    <x v="6"/>
    <x v="30"/>
    <x v="0"/>
    <s v="Small Business"/>
    <n v="7"/>
    <n v="5271"/>
    <n v="0.05"/>
    <x v="1938"/>
    <n v="24137.31"/>
    <n v="10914.84"/>
    <s v="Cash"/>
    <s v="Rohan"/>
  </r>
  <r>
    <x v="1953"/>
    <x v="140"/>
    <s v="Delhi"/>
    <x v="3"/>
    <x v="2"/>
    <x v="9"/>
    <x v="2"/>
    <s v="Small Business"/>
    <n v="8"/>
    <n v="13824"/>
    <n v="0"/>
    <x v="1939"/>
    <n v="71058.02"/>
    <n v="39533.980000000003"/>
    <s v="UPI"/>
    <s v="Anaya"/>
  </r>
  <r>
    <x v="1954"/>
    <x v="116"/>
    <s v="Ahmedabad"/>
    <x v="2"/>
    <x v="2"/>
    <x v="9"/>
    <x v="0"/>
    <s v="Small Business"/>
    <n v="2"/>
    <n v="46554"/>
    <n v="0"/>
    <x v="1940"/>
    <n v="63617.33"/>
    <n v="29490.67"/>
    <s v="Credit Card"/>
    <s v="Aarav"/>
  </r>
  <r>
    <x v="1955"/>
    <x v="212"/>
    <s v="Mumbai"/>
    <x v="2"/>
    <x v="6"/>
    <x v="30"/>
    <x v="1"/>
    <s v="Small Business"/>
    <n v="2"/>
    <n v="5341"/>
    <n v="0.05"/>
    <x v="1941"/>
    <n v="7299.76"/>
    <n v="2848.14"/>
    <s v="Cash"/>
    <s v="Aarav"/>
  </r>
  <r>
    <x v="1956"/>
    <x v="80"/>
    <s v="Kolkata"/>
    <x v="1"/>
    <x v="6"/>
    <x v="20"/>
    <x v="2"/>
    <s v="Small Business"/>
    <n v="3"/>
    <n v="4632"/>
    <n v="0"/>
    <x v="1942"/>
    <n v="10874.8"/>
    <n v="3021.2"/>
    <s v="Net Banking"/>
    <s v="Rohan"/>
  </r>
  <r>
    <x v="1957"/>
    <x v="324"/>
    <s v="Bengaluru"/>
    <x v="0"/>
    <x v="3"/>
    <x v="32"/>
    <x v="2"/>
    <s v="Corporate"/>
    <n v="6"/>
    <n v="404"/>
    <n v="0.1"/>
    <x v="1943"/>
    <n v="1478.03"/>
    <n v="703.57"/>
    <s v="Debit Card"/>
    <s v="Vikram"/>
  </r>
  <r>
    <x v="1958"/>
    <x v="226"/>
    <s v="Ahmedabad"/>
    <x v="2"/>
    <x v="3"/>
    <x v="32"/>
    <x v="0"/>
    <s v="Corporate"/>
    <n v="5"/>
    <n v="932"/>
    <n v="0.05"/>
    <x v="1944"/>
    <n v="3787.71"/>
    <n v="639.29"/>
    <s v="Cash"/>
    <s v="Aarav"/>
  </r>
  <r>
    <x v="1959"/>
    <x v="326"/>
    <s v="Mumbai"/>
    <x v="2"/>
    <x v="2"/>
    <x v="2"/>
    <x v="2"/>
    <s v="Corporate"/>
    <n v="3"/>
    <n v="5279"/>
    <n v="0"/>
    <x v="1945"/>
    <n v="9117.61"/>
    <n v="6719.39"/>
    <s v="Credit Card"/>
    <s v="Meera"/>
  </r>
  <r>
    <x v="1960"/>
    <x v="350"/>
    <s v="Mumbai"/>
    <x v="2"/>
    <x v="2"/>
    <x v="21"/>
    <x v="0"/>
    <s v="Small Business"/>
    <n v="7"/>
    <n v="36658"/>
    <n v="0.15"/>
    <x v="1946"/>
    <n v="157227.51"/>
    <n v="60887.59"/>
    <s v="Net Banking"/>
    <s v="Vikram"/>
  </r>
  <r>
    <x v="1961"/>
    <x v="252"/>
    <s v="Mumbai"/>
    <x v="2"/>
    <x v="4"/>
    <x v="14"/>
    <x v="1"/>
    <s v="Consumer"/>
    <n v="1"/>
    <n v="16962"/>
    <n v="0.1"/>
    <x v="1947"/>
    <n v="9324.69"/>
    <n v="5941.11"/>
    <s v="Credit Card"/>
    <s v="Anaya"/>
  </r>
  <r>
    <x v="1962"/>
    <x v="190"/>
    <s v="Bengaluru"/>
    <x v="0"/>
    <x v="4"/>
    <x v="14"/>
    <x v="1"/>
    <s v="Consumer"/>
    <n v="2"/>
    <n v="12099"/>
    <n v="0"/>
    <x v="1948"/>
    <n v="16841.87"/>
    <n v="7356.13"/>
    <s v="Net Banking"/>
    <s v="Aarav"/>
  </r>
  <r>
    <x v="1963"/>
    <x v="116"/>
    <s v="Ahmedabad"/>
    <x v="2"/>
    <x v="2"/>
    <x v="9"/>
    <x v="1"/>
    <s v="Corporate"/>
    <n v="2"/>
    <n v="44099"/>
    <n v="0.05"/>
    <x v="1949"/>
    <n v="63540.84"/>
    <n v="20247.259999999998"/>
    <s v="Cash"/>
    <s v="Aarav"/>
  </r>
  <r>
    <x v="1964"/>
    <x v="203"/>
    <s v="Mumbai"/>
    <x v="2"/>
    <x v="2"/>
    <x v="9"/>
    <x v="1"/>
    <s v="Small Business"/>
    <n v="4"/>
    <n v="14226"/>
    <n v="0.05"/>
    <x v="1950"/>
    <n v="46813.39"/>
    <n v="7245.41"/>
    <s v="UPI"/>
    <s v="Aarav"/>
  </r>
  <r>
    <x v="1965"/>
    <x v="80"/>
    <s v="Mumbai"/>
    <x v="2"/>
    <x v="4"/>
    <x v="14"/>
    <x v="1"/>
    <s v="Consumer"/>
    <n v="6"/>
    <n v="22890"/>
    <n v="0.05"/>
    <x v="1951"/>
    <n v="97442.58"/>
    <n v="33030.42"/>
    <s v="UPI"/>
    <s v="Anaya"/>
  </r>
  <r>
    <x v="1966"/>
    <x v="78"/>
    <s v="Mumbai"/>
    <x v="2"/>
    <x v="3"/>
    <x v="12"/>
    <x v="1"/>
    <s v="Corporate"/>
    <n v="2"/>
    <n v="139"/>
    <n v="0.05"/>
    <x v="1952"/>
    <n v="170.57"/>
    <n v="93.53"/>
    <s v="Net Banking"/>
    <s v="Diya"/>
  </r>
  <r>
    <x v="1967"/>
    <x v="153"/>
    <s v="Chennai"/>
    <x v="0"/>
    <x v="0"/>
    <x v="23"/>
    <x v="2"/>
    <s v="Small Business"/>
    <n v="2"/>
    <n v="805"/>
    <n v="0.1"/>
    <x v="1953"/>
    <n v="1161.45"/>
    <n v="287.55"/>
    <s v="Credit Card"/>
    <s v="Vikram"/>
  </r>
  <r>
    <x v="1968"/>
    <x v="235"/>
    <s v="Delhi"/>
    <x v="3"/>
    <x v="5"/>
    <x v="6"/>
    <x v="0"/>
    <s v="Small Business"/>
    <n v="4"/>
    <n v="49709"/>
    <n v="0.05"/>
    <x v="1954"/>
    <n v="135755.88"/>
    <n v="53138.32"/>
    <s v="Debit Card"/>
    <s v="Rohan"/>
  </r>
  <r>
    <x v="1969"/>
    <x v="127"/>
    <s v="Mumbai"/>
    <x v="2"/>
    <x v="4"/>
    <x v="14"/>
    <x v="0"/>
    <s v="Corporate"/>
    <n v="8"/>
    <n v="13684"/>
    <n v="0.1"/>
    <x v="1955"/>
    <n v="66954.78"/>
    <n v="31570.02"/>
    <s v="UPI"/>
    <s v="Sara"/>
  </r>
  <r>
    <x v="1970"/>
    <x v="202"/>
    <s v="Kolkata"/>
    <x v="1"/>
    <x v="0"/>
    <x v="0"/>
    <x v="0"/>
    <s v="Corporate"/>
    <n v="5"/>
    <n v="656"/>
    <n v="0"/>
    <x v="1956"/>
    <n v="2186.4"/>
    <n v="1093.5999999999999"/>
    <s v="Credit Card"/>
    <s v="Sara"/>
  </r>
  <r>
    <x v="1971"/>
    <x v="221"/>
    <s v="Chennai"/>
    <x v="0"/>
    <x v="4"/>
    <x v="13"/>
    <x v="2"/>
    <s v="Corporate"/>
    <n v="3"/>
    <n v="20260"/>
    <n v="0.1"/>
    <x v="1957"/>
    <n v="43110.05"/>
    <n v="11591.95"/>
    <s v="Cash"/>
    <s v="Kabir"/>
  </r>
  <r>
    <x v="1972"/>
    <x v="253"/>
    <s v="Hyderabad"/>
    <x v="0"/>
    <x v="0"/>
    <x v="23"/>
    <x v="1"/>
    <s v="Corporate"/>
    <n v="2"/>
    <n v="1504"/>
    <n v="0.15"/>
    <x v="1958"/>
    <n v="1447.47"/>
    <n v="1109.33"/>
    <s v="Net Banking"/>
    <s v="Sara"/>
  </r>
  <r>
    <x v="1973"/>
    <x v="343"/>
    <s v="Hyderabad"/>
    <x v="0"/>
    <x v="0"/>
    <x v="28"/>
    <x v="0"/>
    <s v="Small Business"/>
    <n v="1"/>
    <n v="2272"/>
    <n v="0.1"/>
    <x v="1959"/>
    <n v="1485.04"/>
    <n v="559.76"/>
    <s v="Net Banking"/>
    <s v="Aarav"/>
  </r>
  <r>
    <x v="1974"/>
    <x v="156"/>
    <s v="Hyderabad"/>
    <x v="0"/>
    <x v="1"/>
    <x v="1"/>
    <x v="0"/>
    <s v="Corporate"/>
    <n v="6"/>
    <n v="9681"/>
    <n v="0.1"/>
    <x v="1960"/>
    <n v="40072.53"/>
    <n v="12204.87"/>
    <s v="Cash"/>
    <s v="Meera"/>
  </r>
  <r>
    <x v="1975"/>
    <x v="62"/>
    <s v="Delhi"/>
    <x v="3"/>
    <x v="1"/>
    <x v="1"/>
    <x v="2"/>
    <s v="Small Business"/>
    <n v="6"/>
    <n v="8962"/>
    <n v="0.1"/>
    <x v="1961"/>
    <n v="35515.35"/>
    <n v="12879.45"/>
    <s v="UPI"/>
    <s v="Aarav"/>
  </r>
  <r>
    <x v="1976"/>
    <x v="173"/>
    <s v="Chennai"/>
    <x v="0"/>
    <x v="6"/>
    <x v="33"/>
    <x v="0"/>
    <s v="Corporate"/>
    <n v="8"/>
    <n v="4489"/>
    <n v="0"/>
    <x v="1962"/>
    <n v="23747.85"/>
    <n v="12164.15"/>
    <s v="Net Banking"/>
    <s v="Aarav"/>
  </r>
  <r>
    <x v="1977"/>
    <x v="27"/>
    <s v="Mumbai"/>
    <x v="2"/>
    <x v="5"/>
    <x v="11"/>
    <x v="1"/>
    <s v="Corporate"/>
    <n v="3"/>
    <n v="27894"/>
    <n v="0"/>
    <x v="1963"/>
    <n v="66836.19"/>
    <n v="16845.810000000001"/>
    <s v="Cash"/>
    <s v="Meera"/>
  </r>
  <r>
    <x v="1978"/>
    <x v="235"/>
    <s v="Mumbai"/>
    <x v="2"/>
    <x v="4"/>
    <x v="14"/>
    <x v="1"/>
    <s v="Corporate"/>
    <n v="1"/>
    <n v="10877"/>
    <n v="0"/>
    <x v="1964"/>
    <n v="6818.7"/>
    <n v="4058.3"/>
    <s v="UPI"/>
    <s v="Diya"/>
  </r>
  <r>
    <x v="1979"/>
    <x v="359"/>
    <s v="Mumbai"/>
    <x v="2"/>
    <x v="2"/>
    <x v="21"/>
    <x v="0"/>
    <s v="Small Business"/>
    <n v="1"/>
    <n v="19742"/>
    <n v="0"/>
    <x v="1965"/>
    <n v="14944.37"/>
    <n v="4797.63"/>
    <s v="Net Banking"/>
    <s v="Aarav"/>
  </r>
  <r>
    <x v="1980"/>
    <x v="118"/>
    <s v="Mumbai"/>
    <x v="2"/>
    <x v="6"/>
    <x v="30"/>
    <x v="2"/>
    <s v="Small Business"/>
    <n v="6"/>
    <n v="1097"/>
    <n v="0.1"/>
    <x v="1966"/>
    <n v="4638.1000000000004"/>
    <n v="1285.7"/>
    <s v="UPI"/>
    <s v="Sara"/>
  </r>
  <r>
    <x v="1981"/>
    <x v="236"/>
    <s v="Hyderabad"/>
    <x v="0"/>
    <x v="4"/>
    <x v="13"/>
    <x v="1"/>
    <s v="Consumer"/>
    <n v="2"/>
    <n v="16043"/>
    <n v="0.1"/>
    <x v="1967"/>
    <n v="16173.45"/>
    <n v="12703.95"/>
    <s v="Credit Card"/>
    <s v="Kabir"/>
  </r>
  <r>
    <x v="1982"/>
    <x v="349"/>
    <s v="Delhi"/>
    <x v="3"/>
    <x v="1"/>
    <x v="7"/>
    <x v="0"/>
    <s v="Small Business"/>
    <n v="5"/>
    <n v="4789"/>
    <n v="0.05"/>
    <x v="1968"/>
    <n v="18192.47"/>
    <n v="4555.28"/>
    <s v="Credit Card"/>
    <s v="Anaya"/>
  </r>
  <r>
    <x v="1983"/>
    <x v="303"/>
    <s v="Mumbai"/>
    <x v="2"/>
    <x v="3"/>
    <x v="32"/>
    <x v="2"/>
    <s v="Small Business"/>
    <n v="6"/>
    <n v="408"/>
    <n v="0.15"/>
    <x v="1969"/>
    <n v="1433.32"/>
    <n v="647.48"/>
    <s v="Net Banking"/>
    <s v="Vikram"/>
  </r>
  <r>
    <x v="1984"/>
    <x v="257"/>
    <s v="Ahmedabad"/>
    <x v="2"/>
    <x v="0"/>
    <x v="26"/>
    <x v="0"/>
    <s v="Consumer"/>
    <n v="1"/>
    <n v="1592"/>
    <n v="0.05"/>
    <x v="1970"/>
    <n v="1166.04"/>
    <n v="346.36"/>
    <s v="UPI"/>
    <s v="Anaya"/>
  </r>
  <r>
    <x v="1985"/>
    <x v="111"/>
    <s v="Pune"/>
    <x v="2"/>
    <x v="6"/>
    <x v="30"/>
    <x v="1"/>
    <s v="Small Business"/>
    <n v="7"/>
    <n v="2163"/>
    <n v="0.2"/>
    <x v="1971"/>
    <n v="8475.07"/>
    <n v="3637.73"/>
    <s v="Cash"/>
    <s v="Meera"/>
  </r>
  <r>
    <x v="1986"/>
    <x v="84"/>
    <s v="Bengaluru"/>
    <x v="0"/>
    <x v="5"/>
    <x v="11"/>
    <x v="1"/>
    <s v="Consumer"/>
    <n v="7"/>
    <n v="11594"/>
    <n v="0.05"/>
    <x v="1972"/>
    <n v="52747.18"/>
    <n v="24352.92"/>
    <s v="Debit Card"/>
    <s v="Sara"/>
  </r>
  <r>
    <x v="1987"/>
    <x v="161"/>
    <s v="Pune"/>
    <x v="2"/>
    <x v="5"/>
    <x v="6"/>
    <x v="1"/>
    <s v="Small Business"/>
    <n v="3"/>
    <n v="32445"/>
    <n v="0.15"/>
    <x v="1973"/>
    <n v="68168.92"/>
    <n v="14565.83"/>
    <s v="Net Banking"/>
    <s v="Aarav"/>
  </r>
  <r>
    <x v="1988"/>
    <x v="112"/>
    <s v="Hyderabad"/>
    <x v="0"/>
    <x v="5"/>
    <x v="11"/>
    <x v="0"/>
    <s v="Consumer"/>
    <n v="4"/>
    <n v="12823"/>
    <n v="0"/>
    <x v="1974"/>
    <n v="32285.7"/>
    <n v="19006.3"/>
    <s v="UPI"/>
    <s v="Anaya"/>
  </r>
  <r>
    <x v="1989"/>
    <x v="127"/>
    <s v="Hyderabad"/>
    <x v="0"/>
    <x v="5"/>
    <x v="25"/>
    <x v="1"/>
    <s v="Consumer"/>
    <n v="4"/>
    <n v="34030"/>
    <n v="0.15"/>
    <x v="1975"/>
    <n v="96195.68"/>
    <n v="19506.32"/>
    <s v="Credit Card"/>
    <s v="Aarav"/>
  </r>
  <r>
    <x v="1990"/>
    <x v="65"/>
    <s v="Ahmedabad"/>
    <x v="2"/>
    <x v="3"/>
    <x v="12"/>
    <x v="0"/>
    <s v="Consumer"/>
    <n v="2"/>
    <n v="277"/>
    <n v="0.15"/>
    <x v="1976"/>
    <n v="410.79"/>
    <n v="60.11"/>
    <s v="Cash"/>
    <s v="Kabir"/>
  </r>
  <r>
    <x v="1991"/>
    <x v="142"/>
    <s v="Delhi"/>
    <x v="3"/>
    <x v="1"/>
    <x v="22"/>
    <x v="0"/>
    <s v="Small Business"/>
    <n v="4"/>
    <n v="9512"/>
    <n v="0.05"/>
    <x v="1977"/>
    <n v="22442.55"/>
    <n v="13703.05"/>
    <s v="Credit Card"/>
    <s v="Anaya"/>
  </r>
  <r>
    <x v="1992"/>
    <x v="286"/>
    <s v="Chennai"/>
    <x v="0"/>
    <x v="1"/>
    <x v="22"/>
    <x v="2"/>
    <s v="Corporate"/>
    <n v="1"/>
    <n v="6964"/>
    <n v="0.05"/>
    <x v="1978"/>
    <n v="4461.1000000000004"/>
    <n v="2154.6999999999998"/>
    <s v="Net Banking"/>
    <s v="Aarav"/>
  </r>
  <r>
    <x v="1993"/>
    <x v="191"/>
    <s v="Delhi"/>
    <x v="3"/>
    <x v="5"/>
    <x v="25"/>
    <x v="1"/>
    <s v="Consumer"/>
    <n v="5"/>
    <n v="21194"/>
    <n v="0"/>
    <x v="1979"/>
    <n v="86294.03"/>
    <n v="19675.97"/>
    <s v="Debit Card"/>
    <s v="Kabir"/>
  </r>
  <r>
    <x v="1994"/>
    <x v="350"/>
    <s v="Kolkata"/>
    <x v="1"/>
    <x v="4"/>
    <x v="4"/>
    <x v="2"/>
    <s v="Corporate"/>
    <n v="8"/>
    <n v="14091"/>
    <n v="0.2"/>
    <x v="1980"/>
    <n v="72628.86"/>
    <n v="17553.54"/>
    <s v="Cash"/>
    <s v="Sara"/>
  </r>
  <r>
    <x v="1995"/>
    <x v="0"/>
    <s v="Kolkata"/>
    <x v="1"/>
    <x v="6"/>
    <x v="33"/>
    <x v="1"/>
    <s v="Consumer"/>
    <n v="7"/>
    <n v="1541"/>
    <n v="0.15"/>
    <x v="1981"/>
    <n v="8063.89"/>
    <n v="1105.06"/>
    <s v="Net Banking"/>
    <s v="Aarav"/>
  </r>
  <r>
    <x v="1996"/>
    <x v="296"/>
    <s v="Bengaluru"/>
    <x v="0"/>
    <x v="2"/>
    <x v="5"/>
    <x v="2"/>
    <s v="Corporate"/>
    <n v="4"/>
    <n v="15934"/>
    <n v="0"/>
    <x v="1982"/>
    <n v="47222.35"/>
    <n v="16513.650000000001"/>
    <s v="Debit Card"/>
    <s v="Sara"/>
  </r>
  <r>
    <x v="1997"/>
    <x v="229"/>
    <s v="Mumbai"/>
    <x v="2"/>
    <x v="5"/>
    <x v="6"/>
    <x v="2"/>
    <s v="Consumer"/>
    <n v="8"/>
    <n v="18029"/>
    <n v="0.15"/>
    <x v="1983"/>
    <n v="71920.25"/>
    <n v="50676.95"/>
    <s v="Cash"/>
    <s v="Sara"/>
  </r>
  <r>
    <x v="1998"/>
    <x v="288"/>
    <s v="Mumbai"/>
    <x v="2"/>
    <x v="6"/>
    <x v="30"/>
    <x v="0"/>
    <s v="Corporate"/>
    <n v="5"/>
    <n v="2406"/>
    <n v="0.05"/>
    <x v="1984"/>
    <n v="8640.8700000000008"/>
    <n v="2787.63"/>
    <s v="Debit Card"/>
    <s v="Diya"/>
  </r>
  <r>
    <x v="1999"/>
    <x v="337"/>
    <s v="Pune"/>
    <x v="2"/>
    <x v="4"/>
    <x v="31"/>
    <x v="2"/>
    <s v="Small Business"/>
    <n v="7"/>
    <n v="15382"/>
    <n v="0.05"/>
    <x v="1985"/>
    <n v="69549.259999999995"/>
    <n v="32741.040000000001"/>
    <s v="Net Banking"/>
    <s v="Vikram"/>
  </r>
  <r>
    <x v="2000"/>
    <x v="174"/>
    <s v="Pune"/>
    <x v="2"/>
    <x v="6"/>
    <x v="33"/>
    <x v="1"/>
    <s v="Corporate"/>
    <n v="8"/>
    <n v="4080"/>
    <n v="0.05"/>
    <x v="1986"/>
    <n v="25040.19"/>
    <n v="5967.81"/>
    <s v="Net Banking"/>
    <s v="Anaya"/>
  </r>
  <r>
    <x v="2001"/>
    <x v="78"/>
    <s v="Chennai"/>
    <x v="0"/>
    <x v="1"/>
    <x v="10"/>
    <x v="1"/>
    <s v="Small Business"/>
    <n v="3"/>
    <n v="7810"/>
    <n v="0"/>
    <x v="1987"/>
    <n v="18671.77"/>
    <n v="4758.2299999999996"/>
    <s v="Debit Card"/>
    <s v="Diya"/>
  </r>
  <r>
    <x v="2002"/>
    <x v="141"/>
    <s v="Bengaluru"/>
    <x v="0"/>
    <x v="5"/>
    <x v="6"/>
    <x v="0"/>
    <s v="Consumer"/>
    <n v="6"/>
    <n v="33789"/>
    <n v="0.1"/>
    <x v="1988"/>
    <n v="154374.01999999999"/>
    <n v="28086.58"/>
    <s v="Debit Card"/>
    <s v="Diya"/>
  </r>
  <r>
    <x v="2003"/>
    <x v="94"/>
    <s v="Chennai"/>
    <x v="0"/>
    <x v="2"/>
    <x v="5"/>
    <x v="0"/>
    <s v="Small Business"/>
    <n v="4"/>
    <n v="42332"/>
    <n v="0"/>
    <x v="1989"/>
    <n v="124080.99"/>
    <n v="45247.01"/>
    <s v="Net Banking"/>
    <s v="Kabir"/>
  </r>
  <r>
    <x v="2004"/>
    <x v="66"/>
    <s v="Pune"/>
    <x v="2"/>
    <x v="4"/>
    <x v="31"/>
    <x v="0"/>
    <s v="Small Business"/>
    <n v="4"/>
    <n v="13364"/>
    <n v="0.05"/>
    <x v="1990"/>
    <n v="44028.31"/>
    <n v="6754.89"/>
    <s v="Cash"/>
    <s v="Meera"/>
  </r>
  <r>
    <x v="2005"/>
    <x v="306"/>
    <s v="Kolkata"/>
    <x v="1"/>
    <x v="3"/>
    <x v="15"/>
    <x v="2"/>
    <s v="Small Business"/>
    <n v="2"/>
    <n v="248"/>
    <n v="0.05"/>
    <x v="1991"/>
    <n v="382.52"/>
    <n v="88.68"/>
    <s v="Debit Card"/>
    <s v="Rohan"/>
  </r>
  <r>
    <x v="2006"/>
    <x v="355"/>
    <s v="Delhi"/>
    <x v="3"/>
    <x v="3"/>
    <x v="12"/>
    <x v="2"/>
    <s v="Corporate"/>
    <n v="3"/>
    <n v="119"/>
    <n v="0.2"/>
    <x v="1992"/>
    <n v="217"/>
    <n v="68.599999999999994"/>
    <s v="Net Banking"/>
    <s v="Meera"/>
  </r>
  <r>
    <x v="2007"/>
    <x v="99"/>
    <s v="Mumbai"/>
    <x v="2"/>
    <x v="6"/>
    <x v="16"/>
    <x v="0"/>
    <s v="Consumer"/>
    <n v="7"/>
    <n v="1097"/>
    <n v="0.1"/>
    <x v="1993"/>
    <n v="5446.58"/>
    <n v="1464.52"/>
    <s v="Credit Card"/>
    <s v="Kabir"/>
  </r>
  <r>
    <x v="2008"/>
    <x v="98"/>
    <s v="Pune"/>
    <x v="2"/>
    <x v="5"/>
    <x v="24"/>
    <x v="2"/>
    <s v="Consumer"/>
    <n v="1"/>
    <n v="47699"/>
    <n v="0"/>
    <x v="1994"/>
    <n v="26933.279999999999"/>
    <n v="20765.72"/>
    <s v="Credit Card"/>
    <s v="Rohan"/>
  </r>
  <r>
    <x v="2009"/>
    <x v="360"/>
    <s v="Chennai"/>
    <x v="0"/>
    <x v="6"/>
    <x v="8"/>
    <x v="0"/>
    <s v="Small Business"/>
    <n v="2"/>
    <n v="4300"/>
    <n v="0.05"/>
    <x v="1995"/>
    <n v="4819.1400000000003"/>
    <n v="3350.86"/>
    <s v="UPI"/>
    <s v="Sara"/>
  </r>
  <r>
    <x v="2010"/>
    <x v="25"/>
    <s v="Hyderabad"/>
    <x v="0"/>
    <x v="2"/>
    <x v="2"/>
    <x v="1"/>
    <s v="Small Business"/>
    <n v="2"/>
    <n v="69756"/>
    <n v="0.05"/>
    <x v="1996"/>
    <n v="111067.49"/>
    <n v="21468.91"/>
    <s v="Cash"/>
    <s v="Rohan"/>
  </r>
  <r>
    <x v="2011"/>
    <x v="258"/>
    <s v="Kolkata"/>
    <x v="1"/>
    <x v="4"/>
    <x v="4"/>
    <x v="2"/>
    <s v="Corporate"/>
    <n v="4"/>
    <n v="22935"/>
    <n v="0.15"/>
    <x v="1997"/>
    <n v="59508.45"/>
    <n v="18470.55"/>
    <s v="Debit Card"/>
    <s v="Meera"/>
  </r>
  <r>
    <x v="2012"/>
    <x v="219"/>
    <s v="Bengaluru"/>
    <x v="0"/>
    <x v="3"/>
    <x v="34"/>
    <x v="0"/>
    <s v="Corporate"/>
    <n v="8"/>
    <n v="1246"/>
    <n v="0.1"/>
    <x v="1998"/>
    <n v="7253.52"/>
    <n v="1717.68"/>
    <s v="Cash"/>
    <s v="Kabir"/>
  </r>
  <r>
    <x v="2013"/>
    <x v="245"/>
    <s v="Hyderabad"/>
    <x v="0"/>
    <x v="1"/>
    <x v="18"/>
    <x v="2"/>
    <s v="Consumer"/>
    <n v="4"/>
    <n v="11809"/>
    <n v="0"/>
    <x v="1999"/>
    <n v="36285.5"/>
    <n v="10950.5"/>
    <s v="Net Banking"/>
    <s v="Meera"/>
  </r>
  <r>
    <x v="2014"/>
    <x v="144"/>
    <s v="Mumbai"/>
    <x v="2"/>
    <x v="5"/>
    <x v="17"/>
    <x v="2"/>
    <s v="Consumer"/>
    <n v="2"/>
    <n v="7508"/>
    <n v="0.15"/>
    <x v="2000"/>
    <n v="10281.290000000001"/>
    <n v="2482.31"/>
    <s v="Credit Card"/>
    <s v="Diya"/>
  </r>
  <r>
    <x v="2015"/>
    <x v="268"/>
    <s v="Bengaluru"/>
    <x v="0"/>
    <x v="2"/>
    <x v="29"/>
    <x v="1"/>
    <s v="Consumer"/>
    <n v="1"/>
    <n v="34626"/>
    <n v="0.15"/>
    <x v="2001"/>
    <n v="22167.26"/>
    <n v="7264.84"/>
    <s v="Cash"/>
    <s v="Aarav"/>
  </r>
  <r>
    <x v="2016"/>
    <x v="278"/>
    <s v="Chennai"/>
    <x v="0"/>
    <x v="1"/>
    <x v="10"/>
    <x v="1"/>
    <s v="Corporate"/>
    <n v="3"/>
    <n v="10873"/>
    <n v="0.1"/>
    <x v="2002"/>
    <n v="17967.89"/>
    <n v="11389.21"/>
    <s v="Credit Card"/>
    <s v="Vikram"/>
  </r>
  <r>
    <x v="2017"/>
    <x v="276"/>
    <s v="Delhi"/>
    <x v="3"/>
    <x v="3"/>
    <x v="12"/>
    <x v="2"/>
    <s v="Consumer"/>
    <n v="3"/>
    <n v="1738"/>
    <n v="0.05"/>
    <x v="2003"/>
    <n v="3040.23"/>
    <n v="1913.07"/>
    <s v="Cash"/>
    <s v="Anaya"/>
  </r>
  <r>
    <x v="2018"/>
    <x v="253"/>
    <s v="Mumbai"/>
    <x v="2"/>
    <x v="5"/>
    <x v="11"/>
    <x v="0"/>
    <s v="Consumer"/>
    <n v="6"/>
    <n v="35834"/>
    <n v="0.1"/>
    <x v="2004"/>
    <n v="162649.69"/>
    <n v="30853.91"/>
    <s v="Debit Card"/>
    <s v="Kabir"/>
  </r>
  <r>
    <x v="2019"/>
    <x v="285"/>
    <s v="Chennai"/>
    <x v="0"/>
    <x v="3"/>
    <x v="3"/>
    <x v="2"/>
    <s v="Consumer"/>
    <n v="1"/>
    <n v="1717"/>
    <n v="0.15"/>
    <x v="2005"/>
    <n v="1104.1099999999999"/>
    <n v="355.34"/>
    <s v="UPI"/>
    <s v="Aarav"/>
  </r>
  <r>
    <x v="2020"/>
    <x v="198"/>
    <s v="Hyderabad"/>
    <x v="0"/>
    <x v="5"/>
    <x v="6"/>
    <x v="1"/>
    <s v="Consumer"/>
    <n v="8"/>
    <n v="34724"/>
    <n v="0.05"/>
    <x v="2006"/>
    <n v="222514.63"/>
    <n v="41387.769999999997"/>
    <s v="UPI"/>
    <s v="Anaya"/>
  </r>
  <r>
    <x v="2021"/>
    <x v="341"/>
    <s v="Ahmedabad"/>
    <x v="2"/>
    <x v="3"/>
    <x v="12"/>
    <x v="1"/>
    <s v="Consumer"/>
    <n v="6"/>
    <n v="1055"/>
    <n v="0"/>
    <x v="2007"/>
    <n v="5436.97"/>
    <n v="893.03"/>
    <s v="Credit Card"/>
    <s v="Rohan"/>
  </r>
  <r>
    <x v="2022"/>
    <x v="252"/>
    <s v="Hyderabad"/>
    <x v="0"/>
    <x v="1"/>
    <x v="22"/>
    <x v="2"/>
    <s v="Consumer"/>
    <n v="8"/>
    <n v="427"/>
    <n v="0.1"/>
    <x v="2008"/>
    <n v="2418.38"/>
    <n v="656.02"/>
    <s v="UPI"/>
    <s v="Aarav"/>
  </r>
  <r>
    <x v="2023"/>
    <x v="90"/>
    <s v="Delhi"/>
    <x v="3"/>
    <x v="0"/>
    <x v="23"/>
    <x v="0"/>
    <s v="Consumer"/>
    <n v="6"/>
    <n v="2454"/>
    <n v="0.1"/>
    <x v="2009"/>
    <n v="8983.35"/>
    <n v="4268.25"/>
    <s v="Credit Card"/>
    <s v="Rohan"/>
  </r>
  <r>
    <x v="2024"/>
    <x v="200"/>
    <s v="Bengaluru"/>
    <x v="0"/>
    <x v="4"/>
    <x v="13"/>
    <x v="0"/>
    <s v="Consumer"/>
    <n v="3"/>
    <n v="8479"/>
    <n v="0"/>
    <x v="2010"/>
    <n v="19192.53"/>
    <n v="6244.47"/>
    <s v="UPI"/>
    <s v="Aarav"/>
  </r>
  <r>
    <x v="2025"/>
    <x v="51"/>
    <s v="Mumbai"/>
    <x v="2"/>
    <x v="1"/>
    <x v="22"/>
    <x v="1"/>
    <s v="Small Business"/>
    <n v="4"/>
    <n v="11172"/>
    <n v="0.1"/>
    <x v="2011"/>
    <n v="29080.57"/>
    <n v="11138.63"/>
    <s v="UPI"/>
    <s v="Sara"/>
  </r>
  <r>
    <x v="2026"/>
    <x v="334"/>
    <s v="Delhi"/>
    <x v="3"/>
    <x v="3"/>
    <x v="3"/>
    <x v="2"/>
    <s v="Small Business"/>
    <n v="1"/>
    <n v="1057"/>
    <n v="0"/>
    <x v="2012"/>
    <n v="825.49"/>
    <n v="231.51"/>
    <s v="Debit Card"/>
    <s v="Sara"/>
  </r>
  <r>
    <x v="2027"/>
    <x v="252"/>
    <s v="Pune"/>
    <x v="2"/>
    <x v="3"/>
    <x v="34"/>
    <x v="0"/>
    <s v="Small Business"/>
    <n v="5"/>
    <n v="944"/>
    <n v="0"/>
    <x v="1659"/>
    <n v="3154.98"/>
    <n v="1565.02"/>
    <s v="Credit Card"/>
    <s v="Anaya"/>
  </r>
  <r>
    <x v="2028"/>
    <x v="324"/>
    <s v="Hyderabad"/>
    <x v="0"/>
    <x v="2"/>
    <x v="5"/>
    <x v="1"/>
    <s v="Consumer"/>
    <n v="7"/>
    <n v="30982"/>
    <n v="0.05"/>
    <x v="2013"/>
    <n v="167398.10999999999"/>
    <n v="38632.19"/>
    <s v="Cash"/>
    <s v="Vikram"/>
  </r>
  <r>
    <x v="2029"/>
    <x v="59"/>
    <s v="Delhi"/>
    <x v="3"/>
    <x v="4"/>
    <x v="31"/>
    <x v="2"/>
    <s v="Small Business"/>
    <n v="6"/>
    <n v="15073"/>
    <n v="0.1"/>
    <x v="2014"/>
    <n v="45055.51"/>
    <n v="36338.69"/>
    <s v="Debit Card"/>
    <s v="Vikram"/>
  </r>
  <r>
    <x v="2030"/>
    <x v="248"/>
    <s v="Chennai"/>
    <x v="0"/>
    <x v="6"/>
    <x v="16"/>
    <x v="2"/>
    <s v="Small Business"/>
    <n v="3"/>
    <n v="2343"/>
    <n v="0.15"/>
    <x v="2015"/>
    <n v="3933.86"/>
    <n v="2040.79"/>
    <s v="Debit Card"/>
    <s v="Aarav"/>
  </r>
  <r>
    <x v="2031"/>
    <x v="220"/>
    <s v="Hyderabad"/>
    <x v="0"/>
    <x v="3"/>
    <x v="3"/>
    <x v="0"/>
    <s v="Corporate"/>
    <n v="3"/>
    <n v="477"/>
    <n v="0"/>
    <x v="2016"/>
    <n v="1059.07"/>
    <n v="371.93"/>
    <s v="UPI"/>
    <s v="Sara"/>
  </r>
  <r>
    <x v="2032"/>
    <x v="261"/>
    <s v="Delhi"/>
    <x v="3"/>
    <x v="0"/>
    <x v="28"/>
    <x v="1"/>
    <s v="Consumer"/>
    <n v="3"/>
    <n v="1398"/>
    <n v="0.1"/>
    <x v="2017"/>
    <n v="3232.03"/>
    <n v="542.57000000000005"/>
    <s v="Credit Card"/>
    <s v="Aarav"/>
  </r>
  <r>
    <x v="2033"/>
    <x v="239"/>
    <s v="Delhi"/>
    <x v="3"/>
    <x v="4"/>
    <x v="4"/>
    <x v="2"/>
    <s v="Consumer"/>
    <n v="3"/>
    <n v="10840"/>
    <n v="0"/>
    <x v="2018"/>
    <n v="21059.77"/>
    <n v="11460.23"/>
    <s v="Credit Card"/>
    <s v="Anaya"/>
  </r>
  <r>
    <x v="2034"/>
    <x v="141"/>
    <s v="Delhi"/>
    <x v="3"/>
    <x v="4"/>
    <x v="13"/>
    <x v="2"/>
    <s v="Corporate"/>
    <n v="2"/>
    <n v="14476"/>
    <n v="0"/>
    <x v="2019"/>
    <n v="25470.76"/>
    <n v="3481.24"/>
    <s v="UPI"/>
    <s v="Diya"/>
  </r>
  <r>
    <x v="2035"/>
    <x v="337"/>
    <s v="Delhi"/>
    <x v="3"/>
    <x v="0"/>
    <x v="19"/>
    <x v="2"/>
    <s v="Small Business"/>
    <n v="6"/>
    <n v="2185"/>
    <n v="0"/>
    <x v="2020"/>
    <n v="8423.1299999999992"/>
    <n v="4686.87"/>
    <s v="Debit Card"/>
    <s v="Kabir"/>
  </r>
  <r>
    <x v="2036"/>
    <x v="342"/>
    <s v="Bengaluru"/>
    <x v="0"/>
    <x v="6"/>
    <x v="30"/>
    <x v="2"/>
    <s v="Small Business"/>
    <n v="2"/>
    <n v="3998"/>
    <n v="0.1"/>
    <x v="2021"/>
    <n v="5221.28"/>
    <n v="1975.12"/>
    <s v="Cash"/>
    <s v="Kabir"/>
  </r>
  <r>
    <x v="2037"/>
    <x v="203"/>
    <s v="Hyderabad"/>
    <x v="0"/>
    <x v="0"/>
    <x v="23"/>
    <x v="1"/>
    <s v="Corporate"/>
    <n v="5"/>
    <n v="1446"/>
    <n v="0.05"/>
    <x v="2022"/>
    <n v="4282.1400000000003"/>
    <n v="2586.36"/>
    <s v="Credit Card"/>
    <s v="Kabir"/>
  </r>
  <r>
    <x v="2038"/>
    <x v="25"/>
    <s v="Mumbai"/>
    <x v="2"/>
    <x v="1"/>
    <x v="22"/>
    <x v="2"/>
    <s v="Corporate"/>
    <n v="6"/>
    <n v="2709"/>
    <n v="0.1"/>
    <x v="2023"/>
    <n v="9787.1299999999992"/>
    <n v="4841.47"/>
    <s v="Credit Card"/>
    <s v="Anaya"/>
  </r>
  <r>
    <x v="2039"/>
    <x v="223"/>
    <s v="Bengaluru"/>
    <x v="0"/>
    <x v="2"/>
    <x v="9"/>
    <x v="2"/>
    <s v="Corporate"/>
    <n v="1"/>
    <n v="63948"/>
    <n v="0.1"/>
    <x v="2024"/>
    <n v="33410.31"/>
    <n v="24142.89"/>
    <s v="Debit Card"/>
    <s v="Vikram"/>
  </r>
  <r>
    <x v="2040"/>
    <x v="50"/>
    <s v="Ahmedabad"/>
    <x v="2"/>
    <x v="2"/>
    <x v="9"/>
    <x v="1"/>
    <s v="Corporate"/>
    <n v="5"/>
    <n v="16222"/>
    <n v="0.1"/>
    <x v="2025"/>
    <n v="61804.82"/>
    <n v="11194.18"/>
    <s v="Cash"/>
    <s v="Aarav"/>
  </r>
  <r>
    <x v="2041"/>
    <x v="184"/>
    <s v="Bengaluru"/>
    <x v="0"/>
    <x v="6"/>
    <x v="8"/>
    <x v="0"/>
    <s v="Small Business"/>
    <n v="2"/>
    <n v="3031"/>
    <n v="0.1"/>
    <x v="2026"/>
    <n v="3323.61"/>
    <n v="2132.19"/>
    <s v="Cash"/>
    <s v="Diya"/>
  </r>
  <r>
    <x v="2042"/>
    <x v="329"/>
    <s v="Bengaluru"/>
    <x v="0"/>
    <x v="2"/>
    <x v="9"/>
    <x v="1"/>
    <s v="Corporate"/>
    <n v="5"/>
    <n v="46829"/>
    <n v="0.05"/>
    <x v="2027"/>
    <n v="126419.3"/>
    <n v="96018.45"/>
    <s v="Credit Card"/>
    <s v="Rohan"/>
  </r>
  <r>
    <x v="2043"/>
    <x v="98"/>
    <s v="Pune"/>
    <x v="2"/>
    <x v="5"/>
    <x v="24"/>
    <x v="0"/>
    <s v="Small Business"/>
    <n v="7"/>
    <n v="28228"/>
    <n v="0.05"/>
    <x v="2028"/>
    <n v="159417.51"/>
    <n v="28298.69"/>
    <s v="Debit Card"/>
    <s v="Kabir"/>
  </r>
  <r>
    <x v="2044"/>
    <x v="122"/>
    <s v="Ahmedabad"/>
    <x v="2"/>
    <x v="2"/>
    <x v="29"/>
    <x v="2"/>
    <s v="Small Business"/>
    <n v="5"/>
    <n v="40097"/>
    <n v="0.05"/>
    <x v="2029"/>
    <n v="148150.88"/>
    <n v="42309.87"/>
    <s v="Credit Card"/>
    <s v="Diya"/>
  </r>
  <r>
    <x v="2045"/>
    <x v="29"/>
    <s v="Hyderabad"/>
    <x v="0"/>
    <x v="0"/>
    <x v="28"/>
    <x v="1"/>
    <s v="Corporate"/>
    <n v="1"/>
    <n v="2218"/>
    <n v="0"/>
    <x v="2030"/>
    <n v="1367.24"/>
    <n v="850.76"/>
    <s v="Net Banking"/>
    <s v="Anaya"/>
  </r>
  <r>
    <x v="2046"/>
    <x v="352"/>
    <s v="Mumbai"/>
    <x v="2"/>
    <x v="6"/>
    <x v="30"/>
    <x v="0"/>
    <s v="Consumer"/>
    <n v="1"/>
    <n v="5516"/>
    <n v="0.1"/>
    <x v="2031"/>
    <n v="2825.85"/>
    <n v="2138.5500000000002"/>
    <s v="UPI"/>
    <s v="Sara"/>
  </r>
  <r>
    <x v="2047"/>
    <x v="173"/>
    <s v="Bengaluru"/>
    <x v="0"/>
    <x v="5"/>
    <x v="6"/>
    <x v="2"/>
    <s v="Consumer"/>
    <n v="2"/>
    <n v="46619"/>
    <n v="0.1"/>
    <x v="2032"/>
    <n v="53717.17"/>
    <n v="30197.03"/>
    <s v="Net Banking"/>
    <s v="Kabir"/>
  </r>
  <r>
    <x v="2048"/>
    <x v="253"/>
    <s v="Delhi"/>
    <x v="3"/>
    <x v="0"/>
    <x v="28"/>
    <x v="2"/>
    <s v="Corporate"/>
    <n v="8"/>
    <n v="323"/>
    <n v="0.15"/>
    <x v="2033"/>
    <n v="1537.69"/>
    <n v="658.71"/>
    <s v="Credit Card"/>
    <s v="Kabir"/>
  </r>
  <r>
    <x v="2049"/>
    <x v="82"/>
    <s v="Ahmedabad"/>
    <x v="2"/>
    <x v="3"/>
    <x v="3"/>
    <x v="0"/>
    <s v="Corporate"/>
    <n v="6"/>
    <n v="2348"/>
    <n v="0.1"/>
    <x v="2034"/>
    <n v="9581.57"/>
    <n v="3097.63"/>
    <s v="Cash"/>
    <s v="Sara"/>
  </r>
  <r>
    <x v="2050"/>
    <x v="153"/>
    <s v="Hyderabad"/>
    <x v="0"/>
    <x v="1"/>
    <x v="18"/>
    <x v="0"/>
    <s v="Small Business"/>
    <n v="5"/>
    <n v="8664"/>
    <n v="0.15"/>
    <x v="2035"/>
    <n v="26715.65"/>
    <n v="10106.35"/>
    <s v="Credit Card"/>
    <s v="Vikram"/>
  </r>
  <r>
    <x v="2051"/>
    <x v="42"/>
    <s v="Pune"/>
    <x v="2"/>
    <x v="2"/>
    <x v="9"/>
    <x v="2"/>
    <s v="Small Business"/>
    <n v="4"/>
    <n v="24876"/>
    <n v="0.1"/>
    <x v="2036"/>
    <n v="60920.73"/>
    <n v="28632.87"/>
    <s v="Net Banking"/>
    <s v="Aarav"/>
  </r>
  <r>
    <x v="2052"/>
    <x v="164"/>
    <s v="Pune"/>
    <x v="2"/>
    <x v="2"/>
    <x v="29"/>
    <x v="0"/>
    <s v="Corporate"/>
    <n v="5"/>
    <n v="38531"/>
    <n v="0.1"/>
    <x v="2037"/>
    <n v="107563.82"/>
    <n v="65825.679999999993"/>
    <s v="Debit Card"/>
    <s v="Sara"/>
  </r>
  <r>
    <x v="2053"/>
    <x v="273"/>
    <s v="Ahmedabad"/>
    <x v="2"/>
    <x v="2"/>
    <x v="2"/>
    <x v="2"/>
    <s v="Corporate"/>
    <n v="1"/>
    <n v="14588"/>
    <n v="0.2"/>
    <x v="2038"/>
    <n v="8455.01"/>
    <n v="3215.39"/>
    <s v="Debit Card"/>
    <s v="Sara"/>
  </r>
  <r>
    <x v="2054"/>
    <x v="168"/>
    <s v="Mumbai"/>
    <x v="2"/>
    <x v="5"/>
    <x v="17"/>
    <x v="0"/>
    <s v="Corporate"/>
    <n v="6"/>
    <n v="43475"/>
    <n v="0.2"/>
    <x v="2039"/>
    <n v="160972.47"/>
    <n v="47707.53"/>
    <s v="Net Banking"/>
    <s v="Diya"/>
  </r>
  <r>
    <x v="2055"/>
    <x v="113"/>
    <s v="Chennai"/>
    <x v="0"/>
    <x v="0"/>
    <x v="23"/>
    <x v="0"/>
    <s v="Small Business"/>
    <n v="4"/>
    <n v="2307"/>
    <n v="0.15"/>
    <x v="2040"/>
    <n v="5861.39"/>
    <n v="1982.41"/>
    <s v="Debit Card"/>
    <s v="Meera"/>
  </r>
  <r>
    <x v="2056"/>
    <x v="234"/>
    <s v="Chennai"/>
    <x v="0"/>
    <x v="4"/>
    <x v="4"/>
    <x v="2"/>
    <s v="Corporate"/>
    <n v="5"/>
    <n v="13263"/>
    <n v="0.15"/>
    <x v="2041"/>
    <n v="38089.660000000003"/>
    <n v="18278.09"/>
    <s v="Cash"/>
    <s v="Rohan"/>
  </r>
  <r>
    <x v="2057"/>
    <x v="252"/>
    <s v="Hyderabad"/>
    <x v="0"/>
    <x v="6"/>
    <x v="8"/>
    <x v="1"/>
    <s v="Corporate"/>
    <n v="8"/>
    <n v="4809"/>
    <n v="0.15"/>
    <x v="2042"/>
    <n v="21854.2"/>
    <n v="10847"/>
    <s v="Debit Card"/>
    <s v="Sara"/>
  </r>
  <r>
    <x v="2058"/>
    <x v="310"/>
    <s v="Pune"/>
    <x v="2"/>
    <x v="0"/>
    <x v="19"/>
    <x v="1"/>
    <s v="Consumer"/>
    <n v="3"/>
    <n v="144"/>
    <n v="0.1"/>
    <x v="2043"/>
    <n v="247.68"/>
    <n v="141.12"/>
    <s v="Credit Card"/>
    <s v="Kabir"/>
  </r>
  <r>
    <x v="2059"/>
    <x v="61"/>
    <s v="Mumbai"/>
    <x v="2"/>
    <x v="0"/>
    <x v="26"/>
    <x v="1"/>
    <s v="Small Business"/>
    <n v="7"/>
    <n v="1406"/>
    <n v="0.05"/>
    <x v="2044"/>
    <n v="6787.87"/>
    <n v="2562.0300000000002"/>
    <s v="Net Banking"/>
    <s v="Meera"/>
  </r>
  <r>
    <x v="2060"/>
    <x v="342"/>
    <s v="Chennai"/>
    <x v="0"/>
    <x v="6"/>
    <x v="33"/>
    <x v="0"/>
    <s v="Small Business"/>
    <n v="7"/>
    <n v="5020"/>
    <n v="0"/>
    <x v="2045"/>
    <n v="27568.080000000002"/>
    <n v="7571.92"/>
    <s v="Cash"/>
    <s v="Sara"/>
  </r>
  <r>
    <x v="2061"/>
    <x v="268"/>
    <s v="Pune"/>
    <x v="2"/>
    <x v="0"/>
    <x v="23"/>
    <x v="1"/>
    <s v="Corporate"/>
    <n v="3"/>
    <n v="1326"/>
    <n v="0.2"/>
    <x v="2046"/>
    <n v="2274.41"/>
    <n v="907.99"/>
    <s v="Cash"/>
    <s v="Sara"/>
  </r>
  <r>
    <x v="2062"/>
    <x v="192"/>
    <s v="Delhi"/>
    <x v="3"/>
    <x v="1"/>
    <x v="1"/>
    <x v="0"/>
    <s v="Corporate"/>
    <n v="2"/>
    <n v="11787"/>
    <n v="0.1"/>
    <x v="2047"/>
    <n v="18099.349999999999"/>
    <n v="3117.25"/>
    <s v="Credit Card"/>
    <s v="Diya"/>
  </r>
  <r>
    <x v="2063"/>
    <x v="323"/>
    <s v="Kolkata"/>
    <x v="1"/>
    <x v="5"/>
    <x v="25"/>
    <x v="2"/>
    <s v="Small Business"/>
    <n v="8"/>
    <n v="35868"/>
    <n v="0.1"/>
    <x v="2048"/>
    <n v="179236.27"/>
    <n v="79013.33"/>
    <s v="Cash"/>
    <s v="Sara"/>
  </r>
  <r>
    <x v="2064"/>
    <x v="196"/>
    <s v="Delhi"/>
    <x v="3"/>
    <x v="2"/>
    <x v="29"/>
    <x v="2"/>
    <s v="Consumer"/>
    <n v="5"/>
    <n v="8053"/>
    <n v="0.05"/>
    <x v="2049"/>
    <n v="32828.97"/>
    <n v="5422.78"/>
    <s v="Credit Card"/>
    <s v="Diya"/>
  </r>
  <r>
    <x v="2065"/>
    <x v="42"/>
    <s v="Mumbai"/>
    <x v="2"/>
    <x v="1"/>
    <x v="1"/>
    <x v="2"/>
    <s v="Consumer"/>
    <n v="5"/>
    <n v="8830"/>
    <n v="0.05"/>
    <x v="2050"/>
    <n v="29675.59"/>
    <n v="12266.91"/>
    <s v="Net Banking"/>
    <s v="Meera"/>
  </r>
  <r>
    <x v="2066"/>
    <x v="277"/>
    <s v="Ahmedabad"/>
    <x v="2"/>
    <x v="4"/>
    <x v="31"/>
    <x v="1"/>
    <s v="Corporate"/>
    <n v="4"/>
    <n v="15272"/>
    <n v="0"/>
    <x v="2051"/>
    <n v="49403.47"/>
    <n v="11684.53"/>
    <s v="Debit Card"/>
    <s v="Anaya"/>
  </r>
  <r>
    <x v="2067"/>
    <x v="182"/>
    <s v="Mumbai"/>
    <x v="2"/>
    <x v="6"/>
    <x v="8"/>
    <x v="1"/>
    <s v="Corporate"/>
    <n v="5"/>
    <n v="268"/>
    <n v="0.15"/>
    <x v="2052"/>
    <n v="822.25"/>
    <n v="316.75"/>
    <s v="Debit Card"/>
    <s v="Vikram"/>
  </r>
  <r>
    <x v="2068"/>
    <x v="193"/>
    <s v="Pune"/>
    <x v="2"/>
    <x v="4"/>
    <x v="31"/>
    <x v="1"/>
    <s v="Corporate"/>
    <n v="5"/>
    <n v="1213"/>
    <n v="0.05"/>
    <x v="2053"/>
    <n v="3439.67"/>
    <n v="2322.08"/>
    <s v="UPI"/>
    <s v="Rohan"/>
  </r>
  <r>
    <x v="2069"/>
    <x v="324"/>
    <s v="Hyderabad"/>
    <x v="0"/>
    <x v="3"/>
    <x v="3"/>
    <x v="1"/>
    <s v="Consumer"/>
    <n v="5"/>
    <n v="1386"/>
    <n v="0"/>
    <x v="2054"/>
    <n v="4278.83"/>
    <n v="2651.17"/>
    <s v="UPI"/>
    <s v="Kabir"/>
  </r>
  <r>
    <x v="2070"/>
    <x v="163"/>
    <s v="Bengaluru"/>
    <x v="0"/>
    <x v="4"/>
    <x v="13"/>
    <x v="1"/>
    <s v="Consumer"/>
    <n v="1"/>
    <n v="23893"/>
    <n v="0.1"/>
    <x v="2055"/>
    <n v="15898.98"/>
    <n v="5604.72"/>
    <s v="Credit Card"/>
    <s v="Aarav"/>
  </r>
  <r>
    <x v="2071"/>
    <x v="114"/>
    <s v="Kolkata"/>
    <x v="1"/>
    <x v="2"/>
    <x v="9"/>
    <x v="2"/>
    <s v="Corporate"/>
    <n v="5"/>
    <n v="60197"/>
    <n v="0.1"/>
    <x v="2056"/>
    <n v="206440.9"/>
    <n v="64445.599999999999"/>
    <s v="Credit Card"/>
    <s v="Vikram"/>
  </r>
  <r>
    <x v="2072"/>
    <x v="215"/>
    <s v="Kolkata"/>
    <x v="1"/>
    <x v="4"/>
    <x v="27"/>
    <x v="2"/>
    <s v="Corporate"/>
    <n v="7"/>
    <n v="9267"/>
    <n v="0.05"/>
    <x v="2057"/>
    <n v="34105.360000000001"/>
    <n v="27520.19"/>
    <s v="Credit Card"/>
    <s v="Sara"/>
  </r>
  <r>
    <x v="2073"/>
    <x v="255"/>
    <s v="Mumbai"/>
    <x v="2"/>
    <x v="3"/>
    <x v="32"/>
    <x v="2"/>
    <s v="Corporate"/>
    <n v="8"/>
    <n v="1183"/>
    <n v="0.2"/>
    <x v="2058"/>
    <n v="4455.34"/>
    <n v="3115.86"/>
    <s v="UPI"/>
    <s v="Kabir"/>
  </r>
  <r>
    <x v="2074"/>
    <x v="75"/>
    <s v="Bengaluru"/>
    <x v="0"/>
    <x v="3"/>
    <x v="32"/>
    <x v="1"/>
    <s v="Consumer"/>
    <n v="2"/>
    <n v="176"/>
    <n v="0.05"/>
    <x v="2059"/>
    <n v="289.62"/>
    <n v="44.78"/>
    <s v="Cash"/>
    <s v="Sara"/>
  </r>
  <r>
    <x v="2075"/>
    <x v="210"/>
    <s v="Mumbai"/>
    <x v="2"/>
    <x v="6"/>
    <x v="8"/>
    <x v="2"/>
    <s v="Small Business"/>
    <n v="6"/>
    <n v="3114"/>
    <n v="0.15"/>
    <x v="2060"/>
    <n v="9776.4"/>
    <n v="6105"/>
    <s v="Net Banking"/>
    <s v="Aarav"/>
  </r>
  <r>
    <x v="2076"/>
    <x v="24"/>
    <s v="Ahmedabad"/>
    <x v="2"/>
    <x v="0"/>
    <x v="26"/>
    <x v="0"/>
    <s v="Small Business"/>
    <n v="7"/>
    <n v="161"/>
    <n v="0.05"/>
    <x v="2061"/>
    <n v="821.44"/>
    <n v="249.21"/>
    <s v="Cash"/>
    <s v="Aarav"/>
  </r>
  <r>
    <x v="2077"/>
    <x v="290"/>
    <s v="Delhi"/>
    <x v="3"/>
    <x v="0"/>
    <x v="23"/>
    <x v="2"/>
    <s v="Corporate"/>
    <n v="8"/>
    <n v="1474"/>
    <n v="0.05"/>
    <x v="2062"/>
    <n v="8367.56"/>
    <n v="2834.84"/>
    <s v="Cash"/>
    <s v="Meera"/>
  </r>
  <r>
    <x v="2078"/>
    <x v="245"/>
    <s v="Bengaluru"/>
    <x v="0"/>
    <x v="3"/>
    <x v="12"/>
    <x v="0"/>
    <s v="Consumer"/>
    <n v="5"/>
    <n v="1796"/>
    <n v="0.1"/>
    <x v="2063"/>
    <n v="4712.3500000000004"/>
    <n v="3369.65"/>
    <s v="Debit Card"/>
    <s v="Vikram"/>
  </r>
  <r>
    <x v="2079"/>
    <x v="39"/>
    <s v="Hyderabad"/>
    <x v="0"/>
    <x v="4"/>
    <x v="14"/>
    <x v="0"/>
    <s v="Consumer"/>
    <n v="8"/>
    <n v="17985"/>
    <n v="0"/>
    <x v="2064"/>
    <n v="111085.22"/>
    <n v="32794.78"/>
    <s v="Cash"/>
    <s v="Diya"/>
  </r>
  <r>
    <x v="2080"/>
    <x v="87"/>
    <s v="Chennai"/>
    <x v="0"/>
    <x v="6"/>
    <x v="20"/>
    <x v="2"/>
    <s v="Corporate"/>
    <n v="2"/>
    <n v="2085"/>
    <n v="0.15"/>
    <x v="2065"/>
    <n v="2979.2"/>
    <n v="565.29999999999995"/>
    <s v="UPI"/>
    <s v="Diya"/>
  </r>
  <r>
    <x v="2081"/>
    <x v="347"/>
    <s v="Bengaluru"/>
    <x v="0"/>
    <x v="4"/>
    <x v="31"/>
    <x v="2"/>
    <s v="Corporate"/>
    <n v="3"/>
    <n v="7048"/>
    <n v="0"/>
    <x v="2066"/>
    <n v="14735.54"/>
    <n v="6408.46"/>
    <s v="UPI"/>
    <s v="Anaya"/>
  </r>
  <r>
    <x v="2082"/>
    <x v="190"/>
    <s v="Mumbai"/>
    <x v="2"/>
    <x v="6"/>
    <x v="16"/>
    <x v="0"/>
    <s v="Small Business"/>
    <n v="4"/>
    <n v="2025"/>
    <n v="0.15"/>
    <x v="2067"/>
    <n v="4250.7"/>
    <n v="2634.3"/>
    <s v="UPI"/>
    <s v="Anaya"/>
  </r>
  <r>
    <x v="2083"/>
    <x v="208"/>
    <s v="Ahmedabad"/>
    <x v="2"/>
    <x v="3"/>
    <x v="34"/>
    <x v="1"/>
    <s v="Small Business"/>
    <n v="4"/>
    <n v="165"/>
    <n v="0.05"/>
    <x v="2068"/>
    <n v="357.65"/>
    <n v="269.35000000000002"/>
    <s v="Debit Card"/>
    <s v="Aarav"/>
  </r>
  <r>
    <x v="2084"/>
    <x v="342"/>
    <s v="Pune"/>
    <x v="2"/>
    <x v="2"/>
    <x v="21"/>
    <x v="0"/>
    <s v="Consumer"/>
    <n v="2"/>
    <n v="42427"/>
    <n v="0.2"/>
    <x v="2069"/>
    <n v="45309.33"/>
    <n v="22573.87"/>
    <s v="Cash"/>
    <s v="Sara"/>
  </r>
  <r>
    <x v="2085"/>
    <x v="109"/>
    <s v="Hyderabad"/>
    <x v="0"/>
    <x v="6"/>
    <x v="33"/>
    <x v="0"/>
    <s v="Consumer"/>
    <n v="6"/>
    <n v="1676"/>
    <n v="0.15"/>
    <x v="2070"/>
    <n v="5536.08"/>
    <n v="3011.52"/>
    <s v="Debit Card"/>
    <s v="Anaya"/>
  </r>
  <r>
    <x v="2086"/>
    <x v="87"/>
    <s v="Ahmedabad"/>
    <x v="2"/>
    <x v="5"/>
    <x v="24"/>
    <x v="1"/>
    <s v="Small Business"/>
    <n v="2"/>
    <n v="35984"/>
    <n v="0.1"/>
    <x v="2071"/>
    <n v="46593.73"/>
    <n v="18177.47"/>
    <s v="Credit Card"/>
    <s v="Kabir"/>
  </r>
  <r>
    <x v="2087"/>
    <x v="220"/>
    <s v="Mumbai"/>
    <x v="2"/>
    <x v="1"/>
    <x v="1"/>
    <x v="0"/>
    <s v="Consumer"/>
    <n v="1"/>
    <n v="7480"/>
    <n v="0.05"/>
    <x v="2072"/>
    <n v="5268.6"/>
    <n v="1837.4"/>
    <s v="Cash"/>
    <s v="Sara"/>
  </r>
  <r>
    <x v="2088"/>
    <x v="119"/>
    <s v="Delhi"/>
    <x v="3"/>
    <x v="6"/>
    <x v="16"/>
    <x v="2"/>
    <s v="Small Business"/>
    <n v="8"/>
    <n v="4295"/>
    <n v="0.15"/>
    <x v="2073"/>
    <n v="21589"/>
    <n v="7617"/>
    <s v="Cash"/>
    <s v="Diya"/>
  </r>
  <r>
    <x v="2089"/>
    <x v="320"/>
    <s v="Delhi"/>
    <x v="3"/>
    <x v="6"/>
    <x v="33"/>
    <x v="0"/>
    <s v="Consumer"/>
    <n v="5"/>
    <n v="2585"/>
    <n v="0.05"/>
    <x v="2074"/>
    <n v="9707.6299999999992"/>
    <n v="2571.12"/>
    <s v="Cash"/>
    <s v="Diya"/>
  </r>
  <r>
    <x v="2090"/>
    <x v="192"/>
    <s v="Bengaluru"/>
    <x v="0"/>
    <x v="2"/>
    <x v="29"/>
    <x v="2"/>
    <s v="Consumer"/>
    <n v="3"/>
    <n v="12280"/>
    <n v="0"/>
    <x v="2075"/>
    <n v="20305.36"/>
    <n v="16534.64"/>
    <s v="Cash"/>
    <s v="Aarav"/>
  </r>
  <r>
    <x v="2091"/>
    <x v="204"/>
    <s v="Pune"/>
    <x v="2"/>
    <x v="4"/>
    <x v="14"/>
    <x v="1"/>
    <s v="Small Business"/>
    <n v="4"/>
    <n v="15600"/>
    <n v="0.1"/>
    <x v="2076"/>
    <n v="42166.92"/>
    <n v="13993.08"/>
    <s v="Credit Card"/>
    <s v="Aarav"/>
  </r>
  <r>
    <x v="2092"/>
    <x v="54"/>
    <s v="Mumbai"/>
    <x v="2"/>
    <x v="2"/>
    <x v="5"/>
    <x v="1"/>
    <s v="Consumer"/>
    <n v="2"/>
    <n v="40623"/>
    <n v="0.1"/>
    <x v="2077"/>
    <n v="49974.559999999998"/>
    <n v="23146.84"/>
    <s v="Cash"/>
    <s v="Meera"/>
  </r>
  <r>
    <x v="2093"/>
    <x v="148"/>
    <s v="Ahmedabad"/>
    <x v="2"/>
    <x v="1"/>
    <x v="10"/>
    <x v="2"/>
    <s v="Consumer"/>
    <n v="2"/>
    <n v="9203"/>
    <n v="0"/>
    <x v="2078"/>
    <n v="11807.26"/>
    <n v="6598.74"/>
    <s v="Credit Card"/>
    <s v="Sara"/>
  </r>
  <r>
    <x v="2094"/>
    <x v="27"/>
    <s v="Delhi"/>
    <x v="3"/>
    <x v="5"/>
    <x v="6"/>
    <x v="0"/>
    <s v="Corporate"/>
    <n v="5"/>
    <n v="49971"/>
    <n v="0.05"/>
    <x v="2079"/>
    <n v="170972.07"/>
    <n v="66390.179999999993"/>
    <s v="UPI"/>
    <s v="Aarav"/>
  </r>
  <r>
    <x v="2095"/>
    <x v="361"/>
    <s v="Mumbai"/>
    <x v="2"/>
    <x v="4"/>
    <x v="13"/>
    <x v="0"/>
    <s v="Corporate"/>
    <n v="7"/>
    <n v="5360"/>
    <n v="0.2"/>
    <x v="2080"/>
    <n v="24022.18"/>
    <n v="5993.82"/>
    <s v="Cash"/>
    <s v="Vikram"/>
  </r>
  <r>
    <x v="2096"/>
    <x v="180"/>
    <s v="Hyderabad"/>
    <x v="0"/>
    <x v="3"/>
    <x v="3"/>
    <x v="1"/>
    <s v="Corporate"/>
    <n v="3"/>
    <n v="1123"/>
    <n v="0.1"/>
    <x v="2081"/>
    <n v="2476.92"/>
    <n v="555.17999999999995"/>
    <s v="Net Banking"/>
    <s v="Vikram"/>
  </r>
  <r>
    <x v="2097"/>
    <x v="22"/>
    <s v="Ahmedabad"/>
    <x v="2"/>
    <x v="4"/>
    <x v="4"/>
    <x v="0"/>
    <s v="Consumer"/>
    <n v="5"/>
    <n v="23594"/>
    <n v="0"/>
    <x v="2082"/>
    <n v="92975.27"/>
    <n v="24994.73"/>
    <s v="Cash"/>
    <s v="Rohan"/>
  </r>
  <r>
    <x v="2098"/>
    <x v="198"/>
    <s v="Ahmedabad"/>
    <x v="2"/>
    <x v="3"/>
    <x v="32"/>
    <x v="1"/>
    <s v="Small Business"/>
    <n v="1"/>
    <n v="617"/>
    <n v="0.1"/>
    <x v="2083"/>
    <n v="394.19"/>
    <n v="161.11000000000001"/>
    <s v="Debit Card"/>
    <s v="Meera"/>
  </r>
  <r>
    <x v="2099"/>
    <x v="321"/>
    <s v="Kolkata"/>
    <x v="1"/>
    <x v="5"/>
    <x v="6"/>
    <x v="1"/>
    <s v="Consumer"/>
    <n v="1"/>
    <n v="9497"/>
    <n v="0.1"/>
    <x v="2084"/>
    <n v="5568.08"/>
    <n v="2979.22"/>
    <s v="UPI"/>
    <s v="Anaya"/>
  </r>
  <r>
    <x v="2100"/>
    <x v="22"/>
    <s v="Mumbai"/>
    <x v="2"/>
    <x v="6"/>
    <x v="20"/>
    <x v="1"/>
    <s v="Consumer"/>
    <n v="3"/>
    <n v="3895"/>
    <n v="0"/>
    <x v="2085"/>
    <n v="6786.64"/>
    <n v="4898.3599999999997"/>
    <s v="UPI"/>
    <s v="Anaya"/>
  </r>
  <r>
    <x v="2101"/>
    <x v="352"/>
    <s v="Chennai"/>
    <x v="0"/>
    <x v="0"/>
    <x v="28"/>
    <x v="0"/>
    <s v="Small Business"/>
    <n v="2"/>
    <n v="579"/>
    <n v="0.05"/>
    <x v="2086"/>
    <n v="726.47"/>
    <n v="373.63"/>
    <s v="Credit Card"/>
    <s v="Vikram"/>
  </r>
  <r>
    <x v="2102"/>
    <x v="71"/>
    <s v="Kolkata"/>
    <x v="1"/>
    <x v="5"/>
    <x v="11"/>
    <x v="1"/>
    <s v="Consumer"/>
    <n v="7"/>
    <n v="39929"/>
    <n v="0.1"/>
    <x v="2087"/>
    <n v="189776.41"/>
    <n v="61776.29"/>
    <s v="Net Banking"/>
    <s v="Aarav"/>
  </r>
  <r>
    <x v="2103"/>
    <x v="292"/>
    <s v="Hyderabad"/>
    <x v="0"/>
    <x v="3"/>
    <x v="15"/>
    <x v="0"/>
    <s v="Corporate"/>
    <n v="1"/>
    <n v="1108"/>
    <n v="0"/>
    <x v="2088"/>
    <n v="823.66"/>
    <n v="284.33999999999997"/>
    <s v="Debit Card"/>
    <s v="Rohan"/>
  </r>
  <r>
    <x v="2104"/>
    <x v="259"/>
    <s v="Mumbai"/>
    <x v="2"/>
    <x v="0"/>
    <x v="19"/>
    <x v="0"/>
    <s v="Small Business"/>
    <n v="5"/>
    <n v="2137"/>
    <n v="0.1"/>
    <x v="2089"/>
    <n v="6958.68"/>
    <n v="2657.82"/>
    <s v="UPI"/>
    <s v="Anaya"/>
  </r>
  <r>
    <x v="2105"/>
    <x v="293"/>
    <s v="Bengaluru"/>
    <x v="0"/>
    <x v="4"/>
    <x v="13"/>
    <x v="1"/>
    <s v="Corporate"/>
    <n v="4"/>
    <n v="11854"/>
    <n v="0.1"/>
    <x v="2090"/>
    <n v="27732.29"/>
    <n v="14942.11"/>
    <s v="Net Banking"/>
    <s v="Sara"/>
  </r>
  <r>
    <x v="2106"/>
    <x v="315"/>
    <s v="Chennai"/>
    <x v="0"/>
    <x v="3"/>
    <x v="3"/>
    <x v="2"/>
    <s v="Small Business"/>
    <n v="6"/>
    <n v="572"/>
    <n v="0"/>
    <x v="2091"/>
    <n v="2453.41"/>
    <n v="978.59"/>
    <s v="UPI"/>
    <s v="Aarav"/>
  </r>
  <r>
    <x v="2107"/>
    <x v="73"/>
    <s v="Bengaluru"/>
    <x v="0"/>
    <x v="1"/>
    <x v="18"/>
    <x v="2"/>
    <s v="Consumer"/>
    <n v="4"/>
    <n v="8334"/>
    <n v="0.15"/>
    <x v="2092"/>
    <n v="15896.24"/>
    <n v="12439.36"/>
    <s v="UPI"/>
    <s v="Vikram"/>
  </r>
  <r>
    <x v="2108"/>
    <x v="350"/>
    <s v="Kolkata"/>
    <x v="1"/>
    <x v="5"/>
    <x v="6"/>
    <x v="1"/>
    <s v="Small Business"/>
    <n v="6"/>
    <n v="3287"/>
    <n v="0.1"/>
    <x v="2093"/>
    <n v="10837.28"/>
    <n v="6912.52"/>
    <s v="Net Banking"/>
    <s v="Rohan"/>
  </r>
  <r>
    <x v="2109"/>
    <x v="293"/>
    <s v="Mumbai"/>
    <x v="2"/>
    <x v="3"/>
    <x v="15"/>
    <x v="0"/>
    <s v="Small Business"/>
    <n v="1"/>
    <n v="1450"/>
    <n v="0.05"/>
    <x v="2094"/>
    <n v="918.18"/>
    <n v="459.32"/>
    <s v="Debit Card"/>
    <s v="Sara"/>
  </r>
  <r>
    <x v="2110"/>
    <x v="71"/>
    <s v="Hyderabad"/>
    <x v="0"/>
    <x v="0"/>
    <x v="23"/>
    <x v="0"/>
    <s v="Corporate"/>
    <n v="6"/>
    <n v="1286"/>
    <n v="0.1"/>
    <x v="2095"/>
    <n v="4418.34"/>
    <n v="2526.06"/>
    <s v="Credit Card"/>
    <s v="Vikram"/>
  </r>
  <r>
    <x v="2111"/>
    <x v="62"/>
    <s v="Hyderabad"/>
    <x v="0"/>
    <x v="5"/>
    <x v="25"/>
    <x v="0"/>
    <s v="Consumer"/>
    <n v="8"/>
    <n v="29677"/>
    <n v="0.05"/>
    <x v="2096"/>
    <n v="139850.32999999999"/>
    <n v="85694.87"/>
    <s v="UPI"/>
    <s v="Rohan"/>
  </r>
  <r>
    <x v="2112"/>
    <x v="132"/>
    <s v="Bengaluru"/>
    <x v="0"/>
    <x v="6"/>
    <x v="16"/>
    <x v="0"/>
    <s v="Small Business"/>
    <n v="4"/>
    <n v="2848"/>
    <n v="0.15"/>
    <x v="2097"/>
    <n v="5530.35"/>
    <n v="4152.8500000000004"/>
    <s v="Debit Card"/>
    <s v="Diya"/>
  </r>
  <r>
    <x v="2113"/>
    <x v="150"/>
    <s v="Pune"/>
    <x v="2"/>
    <x v="0"/>
    <x v="19"/>
    <x v="1"/>
    <s v="Corporate"/>
    <n v="7"/>
    <n v="2482"/>
    <n v="0.1"/>
    <x v="2098"/>
    <n v="12692.81"/>
    <n v="2943.79"/>
    <s v="Debit Card"/>
    <s v="Rohan"/>
  </r>
  <r>
    <x v="2114"/>
    <x v="362"/>
    <s v="Ahmedabad"/>
    <x v="2"/>
    <x v="6"/>
    <x v="30"/>
    <x v="1"/>
    <s v="Consumer"/>
    <n v="2"/>
    <n v="1473"/>
    <n v="0"/>
    <x v="2099"/>
    <n v="2236.0300000000002"/>
    <n v="709.97"/>
    <s v="Debit Card"/>
    <s v="Anaya"/>
  </r>
  <r>
    <x v="2115"/>
    <x v="145"/>
    <s v="Hyderabad"/>
    <x v="0"/>
    <x v="6"/>
    <x v="20"/>
    <x v="1"/>
    <s v="Small Business"/>
    <n v="6"/>
    <n v="4328"/>
    <n v="0.05"/>
    <x v="2100"/>
    <n v="18169.25"/>
    <n v="6500.35"/>
    <s v="UPI"/>
    <s v="Diya"/>
  </r>
  <r>
    <x v="2116"/>
    <x v="357"/>
    <s v="Ahmedabad"/>
    <x v="2"/>
    <x v="2"/>
    <x v="29"/>
    <x v="2"/>
    <s v="Consumer"/>
    <n v="5"/>
    <n v="38282"/>
    <n v="0.05"/>
    <x v="2101"/>
    <n v="138405.29999999999"/>
    <n v="43434.2"/>
    <s v="Credit Card"/>
    <s v="Rohan"/>
  </r>
  <r>
    <x v="2117"/>
    <x v="159"/>
    <s v="Mumbai"/>
    <x v="2"/>
    <x v="6"/>
    <x v="8"/>
    <x v="1"/>
    <s v="Small Business"/>
    <n v="4"/>
    <n v="3213"/>
    <n v="0"/>
    <x v="2102"/>
    <n v="8004.37"/>
    <n v="4847.63"/>
    <s v="Cash"/>
    <s v="Aarav"/>
  </r>
  <r>
    <x v="2118"/>
    <x v="349"/>
    <s v="Kolkata"/>
    <x v="1"/>
    <x v="5"/>
    <x v="11"/>
    <x v="2"/>
    <s v="Small Business"/>
    <n v="8"/>
    <n v="6089"/>
    <n v="0"/>
    <x v="2103"/>
    <n v="38196.699999999997"/>
    <n v="10515.3"/>
    <s v="Net Banking"/>
    <s v="Rohan"/>
  </r>
  <r>
    <x v="2119"/>
    <x v="190"/>
    <s v="Hyderabad"/>
    <x v="0"/>
    <x v="6"/>
    <x v="30"/>
    <x v="0"/>
    <s v="Corporate"/>
    <n v="6"/>
    <n v="3914"/>
    <n v="0.15"/>
    <x v="2104"/>
    <n v="12557.58"/>
    <n v="7403.82"/>
    <s v="Cash"/>
    <s v="Kabir"/>
  </r>
  <r>
    <x v="2120"/>
    <x v="325"/>
    <s v="Pune"/>
    <x v="2"/>
    <x v="5"/>
    <x v="11"/>
    <x v="0"/>
    <s v="Small Business"/>
    <n v="4"/>
    <n v="35844"/>
    <n v="0.05"/>
    <x v="2105"/>
    <n v="90823.7"/>
    <n v="45383.5"/>
    <s v="UPI"/>
    <s v="Diya"/>
  </r>
  <r>
    <x v="2121"/>
    <x v="148"/>
    <s v="Pune"/>
    <x v="2"/>
    <x v="1"/>
    <x v="1"/>
    <x v="2"/>
    <s v="Consumer"/>
    <n v="7"/>
    <n v="11337"/>
    <n v="0.05"/>
    <x v="2106"/>
    <n v="59312.58"/>
    <n v="16078.47"/>
    <s v="Net Banking"/>
    <s v="Vikram"/>
  </r>
  <r>
    <x v="2122"/>
    <x v="18"/>
    <s v="Mumbai"/>
    <x v="2"/>
    <x v="0"/>
    <x v="0"/>
    <x v="0"/>
    <s v="Small Business"/>
    <n v="4"/>
    <n v="1548"/>
    <n v="0.1"/>
    <x v="2107"/>
    <n v="4074.57"/>
    <n v="1498.23"/>
    <s v="Cash"/>
    <s v="Rohan"/>
  </r>
  <r>
    <x v="2123"/>
    <x v="204"/>
    <s v="Chennai"/>
    <x v="0"/>
    <x v="4"/>
    <x v="31"/>
    <x v="0"/>
    <s v="Small Business"/>
    <n v="7"/>
    <n v="7086"/>
    <n v="0"/>
    <x v="2108"/>
    <n v="30255.33"/>
    <n v="19346.669999999998"/>
    <s v="UPI"/>
    <s v="Kabir"/>
  </r>
  <r>
    <x v="2124"/>
    <x v="77"/>
    <s v="Delhi"/>
    <x v="3"/>
    <x v="2"/>
    <x v="5"/>
    <x v="2"/>
    <s v="Consumer"/>
    <n v="7"/>
    <n v="14424"/>
    <n v="0"/>
    <x v="2109"/>
    <n v="75984"/>
    <n v="24984"/>
    <s v="Cash"/>
    <s v="Aarav"/>
  </r>
  <r>
    <x v="2125"/>
    <x v="359"/>
    <s v="Chennai"/>
    <x v="0"/>
    <x v="5"/>
    <x v="11"/>
    <x v="2"/>
    <s v="Corporate"/>
    <n v="5"/>
    <n v="14961"/>
    <n v="0.1"/>
    <x v="2110"/>
    <n v="49441.75"/>
    <n v="17882.75"/>
    <s v="Cash"/>
    <s v="Sara"/>
  </r>
  <r>
    <x v="2126"/>
    <x v="355"/>
    <s v="Mumbai"/>
    <x v="2"/>
    <x v="3"/>
    <x v="12"/>
    <x v="0"/>
    <s v="Consumer"/>
    <n v="1"/>
    <n v="772"/>
    <n v="0.05"/>
    <x v="2111"/>
    <n v="426.96"/>
    <n v="306.44"/>
    <s v="Debit Card"/>
    <s v="Sara"/>
  </r>
  <r>
    <x v="2127"/>
    <x v="105"/>
    <s v="Delhi"/>
    <x v="3"/>
    <x v="0"/>
    <x v="19"/>
    <x v="1"/>
    <s v="Corporate"/>
    <n v="2"/>
    <n v="2124"/>
    <n v="0.1"/>
    <x v="2112"/>
    <n v="2990.93"/>
    <n v="832.27"/>
    <s v="Net Banking"/>
    <s v="Vikram"/>
  </r>
  <r>
    <x v="2128"/>
    <x v="5"/>
    <s v="Ahmedabad"/>
    <x v="2"/>
    <x v="1"/>
    <x v="18"/>
    <x v="2"/>
    <s v="Corporate"/>
    <n v="3"/>
    <n v="4351"/>
    <n v="0.15"/>
    <x v="2113"/>
    <n v="6207.31"/>
    <n v="4887.74"/>
    <s v="UPI"/>
    <s v="Diya"/>
  </r>
  <r>
    <x v="2129"/>
    <x v="181"/>
    <s v="Ahmedabad"/>
    <x v="2"/>
    <x v="3"/>
    <x v="12"/>
    <x v="1"/>
    <s v="Small Business"/>
    <n v="5"/>
    <n v="896"/>
    <n v="0.15"/>
    <x v="2114"/>
    <n v="2567.17"/>
    <n v="1240.83"/>
    <s v="Credit Card"/>
    <s v="Anaya"/>
  </r>
  <r>
    <x v="2130"/>
    <x v="31"/>
    <s v="Bengaluru"/>
    <x v="0"/>
    <x v="3"/>
    <x v="34"/>
    <x v="0"/>
    <s v="Small Business"/>
    <n v="5"/>
    <n v="231"/>
    <n v="0.05"/>
    <x v="2115"/>
    <n v="956.47"/>
    <n v="140.78"/>
    <s v="Cash"/>
    <s v="Kabir"/>
  </r>
  <r>
    <x v="2131"/>
    <x v="36"/>
    <s v="Mumbai"/>
    <x v="2"/>
    <x v="1"/>
    <x v="7"/>
    <x v="0"/>
    <s v="Small Business"/>
    <n v="4"/>
    <n v="1472"/>
    <n v="0.15"/>
    <x v="2116"/>
    <n v="4009.61"/>
    <n v="995.19"/>
    <s v="Net Banking"/>
    <s v="Aarav"/>
  </r>
  <r>
    <x v="2132"/>
    <x v="315"/>
    <s v="Bengaluru"/>
    <x v="0"/>
    <x v="4"/>
    <x v="4"/>
    <x v="1"/>
    <s v="Consumer"/>
    <n v="1"/>
    <n v="12347"/>
    <n v="0.05"/>
    <x v="2117"/>
    <n v="8199.49"/>
    <n v="3530.16"/>
    <s v="UPI"/>
    <s v="Kabir"/>
  </r>
  <r>
    <x v="2133"/>
    <x v="265"/>
    <s v="Bengaluru"/>
    <x v="0"/>
    <x v="0"/>
    <x v="23"/>
    <x v="0"/>
    <s v="Corporate"/>
    <n v="8"/>
    <n v="1265"/>
    <n v="0"/>
    <x v="2118"/>
    <n v="7062.9"/>
    <n v="3057.1"/>
    <s v="Net Banking"/>
    <s v="Vikram"/>
  </r>
  <r>
    <x v="2134"/>
    <x v="283"/>
    <s v="Delhi"/>
    <x v="3"/>
    <x v="0"/>
    <x v="28"/>
    <x v="1"/>
    <s v="Small Business"/>
    <n v="1"/>
    <n v="133"/>
    <n v="0.1"/>
    <x v="2119"/>
    <n v="67.02"/>
    <n v="52.68"/>
    <s v="UPI"/>
    <s v="Anaya"/>
  </r>
  <r>
    <x v="2135"/>
    <x v="343"/>
    <s v="Bengaluru"/>
    <x v="0"/>
    <x v="3"/>
    <x v="3"/>
    <x v="0"/>
    <s v="Small Business"/>
    <n v="1"/>
    <n v="2031"/>
    <n v="0.15"/>
    <x v="2120"/>
    <n v="1269.96"/>
    <n v="456.39"/>
    <s v="Credit Card"/>
    <s v="Vikram"/>
  </r>
  <r>
    <x v="2136"/>
    <x v="164"/>
    <s v="Mumbai"/>
    <x v="2"/>
    <x v="2"/>
    <x v="2"/>
    <x v="1"/>
    <s v="Consumer"/>
    <n v="2"/>
    <n v="68789"/>
    <n v="0.1"/>
    <x v="2121"/>
    <n v="71568.03"/>
    <n v="52252.17"/>
    <s v="Cash"/>
    <s v="Kabir"/>
  </r>
  <r>
    <x v="2137"/>
    <x v="222"/>
    <s v="Ahmedabad"/>
    <x v="2"/>
    <x v="3"/>
    <x v="32"/>
    <x v="2"/>
    <s v="Small Business"/>
    <n v="7"/>
    <n v="2045"/>
    <n v="0.15"/>
    <x v="2122"/>
    <n v="7695.8"/>
    <n v="4471.95"/>
    <s v="Debit Card"/>
    <s v="Anaya"/>
  </r>
  <r>
    <x v="2138"/>
    <x v="138"/>
    <s v="Chennai"/>
    <x v="0"/>
    <x v="6"/>
    <x v="8"/>
    <x v="0"/>
    <s v="Small Business"/>
    <n v="8"/>
    <n v="1950"/>
    <n v="0"/>
    <x v="2123"/>
    <n v="10632.09"/>
    <n v="4967.91"/>
    <s v="Debit Card"/>
    <s v="Rohan"/>
  </r>
  <r>
    <x v="2139"/>
    <x v="356"/>
    <s v="Mumbai"/>
    <x v="2"/>
    <x v="0"/>
    <x v="28"/>
    <x v="1"/>
    <s v="Corporate"/>
    <n v="4"/>
    <n v="1416"/>
    <n v="0.1"/>
    <x v="2124"/>
    <n v="3999.92"/>
    <n v="1097.68"/>
    <s v="Credit Card"/>
    <s v="Sara"/>
  </r>
  <r>
    <x v="2140"/>
    <x v="24"/>
    <s v="Pune"/>
    <x v="2"/>
    <x v="6"/>
    <x v="33"/>
    <x v="1"/>
    <s v="Corporate"/>
    <n v="2"/>
    <n v="4344"/>
    <n v="0"/>
    <x v="2125"/>
    <n v="7174.06"/>
    <n v="1513.94"/>
    <s v="Debit Card"/>
    <s v="Kabir"/>
  </r>
  <r>
    <x v="2141"/>
    <x v="358"/>
    <s v="Delhi"/>
    <x v="3"/>
    <x v="5"/>
    <x v="11"/>
    <x v="2"/>
    <s v="Small Business"/>
    <n v="7"/>
    <n v="6310"/>
    <n v="0.15"/>
    <x v="2126"/>
    <n v="27121.4"/>
    <n v="10423.1"/>
    <s v="Debit Card"/>
    <s v="Vikram"/>
  </r>
  <r>
    <x v="2142"/>
    <x v="35"/>
    <s v="Bengaluru"/>
    <x v="0"/>
    <x v="4"/>
    <x v="13"/>
    <x v="2"/>
    <s v="Consumer"/>
    <n v="2"/>
    <n v="2888"/>
    <n v="0.15"/>
    <x v="2127"/>
    <n v="3933.04"/>
    <n v="976.56"/>
    <s v="Debit Card"/>
    <s v="Sara"/>
  </r>
  <r>
    <x v="2143"/>
    <x v="239"/>
    <s v="Delhi"/>
    <x v="3"/>
    <x v="1"/>
    <x v="1"/>
    <x v="0"/>
    <s v="Corporate"/>
    <n v="1"/>
    <n v="11822"/>
    <n v="0"/>
    <x v="2128"/>
    <n v="9789.5499999999993"/>
    <n v="2032.45"/>
    <s v="Cash"/>
    <s v="Rohan"/>
  </r>
  <r>
    <x v="2144"/>
    <x v="178"/>
    <s v="Bengaluru"/>
    <x v="0"/>
    <x v="3"/>
    <x v="12"/>
    <x v="2"/>
    <s v="Small Business"/>
    <n v="8"/>
    <n v="577"/>
    <n v="0.1"/>
    <x v="2129"/>
    <n v="3421.11"/>
    <n v="733.29"/>
    <s v="Net Banking"/>
    <s v="Anaya"/>
  </r>
  <r>
    <x v="2145"/>
    <x v="87"/>
    <s v="Mumbai"/>
    <x v="2"/>
    <x v="6"/>
    <x v="8"/>
    <x v="0"/>
    <s v="Corporate"/>
    <n v="8"/>
    <n v="4781"/>
    <n v="0.15"/>
    <x v="2130"/>
    <n v="21378.35"/>
    <n v="11132.45"/>
    <s v="Debit Card"/>
    <s v="Kabir"/>
  </r>
  <r>
    <x v="2146"/>
    <x v="224"/>
    <s v="Mumbai"/>
    <x v="2"/>
    <x v="4"/>
    <x v="27"/>
    <x v="0"/>
    <s v="Consumer"/>
    <n v="8"/>
    <n v="4921"/>
    <n v="0"/>
    <x v="2131"/>
    <n v="25627.21"/>
    <n v="13740.79"/>
    <s v="Cash"/>
    <s v="Aarav"/>
  </r>
  <r>
    <x v="2147"/>
    <x v="172"/>
    <s v="Chennai"/>
    <x v="0"/>
    <x v="6"/>
    <x v="16"/>
    <x v="2"/>
    <s v="Consumer"/>
    <n v="3"/>
    <n v="5499"/>
    <n v="0.1"/>
    <x v="2132"/>
    <n v="10440.469999999999"/>
    <n v="4406.83"/>
    <s v="UPI"/>
    <s v="Aarav"/>
  </r>
  <r>
    <x v="2148"/>
    <x v="245"/>
    <s v="Pune"/>
    <x v="2"/>
    <x v="3"/>
    <x v="15"/>
    <x v="1"/>
    <s v="Consumer"/>
    <n v="2"/>
    <n v="487"/>
    <n v="0.15"/>
    <x v="2133"/>
    <n v="623.74"/>
    <n v="204.16"/>
    <s v="UPI"/>
    <s v="Meera"/>
  </r>
  <r>
    <x v="2149"/>
    <x v="335"/>
    <s v="Ahmedabad"/>
    <x v="2"/>
    <x v="4"/>
    <x v="14"/>
    <x v="1"/>
    <s v="Corporate"/>
    <n v="1"/>
    <n v="22066"/>
    <n v="0"/>
    <x v="2134"/>
    <n v="12163.79"/>
    <n v="9902.2099999999991"/>
    <s v="Cash"/>
    <s v="Rohan"/>
  </r>
  <r>
    <x v="2150"/>
    <x v="51"/>
    <s v="Hyderabad"/>
    <x v="0"/>
    <x v="2"/>
    <x v="9"/>
    <x v="0"/>
    <s v="Corporate"/>
    <n v="1"/>
    <n v="23544"/>
    <n v="0.05"/>
    <x v="1600"/>
    <n v="15584.34"/>
    <n v="6782.46"/>
    <s v="Net Banking"/>
    <s v="Diya"/>
  </r>
  <r>
    <x v="2151"/>
    <x v="145"/>
    <s v="Bengaluru"/>
    <x v="0"/>
    <x v="2"/>
    <x v="2"/>
    <x v="0"/>
    <s v="Small Business"/>
    <n v="4"/>
    <n v="48444"/>
    <n v="0.15"/>
    <x v="2135"/>
    <n v="91300.98"/>
    <n v="73408.62"/>
    <s v="Net Banking"/>
    <s v="Aarav"/>
  </r>
  <r>
    <x v="2152"/>
    <x v="80"/>
    <s v="Kolkata"/>
    <x v="1"/>
    <x v="1"/>
    <x v="22"/>
    <x v="0"/>
    <s v="Small Business"/>
    <n v="6"/>
    <n v="857"/>
    <n v="0.05"/>
    <x v="2136"/>
    <n v="3153.5"/>
    <n v="1731.4"/>
    <s v="Cash"/>
    <s v="Aarav"/>
  </r>
  <r>
    <x v="2153"/>
    <x v="17"/>
    <s v="Hyderabad"/>
    <x v="0"/>
    <x v="0"/>
    <x v="28"/>
    <x v="2"/>
    <s v="Small Business"/>
    <n v="1"/>
    <n v="1033"/>
    <n v="0.15"/>
    <x v="2137"/>
    <n v="694.68"/>
    <n v="183.37"/>
    <s v="Net Banking"/>
    <s v="Vikram"/>
  </r>
  <r>
    <x v="2154"/>
    <x v="212"/>
    <s v="Bengaluru"/>
    <x v="0"/>
    <x v="4"/>
    <x v="4"/>
    <x v="0"/>
    <s v="Consumer"/>
    <n v="7"/>
    <n v="16487"/>
    <n v="0.1"/>
    <x v="2138"/>
    <n v="87349.42"/>
    <n v="16518.68"/>
    <s v="Credit Card"/>
    <s v="Vikram"/>
  </r>
  <r>
    <x v="2155"/>
    <x v="117"/>
    <s v="Delhi"/>
    <x v="3"/>
    <x v="4"/>
    <x v="14"/>
    <x v="1"/>
    <s v="Corporate"/>
    <n v="3"/>
    <n v="17388"/>
    <n v="0.2"/>
    <x v="2139"/>
    <n v="26611.46"/>
    <n v="15119.74"/>
    <s v="Debit Card"/>
    <s v="Diya"/>
  </r>
  <r>
    <x v="2156"/>
    <x v="59"/>
    <s v="Hyderabad"/>
    <x v="0"/>
    <x v="3"/>
    <x v="12"/>
    <x v="1"/>
    <s v="Consumer"/>
    <n v="5"/>
    <n v="1005"/>
    <n v="0.15"/>
    <x v="2140"/>
    <n v="3023.17"/>
    <n v="1248.08"/>
    <s v="UPI"/>
    <s v="Meera"/>
  </r>
  <r>
    <x v="2157"/>
    <x v="264"/>
    <s v="Mumbai"/>
    <x v="2"/>
    <x v="5"/>
    <x v="6"/>
    <x v="2"/>
    <s v="Consumer"/>
    <n v="3"/>
    <n v="2517"/>
    <n v="0"/>
    <x v="2141"/>
    <n v="6395.17"/>
    <n v="1155.83"/>
    <s v="UPI"/>
    <s v="Sara"/>
  </r>
  <r>
    <x v="2158"/>
    <x v="169"/>
    <s v="Hyderabad"/>
    <x v="0"/>
    <x v="6"/>
    <x v="20"/>
    <x v="1"/>
    <s v="Consumer"/>
    <n v="1"/>
    <n v="5876"/>
    <n v="0.15"/>
    <x v="2142"/>
    <n v="2910.27"/>
    <n v="2084.33"/>
    <s v="Net Banking"/>
    <s v="Kabir"/>
  </r>
  <r>
    <x v="2159"/>
    <x v="179"/>
    <s v="Bengaluru"/>
    <x v="0"/>
    <x v="5"/>
    <x v="17"/>
    <x v="2"/>
    <s v="Small Business"/>
    <n v="7"/>
    <n v="10976"/>
    <n v="0"/>
    <x v="2143"/>
    <n v="49517.35"/>
    <n v="27314.65"/>
    <s v="Net Banking"/>
    <s v="Kabir"/>
  </r>
  <r>
    <x v="2160"/>
    <x v="362"/>
    <s v="Hyderabad"/>
    <x v="0"/>
    <x v="6"/>
    <x v="30"/>
    <x v="2"/>
    <s v="Corporate"/>
    <n v="4"/>
    <n v="2308"/>
    <n v="0.1"/>
    <x v="2144"/>
    <n v="4960.1499999999996"/>
    <n v="3348.65"/>
    <s v="Cash"/>
    <s v="Aarav"/>
  </r>
  <r>
    <x v="2161"/>
    <x v="349"/>
    <s v="Mumbai"/>
    <x v="2"/>
    <x v="5"/>
    <x v="24"/>
    <x v="2"/>
    <s v="Consumer"/>
    <n v="3"/>
    <n v="3418"/>
    <n v="0"/>
    <x v="2145"/>
    <n v="8658.7199999999993"/>
    <n v="1595.28"/>
    <s v="Debit Card"/>
    <s v="Anaya"/>
  </r>
  <r>
    <x v="2162"/>
    <x v="230"/>
    <s v="Ahmedabad"/>
    <x v="2"/>
    <x v="6"/>
    <x v="16"/>
    <x v="0"/>
    <s v="Small Business"/>
    <n v="4"/>
    <n v="668"/>
    <n v="0.1"/>
    <x v="490"/>
    <n v="1455.29"/>
    <n v="949.51"/>
    <s v="Debit Card"/>
    <s v="Diya"/>
  </r>
  <r>
    <x v="2163"/>
    <x v="252"/>
    <s v="Delhi"/>
    <x v="3"/>
    <x v="2"/>
    <x v="29"/>
    <x v="2"/>
    <s v="Consumer"/>
    <n v="2"/>
    <n v="38347"/>
    <n v="0.1"/>
    <x v="2146"/>
    <n v="53711.03"/>
    <n v="15313.57"/>
    <s v="Debit Card"/>
    <s v="Rohan"/>
  </r>
  <r>
    <x v="2164"/>
    <x v="87"/>
    <s v="Bengaluru"/>
    <x v="0"/>
    <x v="5"/>
    <x v="6"/>
    <x v="0"/>
    <s v="Consumer"/>
    <n v="3"/>
    <n v="42041"/>
    <n v="0.15"/>
    <x v="2147"/>
    <n v="62291.93"/>
    <n v="44912.62"/>
    <s v="Net Banking"/>
    <s v="Sara"/>
  </r>
  <r>
    <x v="2165"/>
    <x v="284"/>
    <s v="Pune"/>
    <x v="2"/>
    <x v="2"/>
    <x v="2"/>
    <x v="0"/>
    <s v="Corporate"/>
    <n v="6"/>
    <n v="44819"/>
    <n v="0"/>
    <x v="2148"/>
    <n v="185056.42"/>
    <n v="83857.58"/>
    <s v="Debit Card"/>
    <s v="Diya"/>
  </r>
  <r>
    <x v="2166"/>
    <x v="320"/>
    <s v="Mumbai"/>
    <x v="2"/>
    <x v="4"/>
    <x v="27"/>
    <x v="0"/>
    <s v="Consumer"/>
    <n v="6"/>
    <n v="5867"/>
    <n v="0.2"/>
    <x v="2149"/>
    <n v="21354.3"/>
    <n v="6807.3"/>
    <s v="UPI"/>
    <s v="Kabir"/>
  </r>
  <r>
    <x v="2167"/>
    <x v="230"/>
    <s v="Ahmedabad"/>
    <x v="2"/>
    <x v="2"/>
    <x v="2"/>
    <x v="0"/>
    <s v="Small Business"/>
    <n v="7"/>
    <n v="63736"/>
    <n v="0"/>
    <x v="2150"/>
    <n v="370705.85"/>
    <n v="75446.149999999994"/>
    <s v="UPI"/>
    <s v="Rohan"/>
  </r>
  <r>
    <x v="2168"/>
    <x v="70"/>
    <s v="Delhi"/>
    <x v="3"/>
    <x v="5"/>
    <x v="25"/>
    <x v="1"/>
    <s v="Consumer"/>
    <n v="6"/>
    <n v="14109"/>
    <n v="0.1"/>
    <x v="2151"/>
    <n v="52779.29"/>
    <n v="23409.31"/>
    <s v="Debit Card"/>
    <s v="Vikram"/>
  </r>
  <r>
    <x v="2169"/>
    <x v="224"/>
    <s v="Hyderabad"/>
    <x v="0"/>
    <x v="5"/>
    <x v="6"/>
    <x v="0"/>
    <s v="Small Business"/>
    <n v="6"/>
    <n v="47122"/>
    <n v="0"/>
    <x v="2152"/>
    <n v="206317.89"/>
    <n v="76414.11"/>
    <s v="Credit Card"/>
    <s v="Diya"/>
  </r>
  <r>
    <x v="2170"/>
    <x v="73"/>
    <s v="Delhi"/>
    <x v="3"/>
    <x v="5"/>
    <x v="6"/>
    <x v="1"/>
    <s v="Small Business"/>
    <n v="2"/>
    <n v="33600"/>
    <n v="0.15"/>
    <x v="2153"/>
    <n v="33582.800000000003"/>
    <n v="23537.200000000001"/>
    <s v="Debit Card"/>
    <s v="Sara"/>
  </r>
  <r>
    <x v="2171"/>
    <x v="215"/>
    <s v="Mumbai"/>
    <x v="2"/>
    <x v="0"/>
    <x v="0"/>
    <x v="0"/>
    <s v="Corporate"/>
    <n v="2"/>
    <n v="1635"/>
    <n v="0.2"/>
    <x v="2154"/>
    <n v="1947.01"/>
    <n v="668.99"/>
    <s v="Net Banking"/>
    <s v="Aarav"/>
  </r>
  <r>
    <x v="2172"/>
    <x v="213"/>
    <s v="Delhi"/>
    <x v="3"/>
    <x v="1"/>
    <x v="18"/>
    <x v="0"/>
    <s v="Corporate"/>
    <n v="3"/>
    <n v="10628"/>
    <n v="0.05"/>
    <x v="2155"/>
    <n v="26319.96"/>
    <n v="3969.84"/>
    <s v="UPI"/>
    <s v="Meera"/>
  </r>
  <r>
    <x v="2173"/>
    <x v="46"/>
    <s v="Delhi"/>
    <x v="3"/>
    <x v="2"/>
    <x v="5"/>
    <x v="0"/>
    <s v="Small Business"/>
    <n v="7"/>
    <n v="56733"/>
    <n v="0.1"/>
    <x v="2156"/>
    <n v="285716.89"/>
    <n v="71701.009999999995"/>
    <s v="Credit Card"/>
    <s v="Meera"/>
  </r>
  <r>
    <x v="2174"/>
    <x v="4"/>
    <s v="Bengaluru"/>
    <x v="0"/>
    <x v="5"/>
    <x v="17"/>
    <x v="1"/>
    <s v="Consumer"/>
    <n v="8"/>
    <n v="17532"/>
    <n v="0.05"/>
    <x v="2157"/>
    <n v="90763.64"/>
    <n v="42479.56"/>
    <s v="Net Banking"/>
    <s v="Rohan"/>
  </r>
  <r>
    <x v="2175"/>
    <x v="212"/>
    <s v="Ahmedabad"/>
    <x v="2"/>
    <x v="6"/>
    <x v="8"/>
    <x v="0"/>
    <s v="Corporate"/>
    <n v="4"/>
    <n v="1786"/>
    <n v="0.05"/>
    <x v="2158"/>
    <n v="5301.55"/>
    <n v="1485.25"/>
    <s v="Net Banking"/>
    <s v="Anaya"/>
  </r>
  <r>
    <x v="2176"/>
    <x v="301"/>
    <s v="Chennai"/>
    <x v="0"/>
    <x v="0"/>
    <x v="28"/>
    <x v="2"/>
    <s v="Small Business"/>
    <n v="8"/>
    <n v="2374"/>
    <n v="0"/>
    <x v="2159"/>
    <n v="16141.46"/>
    <n v="2850.54"/>
    <s v="Net Banking"/>
    <s v="Rohan"/>
  </r>
  <r>
    <x v="2177"/>
    <x v="287"/>
    <s v="Pune"/>
    <x v="2"/>
    <x v="6"/>
    <x v="8"/>
    <x v="1"/>
    <s v="Corporate"/>
    <n v="4"/>
    <n v="500"/>
    <n v="0"/>
    <x v="2160"/>
    <n v="1432.33"/>
    <n v="567.66999999999996"/>
    <s v="Debit Card"/>
    <s v="Kabir"/>
  </r>
  <r>
    <x v="2178"/>
    <x v="86"/>
    <s v="Delhi"/>
    <x v="3"/>
    <x v="0"/>
    <x v="28"/>
    <x v="0"/>
    <s v="Small Business"/>
    <n v="6"/>
    <n v="1961"/>
    <n v="0.1"/>
    <x v="2161"/>
    <n v="9206.0499999999993"/>
    <n v="1383.35"/>
    <s v="UPI"/>
    <s v="Kabir"/>
  </r>
  <r>
    <x v="2179"/>
    <x v="352"/>
    <s v="Kolkata"/>
    <x v="1"/>
    <x v="5"/>
    <x v="24"/>
    <x v="2"/>
    <s v="Corporate"/>
    <n v="5"/>
    <n v="17116"/>
    <n v="0.1"/>
    <x v="2162"/>
    <n v="57185.13"/>
    <n v="19836.87"/>
    <s v="Net Banking"/>
    <s v="Sara"/>
  </r>
  <r>
    <x v="2180"/>
    <x v="331"/>
    <s v="Kolkata"/>
    <x v="1"/>
    <x v="3"/>
    <x v="32"/>
    <x v="2"/>
    <s v="Consumer"/>
    <n v="2"/>
    <n v="843"/>
    <n v="0.1"/>
    <x v="2163"/>
    <n v="1061.05"/>
    <n v="456.35"/>
    <s v="Cash"/>
    <s v="Sara"/>
  </r>
  <r>
    <x v="2181"/>
    <x v="109"/>
    <s v="Delhi"/>
    <x v="3"/>
    <x v="6"/>
    <x v="16"/>
    <x v="1"/>
    <s v="Consumer"/>
    <n v="5"/>
    <n v="3651"/>
    <n v="0.05"/>
    <x v="2164"/>
    <n v="14764.28"/>
    <n v="2577.9699999999998"/>
    <s v="UPI"/>
    <s v="Rohan"/>
  </r>
  <r>
    <x v="2182"/>
    <x v="202"/>
    <s v="Mumbai"/>
    <x v="2"/>
    <x v="3"/>
    <x v="3"/>
    <x v="0"/>
    <s v="Corporate"/>
    <n v="6"/>
    <n v="111"/>
    <n v="0.15"/>
    <x v="2165"/>
    <n v="462.13"/>
    <n v="103.97"/>
    <s v="Credit Card"/>
    <s v="Vikram"/>
  </r>
  <r>
    <x v="2183"/>
    <x v="172"/>
    <s v="Hyderabad"/>
    <x v="0"/>
    <x v="5"/>
    <x v="25"/>
    <x v="2"/>
    <s v="Corporate"/>
    <n v="2"/>
    <n v="5907"/>
    <n v="0.05"/>
    <x v="2166"/>
    <n v="8670.4500000000007"/>
    <n v="2552.85"/>
    <s v="Debit Card"/>
    <s v="Diya"/>
  </r>
  <r>
    <x v="2184"/>
    <x v="115"/>
    <s v="Ahmedabad"/>
    <x v="2"/>
    <x v="6"/>
    <x v="33"/>
    <x v="0"/>
    <s v="Small Business"/>
    <n v="4"/>
    <n v="5320"/>
    <n v="0.1"/>
    <x v="2167"/>
    <n v="15430.09"/>
    <n v="3721.91"/>
    <s v="Net Banking"/>
    <s v="Anaya"/>
  </r>
  <r>
    <x v="2185"/>
    <x v="290"/>
    <s v="Pune"/>
    <x v="2"/>
    <x v="6"/>
    <x v="33"/>
    <x v="0"/>
    <s v="Small Business"/>
    <n v="3"/>
    <n v="5571"/>
    <n v="0.1"/>
    <x v="2168"/>
    <n v="11798.79"/>
    <n v="3242.91"/>
    <s v="Net Banking"/>
    <s v="Diya"/>
  </r>
  <r>
    <x v="2186"/>
    <x v="292"/>
    <s v="Delhi"/>
    <x v="3"/>
    <x v="5"/>
    <x v="17"/>
    <x v="2"/>
    <s v="Small Business"/>
    <n v="6"/>
    <n v="13764"/>
    <n v="0.1"/>
    <x v="2169"/>
    <n v="58630.26"/>
    <n v="15695.34"/>
    <s v="Net Banking"/>
    <s v="Anaya"/>
  </r>
  <r>
    <x v="2187"/>
    <x v="45"/>
    <s v="Mumbai"/>
    <x v="2"/>
    <x v="2"/>
    <x v="2"/>
    <x v="2"/>
    <s v="Corporate"/>
    <n v="4"/>
    <n v="54153"/>
    <n v="0.15"/>
    <x v="2170"/>
    <n v="149717.85999999999"/>
    <n v="34402.339999999997"/>
    <s v="Debit Card"/>
    <s v="Aarav"/>
  </r>
  <r>
    <x v="2188"/>
    <x v="51"/>
    <s v="Chennai"/>
    <x v="0"/>
    <x v="4"/>
    <x v="13"/>
    <x v="0"/>
    <s v="Corporate"/>
    <n v="7"/>
    <n v="9571"/>
    <n v="0.1"/>
    <x v="2171"/>
    <n v="33645.339999999997"/>
    <n v="26651.96"/>
    <s v="Net Banking"/>
    <s v="Kabir"/>
  </r>
  <r>
    <x v="2189"/>
    <x v="6"/>
    <s v="Kolkata"/>
    <x v="1"/>
    <x v="0"/>
    <x v="23"/>
    <x v="2"/>
    <s v="Consumer"/>
    <n v="3"/>
    <n v="1442"/>
    <n v="0"/>
    <x v="2172"/>
    <n v="3630.31"/>
    <n v="695.69"/>
    <s v="Credit Card"/>
    <s v="Rohan"/>
  </r>
  <r>
    <x v="2190"/>
    <x v="65"/>
    <s v="Mumbai"/>
    <x v="2"/>
    <x v="0"/>
    <x v="19"/>
    <x v="0"/>
    <s v="Small Business"/>
    <n v="4"/>
    <n v="1955"/>
    <n v="0.05"/>
    <x v="2173"/>
    <n v="5023.16"/>
    <n v="2405.84"/>
    <s v="Net Banking"/>
    <s v="Rohan"/>
  </r>
  <r>
    <x v="2191"/>
    <x v="240"/>
    <s v="Mumbai"/>
    <x v="2"/>
    <x v="1"/>
    <x v="7"/>
    <x v="1"/>
    <s v="Small Business"/>
    <n v="7"/>
    <n v="8142"/>
    <n v="0.05"/>
    <x v="2174"/>
    <n v="38634.269999999997"/>
    <n v="15510.03"/>
    <s v="Cash"/>
    <s v="Meera"/>
  </r>
  <r>
    <x v="2192"/>
    <x v="124"/>
    <s v="Chennai"/>
    <x v="0"/>
    <x v="2"/>
    <x v="21"/>
    <x v="1"/>
    <s v="Consumer"/>
    <n v="8"/>
    <n v="68013"/>
    <n v="0"/>
    <x v="2175"/>
    <n v="425566.09"/>
    <n v="118537.91"/>
    <s v="UPI"/>
    <s v="Rohan"/>
  </r>
  <r>
    <x v="2193"/>
    <x v="181"/>
    <s v="Mumbai"/>
    <x v="2"/>
    <x v="6"/>
    <x v="20"/>
    <x v="0"/>
    <s v="Consumer"/>
    <n v="5"/>
    <n v="4843"/>
    <n v="0.15"/>
    <x v="2176"/>
    <n v="13014.72"/>
    <n v="7568.03"/>
    <s v="UPI"/>
    <s v="Anaya"/>
  </r>
  <r>
    <x v="2194"/>
    <x v="162"/>
    <s v="Chennai"/>
    <x v="0"/>
    <x v="4"/>
    <x v="31"/>
    <x v="1"/>
    <s v="Small Business"/>
    <n v="7"/>
    <n v="9894"/>
    <n v="0"/>
    <x v="2177"/>
    <n v="48952.11"/>
    <n v="20305.89"/>
    <s v="Net Banking"/>
    <s v="Aarav"/>
  </r>
  <r>
    <x v="2195"/>
    <x v="339"/>
    <s v="Chennai"/>
    <x v="0"/>
    <x v="4"/>
    <x v="13"/>
    <x v="2"/>
    <s v="Small Business"/>
    <n v="6"/>
    <n v="7890"/>
    <n v="0.15"/>
    <x v="2178"/>
    <n v="29812.04"/>
    <n v="10426.959999999999"/>
    <s v="Debit Card"/>
    <s v="Anaya"/>
  </r>
  <r>
    <x v="2196"/>
    <x v="198"/>
    <s v="Mumbai"/>
    <x v="2"/>
    <x v="0"/>
    <x v="0"/>
    <x v="0"/>
    <s v="Consumer"/>
    <n v="6"/>
    <n v="232"/>
    <n v="0.1"/>
    <x v="2179"/>
    <n v="831.14"/>
    <n v="421.66"/>
    <s v="UPI"/>
    <s v="Sara"/>
  </r>
  <r>
    <x v="2197"/>
    <x v="256"/>
    <s v="Mumbai"/>
    <x v="2"/>
    <x v="1"/>
    <x v="7"/>
    <x v="1"/>
    <s v="Consumer"/>
    <n v="6"/>
    <n v="5634"/>
    <n v="0"/>
    <x v="2180"/>
    <n v="20610.96"/>
    <n v="13193.04"/>
    <s v="Net Banking"/>
    <s v="Sara"/>
  </r>
  <r>
    <x v="2198"/>
    <x v="199"/>
    <s v="Delhi"/>
    <x v="3"/>
    <x v="0"/>
    <x v="0"/>
    <x v="0"/>
    <s v="Corporate"/>
    <n v="5"/>
    <n v="1496"/>
    <n v="0.15"/>
    <x v="2181"/>
    <n v="4709.37"/>
    <n v="1648.63"/>
    <s v="UPI"/>
    <s v="Meera"/>
  </r>
  <r>
    <x v="2199"/>
    <x v="356"/>
    <s v="Mumbai"/>
    <x v="2"/>
    <x v="4"/>
    <x v="13"/>
    <x v="2"/>
    <s v="Consumer"/>
    <n v="2"/>
    <n v="19458"/>
    <n v="0.1"/>
    <x v="2182"/>
    <n v="27231.39"/>
    <n v="7793.01"/>
    <s v="Debit Card"/>
    <s v="Anaya"/>
  </r>
  <r>
    <x v="2200"/>
    <x v="257"/>
    <s v="Mumbai"/>
    <x v="2"/>
    <x v="0"/>
    <x v="28"/>
    <x v="2"/>
    <s v="Corporate"/>
    <n v="8"/>
    <n v="821"/>
    <n v="0"/>
    <x v="2183"/>
    <n v="4532.24"/>
    <n v="2035.76"/>
    <s v="UPI"/>
    <s v="Rohan"/>
  </r>
  <r>
    <x v="2201"/>
    <x v="193"/>
    <s v="Delhi"/>
    <x v="3"/>
    <x v="0"/>
    <x v="28"/>
    <x v="1"/>
    <s v="Small Business"/>
    <n v="1"/>
    <n v="1418"/>
    <n v="0.1"/>
    <x v="2184"/>
    <n v="767.02"/>
    <n v="509.18"/>
    <s v="Cash"/>
    <s v="Aarav"/>
  </r>
  <r>
    <x v="2202"/>
    <x v="146"/>
    <s v="Pune"/>
    <x v="2"/>
    <x v="2"/>
    <x v="9"/>
    <x v="1"/>
    <s v="Small Business"/>
    <n v="5"/>
    <n v="58144"/>
    <n v="0.05"/>
    <x v="2185"/>
    <n v="175360.64000000001"/>
    <n v="100823.36"/>
    <s v="UPI"/>
    <s v="Sara"/>
  </r>
  <r>
    <x v="2203"/>
    <x v="160"/>
    <s v="Mumbai"/>
    <x v="2"/>
    <x v="3"/>
    <x v="3"/>
    <x v="2"/>
    <s v="Consumer"/>
    <n v="5"/>
    <n v="2146"/>
    <n v="0.15"/>
    <x v="2186"/>
    <n v="7875.27"/>
    <n v="1245.23"/>
    <s v="Credit Card"/>
    <s v="Vikram"/>
  </r>
  <r>
    <x v="2204"/>
    <x v="355"/>
    <s v="Mumbai"/>
    <x v="2"/>
    <x v="4"/>
    <x v="13"/>
    <x v="1"/>
    <s v="Consumer"/>
    <n v="1"/>
    <n v="20824"/>
    <n v="0.05"/>
    <x v="2187"/>
    <n v="12277.61"/>
    <n v="7505.19"/>
    <s v="UPI"/>
    <s v="Kabir"/>
  </r>
  <r>
    <x v="2205"/>
    <x v="302"/>
    <s v="Bengaluru"/>
    <x v="0"/>
    <x v="5"/>
    <x v="11"/>
    <x v="2"/>
    <s v="Consumer"/>
    <n v="7"/>
    <n v="4225"/>
    <n v="0"/>
    <x v="2188"/>
    <n v="24912.37"/>
    <n v="4662.63"/>
    <s v="Credit Card"/>
    <s v="Aarav"/>
  </r>
  <r>
    <x v="2206"/>
    <x v="163"/>
    <s v="Chennai"/>
    <x v="0"/>
    <x v="4"/>
    <x v="27"/>
    <x v="2"/>
    <s v="Small Business"/>
    <n v="3"/>
    <n v="21145"/>
    <n v="0.1"/>
    <x v="2189"/>
    <n v="40948.300000000003"/>
    <n v="16143.2"/>
    <s v="UPI"/>
    <s v="Kabir"/>
  </r>
  <r>
    <x v="2207"/>
    <x v="238"/>
    <s v="Hyderabad"/>
    <x v="0"/>
    <x v="4"/>
    <x v="4"/>
    <x v="0"/>
    <s v="Corporate"/>
    <n v="4"/>
    <n v="9461"/>
    <n v="0"/>
    <x v="2190"/>
    <n v="23452.54"/>
    <n v="14391.46"/>
    <s v="Debit Card"/>
    <s v="Vikram"/>
  </r>
  <r>
    <x v="2208"/>
    <x v="169"/>
    <s v="Mumbai"/>
    <x v="2"/>
    <x v="4"/>
    <x v="13"/>
    <x v="2"/>
    <s v="Consumer"/>
    <n v="5"/>
    <n v="5961"/>
    <n v="0.05"/>
    <x v="2191"/>
    <n v="23086.9"/>
    <n v="5227.8500000000004"/>
    <s v="Credit Card"/>
    <s v="Anaya"/>
  </r>
  <r>
    <x v="2209"/>
    <x v="197"/>
    <s v="Bengaluru"/>
    <x v="0"/>
    <x v="3"/>
    <x v="3"/>
    <x v="0"/>
    <s v="Consumer"/>
    <n v="4"/>
    <n v="197"/>
    <n v="0.1"/>
    <x v="2192"/>
    <n v="452.28"/>
    <n v="256.92"/>
    <s v="UPI"/>
    <s v="Anaya"/>
  </r>
  <r>
    <x v="2210"/>
    <x v="156"/>
    <s v="Hyderabad"/>
    <x v="0"/>
    <x v="1"/>
    <x v="18"/>
    <x v="2"/>
    <s v="Small Business"/>
    <n v="3"/>
    <n v="5332"/>
    <n v="0.1"/>
    <x v="2193"/>
    <n v="10212.06"/>
    <n v="4184.34"/>
    <s v="Debit Card"/>
    <s v="Diya"/>
  </r>
  <r>
    <x v="2211"/>
    <x v="290"/>
    <s v="Hyderabad"/>
    <x v="0"/>
    <x v="2"/>
    <x v="21"/>
    <x v="1"/>
    <s v="Small Business"/>
    <n v="3"/>
    <n v="60949"/>
    <n v="0.1"/>
    <x v="2194"/>
    <n v="136404.07999999999"/>
    <n v="28158.22"/>
    <s v="Debit Card"/>
    <s v="Sara"/>
  </r>
  <r>
    <x v="2212"/>
    <x v="349"/>
    <s v="Delhi"/>
    <x v="3"/>
    <x v="5"/>
    <x v="11"/>
    <x v="2"/>
    <s v="Corporate"/>
    <n v="8"/>
    <n v="45095"/>
    <n v="0.05"/>
    <x v="2195"/>
    <n v="292278.09000000003"/>
    <n v="50443.91"/>
    <s v="Credit Card"/>
    <s v="Anaya"/>
  </r>
  <r>
    <x v="2213"/>
    <x v="363"/>
    <s v="Ahmedabad"/>
    <x v="2"/>
    <x v="0"/>
    <x v="28"/>
    <x v="1"/>
    <s v="Small Business"/>
    <n v="6"/>
    <n v="1961"/>
    <n v="0.1"/>
    <x v="2161"/>
    <n v="6082.39"/>
    <n v="4507.01"/>
    <s v="Cash"/>
    <s v="Sara"/>
  </r>
  <r>
    <x v="2214"/>
    <x v="344"/>
    <s v="Pune"/>
    <x v="2"/>
    <x v="3"/>
    <x v="12"/>
    <x v="0"/>
    <s v="Small Business"/>
    <n v="5"/>
    <n v="540"/>
    <n v="0"/>
    <x v="1262"/>
    <n v="2221.94"/>
    <n v="478.06"/>
    <s v="UPI"/>
    <s v="Diya"/>
  </r>
  <r>
    <x v="2215"/>
    <x v="78"/>
    <s v="Mumbai"/>
    <x v="2"/>
    <x v="0"/>
    <x v="23"/>
    <x v="2"/>
    <s v="Small Business"/>
    <n v="6"/>
    <n v="220"/>
    <n v="0.1"/>
    <x v="2196"/>
    <n v="801.49"/>
    <n v="386.51"/>
    <s v="Cash"/>
    <s v="Sara"/>
  </r>
  <r>
    <x v="2216"/>
    <x v="351"/>
    <s v="Bengaluru"/>
    <x v="0"/>
    <x v="1"/>
    <x v="18"/>
    <x v="2"/>
    <s v="Corporate"/>
    <n v="4"/>
    <n v="7488"/>
    <n v="0.05"/>
    <x v="2197"/>
    <n v="22896.9"/>
    <n v="5557.5"/>
    <s v="Net Banking"/>
    <s v="Meera"/>
  </r>
  <r>
    <x v="2217"/>
    <x v="86"/>
    <s v="Hyderabad"/>
    <x v="0"/>
    <x v="2"/>
    <x v="9"/>
    <x v="1"/>
    <s v="Consumer"/>
    <n v="6"/>
    <n v="32096"/>
    <n v="0.05"/>
    <x v="2198"/>
    <n v="151746.97"/>
    <n v="31200.23"/>
    <s v="Debit Card"/>
    <s v="Vikram"/>
  </r>
  <r>
    <x v="2218"/>
    <x v="192"/>
    <s v="Hyderabad"/>
    <x v="0"/>
    <x v="2"/>
    <x v="5"/>
    <x v="1"/>
    <s v="Corporate"/>
    <n v="4"/>
    <n v="58402"/>
    <n v="0.05"/>
    <x v="2199"/>
    <n v="139102.87"/>
    <n v="82824.73"/>
    <s v="UPI"/>
    <s v="Aarav"/>
  </r>
  <r>
    <x v="2219"/>
    <x v="135"/>
    <s v="Mumbai"/>
    <x v="2"/>
    <x v="3"/>
    <x v="3"/>
    <x v="2"/>
    <s v="Consumer"/>
    <n v="5"/>
    <n v="1462"/>
    <n v="0.1"/>
    <x v="2200"/>
    <n v="4112.42"/>
    <n v="2466.58"/>
    <s v="Credit Card"/>
    <s v="Kabir"/>
  </r>
  <r>
    <x v="2220"/>
    <x v="4"/>
    <s v="Hyderabad"/>
    <x v="0"/>
    <x v="0"/>
    <x v="23"/>
    <x v="0"/>
    <s v="Small Business"/>
    <n v="1"/>
    <n v="1782"/>
    <n v="0"/>
    <x v="2201"/>
    <n v="1263.8499999999999"/>
    <n v="518.15"/>
    <s v="UPI"/>
    <s v="Rohan"/>
  </r>
  <r>
    <x v="2221"/>
    <x v="61"/>
    <s v="Ahmedabad"/>
    <x v="2"/>
    <x v="5"/>
    <x v="24"/>
    <x v="0"/>
    <s v="Consumer"/>
    <n v="5"/>
    <n v="49118"/>
    <n v="0"/>
    <x v="2202"/>
    <n v="166412"/>
    <n v="79178"/>
    <s v="Debit Card"/>
    <s v="Anaya"/>
  </r>
  <r>
    <x v="2222"/>
    <x v="247"/>
    <s v="Mumbai"/>
    <x v="2"/>
    <x v="3"/>
    <x v="15"/>
    <x v="0"/>
    <s v="Corporate"/>
    <n v="4"/>
    <n v="537"/>
    <n v="0.05"/>
    <x v="2203"/>
    <n v="1709.31"/>
    <n v="331.29"/>
    <s v="Debit Card"/>
    <s v="Diya"/>
  </r>
  <r>
    <x v="2223"/>
    <x v="95"/>
    <s v="Kolkata"/>
    <x v="1"/>
    <x v="6"/>
    <x v="20"/>
    <x v="1"/>
    <s v="Small Business"/>
    <n v="3"/>
    <n v="4361"/>
    <n v="0.05"/>
    <x v="2204"/>
    <n v="10193.57"/>
    <n v="2235.2800000000002"/>
    <s v="Net Banking"/>
    <s v="Diya"/>
  </r>
  <r>
    <x v="2224"/>
    <x v="137"/>
    <s v="Chennai"/>
    <x v="0"/>
    <x v="2"/>
    <x v="21"/>
    <x v="2"/>
    <s v="Corporate"/>
    <n v="4"/>
    <n v="66805"/>
    <n v="0.05"/>
    <x v="2205"/>
    <n v="177680.64000000001"/>
    <n v="76178.36"/>
    <s v="Net Banking"/>
    <s v="Aarav"/>
  </r>
  <r>
    <x v="2225"/>
    <x v="188"/>
    <s v="Pune"/>
    <x v="2"/>
    <x v="6"/>
    <x v="20"/>
    <x v="1"/>
    <s v="Consumer"/>
    <n v="7"/>
    <n v="1129"/>
    <n v="0.15"/>
    <x v="2206"/>
    <n v="3848.96"/>
    <n v="2868.59"/>
    <s v="Credit Card"/>
    <s v="Vikram"/>
  </r>
  <r>
    <x v="2226"/>
    <x v="284"/>
    <s v="Pune"/>
    <x v="2"/>
    <x v="1"/>
    <x v="22"/>
    <x v="2"/>
    <s v="Corporate"/>
    <n v="6"/>
    <n v="9703"/>
    <n v="0.1"/>
    <x v="2207"/>
    <n v="36881.14"/>
    <n v="15515.06"/>
    <s v="Credit Card"/>
    <s v="Anaya"/>
  </r>
  <r>
    <x v="2227"/>
    <x v="14"/>
    <s v="Ahmedabad"/>
    <x v="2"/>
    <x v="1"/>
    <x v="22"/>
    <x v="0"/>
    <s v="Consumer"/>
    <n v="7"/>
    <n v="2833"/>
    <n v="0.2"/>
    <x v="2208"/>
    <n v="9936.83"/>
    <n v="5927.97"/>
    <s v="Cash"/>
    <s v="Rohan"/>
  </r>
  <r>
    <x v="2228"/>
    <x v="55"/>
    <s v="Ahmedabad"/>
    <x v="2"/>
    <x v="5"/>
    <x v="17"/>
    <x v="1"/>
    <s v="Corporate"/>
    <n v="6"/>
    <n v="9188"/>
    <n v="0.1"/>
    <x v="2209"/>
    <n v="30964.02"/>
    <n v="18651.18"/>
    <s v="Net Banking"/>
    <s v="Vikram"/>
  </r>
  <r>
    <x v="2229"/>
    <x v="171"/>
    <s v="Mumbai"/>
    <x v="2"/>
    <x v="4"/>
    <x v="31"/>
    <x v="2"/>
    <s v="Consumer"/>
    <n v="4"/>
    <n v="7781"/>
    <n v="0"/>
    <x v="2210"/>
    <n v="22645.34"/>
    <n v="8478.66"/>
    <s v="Cash"/>
    <s v="Rohan"/>
  </r>
  <r>
    <x v="2230"/>
    <x v="241"/>
    <s v="Chennai"/>
    <x v="0"/>
    <x v="6"/>
    <x v="20"/>
    <x v="1"/>
    <s v="Consumer"/>
    <n v="5"/>
    <n v="3657"/>
    <n v="0.05"/>
    <x v="2211"/>
    <n v="10283.61"/>
    <n v="7087.14"/>
    <s v="Cash"/>
    <s v="Sara"/>
  </r>
  <r>
    <x v="2231"/>
    <x v="291"/>
    <s v="Mumbai"/>
    <x v="2"/>
    <x v="5"/>
    <x v="11"/>
    <x v="0"/>
    <s v="Consumer"/>
    <n v="2"/>
    <n v="43221"/>
    <n v="0.1"/>
    <x v="2212"/>
    <n v="60520.800000000003"/>
    <n v="17277"/>
    <s v="Debit Card"/>
    <s v="Diya"/>
  </r>
  <r>
    <x v="2232"/>
    <x v="325"/>
    <s v="Mumbai"/>
    <x v="2"/>
    <x v="5"/>
    <x v="11"/>
    <x v="0"/>
    <s v="Consumer"/>
    <n v="8"/>
    <n v="25754"/>
    <n v="0"/>
    <x v="2213"/>
    <n v="127834.89"/>
    <n v="78197.11"/>
    <s v="Cash"/>
    <s v="Sara"/>
  </r>
  <r>
    <x v="2233"/>
    <x v="290"/>
    <s v="Mumbai"/>
    <x v="2"/>
    <x v="4"/>
    <x v="27"/>
    <x v="0"/>
    <s v="Consumer"/>
    <n v="1"/>
    <n v="24903"/>
    <n v="0.1"/>
    <x v="2214"/>
    <n v="18890.57"/>
    <n v="3522.13"/>
    <s v="Debit Card"/>
    <s v="Kabir"/>
  </r>
  <r>
    <x v="2234"/>
    <x v="134"/>
    <s v="Hyderabad"/>
    <x v="0"/>
    <x v="6"/>
    <x v="33"/>
    <x v="0"/>
    <s v="Corporate"/>
    <n v="1"/>
    <n v="1834"/>
    <n v="0.15"/>
    <x v="2215"/>
    <n v="969.79"/>
    <n v="589.11"/>
    <s v="Net Banking"/>
    <s v="Aarav"/>
  </r>
  <r>
    <x v="2235"/>
    <x v="329"/>
    <s v="Hyderabad"/>
    <x v="0"/>
    <x v="1"/>
    <x v="18"/>
    <x v="2"/>
    <s v="Small Business"/>
    <n v="3"/>
    <n v="11787"/>
    <n v="0.05"/>
    <x v="2216"/>
    <n v="19314.78"/>
    <n v="14278.17"/>
    <s v="UPI"/>
    <s v="Kabir"/>
  </r>
  <r>
    <x v="2236"/>
    <x v="77"/>
    <s v="Hyderabad"/>
    <x v="0"/>
    <x v="4"/>
    <x v="4"/>
    <x v="2"/>
    <s v="Small Business"/>
    <n v="5"/>
    <n v="17457"/>
    <n v="0.1"/>
    <x v="2217"/>
    <n v="47426.71"/>
    <n v="31129.79"/>
    <s v="Net Banking"/>
    <s v="Sara"/>
  </r>
  <r>
    <x v="2237"/>
    <x v="71"/>
    <s v="Chennai"/>
    <x v="0"/>
    <x v="1"/>
    <x v="22"/>
    <x v="2"/>
    <s v="Small Business"/>
    <n v="7"/>
    <n v="4214"/>
    <n v="0.05"/>
    <x v="2218"/>
    <n v="16634.2"/>
    <n v="11388.9"/>
    <s v="Credit Card"/>
    <s v="Sara"/>
  </r>
  <r>
    <x v="2238"/>
    <x v="16"/>
    <s v="Mumbai"/>
    <x v="2"/>
    <x v="2"/>
    <x v="5"/>
    <x v="2"/>
    <s v="Corporate"/>
    <n v="1"/>
    <n v="61449"/>
    <n v="0.1"/>
    <x v="2219"/>
    <n v="42768.15"/>
    <n v="12535.95"/>
    <s v="Credit Card"/>
    <s v="Sara"/>
  </r>
  <r>
    <x v="2239"/>
    <x v="42"/>
    <s v="Delhi"/>
    <x v="3"/>
    <x v="0"/>
    <x v="0"/>
    <x v="2"/>
    <s v="Consumer"/>
    <n v="6"/>
    <n v="439"/>
    <n v="0.15"/>
    <x v="2220"/>
    <n v="1911.69"/>
    <n v="327.20999999999998"/>
    <s v="Cash"/>
    <s v="Diya"/>
  </r>
  <r>
    <x v="2240"/>
    <x v="14"/>
    <s v="Delhi"/>
    <x v="3"/>
    <x v="5"/>
    <x v="6"/>
    <x v="1"/>
    <s v="Consumer"/>
    <n v="7"/>
    <n v="44270"/>
    <n v="0.05"/>
    <x v="2221"/>
    <n v="182502.76"/>
    <n v="111892.74"/>
    <s v="Net Banking"/>
    <s v="Aarav"/>
  </r>
  <r>
    <x v="2241"/>
    <x v="229"/>
    <s v="Hyderabad"/>
    <x v="0"/>
    <x v="5"/>
    <x v="6"/>
    <x v="2"/>
    <s v="Corporate"/>
    <n v="1"/>
    <n v="31277"/>
    <n v="0.05"/>
    <x v="2222"/>
    <n v="19812.96"/>
    <n v="9900.19"/>
    <s v="Credit Card"/>
    <s v="Anaya"/>
  </r>
  <r>
    <x v="2242"/>
    <x v="314"/>
    <s v="Mumbai"/>
    <x v="2"/>
    <x v="6"/>
    <x v="30"/>
    <x v="0"/>
    <s v="Consumer"/>
    <n v="5"/>
    <n v="3935"/>
    <n v="0.05"/>
    <x v="2223"/>
    <n v="14218.16"/>
    <n v="4473.09"/>
    <s v="Credit Card"/>
    <s v="Vikram"/>
  </r>
  <r>
    <x v="2243"/>
    <x v="33"/>
    <s v="Hyderabad"/>
    <x v="0"/>
    <x v="4"/>
    <x v="31"/>
    <x v="1"/>
    <s v="Consumer"/>
    <n v="2"/>
    <n v="13912"/>
    <n v="0.2"/>
    <x v="2224"/>
    <n v="13601.5"/>
    <n v="8657.7000000000007"/>
    <s v="Credit Card"/>
    <s v="Diya"/>
  </r>
  <r>
    <x v="2244"/>
    <x v="337"/>
    <s v="Mumbai"/>
    <x v="2"/>
    <x v="1"/>
    <x v="1"/>
    <x v="2"/>
    <s v="Small Business"/>
    <n v="2"/>
    <n v="9769"/>
    <n v="0.1"/>
    <x v="2225"/>
    <n v="12684.6"/>
    <n v="4899.6000000000004"/>
    <s v="Cash"/>
    <s v="Kabir"/>
  </r>
  <r>
    <x v="2245"/>
    <x v="164"/>
    <s v="Mumbai"/>
    <x v="2"/>
    <x v="4"/>
    <x v="14"/>
    <x v="2"/>
    <s v="Corporate"/>
    <n v="2"/>
    <n v="11759"/>
    <n v="0.1"/>
    <x v="2226"/>
    <n v="14520.61"/>
    <n v="6645.59"/>
    <s v="UPI"/>
    <s v="Aarav"/>
  </r>
  <r>
    <x v="2246"/>
    <x v="212"/>
    <s v="Bengaluru"/>
    <x v="0"/>
    <x v="3"/>
    <x v="3"/>
    <x v="0"/>
    <s v="Small Business"/>
    <n v="1"/>
    <n v="735"/>
    <n v="0.05"/>
    <x v="2227"/>
    <n v="583.19000000000005"/>
    <n v="115.06"/>
    <s v="Credit Card"/>
    <s v="Meera"/>
  </r>
  <r>
    <x v="2247"/>
    <x v="347"/>
    <s v="Bengaluru"/>
    <x v="0"/>
    <x v="2"/>
    <x v="2"/>
    <x v="0"/>
    <s v="Small Business"/>
    <n v="7"/>
    <n v="57587"/>
    <n v="0.1"/>
    <x v="2228"/>
    <n v="283523.20000000001"/>
    <n v="79274.899999999994"/>
    <s v="Net Banking"/>
    <s v="Kabir"/>
  </r>
  <r>
    <x v="2248"/>
    <x v="134"/>
    <s v="Mumbai"/>
    <x v="2"/>
    <x v="5"/>
    <x v="24"/>
    <x v="0"/>
    <s v="Consumer"/>
    <n v="4"/>
    <n v="45374"/>
    <n v="0.15"/>
    <x v="2229"/>
    <n v="112283.74"/>
    <n v="41987.86"/>
    <s v="Credit Card"/>
    <s v="Diya"/>
  </r>
  <r>
    <x v="2249"/>
    <x v="322"/>
    <s v="Kolkata"/>
    <x v="1"/>
    <x v="6"/>
    <x v="33"/>
    <x v="1"/>
    <s v="Small Business"/>
    <n v="4"/>
    <n v="2828"/>
    <n v="0.1"/>
    <x v="2230"/>
    <n v="7605.54"/>
    <n v="2575.2600000000002"/>
    <s v="UPI"/>
    <s v="Rohan"/>
  </r>
  <r>
    <x v="2250"/>
    <x v="121"/>
    <s v="Hyderabad"/>
    <x v="0"/>
    <x v="3"/>
    <x v="12"/>
    <x v="1"/>
    <s v="Corporate"/>
    <n v="8"/>
    <n v="1179"/>
    <n v="0"/>
    <x v="2231"/>
    <n v="6411.8"/>
    <n v="3020.2"/>
    <s v="Credit Card"/>
    <s v="Diya"/>
  </r>
  <r>
    <x v="2251"/>
    <x v="274"/>
    <s v="Mumbai"/>
    <x v="2"/>
    <x v="5"/>
    <x v="17"/>
    <x v="1"/>
    <s v="Corporate"/>
    <n v="4"/>
    <n v="42721"/>
    <n v="0.15"/>
    <x v="2232"/>
    <n v="119830.57"/>
    <n v="25420.83"/>
    <s v="Debit Card"/>
    <s v="Diya"/>
  </r>
  <r>
    <x v="2252"/>
    <x v="187"/>
    <s v="Mumbai"/>
    <x v="2"/>
    <x v="0"/>
    <x v="28"/>
    <x v="2"/>
    <s v="Small Business"/>
    <n v="3"/>
    <n v="1556"/>
    <n v="0.2"/>
    <x v="2233"/>
    <n v="2691.85"/>
    <n v="1042.55"/>
    <s v="Credit Card"/>
    <s v="Aarav"/>
  </r>
  <r>
    <x v="2253"/>
    <x v="320"/>
    <s v="Mumbai"/>
    <x v="2"/>
    <x v="0"/>
    <x v="28"/>
    <x v="2"/>
    <s v="Small Business"/>
    <n v="1"/>
    <n v="1658"/>
    <n v="0.15"/>
    <x v="2234"/>
    <n v="1163.44"/>
    <n v="245.86"/>
    <s v="Debit Card"/>
    <s v="Kabir"/>
  </r>
  <r>
    <x v="2254"/>
    <x v="24"/>
    <s v="Chennai"/>
    <x v="0"/>
    <x v="2"/>
    <x v="5"/>
    <x v="1"/>
    <s v="Corporate"/>
    <n v="6"/>
    <n v="19513"/>
    <n v="0.15"/>
    <x v="2235"/>
    <n v="55357.65"/>
    <n v="44158.65"/>
    <s v="UPI"/>
    <s v="Sara"/>
  </r>
  <r>
    <x v="2255"/>
    <x v="59"/>
    <s v="Chennai"/>
    <x v="0"/>
    <x v="5"/>
    <x v="6"/>
    <x v="1"/>
    <s v="Corporate"/>
    <n v="8"/>
    <n v="28911"/>
    <n v="0.1"/>
    <x v="2236"/>
    <n v="131435.85"/>
    <n v="76723.350000000006"/>
    <s v="Credit Card"/>
    <s v="Vikram"/>
  </r>
  <r>
    <x v="2256"/>
    <x v="20"/>
    <s v="Bengaluru"/>
    <x v="0"/>
    <x v="3"/>
    <x v="3"/>
    <x v="0"/>
    <s v="Corporate"/>
    <n v="2"/>
    <n v="872"/>
    <n v="0"/>
    <x v="2237"/>
    <n v="972.56"/>
    <n v="771.44"/>
    <s v="Cash"/>
    <s v="Diya"/>
  </r>
  <r>
    <x v="2257"/>
    <x v="310"/>
    <s v="Bengaluru"/>
    <x v="0"/>
    <x v="5"/>
    <x v="24"/>
    <x v="2"/>
    <s v="Small Business"/>
    <n v="7"/>
    <n v="18859"/>
    <n v="0.05"/>
    <x v="2238"/>
    <n v="91482.67"/>
    <n v="33929.68"/>
    <s v="UPI"/>
    <s v="Meera"/>
  </r>
  <r>
    <x v="2258"/>
    <x v="249"/>
    <s v="Mumbai"/>
    <x v="2"/>
    <x v="1"/>
    <x v="10"/>
    <x v="0"/>
    <s v="Small Business"/>
    <n v="5"/>
    <n v="9861"/>
    <n v="0"/>
    <x v="2239"/>
    <n v="27453.599999999999"/>
    <n v="21851.4"/>
    <s v="Credit Card"/>
    <s v="Kabir"/>
  </r>
  <r>
    <x v="2259"/>
    <x v="354"/>
    <s v="Mumbai"/>
    <x v="2"/>
    <x v="0"/>
    <x v="26"/>
    <x v="2"/>
    <s v="Small Business"/>
    <n v="5"/>
    <n v="255"/>
    <n v="0.1"/>
    <x v="1165"/>
    <n v="943.4"/>
    <n v="204.1"/>
    <s v="Debit Card"/>
    <s v="Vikram"/>
  </r>
  <r>
    <x v="2260"/>
    <x v="15"/>
    <s v="Bengaluru"/>
    <x v="0"/>
    <x v="2"/>
    <x v="2"/>
    <x v="0"/>
    <s v="Consumer"/>
    <n v="6"/>
    <n v="55322"/>
    <n v="0"/>
    <x v="2240"/>
    <n v="280291.09999999998"/>
    <n v="51640.9"/>
    <s v="Net Banking"/>
    <s v="Sara"/>
  </r>
  <r>
    <x v="2261"/>
    <x v="41"/>
    <s v="Kolkata"/>
    <x v="1"/>
    <x v="4"/>
    <x v="31"/>
    <x v="1"/>
    <s v="Consumer"/>
    <n v="8"/>
    <n v="20011"/>
    <n v="0.1"/>
    <x v="2241"/>
    <n v="100404.09"/>
    <n v="43675.11"/>
    <s v="Net Banking"/>
    <s v="Kabir"/>
  </r>
  <r>
    <x v="2262"/>
    <x v="108"/>
    <s v="Mumbai"/>
    <x v="2"/>
    <x v="4"/>
    <x v="27"/>
    <x v="2"/>
    <s v="Small Business"/>
    <n v="4"/>
    <n v="24241"/>
    <n v="0.15"/>
    <x v="2242"/>
    <n v="49315.21"/>
    <n v="33104.19"/>
    <s v="Cash"/>
    <s v="Vikram"/>
  </r>
  <r>
    <x v="2263"/>
    <x v="358"/>
    <s v="Hyderabad"/>
    <x v="0"/>
    <x v="6"/>
    <x v="20"/>
    <x v="0"/>
    <s v="Consumer"/>
    <n v="6"/>
    <n v="5301"/>
    <n v="0.1"/>
    <x v="2243"/>
    <n v="18713.21"/>
    <n v="9912.19"/>
    <s v="Credit Card"/>
    <s v="Rohan"/>
  </r>
  <r>
    <x v="2264"/>
    <x v="119"/>
    <s v="Bengaluru"/>
    <x v="0"/>
    <x v="0"/>
    <x v="0"/>
    <x v="2"/>
    <s v="Consumer"/>
    <n v="6"/>
    <n v="179"/>
    <n v="0.1"/>
    <x v="2244"/>
    <n v="613.79"/>
    <n v="352.81"/>
    <s v="Credit Card"/>
    <s v="Meera"/>
  </r>
  <r>
    <x v="2265"/>
    <x v="85"/>
    <s v="Chennai"/>
    <x v="0"/>
    <x v="4"/>
    <x v="4"/>
    <x v="0"/>
    <s v="Corporate"/>
    <n v="6"/>
    <n v="18992"/>
    <n v="0.05"/>
    <x v="2245"/>
    <n v="59542.33"/>
    <n v="48712.07"/>
    <s v="Cash"/>
    <s v="Vikram"/>
  </r>
  <r>
    <x v="2266"/>
    <x v="261"/>
    <s v="Pune"/>
    <x v="2"/>
    <x v="4"/>
    <x v="31"/>
    <x v="2"/>
    <s v="Small Business"/>
    <n v="8"/>
    <n v="24809"/>
    <n v="0.05"/>
    <x v="2246"/>
    <n v="125772.71"/>
    <n v="62775.69"/>
    <s v="Cash"/>
    <s v="Aarav"/>
  </r>
  <r>
    <x v="2267"/>
    <x v="119"/>
    <s v="Hyderabad"/>
    <x v="0"/>
    <x v="2"/>
    <x v="9"/>
    <x v="1"/>
    <s v="Consumer"/>
    <n v="2"/>
    <n v="37666"/>
    <n v="0.1"/>
    <x v="2247"/>
    <n v="43466.01"/>
    <n v="24332.79"/>
    <s v="UPI"/>
    <s v="Anaya"/>
  </r>
  <r>
    <x v="2268"/>
    <x v="112"/>
    <s v="Mumbai"/>
    <x v="2"/>
    <x v="2"/>
    <x v="5"/>
    <x v="2"/>
    <s v="Consumer"/>
    <n v="3"/>
    <n v="53247"/>
    <n v="0.1"/>
    <x v="2248"/>
    <n v="84470.01"/>
    <n v="59296.89"/>
    <s v="UPI"/>
    <s v="Vikram"/>
  </r>
  <r>
    <x v="2269"/>
    <x v="115"/>
    <s v="Delhi"/>
    <x v="3"/>
    <x v="6"/>
    <x v="30"/>
    <x v="0"/>
    <s v="Small Business"/>
    <n v="5"/>
    <n v="4454"/>
    <n v="0.15"/>
    <x v="2249"/>
    <n v="15619.9"/>
    <n v="3309.6"/>
    <s v="UPI"/>
    <s v="Diya"/>
  </r>
  <r>
    <x v="2270"/>
    <x v="117"/>
    <s v="Chennai"/>
    <x v="0"/>
    <x v="2"/>
    <x v="29"/>
    <x v="2"/>
    <s v="Consumer"/>
    <n v="5"/>
    <n v="41873"/>
    <n v="0.1"/>
    <x v="2250"/>
    <n v="107339.61"/>
    <n v="81088.89"/>
    <s v="Credit Card"/>
    <s v="Meera"/>
  </r>
  <r>
    <x v="2271"/>
    <x v="160"/>
    <s v="Bengaluru"/>
    <x v="0"/>
    <x v="3"/>
    <x v="34"/>
    <x v="1"/>
    <s v="Small Business"/>
    <n v="6"/>
    <n v="1829"/>
    <n v="0.1"/>
    <x v="2251"/>
    <n v="7440.32"/>
    <n v="2436.2800000000002"/>
    <s v="Net Banking"/>
    <s v="Sara"/>
  </r>
  <r>
    <x v="2272"/>
    <x v="75"/>
    <s v="Ahmedabad"/>
    <x v="2"/>
    <x v="6"/>
    <x v="8"/>
    <x v="2"/>
    <s v="Corporate"/>
    <n v="5"/>
    <n v="2922"/>
    <n v="0.05"/>
    <x v="2252"/>
    <n v="9626.11"/>
    <n v="4253.3900000000003"/>
    <s v="Credit Card"/>
    <s v="Rohan"/>
  </r>
  <r>
    <x v="2273"/>
    <x v="107"/>
    <s v="Mumbai"/>
    <x v="2"/>
    <x v="5"/>
    <x v="25"/>
    <x v="2"/>
    <s v="Consumer"/>
    <n v="2"/>
    <n v="34619"/>
    <n v="0.15"/>
    <x v="2253"/>
    <n v="44959.19"/>
    <n v="13893.11"/>
    <s v="Debit Card"/>
    <s v="Aarav"/>
  </r>
  <r>
    <x v="2274"/>
    <x v="2"/>
    <s v="Chennai"/>
    <x v="0"/>
    <x v="4"/>
    <x v="13"/>
    <x v="2"/>
    <s v="Corporate"/>
    <n v="1"/>
    <n v="10494"/>
    <n v="0"/>
    <x v="2254"/>
    <n v="6447.52"/>
    <n v="4046.48"/>
    <s v="Cash"/>
    <s v="Diya"/>
  </r>
  <r>
    <x v="2275"/>
    <x v="18"/>
    <s v="Chennai"/>
    <x v="0"/>
    <x v="0"/>
    <x v="0"/>
    <x v="1"/>
    <s v="Consumer"/>
    <n v="4"/>
    <n v="2366"/>
    <n v="0.1"/>
    <x v="2255"/>
    <n v="6830.05"/>
    <n v="1687.55"/>
    <s v="Net Banking"/>
    <s v="Vikram"/>
  </r>
  <r>
    <x v="2276"/>
    <x v="134"/>
    <s v="Delhi"/>
    <x v="3"/>
    <x v="4"/>
    <x v="4"/>
    <x v="2"/>
    <s v="Consumer"/>
    <n v="5"/>
    <n v="14367"/>
    <n v="0.15"/>
    <x v="2256"/>
    <n v="41204.61"/>
    <n v="19855.14"/>
    <s v="Debit Card"/>
    <s v="Rohan"/>
  </r>
  <r>
    <x v="2277"/>
    <x v="328"/>
    <s v="Hyderabad"/>
    <x v="0"/>
    <x v="0"/>
    <x v="28"/>
    <x v="0"/>
    <s v="Corporate"/>
    <n v="7"/>
    <n v="1353"/>
    <n v="0"/>
    <x v="2257"/>
    <n v="6249.96"/>
    <n v="3221.04"/>
    <s v="UPI"/>
    <s v="Anaya"/>
  </r>
  <r>
    <x v="2278"/>
    <x v="125"/>
    <s v="Mumbai"/>
    <x v="2"/>
    <x v="1"/>
    <x v="1"/>
    <x v="0"/>
    <s v="Consumer"/>
    <n v="5"/>
    <n v="4799"/>
    <n v="0.15"/>
    <x v="2258"/>
    <n v="11640.7"/>
    <n v="8755.0499999999993"/>
    <s v="UPI"/>
    <s v="Kabir"/>
  </r>
  <r>
    <x v="2279"/>
    <x v="36"/>
    <s v="Ahmedabad"/>
    <x v="2"/>
    <x v="3"/>
    <x v="12"/>
    <x v="1"/>
    <s v="Small Business"/>
    <n v="4"/>
    <n v="1979"/>
    <n v="0.1"/>
    <x v="2259"/>
    <n v="5540.07"/>
    <n v="1584.33"/>
    <s v="UPI"/>
    <s v="Diya"/>
  </r>
  <r>
    <x v="2280"/>
    <x v="188"/>
    <s v="Ahmedabad"/>
    <x v="2"/>
    <x v="5"/>
    <x v="24"/>
    <x v="1"/>
    <s v="Small Business"/>
    <n v="7"/>
    <n v="34224"/>
    <n v="0.05"/>
    <x v="2260"/>
    <n v="196205.87"/>
    <n v="31383.73"/>
    <s v="Debit Card"/>
    <s v="Anaya"/>
  </r>
  <r>
    <x v="2281"/>
    <x v="199"/>
    <s v="Ahmedabad"/>
    <x v="2"/>
    <x v="0"/>
    <x v="28"/>
    <x v="0"/>
    <s v="Small Business"/>
    <n v="2"/>
    <n v="1028"/>
    <n v="0.1"/>
    <x v="2261"/>
    <n v="1138.22"/>
    <n v="712.18"/>
    <s v="Net Banking"/>
    <s v="Rohan"/>
  </r>
  <r>
    <x v="2282"/>
    <x v="97"/>
    <s v="Delhi"/>
    <x v="3"/>
    <x v="5"/>
    <x v="11"/>
    <x v="2"/>
    <s v="Small Business"/>
    <n v="7"/>
    <n v="40271"/>
    <n v="0.1"/>
    <x v="2262"/>
    <n v="150845.69"/>
    <n v="102861.61"/>
    <s v="Credit Card"/>
    <s v="Meera"/>
  </r>
  <r>
    <x v="2283"/>
    <x v="262"/>
    <s v="Hyderabad"/>
    <x v="0"/>
    <x v="6"/>
    <x v="16"/>
    <x v="2"/>
    <s v="Corporate"/>
    <n v="3"/>
    <n v="364"/>
    <n v="0.05"/>
    <x v="2263"/>
    <n v="719.88"/>
    <n v="317.52"/>
    <s v="Cash"/>
    <s v="Diya"/>
  </r>
  <r>
    <x v="2284"/>
    <x v="217"/>
    <s v="Delhi"/>
    <x v="3"/>
    <x v="2"/>
    <x v="21"/>
    <x v="2"/>
    <s v="Consumer"/>
    <n v="2"/>
    <n v="24316"/>
    <n v="0.15"/>
    <x v="2264"/>
    <n v="30581.08"/>
    <n v="10756.12"/>
    <s v="Credit Card"/>
    <s v="Sara"/>
  </r>
  <r>
    <x v="2285"/>
    <x v="66"/>
    <s v="Bengaluru"/>
    <x v="0"/>
    <x v="4"/>
    <x v="31"/>
    <x v="2"/>
    <s v="Consumer"/>
    <n v="3"/>
    <n v="22926"/>
    <n v="0"/>
    <x v="2265"/>
    <n v="55217.86"/>
    <n v="13560.14"/>
    <s v="Credit Card"/>
    <s v="Sara"/>
  </r>
  <r>
    <x v="2286"/>
    <x v="205"/>
    <s v="Ahmedabad"/>
    <x v="2"/>
    <x v="0"/>
    <x v="28"/>
    <x v="1"/>
    <s v="Corporate"/>
    <n v="5"/>
    <n v="522"/>
    <n v="0.15"/>
    <x v="346"/>
    <n v="1530.46"/>
    <n v="688.04"/>
    <s v="Credit Card"/>
    <s v="Diya"/>
  </r>
  <r>
    <x v="2287"/>
    <x v="127"/>
    <s v="Hyderabad"/>
    <x v="0"/>
    <x v="3"/>
    <x v="34"/>
    <x v="0"/>
    <s v="Consumer"/>
    <n v="8"/>
    <n v="1364"/>
    <n v="0.1"/>
    <x v="2266"/>
    <n v="8250.42"/>
    <n v="1570.38"/>
    <s v="Net Banking"/>
    <s v="Aarav"/>
  </r>
  <r>
    <x v="2288"/>
    <x v="351"/>
    <s v="Ahmedabad"/>
    <x v="2"/>
    <x v="3"/>
    <x v="34"/>
    <x v="0"/>
    <s v="Corporate"/>
    <n v="7"/>
    <n v="2276"/>
    <n v="0"/>
    <x v="2267"/>
    <n v="13751.34"/>
    <n v="2180.66"/>
    <s v="Debit Card"/>
    <s v="Vikram"/>
  </r>
  <r>
    <x v="2289"/>
    <x v="144"/>
    <s v="Kolkata"/>
    <x v="1"/>
    <x v="1"/>
    <x v="22"/>
    <x v="2"/>
    <s v="Corporate"/>
    <n v="2"/>
    <n v="9427"/>
    <n v="0.05"/>
    <x v="2268"/>
    <n v="15659.87"/>
    <n v="2251.4299999999998"/>
    <s v="Net Banking"/>
    <s v="Rohan"/>
  </r>
  <r>
    <x v="2290"/>
    <x v="272"/>
    <s v="Mumbai"/>
    <x v="2"/>
    <x v="5"/>
    <x v="24"/>
    <x v="2"/>
    <s v="Consumer"/>
    <n v="4"/>
    <n v="43759"/>
    <n v="0.05"/>
    <x v="2269"/>
    <n v="110245.88"/>
    <n v="56038.32"/>
    <s v="Credit Card"/>
    <s v="Rohan"/>
  </r>
  <r>
    <x v="2291"/>
    <x v="136"/>
    <s v="Delhi"/>
    <x v="3"/>
    <x v="2"/>
    <x v="5"/>
    <x v="2"/>
    <s v="Corporate"/>
    <n v="3"/>
    <n v="10395"/>
    <n v="0.15"/>
    <x v="2270"/>
    <n v="20300.599999999999"/>
    <n v="6206.65"/>
    <s v="Cash"/>
    <s v="Rohan"/>
  </r>
  <r>
    <x v="2292"/>
    <x v="75"/>
    <s v="Mumbai"/>
    <x v="2"/>
    <x v="0"/>
    <x v="0"/>
    <x v="0"/>
    <s v="Corporate"/>
    <n v="2"/>
    <n v="1099"/>
    <n v="0"/>
    <x v="2271"/>
    <n v="1253.6500000000001"/>
    <n v="944.35"/>
    <s v="Cash"/>
    <s v="Aarav"/>
  </r>
  <r>
    <x v="2293"/>
    <x v="18"/>
    <s v="Hyderabad"/>
    <x v="0"/>
    <x v="4"/>
    <x v="14"/>
    <x v="2"/>
    <s v="Consumer"/>
    <n v="1"/>
    <n v="20288"/>
    <n v="0.05"/>
    <x v="2272"/>
    <n v="16560.259999999998"/>
    <n v="2713.34"/>
    <s v="Cash"/>
    <s v="Aarav"/>
  </r>
  <r>
    <x v="2294"/>
    <x v="347"/>
    <s v="Delhi"/>
    <x v="3"/>
    <x v="6"/>
    <x v="8"/>
    <x v="0"/>
    <s v="Consumer"/>
    <n v="5"/>
    <n v="3057"/>
    <n v="0.05"/>
    <x v="2273"/>
    <n v="8611.1"/>
    <n v="5909.65"/>
    <s v="Net Banking"/>
    <s v="Diya"/>
  </r>
  <r>
    <x v="2295"/>
    <x v="223"/>
    <s v="Hyderabad"/>
    <x v="0"/>
    <x v="3"/>
    <x v="3"/>
    <x v="1"/>
    <s v="Small Business"/>
    <n v="3"/>
    <n v="837"/>
    <n v="0.2"/>
    <x v="2274"/>
    <n v="1267.1099999999999"/>
    <n v="741.69"/>
    <s v="Credit Card"/>
    <s v="Diya"/>
  </r>
  <r>
    <x v="2296"/>
    <x v="76"/>
    <s v="Mumbai"/>
    <x v="2"/>
    <x v="4"/>
    <x v="27"/>
    <x v="0"/>
    <s v="Small Business"/>
    <n v="7"/>
    <n v="16555"/>
    <n v="0.05"/>
    <x v="2275"/>
    <n v="68979.710000000006"/>
    <n v="41111.040000000001"/>
    <s v="UPI"/>
    <s v="Meera"/>
  </r>
  <r>
    <x v="2297"/>
    <x v="363"/>
    <s v="Delhi"/>
    <x v="3"/>
    <x v="6"/>
    <x v="20"/>
    <x v="0"/>
    <s v="Consumer"/>
    <n v="2"/>
    <n v="4506"/>
    <n v="0.1"/>
    <x v="2276"/>
    <n v="6347.5"/>
    <n v="1763.3"/>
    <s v="Debit Card"/>
    <s v="Anaya"/>
  </r>
  <r>
    <x v="2298"/>
    <x v="50"/>
    <s v="Mumbai"/>
    <x v="2"/>
    <x v="0"/>
    <x v="23"/>
    <x v="0"/>
    <s v="Small Business"/>
    <n v="2"/>
    <n v="1303"/>
    <n v="0.1"/>
    <x v="2277"/>
    <n v="1709.12"/>
    <n v="636.28"/>
    <s v="Net Banking"/>
    <s v="Diya"/>
  </r>
  <r>
    <x v="2299"/>
    <x v="287"/>
    <s v="Chennai"/>
    <x v="0"/>
    <x v="1"/>
    <x v="22"/>
    <x v="0"/>
    <s v="Corporate"/>
    <n v="4"/>
    <n v="9909"/>
    <n v="0"/>
    <x v="2278"/>
    <n v="30658.6"/>
    <n v="8977.4"/>
    <s v="Credit Card"/>
    <s v="Vikram"/>
  </r>
  <r>
    <x v="2300"/>
    <x v="2"/>
    <s v="Mumbai"/>
    <x v="2"/>
    <x v="4"/>
    <x v="31"/>
    <x v="0"/>
    <s v="Corporate"/>
    <n v="5"/>
    <n v="5049"/>
    <n v="0.05"/>
    <x v="1808"/>
    <n v="18199.740000000002"/>
    <n v="5783.01"/>
    <s v="Credit Card"/>
    <s v="Rohan"/>
  </r>
  <r>
    <x v="2301"/>
    <x v="322"/>
    <s v="Mumbai"/>
    <x v="2"/>
    <x v="0"/>
    <x v="23"/>
    <x v="0"/>
    <s v="Consumer"/>
    <n v="1"/>
    <n v="2379"/>
    <n v="0.05"/>
    <x v="2279"/>
    <n v="1918.42"/>
    <n v="341.63"/>
    <s v="UPI"/>
    <s v="Sara"/>
  </r>
  <r>
    <x v="2302"/>
    <x v="339"/>
    <s v="Hyderabad"/>
    <x v="0"/>
    <x v="4"/>
    <x v="14"/>
    <x v="0"/>
    <s v="Small Business"/>
    <n v="6"/>
    <n v="15782"/>
    <n v="0.1"/>
    <x v="2280"/>
    <n v="71704.7"/>
    <n v="13518.1"/>
    <s v="UPI"/>
    <s v="Sara"/>
  </r>
  <r>
    <x v="2303"/>
    <x v="352"/>
    <s v="Kolkata"/>
    <x v="1"/>
    <x v="4"/>
    <x v="27"/>
    <x v="0"/>
    <s v="Consumer"/>
    <n v="7"/>
    <n v="3558"/>
    <n v="0.1"/>
    <x v="2281"/>
    <n v="13169.03"/>
    <n v="9246.3700000000008"/>
    <s v="Cash"/>
    <s v="Diya"/>
  </r>
  <r>
    <x v="2304"/>
    <x v="36"/>
    <s v="Mumbai"/>
    <x v="2"/>
    <x v="5"/>
    <x v="11"/>
    <x v="2"/>
    <s v="Small Business"/>
    <n v="5"/>
    <n v="3055"/>
    <n v="0"/>
    <x v="2282"/>
    <n v="11895.79"/>
    <n v="3379.21"/>
    <s v="Debit Card"/>
    <s v="Rohan"/>
  </r>
  <r>
    <x v="2305"/>
    <x v="171"/>
    <s v="Ahmedabad"/>
    <x v="2"/>
    <x v="2"/>
    <x v="21"/>
    <x v="2"/>
    <s v="Consumer"/>
    <n v="8"/>
    <n v="14365"/>
    <n v="0.05"/>
    <x v="2283"/>
    <n v="85396.81"/>
    <n v="23777.19"/>
    <s v="Cash"/>
    <s v="Anaya"/>
  </r>
  <r>
    <x v="2306"/>
    <x v="49"/>
    <s v="Chennai"/>
    <x v="0"/>
    <x v="1"/>
    <x v="1"/>
    <x v="0"/>
    <s v="Small Business"/>
    <n v="3"/>
    <n v="9819"/>
    <n v="0.1"/>
    <x v="2284"/>
    <n v="18493.98"/>
    <n v="8017.32"/>
    <s v="Debit Card"/>
    <s v="Aarav"/>
  </r>
  <r>
    <x v="2307"/>
    <x v="142"/>
    <s v="Delhi"/>
    <x v="3"/>
    <x v="0"/>
    <x v="0"/>
    <x v="1"/>
    <s v="Corporate"/>
    <n v="6"/>
    <n v="273"/>
    <n v="0"/>
    <x v="1638"/>
    <n v="912.62"/>
    <n v="725.38"/>
    <s v="Debit Card"/>
    <s v="Meera"/>
  </r>
  <r>
    <x v="2308"/>
    <x v="132"/>
    <s v="Bengaluru"/>
    <x v="0"/>
    <x v="5"/>
    <x v="25"/>
    <x v="1"/>
    <s v="Corporate"/>
    <n v="2"/>
    <n v="21631"/>
    <n v="0"/>
    <x v="2285"/>
    <n v="30875.43"/>
    <n v="12386.57"/>
    <s v="Net Banking"/>
    <s v="Meera"/>
  </r>
  <r>
    <x v="2309"/>
    <x v="103"/>
    <s v="Mumbai"/>
    <x v="2"/>
    <x v="4"/>
    <x v="14"/>
    <x v="2"/>
    <s v="Corporate"/>
    <n v="5"/>
    <n v="5758"/>
    <n v="0.05"/>
    <x v="2286"/>
    <n v="22188.68"/>
    <n v="5161.82"/>
    <s v="UPI"/>
    <s v="Anaya"/>
  </r>
  <r>
    <x v="2310"/>
    <x v="345"/>
    <s v="Kolkata"/>
    <x v="1"/>
    <x v="0"/>
    <x v="26"/>
    <x v="1"/>
    <s v="Consumer"/>
    <n v="2"/>
    <n v="1955"/>
    <n v="0.1"/>
    <x v="2287"/>
    <n v="2448.6799999999998"/>
    <n v="1070.32"/>
    <s v="Credit Card"/>
    <s v="Aarav"/>
  </r>
  <r>
    <x v="2311"/>
    <x v="241"/>
    <s v="Chennai"/>
    <x v="0"/>
    <x v="6"/>
    <x v="20"/>
    <x v="1"/>
    <s v="Corporate"/>
    <n v="2"/>
    <n v="2223"/>
    <n v="0.05"/>
    <x v="2288"/>
    <n v="2637.79"/>
    <n v="1585.91"/>
    <s v="UPI"/>
    <s v="Diya"/>
  </r>
  <r>
    <x v="2312"/>
    <x v="1"/>
    <s v="Ahmedabad"/>
    <x v="2"/>
    <x v="6"/>
    <x v="16"/>
    <x v="2"/>
    <s v="Consumer"/>
    <n v="8"/>
    <n v="2850"/>
    <n v="0.1"/>
    <x v="2289"/>
    <n v="12996.95"/>
    <n v="7523.05"/>
    <s v="Net Banking"/>
    <s v="Aarav"/>
  </r>
  <r>
    <x v="2313"/>
    <x v="243"/>
    <s v="Chennai"/>
    <x v="0"/>
    <x v="3"/>
    <x v="3"/>
    <x v="0"/>
    <s v="Corporate"/>
    <n v="6"/>
    <n v="317"/>
    <n v="0.05"/>
    <x v="2290"/>
    <n v="1127.1199999999999"/>
    <n v="679.78"/>
    <s v="Credit Card"/>
    <s v="Meera"/>
  </r>
  <r>
    <x v="2314"/>
    <x v="173"/>
    <s v="Delhi"/>
    <x v="3"/>
    <x v="2"/>
    <x v="2"/>
    <x v="0"/>
    <s v="Consumer"/>
    <n v="2"/>
    <n v="67657"/>
    <n v="0.05"/>
    <x v="2291"/>
    <n v="89540.88"/>
    <n v="39007.42"/>
    <s v="Debit Card"/>
    <s v="Anaya"/>
  </r>
  <r>
    <x v="2315"/>
    <x v="181"/>
    <s v="Hyderabad"/>
    <x v="0"/>
    <x v="1"/>
    <x v="18"/>
    <x v="1"/>
    <s v="Corporate"/>
    <n v="1"/>
    <n v="6964"/>
    <n v="0.1"/>
    <x v="2292"/>
    <n v="4094.34"/>
    <n v="2173.2600000000002"/>
    <s v="Cash"/>
    <s v="Aarav"/>
  </r>
  <r>
    <x v="2316"/>
    <x v="107"/>
    <s v="Ahmedabad"/>
    <x v="2"/>
    <x v="2"/>
    <x v="29"/>
    <x v="2"/>
    <s v="Small Business"/>
    <n v="2"/>
    <n v="49240"/>
    <n v="0"/>
    <x v="2293"/>
    <n v="55146.68"/>
    <n v="43333.32"/>
    <s v="Net Banking"/>
    <s v="Vikram"/>
  </r>
  <r>
    <x v="2317"/>
    <x v="329"/>
    <s v="Bengaluru"/>
    <x v="0"/>
    <x v="0"/>
    <x v="0"/>
    <x v="1"/>
    <s v="Small Business"/>
    <n v="8"/>
    <n v="1952"/>
    <n v="0.1"/>
    <x v="2294"/>
    <n v="9519.7199999999993"/>
    <n v="4534.68"/>
    <s v="Debit Card"/>
    <s v="Meera"/>
  </r>
  <r>
    <x v="2318"/>
    <x v="236"/>
    <s v="Pune"/>
    <x v="2"/>
    <x v="3"/>
    <x v="34"/>
    <x v="0"/>
    <s v="Corporate"/>
    <n v="6"/>
    <n v="591"/>
    <n v="0.2"/>
    <x v="2295"/>
    <n v="2107.41"/>
    <n v="729.39"/>
    <s v="Credit Card"/>
    <s v="Sara"/>
  </r>
  <r>
    <x v="2319"/>
    <x v="123"/>
    <s v="Bengaluru"/>
    <x v="0"/>
    <x v="1"/>
    <x v="18"/>
    <x v="1"/>
    <s v="Corporate"/>
    <n v="2"/>
    <n v="9800"/>
    <n v="0.15"/>
    <x v="2296"/>
    <n v="11293.82"/>
    <n v="5366.18"/>
    <s v="Credit Card"/>
    <s v="Vikram"/>
  </r>
  <r>
    <x v="2320"/>
    <x v="358"/>
    <s v="Kolkata"/>
    <x v="1"/>
    <x v="1"/>
    <x v="1"/>
    <x v="0"/>
    <s v="Corporate"/>
    <n v="5"/>
    <n v="11314"/>
    <n v="0.1"/>
    <x v="2297"/>
    <n v="42099.75"/>
    <n v="8813.25"/>
    <s v="Debit Card"/>
    <s v="Diya"/>
  </r>
  <r>
    <x v="2321"/>
    <x v="166"/>
    <s v="Kolkata"/>
    <x v="1"/>
    <x v="6"/>
    <x v="30"/>
    <x v="0"/>
    <s v="Consumer"/>
    <n v="3"/>
    <n v="3993"/>
    <n v="0"/>
    <x v="2298"/>
    <n v="8323.94"/>
    <n v="3655.06"/>
    <s v="UPI"/>
    <s v="Anaya"/>
  </r>
  <r>
    <x v="2322"/>
    <x v="212"/>
    <s v="Mumbai"/>
    <x v="2"/>
    <x v="0"/>
    <x v="0"/>
    <x v="2"/>
    <s v="Small Business"/>
    <n v="8"/>
    <n v="1859"/>
    <n v="0.05"/>
    <x v="2299"/>
    <n v="9648.6"/>
    <n v="4479.8"/>
    <s v="Credit Card"/>
    <s v="Vikram"/>
  </r>
  <r>
    <x v="2323"/>
    <x v="282"/>
    <s v="Mumbai"/>
    <x v="2"/>
    <x v="6"/>
    <x v="8"/>
    <x v="2"/>
    <s v="Corporate"/>
    <n v="4"/>
    <n v="4939"/>
    <n v="0"/>
    <x v="2300"/>
    <n v="16714.61"/>
    <n v="3041.39"/>
    <s v="UPI"/>
    <s v="Meera"/>
  </r>
  <r>
    <x v="2324"/>
    <x v="287"/>
    <s v="Mumbai"/>
    <x v="2"/>
    <x v="4"/>
    <x v="31"/>
    <x v="2"/>
    <s v="Small Business"/>
    <n v="4"/>
    <n v="23641"/>
    <n v="0.2"/>
    <x v="2301"/>
    <n v="54467.82"/>
    <n v="21183.38"/>
    <s v="Net Banking"/>
    <s v="Vikram"/>
  </r>
  <r>
    <x v="2325"/>
    <x v="59"/>
    <s v="Mumbai"/>
    <x v="2"/>
    <x v="1"/>
    <x v="18"/>
    <x v="0"/>
    <s v="Small Business"/>
    <n v="2"/>
    <n v="7461"/>
    <n v="0.1"/>
    <x v="2302"/>
    <n v="8267.65"/>
    <n v="5162.1499999999996"/>
    <s v="Debit Card"/>
    <s v="Diya"/>
  </r>
  <r>
    <x v="2326"/>
    <x v="168"/>
    <s v="Mumbai"/>
    <x v="2"/>
    <x v="3"/>
    <x v="15"/>
    <x v="2"/>
    <s v="Small Business"/>
    <n v="7"/>
    <n v="2034"/>
    <n v="0.15"/>
    <x v="2303"/>
    <n v="8882.49"/>
    <n v="3219.81"/>
    <s v="Credit Card"/>
    <s v="Sara"/>
  </r>
  <r>
    <x v="2327"/>
    <x v="321"/>
    <s v="Mumbai"/>
    <x v="2"/>
    <x v="6"/>
    <x v="16"/>
    <x v="0"/>
    <s v="Corporate"/>
    <n v="1"/>
    <n v="3562"/>
    <n v="0"/>
    <x v="2304"/>
    <n v="2977.69"/>
    <n v="584.30999999999995"/>
    <s v="Cash"/>
    <s v="Kabir"/>
  </r>
  <r>
    <x v="2328"/>
    <x v="82"/>
    <s v="Delhi"/>
    <x v="3"/>
    <x v="4"/>
    <x v="27"/>
    <x v="2"/>
    <s v="Corporate"/>
    <n v="5"/>
    <n v="14554"/>
    <n v="0.05"/>
    <x v="2305"/>
    <n v="47628.35"/>
    <n v="21503.15"/>
    <s v="UPI"/>
    <s v="Anaya"/>
  </r>
  <r>
    <x v="2329"/>
    <x v="244"/>
    <s v="Pune"/>
    <x v="2"/>
    <x v="5"/>
    <x v="25"/>
    <x v="0"/>
    <s v="Consumer"/>
    <n v="3"/>
    <n v="49022"/>
    <n v="0"/>
    <x v="2306"/>
    <n v="116927.93"/>
    <n v="30138.07"/>
    <s v="UPI"/>
    <s v="Diya"/>
  </r>
  <r>
    <x v="2330"/>
    <x v="290"/>
    <s v="Ahmedabad"/>
    <x v="2"/>
    <x v="2"/>
    <x v="9"/>
    <x v="0"/>
    <s v="Corporate"/>
    <n v="8"/>
    <n v="9224"/>
    <n v="0.2"/>
    <x v="2307"/>
    <n v="41373.47"/>
    <n v="17660.13"/>
    <s v="Credit Card"/>
    <s v="Meera"/>
  </r>
  <r>
    <x v="2331"/>
    <x v="128"/>
    <s v="Mumbai"/>
    <x v="2"/>
    <x v="2"/>
    <x v="2"/>
    <x v="2"/>
    <s v="Consumer"/>
    <n v="6"/>
    <n v="12636"/>
    <n v="0.05"/>
    <x v="2308"/>
    <n v="44778.68"/>
    <n v="27246.52"/>
    <s v="Cash"/>
    <s v="Diya"/>
  </r>
  <r>
    <x v="2332"/>
    <x v="7"/>
    <s v="Pune"/>
    <x v="2"/>
    <x v="1"/>
    <x v="18"/>
    <x v="1"/>
    <s v="Corporate"/>
    <n v="4"/>
    <n v="7978"/>
    <n v="0.15"/>
    <x v="2309"/>
    <n v="21515.67"/>
    <n v="5609.53"/>
    <s v="Cash"/>
    <s v="Kabir"/>
  </r>
  <r>
    <x v="2333"/>
    <x v="233"/>
    <s v="Bengaluru"/>
    <x v="0"/>
    <x v="3"/>
    <x v="34"/>
    <x v="1"/>
    <s v="Corporate"/>
    <n v="1"/>
    <n v="2250"/>
    <n v="0.15"/>
    <x v="2310"/>
    <n v="1477.89"/>
    <n v="434.61"/>
    <s v="Cash"/>
    <s v="Rohan"/>
  </r>
  <r>
    <x v="2334"/>
    <x v="43"/>
    <s v="Kolkata"/>
    <x v="1"/>
    <x v="2"/>
    <x v="29"/>
    <x v="1"/>
    <s v="Consumer"/>
    <n v="1"/>
    <n v="40569"/>
    <n v="0.1"/>
    <x v="2311"/>
    <n v="24481.58"/>
    <n v="12030.52"/>
    <s v="Net Banking"/>
    <s v="Vikram"/>
  </r>
  <r>
    <x v="2335"/>
    <x v="10"/>
    <s v="Mumbai"/>
    <x v="2"/>
    <x v="6"/>
    <x v="16"/>
    <x v="2"/>
    <s v="Corporate"/>
    <n v="8"/>
    <n v="1429"/>
    <n v="0.05"/>
    <x v="2312"/>
    <n v="7433.16"/>
    <n v="3427.24"/>
    <s v="Net Banking"/>
    <s v="Kabir"/>
  </r>
  <r>
    <x v="2336"/>
    <x v="329"/>
    <s v="Ahmedabad"/>
    <x v="2"/>
    <x v="0"/>
    <x v="28"/>
    <x v="1"/>
    <s v="Corporate"/>
    <n v="2"/>
    <n v="1065"/>
    <n v="0.1"/>
    <x v="2313"/>
    <n v="1630.53"/>
    <n v="286.47000000000003"/>
    <s v="UPI"/>
    <s v="Anaya"/>
  </r>
  <r>
    <x v="2337"/>
    <x v="301"/>
    <s v="Bengaluru"/>
    <x v="0"/>
    <x v="6"/>
    <x v="20"/>
    <x v="1"/>
    <s v="Small Business"/>
    <n v="8"/>
    <n v="1923"/>
    <n v="0.1"/>
    <x v="2314"/>
    <n v="10752"/>
    <n v="3093.6"/>
    <s v="UPI"/>
    <s v="Aarav"/>
  </r>
  <r>
    <x v="2338"/>
    <x v="231"/>
    <s v="Pune"/>
    <x v="2"/>
    <x v="3"/>
    <x v="12"/>
    <x v="1"/>
    <s v="Consumer"/>
    <n v="8"/>
    <n v="1516"/>
    <n v="0.05"/>
    <x v="2315"/>
    <n v="6630.5"/>
    <n v="4891.1000000000004"/>
    <s v="UPI"/>
    <s v="Aarav"/>
  </r>
  <r>
    <x v="2339"/>
    <x v="3"/>
    <s v="Mumbai"/>
    <x v="2"/>
    <x v="6"/>
    <x v="8"/>
    <x v="2"/>
    <s v="Corporate"/>
    <n v="5"/>
    <n v="1902"/>
    <n v="0"/>
    <x v="2316"/>
    <n v="6529.83"/>
    <n v="2980.17"/>
    <s v="Credit Card"/>
    <s v="Meera"/>
  </r>
  <r>
    <x v="2340"/>
    <x v="333"/>
    <s v="Mumbai"/>
    <x v="2"/>
    <x v="5"/>
    <x v="24"/>
    <x v="2"/>
    <s v="Corporate"/>
    <n v="5"/>
    <n v="11876"/>
    <n v="0.15"/>
    <x v="2317"/>
    <n v="41494.67"/>
    <n v="8978.33"/>
    <s v="Net Banking"/>
    <s v="Diya"/>
  </r>
  <r>
    <x v="2341"/>
    <x v="240"/>
    <s v="Chennai"/>
    <x v="0"/>
    <x v="0"/>
    <x v="26"/>
    <x v="0"/>
    <s v="Consumer"/>
    <n v="3"/>
    <n v="635"/>
    <n v="0"/>
    <x v="2318"/>
    <n v="1334.7"/>
    <n v="570.29999999999995"/>
    <s v="UPI"/>
    <s v="Meera"/>
  </r>
  <r>
    <x v="2342"/>
    <x v="101"/>
    <s v="Mumbai"/>
    <x v="2"/>
    <x v="0"/>
    <x v="0"/>
    <x v="2"/>
    <s v="Consumer"/>
    <n v="4"/>
    <n v="1294"/>
    <n v="0"/>
    <x v="2319"/>
    <n v="3228.25"/>
    <n v="1947.75"/>
    <s v="Cash"/>
    <s v="Anaya"/>
  </r>
  <r>
    <x v="2343"/>
    <x v="36"/>
    <s v="Delhi"/>
    <x v="3"/>
    <x v="3"/>
    <x v="34"/>
    <x v="2"/>
    <s v="Corporate"/>
    <n v="1"/>
    <n v="1730"/>
    <n v="0.05"/>
    <x v="2320"/>
    <n v="1002.01"/>
    <n v="641.49"/>
    <s v="UPI"/>
    <s v="Sara"/>
  </r>
  <r>
    <x v="2344"/>
    <x v="210"/>
    <s v="Mumbai"/>
    <x v="2"/>
    <x v="6"/>
    <x v="16"/>
    <x v="2"/>
    <s v="Consumer"/>
    <n v="8"/>
    <n v="5756"/>
    <n v="0.1"/>
    <x v="2321"/>
    <n v="24154.43"/>
    <n v="17288.77"/>
    <s v="UPI"/>
    <s v="Meera"/>
  </r>
  <r>
    <x v="2345"/>
    <x v="246"/>
    <s v="Delhi"/>
    <x v="3"/>
    <x v="6"/>
    <x v="33"/>
    <x v="0"/>
    <s v="Small Business"/>
    <n v="4"/>
    <n v="825"/>
    <n v="0.1"/>
    <x v="2322"/>
    <n v="2398.71"/>
    <n v="571.29"/>
    <s v="Debit Card"/>
    <s v="Rohan"/>
  </r>
  <r>
    <x v="2346"/>
    <x v="53"/>
    <s v="Bengaluru"/>
    <x v="0"/>
    <x v="1"/>
    <x v="18"/>
    <x v="2"/>
    <s v="Corporate"/>
    <n v="3"/>
    <n v="8477"/>
    <n v="0"/>
    <x v="2323"/>
    <n v="20493.63"/>
    <n v="4937.37"/>
    <s v="Credit Card"/>
    <s v="Meera"/>
  </r>
  <r>
    <x v="2347"/>
    <x v="295"/>
    <s v="Chennai"/>
    <x v="0"/>
    <x v="0"/>
    <x v="19"/>
    <x v="2"/>
    <s v="Corporate"/>
    <n v="8"/>
    <n v="533"/>
    <n v="0.05"/>
    <x v="2324"/>
    <n v="2354.08"/>
    <n v="1696.72"/>
    <s v="Credit Card"/>
    <s v="Aarav"/>
  </r>
  <r>
    <x v="2348"/>
    <x v="175"/>
    <s v="Delhi"/>
    <x v="3"/>
    <x v="5"/>
    <x v="24"/>
    <x v="0"/>
    <s v="Corporate"/>
    <n v="2"/>
    <n v="27795"/>
    <n v="0.05"/>
    <x v="2325"/>
    <n v="40934"/>
    <n v="11876.5"/>
    <s v="UPI"/>
    <s v="Anaya"/>
  </r>
  <r>
    <x v="2349"/>
    <x v="90"/>
    <s v="Bengaluru"/>
    <x v="0"/>
    <x v="4"/>
    <x v="4"/>
    <x v="1"/>
    <s v="Corporate"/>
    <n v="7"/>
    <n v="16336"/>
    <n v="0.05"/>
    <x v="2326"/>
    <n v="85048.81"/>
    <n v="23585.59"/>
    <s v="Debit Card"/>
    <s v="Kabir"/>
  </r>
  <r>
    <x v="2350"/>
    <x v="209"/>
    <s v="Mumbai"/>
    <x v="2"/>
    <x v="0"/>
    <x v="23"/>
    <x v="0"/>
    <s v="Small Business"/>
    <n v="1"/>
    <n v="1797"/>
    <n v="0.05"/>
    <x v="2327"/>
    <n v="1419.96"/>
    <n v="287.19"/>
    <s v="Net Banking"/>
    <s v="Meera"/>
  </r>
  <r>
    <x v="2351"/>
    <x v="152"/>
    <s v="Pune"/>
    <x v="2"/>
    <x v="4"/>
    <x v="14"/>
    <x v="1"/>
    <s v="Corporate"/>
    <n v="2"/>
    <n v="5867"/>
    <n v="0.15"/>
    <x v="2328"/>
    <n v="5777.6"/>
    <n v="4196.3"/>
    <s v="Debit Card"/>
    <s v="Sara"/>
  </r>
  <r>
    <x v="2352"/>
    <x v="222"/>
    <s v="Ahmedabad"/>
    <x v="2"/>
    <x v="3"/>
    <x v="12"/>
    <x v="2"/>
    <s v="Corporate"/>
    <n v="8"/>
    <n v="466"/>
    <n v="0.15"/>
    <x v="2329"/>
    <n v="2149.38"/>
    <n v="1019.42"/>
    <s v="UPI"/>
    <s v="Anaya"/>
  </r>
  <r>
    <x v="2353"/>
    <x v="305"/>
    <s v="Hyderabad"/>
    <x v="0"/>
    <x v="5"/>
    <x v="24"/>
    <x v="0"/>
    <s v="Corporate"/>
    <n v="3"/>
    <n v="19488"/>
    <n v="0.05"/>
    <x v="2330"/>
    <n v="32651.93"/>
    <n v="22888.87"/>
    <s v="UPI"/>
    <s v="Meera"/>
  </r>
  <r>
    <x v="2354"/>
    <x v="169"/>
    <s v="Bengaluru"/>
    <x v="0"/>
    <x v="3"/>
    <x v="32"/>
    <x v="1"/>
    <s v="Corporate"/>
    <n v="4"/>
    <n v="2057"/>
    <n v="0.05"/>
    <x v="2331"/>
    <n v="4324.17"/>
    <n v="3492.43"/>
    <s v="Net Banking"/>
    <s v="Aarav"/>
  </r>
  <r>
    <x v="2355"/>
    <x v="229"/>
    <s v="Delhi"/>
    <x v="3"/>
    <x v="3"/>
    <x v="3"/>
    <x v="0"/>
    <s v="Consumer"/>
    <n v="5"/>
    <n v="1644"/>
    <n v="0.05"/>
    <x v="2332"/>
    <n v="6697.14"/>
    <n v="1111.8599999999999"/>
    <s v="Credit Card"/>
    <s v="Aarav"/>
  </r>
  <r>
    <x v="2356"/>
    <x v="275"/>
    <s v="Chennai"/>
    <x v="0"/>
    <x v="6"/>
    <x v="33"/>
    <x v="2"/>
    <s v="Corporate"/>
    <n v="1"/>
    <n v="1617"/>
    <n v="0"/>
    <x v="2333"/>
    <n v="1315.33"/>
    <n v="301.67"/>
    <s v="Cash"/>
    <s v="Kabir"/>
  </r>
  <r>
    <x v="2357"/>
    <x v="63"/>
    <s v="Bengaluru"/>
    <x v="0"/>
    <x v="3"/>
    <x v="12"/>
    <x v="0"/>
    <s v="Corporate"/>
    <n v="4"/>
    <n v="1342"/>
    <n v="0.05"/>
    <x v="2334"/>
    <n v="2892.74"/>
    <n v="2206.86"/>
    <s v="Cash"/>
    <s v="Kabir"/>
  </r>
  <r>
    <x v="2358"/>
    <x v="359"/>
    <s v="Chennai"/>
    <x v="0"/>
    <x v="1"/>
    <x v="1"/>
    <x v="0"/>
    <s v="Corporate"/>
    <n v="7"/>
    <n v="973"/>
    <n v="0"/>
    <x v="2335"/>
    <n v="5264.85"/>
    <n v="1546.15"/>
    <s v="Cash"/>
    <s v="Sara"/>
  </r>
  <r>
    <x v="2359"/>
    <x v="295"/>
    <s v="Mumbai"/>
    <x v="2"/>
    <x v="1"/>
    <x v="7"/>
    <x v="0"/>
    <s v="Small Business"/>
    <n v="2"/>
    <n v="11899"/>
    <n v="0"/>
    <x v="2336"/>
    <n v="17489.5"/>
    <n v="6308.5"/>
    <s v="UPI"/>
    <s v="Rohan"/>
  </r>
  <r>
    <x v="2360"/>
    <x v="53"/>
    <s v="Chennai"/>
    <x v="0"/>
    <x v="0"/>
    <x v="0"/>
    <x v="1"/>
    <s v="Small Business"/>
    <n v="1"/>
    <n v="2275"/>
    <n v="0.05"/>
    <x v="2337"/>
    <n v="1325.43"/>
    <n v="835.82"/>
    <s v="Net Banking"/>
    <s v="Vikram"/>
  </r>
  <r>
    <x v="2361"/>
    <x v="95"/>
    <s v="Delhi"/>
    <x v="3"/>
    <x v="6"/>
    <x v="30"/>
    <x v="0"/>
    <s v="Consumer"/>
    <n v="8"/>
    <n v="948"/>
    <n v="0.05"/>
    <x v="2338"/>
    <n v="4564.6000000000004"/>
    <n v="2640.2"/>
    <s v="Net Banking"/>
    <s v="Diya"/>
  </r>
  <r>
    <x v="2362"/>
    <x v="35"/>
    <s v="Mumbai"/>
    <x v="2"/>
    <x v="0"/>
    <x v="26"/>
    <x v="2"/>
    <s v="Corporate"/>
    <n v="5"/>
    <n v="947"/>
    <n v="0.1"/>
    <x v="2339"/>
    <n v="3221.38"/>
    <n v="1040.1199999999999"/>
    <s v="Debit Card"/>
    <s v="Meera"/>
  </r>
  <r>
    <x v="2363"/>
    <x v="72"/>
    <s v="Delhi"/>
    <x v="3"/>
    <x v="2"/>
    <x v="5"/>
    <x v="2"/>
    <s v="Small Business"/>
    <n v="4"/>
    <n v="37007"/>
    <n v="0.1"/>
    <x v="2340"/>
    <n v="73705.02"/>
    <n v="59520.18"/>
    <s v="Debit Card"/>
    <s v="Rohan"/>
  </r>
  <r>
    <x v="2364"/>
    <x v="111"/>
    <s v="Delhi"/>
    <x v="3"/>
    <x v="3"/>
    <x v="15"/>
    <x v="1"/>
    <s v="Consumer"/>
    <n v="8"/>
    <n v="1590"/>
    <n v="0.15"/>
    <x v="744"/>
    <n v="9376.2800000000007"/>
    <n v="1435.72"/>
    <s v="UPI"/>
    <s v="Vikram"/>
  </r>
  <r>
    <x v="2365"/>
    <x v="121"/>
    <s v="Chennai"/>
    <x v="0"/>
    <x v="2"/>
    <x v="2"/>
    <x v="2"/>
    <s v="Small Business"/>
    <n v="6"/>
    <n v="14264"/>
    <n v="0.2"/>
    <x v="2341"/>
    <n v="52005.78"/>
    <n v="16461.419999999998"/>
    <s v="Credit Card"/>
    <s v="Meera"/>
  </r>
  <r>
    <x v="2366"/>
    <x v="361"/>
    <s v="Mumbai"/>
    <x v="2"/>
    <x v="4"/>
    <x v="4"/>
    <x v="2"/>
    <s v="Consumer"/>
    <n v="1"/>
    <n v="14710"/>
    <n v="0"/>
    <x v="2342"/>
    <n v="11139.4"/>
    <n v="3570.6"/>
    <s v="UPI"/>
    <s v="Kabir"/>
  </r>
  <r>
    <x v="2367"/>
    <x v="53"/>
    <s v="Ahmedabad"/>
    <x v="2"/>
    <x v="1"/>
    <x v="10"/>
    <x v="1"/>
    <s v="Small Business"/>
    <n v="5"/>
    <n v="2439"/>
    <n v="0.05"/>
    <x v="2343"/>
    <n v="8180.25"/>
    <n v="3405"/>
    <s v="Debit Card"/>
    <s v="Anaya"/>
  </r>
  <r>
    <x v="2368"/>
    <x v="204"/>
    <s v="Kolkata"/>
    <x v="1"/>
    <x v="6"/>
    <x v="16"/>
    <x v="0"/>
    <s v="Small Business"/>
    <n v="6"/>
    <n v="545"/>
    <n v="0.1"/>
    <x v="2344"/>
    <n v="2100.16"/>
    <n v="842.84"/>
    <s v="Cash"/>
    <s v="Aarav"/>
  </r>
  <r>
    <x v="2369"/>
    <x v="307"/>
    <s v="Mumbai"/>
    <x v="2"/>
    <x v="0"/>
    <x v="28"/>
    <x v="2"/>
    <s v="Consumer"/>
    <n v="5"/>
    <n v="1104"/>
    <n v="0.1"/>
    <x v="2345"/>
    <n v="3288.99"/>
    <n v="1679.01"/>
    <s v="Debit Card"/>
    <s v="Vikram"/>
  </r>
  <r>
    <x v="2370"/>
    <x v="340"/>
    <s v="Bengaluru"/>
    <x v="0"/>
    <x v="5"/>
    <x v="25"/>
    <x v="1"/>
    <s v="Corporate"/>
    <n v="3"/>
    <n v="27547"/>
    <n v="0.05"/>
    <x v="2346"/>
    <n v="68932.91"/>
    <n v="9576.0400000000009"/>
    <s v="Cash"/>
    <s v="Aarav"/>
  </r>
  <r>
    <x v="2371"/>
    <x v="341"/>
    <s v="Hyderabad"/>
    <x v="0"/>
    <x v="2"/>
    <x v="21"/>
    <x v="1"/>
    <s v="Corporate"/>
    <n v="8"/>
    <n v="25764"/>
    <n v="0.1"/>
    <x v="2347"/>
    <n v="154048.48000000001"/>
    <n v="31452.32"/>
    <s v="Net Banking"/>
    <s v="Meera"/>
  </r>
  <r>
    <x v="2372"/>
    <x v="108"/>
    <s v="Hyderabad"/>
    <x v="0"/>
    <x v="6"/>
    <x v="16"/>
    <x v="2"/>
    <s v="Consumer"/>
    <n v="3"/>
    <n v="4483"/>
    <n v="0.15"/>
    <x v="2348"/>
    <n v="9691.16"/>
    <n v="1740.49"/>
    <s v="Cash"/>
    <s v="Sara"/>
  </r>
  <r>
    <x v="2373"/>
    <x v="161"/>
    <s v="Bengaluru"/>
    <x v="0"/>
    <x v="6"/>
    <x v="20"/>
    <x v="0"/>
    <s v="Consumer"/>
    <n v="7"/>
    <n v="2422"/>
    <n v="0"/>
    <x v="2349"/>
    <n v="10604.25"/>
    <n v="6349.75"/>
    <s v="Net Banking"/>
    <s v="Sara"/>
  </r>
  <r>
    <x v="2374"/>
    <x v="244"/>
    <s v="Kolkata"/>
    <x v="1"/>
    <x v="6"/>
    <x v="16"/>
    <x v="0"/>
    <s v="Corporate"/>
    <n v="7"/>
    <n v="5570"/>
    <n v="0.05"/>
    <x v="2350"/>
    <n v="24540.39"/>
    <n v="12500.11"/>
    <s v="Cash"/>
    <s v="Sara"/>
  </r>
  <r>
    <x v="2375"/>
    <x v="168"/>
    <s v="Mumbai"/>
    <x v="2"/>
    <x v="5"/>
    <x v="11"/>
    <x v="1"/>
    <s v="Small Business"/>
    <n v="7"/>
    <n v="35068"/>
    <n v="0.05"/>
    <x v="2351"/>
    <n v="183017.55"/>
    <n v="50184.65"/>
    <s v="Cash"/>
    <s v="Rohan"/>
  </r>
  <r>
    <x v="2376"/>
    <x v="139"/>
    <s v="Delhi"/>
    <x v="3"/>
    <x v="5"/>
    <x v="11"/>
    <x v="2"/>
    <s v="Small Business"/>
    <n v="4"/>
    <n v="4553"/>
    <n v="0.15"/>
    <x v="2352"/>
    <n v="11681.23"/>
    <n v="3798.97"/>
    <s v="Credit Card"/>
    <s v="Aarav"/>
  </r>
  <r>
    <x v="2377"/>
    <x v="360"/>
    <s v="Pune"/>
    <x v="2"/>
    <x v="2"/>
    <x v="5"/>
    <x v="2"/>
    <s v="Corporate"/>
    <n v="6"/>
    <n v="42999"/>
    <n v="0.1"/>
    <x v="2353"/>
    <n v="164262.96"/>
    <n v="67931.64"/>
    <s v="Debit Card"/>
    <s v="Diya"/>
  </r>
  <r>
    <x v="2378"/>
    <x v="353"/>
    <s v="Hyderabad"/>
    <x v="0"/>
    <x v="6"/>
    <x v="33"/>
    <x v="0"/>
    <s v="Consumer"/>
    <n v="7"/>
    <n v="5755"/>
    <n v="0.1"/>
    <x v="2354"/>
    <n v="30043.89"/>
    <n v="6212.61"/>
    <s v="Debit Card"/>
    <s v="Aarav"/>
  </r>
  <r>
    <x v="2379"/>
    <x v="247"/>
    <s v="Delhi"/>
    <x v="3"/>
    <x v="4"/>
    <x v="31"/>
    <x v="2"/>
    <s v="Corporate"/>
    <n v="3"/>
    <n v="2596"/>
    <n v="0"/>
    <x v="2355"/>
    <n v="5769.32"/>
    <n v="2018.68"/>
    <s v="Cash"/>
    <s v="Vikram"/>
  </r>
  <r>
    <x v="2380"/>
    <x v="167"/>
    <s v="Ahmedabad"/>
    <x v="2"/>
    <x v="4"/>
    <x v="14"/>
    <x v="2"/>
    <s v="Corporate"/>
    <n v="1"/>
    <n v="19573"/>
    <n v="0.05"/>
    <x v="2356"/>
    <n v="14136.33"/>
    <n v="4458.0200000000004"/>
    <s v="Credit Card"/>
    <s v="Anaya"/>
  </r>
  <r>
    <x v="2381"/>
    <x v="39"/>
    <s v="Pune"/>
    <x v="2"/>
    <x v="6"/>
    <x v="20"/>
    <x v="2"/>
    <s v="Consumer"/>
    <n v="7"/>
    <n v="5892"/>
    <n v="0.05"/>
    <x v="2357"/>
    <n v="32342.32"/>
    <n v="6839.48"/>
    <s v="UPI"/>
    <s v="Sara"/>
  </r>
  <r>
    <x v="2382"/>
    <x v="33"/>
    <s v="Delhi"/>
    <x v="3"/>
    <x v="0"/>
    <x v="19"/>
    <x v="2"/>
    <s v="Corporate"/>
    <n v="6"/>
    <n v="1813"/>
    <n v="0.05"/>
    <x v="2358"/>
    <n v="6255.13"/>
    <n v="4078.97"/>
    <s v="Debit Card"/>
    <s v="Vikram"/>
  </r>
  <r>
    <x v="2383"/>
    <x v="16"/>
    <s v="Chennai"/>
    <x v="0"/>
    <x v="1"/>
    <x v="10"/>
    <x v="0"/>
    <s v="Consumer"/>
    <n v="2"/>
    <n v="8355"/>
    <n v="0.05"/>
    <x v="2359"/>
    <n v="12471.6"/>
    <n v="3402.9"/>
    <s v="Credit Card"/>
    <s v="Anaya"/>
  </r>
  <r>
    <x v="2384"/>
    <x v="332"/>
    <s v="Kolkata"/>
    <x v="1"/>
    <x v="4"/>
    <x v="14"/>
    <x v="2"/>
    <s v="Corporate"/>
    <n v="7"/>
    <n v="7217"/>
    <n v="0.15"/>
    <x v="2360"/>
    <n v="24552.83"/>
    <n v="18388.32"/>
    <s v="UPI"/>
    <s v="Anaya"/>
  </r>
  <r>
    <x v="2385"/>
    <x v="87"/>
    <s v="Bengaluru"/>
    <x v="0"/>
    <x v="5"/>
    <x v="25"/>
    <x v="2"/>
    <s v="Corporate"/>
    <n v="3"/>
    <n v="24841"/>
    <n v="0"/>
    <x v="2361"/>
    <n v="62113"/>
    <n v="12410"/>
    <s v="Debit Card"/>
    <s v="Vikram"/>
  </r>
  <r>
    <x v="2386"/>
    <x v="354"/>
    <s v="Mumbai"/>
    <x v="2"/>
    <x v="3"/>
    <x v="12"/>
    <x v="2"/>
    <s v="Consumer"/>
    <n v="4"/>
    <n v="455"/>
    <n v="0"/>
    <x v="2362"/>
    <n v="1457.31"/>
    <n v="362.69"/>
    <s v="Debit Card"/>
    <s v="Aarav"/>
  </r>
  <r>
    <x v="2387"/>
    <x v="79"/>
    <s v="Mumbai"/>
    <x v="2"/>
    <x v="5"/>
    <x v="11"/>
    <x v="1"/>
    <s v="Corporate"/>
    <n v="6"/>
    <n v="46537"/>
    <n v="0.1"/>
    <x v="2363"/>
    <n v="201332.8"/>
    <n v="49967"/>
    <s v="Credit Card"/>
    <s v="Anaya"/>
  </r>
  <r>
    <x v="2388"/>
    <x v="272"/>
    <s v="Mumbai"/>
    <x v="2"/>
    <x v="6"/>
    <x v="20"/>
    <x v="2"/>
    <s v="Corporate"/>
    <n v="8"/>
    <n v="3237"/>
    <n v="0.15"/>
    <x v="2364"/>
    <n v="12322.91"/>
    <n v="9688.69"/>
    <s v="Net Banking"/>
    <s v="Kabir"/>
  </r>
  <r>
    <x v="2389"/>
    <x v="163"/>
    <s v="Kolkata"/>
    <x v="1"/>
    <x v="2"/>
    <x v="9"/>
    <x v="1"/>
    <s v="Corporate"/>
    <n v="7"/>
    <n v="47083"/>
    <n v="0.1"/>
    <x v="2365"/>
    <n v="181626.2"/>
    <n v="114996.7"/>
    <s v="UPI"/>
    <s v="Rohan"/>
  </r>
  <r>
    <x v="2390"/>
    <x v="146"/>
    <s v="Mumbai"/>
    <x v="2"/>
    <x v="3"/>
    <x v="3"/>
    <x v="0"/>
    <s v="Corporate"/>
    <n v="4"/>
    <n v="732"/>
    <n v="0.15"/>
    <x v="2366"/>
    <n v="1890.25"/>
    <n v="598.54999999999995"/>
    <s v="Credit Card"/>
    <s v="Rohan"/>
  </r>
  <r>
    <x v="2391"/>
    <x v="24"/>
    <s v="Kolkata"/>
    <x v="1"/>
    <x v="4"/>
    <x v="13"/>
    <x v="1"/>
    <s v="Consumer"/>
    <n v="8"/>
    <n v="3897"/>
    <n v="0.1"/>
    <x v="2367"/>
    <n v="23061.13"/>
    <n v="4997.2700000000004"/>
    <s v="Cash"/>
    <s v="Sara"/>
  </r>
  <r>
    <x v="2392"/>
    <x v="48"/>
    <s v="Chennai"/>
    <x v="0"/>
    <x v="3"/>
    <x v="32"/>
    <x v="2"/>
    <s v="Small Business"/>
    <n v="2"/>
    <n v="1855"/>
    <n v="0.15"/>
    <x v="2368"/>
    <n v="1877.46"/>
    <n v="1276.04"/>
    <s v="Net Banking"/>
    <s v="Kabir"/>
  </r>
  <r>
    <x v="2393"/>
    <x v="306"/>
    <s v="Kolkata"/>
    <x v="1"/>
    <x v="1"/>
    <x v="18"/>
    <x v="2"/>
    <s v="Corporate"/>
    <n v="5"/>
    <n v="2450"/>
    <n v="0.1"/>
    <x v="2369"/>
    <n v="6546.16"/>
    <n v="4478.84"/>
    <s v="Debit Card"/>
    <s v="Anaya"/>
  </r>
  <r>
    <x v="2394"/>
    <x v="115"/>
    <s v="Ahmedabad"/>
    <x v="2"/>
    <x v="1"/>
    <x v="7"/>
    <x v="0"/>
    <s v="Consumer"/>
    <n v="4"/>
    <n v="9477"/>
    <n v="0.1"/>
    <x v="2370"/>
    <n v="20545.54"/>
    <n v="13571.66"/>
    <s v="Debit Card"/>
    <s v="Diya"/>
  </r>
  <r>
    <x v="2395"/>
    <x v="64"/>
    <s v="Pune"/>
    <x v="2"/>
    <x v="6"/>
    <x v="20"/>
    <x v="0"/>
    <s v="Small Business"/>
    <n v="4"/>
    <n v="5810"/>
    <n v="0"/>
    <x v="2371"/>
    <n v="19420.36"/>
    <n v="3819.64"/>
    <s v="Credit Card"/>
    <s v="Diya"/>
  </r>
  <r>
    <x v="2396"/>
    <x v="138"/>
    <s v="Hyderabad"/>
    <x v="0"/>
    <x v="2"/>
    <x v="2"/>
    <x v="0"/>
    <s v="Consumer"/>
    <n v="1"/>
    <n v="35050"/>
    <n v="0.1"/>
    <x v="2372"/>
    <n v="19745.400000000001"/>
    <n v="11799.6"/>
    <s v="UPI"/>
    <s v="Diya"/>
  </r>
  <r>
    <x v="2397"/>
    <x v="157"/>
    <s v="Bengaluru"/>
    <x v="0"/>
    <x v="3"/>
    <x v="34"/>
    <x v="0"/>
    <s v="Consumer"/>
    <n v="4"/>
    <n v="773"/>
    <n v="0.2"/>
    <x v="2373"/>
    <n v="1405.76"/>
    <n v="1067.8399999999999"/>
    <s v="Net Banking"/>
    <s v="Anaya"/>
  </r>
  <r>
    <x v="2398"/>
    <x v="290"/>
    <s v="Hyderabad"/>
    <x v="0"/>
    <x v="6"/>
    <x v="20"/>
    <x v="0"/>
    <s v="Consumer"/>
    <n v="8"/>
    <n v="3312"/>
    <n v="0.2"/>
    <x v="2374"/>
    <n v="18517.71"/>
    <n v="2679.09"/>
    <s v="Cash"/>
    <s v="Sara"/>
  </r>
  <r>
    <x v="2399"/>
    <x v="347"/>
    <s v="Ahmedabad"/>
    <x v="2"/>
    <x v="6"/>
    <x v="33"/>
    <x v="1"/>
    <s v="Consumer"/>
    <n v="8"/>
    <n v="3407"/>
    <n v="0.15"/>
    <x v="2375"/>
    <n v="17021.599999999999"/>
    <n v="6146"/>
    <s v="Debit Card"/>
    <s v="Diya"/>
  </r>
  <r>
    <x v="2400"/>
    <x v="175"/>
    <s v="Delhi"/>
    <x v="3"/>
    <x v="4"/>
    <x v="27"/>
    <x v="2"/>
    <s v="Consumer"/>
    <n v="8"/>
    <n v="12357"/>
    <n v="0.05"/>
    <x v="2376"/>
    <n v="64768.99"/>
    <n v="29144.21"/>
    <s v="UPI"/>
    <s v="Kabir"/>
  </r>
  <r>
    <x v="2401"/>
    <x v="237"/>
    <s v="Chennai"/>
    <x v="0"/>
    <x v="2"/>
    <x v="29"/>
    <x v="2"/>
    <s v="Corporate"/>
    <n v="2"/>
    <n v="19173"/>
    <n v="0.1"/>
    <x v="2377"/>
    <n v="23659.01"/>
    <n v="10852.39"/>
    <s v="Debit Card"/>
    <s v="Vikram"/>
  </r>
  <r>
    <x v="2402"/>
    <x v="222"/>
    <s v="Delhi"/>
    <x v="3"/>
    <x v="1"/>
    <x v="22"/>
    <x v="2"/>
    <s v="Corporate"/>
    <n v="3"/>
    <n v="4259"/>
    <n v="0"/>
    <x v="2378"/>
    <n v="10406.91"/>
    <n v="2370.09"/>
    <s v="Net Banking"/>
    <s v="Diya"/>
  </r>
  <r>
    <x v="2403"/>
    <x v="154"/>
    <s v="Chennai"/>
    <x v="0"/>
    <x v="1"/>
    <x v="7"/>
    <x v="0"/>
    <s v="Consumer"/>
    <n v="3"/>
    <n v="1238"/>
    <n v="0.2"/>
    <x v="2379"/>
    <n v="2126.23"/>
    <n v="844.97"/>
    <s v="Cash"/>
    <s v="Diya"/>
  </r>
  <r>
    <x v="2404"/>
    <x v="271"/>
    <s v="Bengaluru"/>
    <x v="0"/>
    <x v="3"/>
    <x v="12"/>
    <x v="1"/>
    <s v="Small Business"/>
    <n v="5"/>
    <n v="2362"/>
    <n v="0.1"/>
    <x v="2380"/>
    <n v="6164.95"/>
    <n v="4464.05"/>
    <s v="Debit Card"/>
    <s v="Aarav"/>
  </r>
  <r>
    <x v="2405"/>
    <x v="307"/>
    <s v="Mumbai"/>
    <x v="2"/>
    <x v="0"/>
    <x v="19"/>
    <x v="2"/>
    <s v="Corporate"/>
    <n v="7"/>
    <n v="2241"/>
    <n v="0.15"/>
    <x v="2381"/>
    <n v="10624.38"/>
    <n v="2709.57"/>
    <s v="Net Banking"/>
    <s v="Sara"/>
  </r>
  <r>
    <x v="2406"/>
    <x v="320"/>
    <s v="Mumbai"/>
    <x v="2"/>
    <x v="1"/>
    <x v="10"/>
    <x v="1"/>
    <s v="Corporate"/>
    <n v="8"/>
    <n v="6180"/>
    <n v="0.15"/>
    <x v="2382"/>
    <n v="28265.55"/>
    <n v="13758.45"/>
    <s v="Debit Card"/>
    <s v="Aarav"/>
  </r>
  <r>
    <x v="2407"/>
    <x v="107"/>
    <s v="Mumbai"/>
    <x v="2"/>
    <x v="6"/>
    <x v="20"/>
    <x v="0"/>
    <s v="Consumer"/>
    <n v="3"/>
    <n v="3126"/>
    <n v="0.05"/>
    <x v="2383"/>
    <n v="5129.63"/>
    <n v="3779.47"/>
    <s v="Debit Card"/>
    <s v="Diya"/>
  </r>
  <r>
    <x v="2408"/>
    <x v="49"/>
    <s v="Mumbai"/>
    <x v="2"/>
    <x v="6"/>
    <x v="33"/>
    <x v="1"/>
    <s v="Small Business"/>
    <n v="5"/>
    <n v="5795"/>
    <n v="0.1"/>
    <x v="2384"/>
    <n v="14379.47"/>
    <n v="11698.03"/>
    <s v="Credit Card"/>
    <s v="Diya"/>
  </r>
  <r>
    <x v="2409"/>
    <x v="75"/>
    <s v="Delhi"/>
    <x v="3"/>
    <x v="1"/>
    <x v="22"/>
    <x v="2"/>
    <s v="Consumer"/>
    <n v="1"/>
    <n v="1442"/>
    <n v="0.15"/>
    <x v="2385"/>
    <n v="1013.51"/>
    <n v="212.19"/>
    <s v="Net Banking"/>
    <s v="Meera"/>
  </r>
  <r>
    <x v="2410"/>
    <x v="250"/>
    <s v="Pune"/>
    <x v="2"/>
    <x v="4"/>
    <x v="4"/>
    <x v="0"/>
    <s v="Small Business"/>
    <n v="7"/>
    <n v="17486"/>
    <n v="0.1"/>
    <x v="2386"/>
    <n v="93122.95"/>
    <n v="17038.849999999999"/>
    <s v="Debit Card"/>
    <s v="Aarav"/>
  </r>
  <r>
    <x v="2411"/>
    <x v="168"/>
    <s v="Ahmedabad"/>
    <x v="2"/>
    <x v="1"/>
    <x v="7"/>
    <x v="1"/>
    <s v="Corporate"/>
    <n v="1"/>
    <n v="9602"/>
    <n v="0.05"/>
    <x v="2387"/>
    <n v="6168.96"/>
    <n v="2952.94"/>
    <s v="Cash"/>
    <s v="Kabir"/>
  </r>
  <r>
    <x v="2412"/>
    <x v="315"/>
    <s v="Delhi"/>
    <x v="3"/>
    <x v="4"/>
    <x v="14"/>
    <x v="1"/>
    <s v="Consumer"/>
    <n v="2"/>
    <n v="7243"/>
    <n v="0"/>
    <x v="2388"/>
    <n v="8690.92"/>
    <n v="5795.08"/>
    <s v="Credit Card"/>
    <s v="Kabir"/>
  </r>
  <r>
    <x v="2413"/>
    <x v="243"/>
    <s v="Hyderabad"/>
    <x v="0"/>
    <x v="3"/>
    <x v="15"/>
    <x v="0"/>
    <s v="Consumer"/>
    <n v="6"/>
    <n v="1644"/>
    <n v="0.15"/>
    <x v="2389"/>
    <n v="5456.05"/>
    <n v="2928.35"/>
    <s v="Debit Card"/>
    <s v="Kabir"/>
  </r>
  <r>
    <x v="2414"/>
    <x v="202"/>
    <s v="Ahmedabad"/>
    <x v="2"/>
    <x v="4"/>
    <x v="27"/>
    <x v="0"/>
    <s v="Small Business"/>
    <n v="6"/>
    <n v="18904"/>
    <n v="0.2"/>
    <x v="2390"/>
    <n v="79192.600000000006"/>
    <n v="11546.6"/>
    <s v="Debit Card"/>
    <s v="Rohan"/>
  </r>
  <r>
    <x v="2415"/>
    <x v="239"/>
    <s v="Delhi"/>
    <x v="3"/>
    <x v="1"/>
    <x v="7"/>
    <x v="1"/>
    <s v="Corporate"/>
    <n v="4"/>
    <n v="10628"/>
    <n v="0.1"/>
    <x v="2391"/>
    <n v="29941.53"/>
    <n v="8319.27"/>
    <s v="Credit Card"/>
    <s v="Diya"/>
  </r>
  <r>
    <x v="2416"/>
    <x v="260"/>
    <s v="Mumbai"/>
    <x v="2"/>
    <x v="6"/>
    <x v="30"/>
    <x v="2"/>
    <s v="Corporate"/>
    <n v="8"/>
    <n v="3837"/>
    <n v="0"/>
    <x v="2392"/>
    <n v="22871.47"/>
    <n v="7824.53"/>
    <s v="Credit Card"/>
    <s v="Kabir"/>
  </r>
  <r>
    <x v="2417"/>
    <x v="253"/>
    <s v="Hyderabad"/>
    <x v="0"/>
    <x v="5"/>
    <x v="11"/>
    <x v="1"/>
    <s v="Consumer"/>
    <n v="7"/>
    <n v="18084"/>
    <n v="0.1"/>
    <x v="2393"/>
    <n v="93867.36"/>
    <n v="20061.84"/>
    <s v="Cash"/>
    <s v="Anaya"/>
  </r>
  <r>
    <x v="2418"/>
    <x v="362"/>
    <s v="Bengaluru"/>
    <x v="0"/>
    <x v="4"/>
    <x v="4"/>
    <x v="1"/>
    <s v="Corporate"/>
    <n v="8"/>
    <n v="1200"/>
    <n v="0.2"/>
    <x v="2394"/>
    <n v="6448.72"/>
    <n v="1231.28"/>
    <s v="Debit Card"/>
    <s v="Diya"/>
  </r>
  <r>
    <x v="2419"/>
    <x v="156"/>
    <s v="Ahmedabad"/>
    <x v="2"/>
    <x v="3"/>
    <x v="12"/>
    <x v="1"/>
    <s v="Small Business"/>
    <n v="8"/>
    <n v="1420"/>
    <n v="0.1"/>
    <x v="2395"/>
    <n v="8940.15"/>
    <n v="1283.8499999999999"/>
    <s v="Debit Card"/>
    <s v="Sara"/>
  </r>
  <r>
    <x v="2420"/>
    <x v="136"/>
    <s v="Ahmedabad"/>
    <x v="2"/>
    <x v="6"/>
    <x v="16"/>
    <x v="0"/>
    <s v="Consumer"/>
    <n v="3"/>
    <n v="5251"/>
    <n v="0.1"/>
    <x v="2396"/>
    <n v="10500.97"/>
    <n v="3676.73"/>
    <s v="UPI"/>
    <s v="Sara"/>
  </r>
  <r>
    <x v="2421"/>
    <x v="81"/>
    <s v="Bengaluru"/>
    <x v="0"/>
    <x v="3"/>
    <x v="15"/>
    <x v="0"/>
    <s v="Consumer"/>
    <n v="3"/>
    <n v="1132"/>
    <n v="0.05"/>
    <x v="2397"/>
    <n v="1999.96"/>
    <n v="1226.24"/>
    <s v="Debit Card"/>
    <s v="Anaya"/>
  </r>
  <r>
    <x v="2422"/>
    <x v="131"/>
    <s v="Mumbai"/>
    <x v="2"/>
    <x v="1"/>
    <x v="10"/>
    <x v="1"/>
    <s v="Consumer"/>
    <n v="2"/>
    <n v="8899"/>
    <n v="0.1"/>
    <x v="2398"/>
    <n v="10428.52"/>
    <n v="5589.68"/>
    <s v="Cash"/>
    <s v="Sara"/>
  </r>
  <r>
    <x v="2423"/>
    <x v="96"/>
    <s v="Ahmedabad"/>
    <x v="2"/>
    <x v="0"/>
    <x v="26"/>
    <x v="0"/>
    <s v="Corporate"/>
    <n v="3"/>
    <n v="1935"/>
    <n v="0.05"/>
    <x v="2399"/>
    <n v="4647.4799999999996"/>
    <n v="867.27"/>
    <s v="Credit Card"/>
    <s v="Sara"/>
  </r>
  <r>
    <x v="2424"/>
    <x v="288"/>
    <s v="Delhi"/>
    <x v="3"/>
    <x v="6"/>
    <x v="20"/>
    <x v="1"/>
    <s v="Corporate"/>
    <n v="8"/>
    <n v="2505"/>
    <n v="0.1"/>
    <x v="2400"/>
    <n v="14456.98"/>
    <n v="3579.02"/>
    <s v="UPI"/>
    <s v="Anaya"/>
  </r>
  <r>
    <x v="2425"/>
    <x v="262"/>
    <s v="Hyderabad"/>
    <x v="0"/>
    <x v="1"/>
    <x v="18"/>
    <x v="0"/>
    <s v="Consumer"/>
    <n v="1"/>
    <n v="4466"/>
    <n v="0"/>
    <x v="2401"/>
    <n v="3487.64"/>
    <n v="978.36"/>
    <s v="UPI"/>
    <s v="Anaya"/>
  </r>
  <r>
    <x v="2426"/>
    <x v="270"/>
    <s v="Pune"/>
    <x v="2"/>
    <x v="1"/>
    <x v="22"/>
    <x v="0"/>
    <s v="Corporate"/>
    <n v="1"/>
    <n v="5142"/>
    <n v="0.05"/>
    <x v="2136"/>
    <n v="3765.8"/>
    <n v="1119.0999999999999"/>
    <s v="Credit Card"/>
    <s v="Rohan"/>
  </r>
  <r>
    <x v="2427"/>
    <x v="255"/>
    <s v="Ahmedabad"/>
    <x v="2"/>
    <x v="2"/>
    <x v="5"/>
    <x v="0"/>
    <s v="Consumer"/>
    <n v="4"/>
    <n v="5166"/>
    <n v="0.05"/>
    <x v="2402"/>
    <n v="11914.42"/>
    <n v="7716.38"/>
    <s v="Debit Card"/>
    <s v="Aarav"/>
  </r>
  <r>
    <x v="2428"/>
    <x v="312"/>
    <s v="Delhi"/>
    <x v="3"/>
    <x v="2"/>
    <x v="21"/>
    <x v="1"/>
    <s v="Corporate"/>
    <n v="5"/>
    <n v="69907"/>
    <n v="0"/>
    <x v="2403"/>
    <n v="253634.96"/>
    <n v="95900.04"/>
    <s v="UPI"/>
    <s v="Aarav"/>
  </r>
  <r>
    <x v="2429"/>
    <x v="266"/>
    <s v="Mumbai"/>
    <x v="2"/>
    <x v="2"/>
    <x v="21"/>
    <x v="2"/>
    <s v="Corporate"/>
    <n v="4"/>
    <n v="34291"/>
    <n v="0.15"/>
    <x v="2404"/>
    <n v="82237.149999999994"/>
    <n v="34352.25"/>
    <s v="Net Banking"/>
    <s v="Diya"/>
  </r>
  <r>
    <x v="2430"/>
    <x v="223"/>
    <s v="Bengaluru"/>
    <x v="0"/>
    <x v="0"/>
    <x v="23"/>
    <x v="1"/>
    <s v="Consumer"/>
    <n v="5"/>
    <n v="2312"/>
    <n v="0"/>
    <x v="2405"/>
    <n v="8081.17"/>
    <n v="3478.83"/>
    <s v="UPI"/>
    <s v="Kabir"/>
  </r>
  <r>
    <x v="2431"/>
    <x v="2"/>
    <s v="Mumbai"/>
    <x v="2"/>
    <x v="4"/>
    <x v="13"/>
    <x v="1"/>
    <s v="Small Business"/>
    <n v="6"/>
    <n v="16428"/>
    <n v="0"/>
    <x v="2406"/>
    <n v="83140.639999999999"/>
    <n v="15427.36"/>
    <s v="Cash"/>
    <s v="Aarav"/>
  </r>
  <r>
    <x v="2432"/>
    <x v="183"/>
    <s v="Pune"/>
    <x v="2"/>
    <x v="4"/>
    <x v="13"/>
    <x v="2"/>
    <s v="Small Business"/>
    <n v="1"/>
    <n v="1414"/>
    <n v="0"/>
    <x v="2407"/>
    <n v="1033.6300000000001"/>
    <n v="380.37"/>
    <s v="Cash"/>
    <s v="Vikram"/>
  </r>
  <r>
    <x v="2433"/>
    <x v="102"/>
    <s v="Pune"/>
    <x v="2"/>
    <x v="0"/>
    <x v="19"/>
    <x v="2"/>
    <s v="Corporate"/>
    <n v="5"/>
    <n v="1311"/>
    <n v="0.1"/>
    <x v="2408"/>
    <n v="4328.1099999999997"/>
    <n v="1571.39"/>
    <s v="UPI"/>
    <s v="Diya"/>
  </r>
  <r>
    <x v="2434"/>
    <x v="52"/>
    <s v="Delhi"/>
    <x v="3"/>
    <x v="4"/>
    <x v="13"/>
    <x v="1"/>
    <s v="Consumer"/>
    <n v="8"/>
    <n v="9293"/>
    <n v="0.2"/>
    <x v="2409"/>
    <n v="36271.4"/>
    <n v="23203.8"/>
    <s v="Credit Card"/>
    <s v="Diya"/>
  </r>
  <r>
    <x v="2435"/>
    <x v="356"/>
    <s v="Delhi"/>
    <x v="3"/>
    <x v="6"/>
    <x v="33"/>
    <x v="0"/>
    <s v="Small Business"/>
    <n v="7"/>
    <n v="5525"/>
    <n v="0"/>
    <x v="2410"/>
    <n v="31434.91"/>
    <n v="7240.09"/>
    <s v="UPI"/>
    <s v="Diya"/>
  </r>
  <r>
    <x v="2436"/>
    <x v="12"/>
    <s v="Bengaluru"/>
    <x v="0"/>
    <x v="4"/>
    <x v="4"/>
    <x v="2"/>
    <s v="Small Business"/>
    <n v="2"/>
    <n v="9847"/>
    <n v="0"/>
    <x v="2411"/>
    <n v="15787.39"/>
    <n v="3906.61"/>
    <s v="Credit Card"/>
    <s v="Aarav"/>
  </r>
  <r>
    <x v="2437"/>
    <x v="194"/>
    <s v="Ahmedabad"/>
    <x v="2"/>
    <x v="3"/>
    <x v="3"/>
    <x v="2"/>
    <s v="Consumer"/>
    <n v="2"/>
    <n v="1557"/>
    <n v="0"/>
    <x v="2412"/>
    <n v="2379.6999999999998"/>
    <n v="734.3"/>
    <s v="UPI"/>
    <s v="Vikram"/>
  </r>
  <r>
    <x v="2438"/>
    <x v="217"/>
    <s v="Hyderabad"/>
    <x v="0"/>
    <x v="6"/>
    <x v="8"/>
    <x v="2"/>
    <s v="Consumer"/>
    <n v="8"/>
    <n v="3943"/>
    <n v="0.05"/>
    <x v="2413"/>
    <n v="16906.61"/>
    <n v="13060.19"/>
    <s v="Credit Card"/>
    <s v="Vikram"/>
  </r>
  <r>
    <x v="2439"/>
    <x v="114"/>
    <s v="Mumbai"/>
    <x v="2"/>
    <x v="5"/>
    <x v="24"/>
    <x v="2"/>
    <s v="Consumer"/>
    <n v="1"/>
    <n v="44118"/>
    <n v="0.15"/>
    <x v="2414"/>
    <n v="30770.59"/>
    <n v="6729.71"/>
    <s v="Cash"/>
    <s v="Aarav"/>
  </r>
  <r>
    <x v="2440"/>
    <x v="338"/>
    <s v="Delhi"/>
    <x v="3"/>
    <x v="1"/>
    <x v="1"/>
    <x v="0"/>
    <s v="Consumer"/>
    <n v="8"/>
    <n v="6494"/>
    <n v="0"/>
    <x v="2415"/>
    <n v="33499.86"/>
    <n v="18452.14"/>
    <s v="Debit Card"/>
    <s v="Rohan"/>
  </r>
  <r>
    <x v="2441"/>
    <x v="59"/>
    <s v="Mumbai"/>
    <x v="2"/>
    <x v="4"/>
    <x v="13"/>
    <x v="2"/>
    <s v="Consumer"/>
    <n v="6"/>
    <n v="4233"/>
    <n v="0.05"/>
    <x v="2416"/>
    <n v="21077.33"/>
    <n v="3050.77"/>
    <s v="Cash"/>
    <s v="Aarav"/>
  </r>
  <r>
    <x v="2442"/>
    <x v="262"/>
    <s v="Kolkata"/>
    <x v="1"/>
    <x v="1"/>
    <x v="18"/>
    <x v="1"/>
    <s v="Consumer"/>
    <n v="1"/>
    <n v="3736"/>
    <n v="0"/>
    <x v="2417"/>
    <n v="2550.4699999999998"/>
    <n v="1185.53"/>
    <s v="UPI"/>
    <s v="Vikram"/>
  </r>
  <r>
    <x v="2443"/>
    <x v="152"/>
    <s v="Mumbai"/>
    <x v="2"/>
    <x v="2"/>
    <x v="29"/>
    <x v="2"/>
    <s v="Corporate"/>
    <n v="2"/>
    <n v="1846"/>
    <n v="0"/>
    <x v="2418"/>
    <n v="2036.04"/>
    <n v="1655.96"/>
    <s v="Credit Card"/>
    <s v="Rohan"/>
  </r>
  <r>
    <x v="2444"/>
    <x v="324"/>
    <s v="Ahmedabad"/>
    <x v="2"/>
    <x v="2"/>
    <x v="9"/>
    <x v="2"/>
    <s v="Corporate"/>
    <n v="4"/>
    <n v="42670"/>
    <n v="0"/>
    <x v="2419"/>
    <n v="114815.51"/>
    <n v="55864.49"/>
    <s v="Credit Card"/>
    <s v="Aarav"/>
  </r>
  <r>
    <x v="2445"/>
    <x v="264"/>
    <s v="Chennai"/>
    <x v="0"/>
    <x v="3"/>
    <x v="12"/>
    <x v="0"/>
    <s v="Consumer"/>
    <n v="4"/>
    <n v="983"/>
    <n v="0.1"/>
    <x v="2420"/>
    <n v="2925.29"/>
    <n v="613.51"/>
    <s v="Debit Card"/>
    <s v="Rohan"/>
  </r>
  <r>
    <x v="2446"/>
    <x v="222"/>
    <s v="Mumbai"/>
    <x v="2"/>
    <x v="5"/>
    <x v="25"/>
    <x v="2"/>
    <s v="Consumer"/>
    <n v="1"/>
    <n v="19087"/>
    <n v="0.1"/>
    <x v="2421"/>
    <n v="15032.88"/>
    <n v="2145.42"/>
    <s v="Credit Card"/>
    <s v="Sara"/>
  </r>
  <r>
    <x v="2447"/>
    <x v="95"/>
    <s v="Bengaluru"/>
    <x v="0"/>
    <x v="0"/>
    <x v="0"/>
    <x v="2"/>
    <s v="Corporate"/>
    <n v="3"/>
    <n v="281"/>
    <n v="0.05"/>
    <x v="2422"/>
    <n v="683.49"/>
    <n v="117.36"/>
    <s v="Credit Card"/>
    <s v="Kabir"/>
  </r>
  <r>
    <x v="2448"/>
    <x v="75"/>
    <s v="Mumbai"/>
    <x v="2"/>
    <x v="4"/>
    <x v="14"/>
    <x v="0"/>
    <s v="Corporate"/>
    <n v="6"/>
    <n v="10198"/>
    <n v="0"/>
    <x v="2423"/>
    <n v="47481.03"/>
    <n v="13706.97"/>
    <s v="Debit Card"/>
    <s v="Aarav"/>
  </r>
  <r>
    <x v="2449"/>
    <x v="92"/>
    <s v="Bengaluru"/>
    <x v="0"/>
    <x v="5"/>
    <x v="24"/>
    <x v="1"/>
    <s v="Small Business"/>
    <n v="5"/>
    <n v="48472"/>
    <n v="0.1"/>
    <x v="2424"/>
    <n v="180814.4"/>
    <n v="37309.599999999999"/>
    <s v="Cash"/>
    <s v="Anaya"/>
  </r>
  <r>
    <x v="2450"/>
    <x v="83"/>
    <s v="Pune"/>
    <x v="2"/>
    <x v="5"/>
    <x v="6"/>
    <x v="0"/>
    <s v="Consumer"/>
    <n v="2"/>
    <n v="17918"/>
    <n v="0.1"/>
    <x v="2425"/>
    <n v="20494.97"/>
    <n v="11757.43"/>
    <s v="Net Banking"/>
    <s v="Anaya"/>
  </r>
  <r>
    <x v="2451"/>
    <x v="159"/>
    <s v="Hyderabad"/>
    <x v="0"/>
    <x v="4"/>
    <x v="4"/>
    <x v="1"/>
    <s v="Corporate"/>
    <n v="1"/>
    <n v="6790"/>
    <n v="0.1"/>
    <x v="2426"/>
    <n v="3436.85"/>
    <n v="2674.15"/>
    <s v="Credit Card"/>
    <s v="Aarav"/>
  </r>
  <r>
    <x v="2452"/>
    <x v="116"/>
    <s v="Delhi"/>
    <x v="3"/>
    <x v="1"/>
    <x v="1"/>
    <x v="0"/>
    <s v="Small Business"/>
    <n v="7"/>
    <n v="9900"/>
    <n v="0.15"/>
    <x v="2427"/>
    <n v="36641.269999999997"/>
    <n v="22263.73"/>
    <s v="Net Banking"/>
    <s v="Diya"/>
  </r>
  <r>
    <x v="2453"/>
    <x v="260"/>
    <s v="Bengaluru"/>
    <x v="0"/>
    <x v="5"/>
    <x v="17"/>
    <x v="0"/>
    <s v="Consumer"/>
    <n v="6"/>
    <n v="28656"/>
    <n v="0.1"/>
    <x v="2428"/>
    <n v="91272.26"/>
    <n v="63470.14"/>
    <s v="Net Banking"/>
    <s v="Aarav"/>
  </r>
  <r>
    <x v="2454"/>
    <x v="364"/>
    <s v="Mumbai"/>
    <x v="2"/>
    <x v="3"/>
    <x v="15"/>
    <x v="1"/>
    <s v="Corporate"/>
    <n v="4"/>
    <n v="1741"/>
    <n v="0"/>
    <x v="2429"/>
    <n v="5454.79"/>
    <n v="1509.21"/>
    <s v="Credit Card"/>
    <s v="Anaya"/>
  </r>
  <r>
    <x v="2455"/>
    <x v="209"/>
    <s v="Hyderabad"/>
    <x v="0"/>
    <x v="1"/>
    <x v="22"/>
    <x v="1"/>
    <s v="Small Business"/>
    <n v="6"/>
    <n v="1557"/>
    <n v="0"/>
    <x v="2430"/>
    <n v="7781.95"/>
    <n v="1560.05"/>
    <s v="Cash"/>
    <s v="Diya"/>
  </r>
  <r>
    <x v="2456"/>
    <x v="92"/>
    <s v="Kolkata"/>
    <x v="1"/>
    <x v="0"/>
    <x v="19"/>
    <x v="1"/>
    <s v="Small Business"/>
    <n v="8"/>
    <n v="609"/>
    <n v="0.2"/>
    <x v="2431"/>
    <n v="2298.2199999999998"/>
    <n v="1599.38"/>
    <s v="Debit Card"/>
    <s v="Anaya"/>
  </r>
  <r>
    <x v="2457"/>
    <x v="63"/>
    <s v="Pune"/>
    <x v="2"/>
    <x v="4"/>
    <x v="4"/>
    <x v="2"/>
    <s v="Small Business"/>
    <n v="5"/>
    <n v="7984"/>
    <n v="0.05"/>
    <x v="2432"/>
    <n v="32735.41"/>
    <n v="5188.59"/>
    <s v="UPI"/>
    <s v="Diya"/>
  </r>
  <r>
    <x v="2458"/>
    <x v="45"/>
    <s v="Ahmedabad"/>
    <x v="2"/>
    <x v="2"/>
    <x v="29"/>
    <x v="1"/>
    <s v="Corporate"/>
    <n v="7"/>
    <n v="2883"/>
    <n v="0.05"/>
    <x v="2433"/>
    <n v="10686.13"/>
    <n v="8485.82"/>
    <s v="Cash"/>
    <s v="Vikram"/>
  </r>
  <r>
    <x v="2459"/>
    <x v="144"/>
    <s v="Mumbai"/>
    <x v="2"/>
    <x v="5"/>
    <x v="6"/>
    <x v="0"/>
    <s v="Consumer"/>
    <n v="7"/>
    <n v="37881"/>
    <n v="0.1"/>
    <x v="2434"/>
    <n v="140592.44"/>
    <n v="98057.86"/>
    <s v="UPI"/>
    <s v="Anaya"/>
  </r>
  <r>
    <x v="2460"/>
    <x v="219"/>
    <s v="Mumbai"/>
    <x v="2"/>
    <x v="6"/>
    <x v="33"/>
    <x v="1"/>
    <s v="Small Business"/>
    <n v="2"/>
    <n v="869"/>
    <n v="0.1"/>
    <x v="214"/>
    <n v="1153.06"/>
    <n v="411.14"/>
    <s v="Net Banking"/>
    <s v="Aarav"/>
  </r>
  <r>
    <x v="2461"/>
    <x v="30"/>
    <s v="Ahmedabad"/>
    <x v="2"/>
    <x v="6"/>
    <x v="30"/>
    <x v="0"/>
    <s v="Corporate"/>
    <n v="6"/>
    <n v="5175"/>
    <n v="0"/>
    <x v="2435"/>
    <n v="22025.75"/>
    <n v="9024.25"/>
    <s v="Net Banking"/>
    <s v="Kabir"/>
  </r>
  <r>
    <x v="2462"/>
    <x v="237"/>
    <s v="Mumbai"/>
    <x v="2"/>
    <x v="2"/>
    <x v="21"/>
    <x v="1"/>
    <s v="Consumer"/>
    <n v="2"/>
    <n v="41934"/>
    <n v="0.1"/>
    <x v="2436"/>
    <n v="43701.16"/>
    <n v="31780.04"/>
    <s v="Credit Card"/>
    <s v="Sara"/>
  </r>
  <r>
    <x v="2463"/>
    <x v="153"/>
    <s v="Delhi"/>
    <x v="3"/>
    <x v="3"/>
    <x v="3"/>
    <x v="2"/>
    <s v="Corporate"/>
    <n v="5"/>
    <n v="1498"/>
    <n v="0"/>
    <x v="2437"/>
    <n v="4436.0200000000004"/>
    <n v="3053.98"/>
    <s v="UPI"/>
    <s v="Kabir"/>
  </r>
  <r>
    <x v="2464"/>
    <x v="313"/>
    <s v="Bengaluru"/>
    <x v="0"/>
    <x v="5"/>
    <x v="6"/>
    <x v="1"/>
    <s v="Small Business"/>
    <n v="4"/>
    <n v="24268"/>
    <n v="0.15"/>
    <x v="2438"/>
    <n v="54747.06"/>
    <n v="27764.14"/>
    <s v="Credit Card"/>
    <s v="Anaya"/>
  </r>
  <r>
    <x v="2465"/>
    <x v="62"/>
    <s v="Bengaluru"/>
    <x v="0"/>
    <x v="0"/>
    <x v="0"/>
    <x v="0"/>
    <s v="Consumer"/>
    <n v="4"/>
    <n v="823"/>
    <n v="0.1"/>
    <x v="2439"/>
    <n v="1667.16"/>
    <n v="1295.6400000000001"/>
    <s v="UPI"/>
    <s v="Meera"/>
  </r>
  <r>
    <x v="2466"/>
    <x v="122"/>
    <s v="Bengaluru"/>
    <x v="0"/>
    <x v="0"/>
    <x v="19"/>
    <x v="0"/>
    <s v="Consumer"/>
    <n v="7"/>
    <n v="1009"/>
    <n v="0.05"/>
    <x v="2440"/>
    <n v="4487.41"/>
    <n v="2222.44"/>
    <s v="Debit Card"/>
    <s v="Diya"/>
  </r>
  <r>
    <x v="2467"/>
    <x v="231"/>
    <s v="Kolkata"/>
    <x v="1"/>
    <x v="5"/>
    <x v="6"/>
    <x v="2"/>
    <s v="Consumer"/>
    <n v="6"/>
    <n v="31264"/>
    <n v="0.15"/>
    <x v="2441"/>
    <n v="138396.97"/>
    <n v="21049.43"/>
    <s v="Debit Card"/>
    <s v="Meera"/>
  </r>
  <r>
    <x v="2468"/>
    <x v="39"/>
    <s v="Mumbai"/>
    <x v="2"/>
    <x v="5"/>
    <x v="6"/>
    <x v="1"/>
    <s v="Small Business"/>
    <n v="6"/>
    <n v="5728"/>
    <n v="0.05"/>
    <x v="2442"/>
    <n v="20432.96"/>
    <n v="12216.64"/>
    <s v="Cash"/>
    <s v="Vikram"/>
  </r>
  <r>
    <x v="2469"/>
    <x v="160"/>
    <s v="Pune"/>
    <x v="2"/>
    <x v="6"/>
    <x v="20"/>
    <x v="0"/>
    <s v="Small Business"/>
    <n v="5"/>
    <n v="5850"/>
    <n v="0.1"/>
    <x v="2443"/>
    <n v="15486.91"/>
    <n v="10838.09"/>
    <s v="Credit Card"/>
    <s v="Sara"/>
  </r>
  <r>
    <x v="2470"/>
    <x v="99"/>
    <s v="Hyderabad"/>
    <x v="0"/>
    <x v="5"/>
    <x v="24"/>
    <x v="2"/>
    <s v="Corporate"/>
    <n v="4"/>
    <n v="6349"/>
    <n v="0.1"/>
    <x v="2444"/>
    <n v="13644.51"/>
    <n v="9211.89"/>
    <s v="Cash"/>
    <s v="Anaya"/>
  </r>
  <r>
    <x v="2471"/>
    <x v="47"/>
    <s v="Ahmedabad"/>
    <x v="2"/>
    <x v="0"/>
    <x v="19"/>
    <x v="2"/>
    <s v="Small Business"/>
    <n v="5"/>
    <n v="1203"/>
    <n v="0.05"/>
    <x v="2445"/>
    <n v="3753.23"/>
    <n v="1961.02"/>
    <s v="Credit Card"/>
    <s v="Sara"/>
  </r>
  <r>
    <x v="2472"/>
    <x v="157"/>
    <s v="Mumbai"/>
    <x v="2"/>
    <x v="5"/>
    <x v="24"/>
    <x v="0"/>
    <s v="Consumer"/>
    <n v="8"/>
    <n v="47495"/>
    <n v="0"/>
    <x v="2446"/>
    <n v="222223.76"/>
    <n v="157736.24"/>
    <s v="Net Banking"/>
    <s v="Diya"/>
  </r>
  <r>
    <x v="2473"/>
    <x v="201"/>
    <s v="Chennai"/>
    <x v="0"/>
    <x v="0"/>
    <x v="0"/>
    <x v="1"/>
    <s v="Corporate"/>
    <n v="6"/>
    <n v="1934"/>
    <n v="0.1"/>
    <x v="2447"/>
    <n v="7944.8"/>
    <n v="2498.8000000000002"/>
    <s v="Debit Card"/>
    <s v="Kabir"/>
  </r>
  <r>
    <x v="2474"/>
    <x v="262"/>
    <s v="Pune"/>
    <x v="2"/>
    <x v="1"/>
    <x v="22"/>
    <x v="0"/>
    <s v="Small Business"/>
    <n v="6"/>
    <n v="5961"/>
    <n v="0"/>
    <x v="2448"/>
    <n v="30232.61"/>
    <n v="5533.39"/>
    <s v="Debit Card"/>
    <s v="Sara"/>
  </r>
  <r>
    <x v="2475"/>
    <x v="208"/>
    <s v="Pune"/>
    <x v="2"/>
    <x v="3"/>
    <x v="32"/>
    <x v="2"/>
    <s v="Small Business"/>
    <n v="7"/>
    <n v="1910"/>
    <n v="0.1"/>
    <x v="2449"/>
    <n v="8903.92"/>
    <n v="3129.08"/>
    <s v="UPI"/>
    <s v="Rohan"/>
  </r>
  <r>
    <x v="2476"/>
    <x v="64"/>
    <s v="Chennai"/>
    <x v="0"/>
    <x v="3"/>
    <x v="12"/>
    <x v="1"/>
    <s v="Small Business"/>
    <n v="4"/>
    <n v="1407"/>
    <n v="0.05"/>
    <x v="2450"/>
    <n v="3523.56"/>
    <n v="1823.04"/>
    <s v="Credit Card"/>
    <s v="Meera"/>
  </r>
  <r>
    <x v="2477"/>
    <x v="286"/>
    <s v="Kolkata"/>
    <x v="1"/>
    <x v="3"/>
    <x v="12"/>
    <x v="1"/>
    <s v="Consumer"/>
    <n v="3"/>
    <n v="156"/>
    <n v="0"/>
    <x v="2451"/>
    <n v="384.19"/>
    <n v="83.81"/>
    <s v="Net Banking"/>
    <s v="Vikram"/>
  </r>
  <r>
    <x v="2478"/>
    <x v="156"/>
    <s v="Mumbai"/>
    <x v="2"/>
    <x v="4"/>
    <x v="4"/>
    <x v="2"/>
    <s v="Consumer"/>
    <n v="6"/>
    <n v="16147"/>
    <n v="0.1"/>
    <x v="2452"/>
    <n v="74311.58"/>
    <n v="12882.22"/>
    <s v="UPI"/>
    <s v="Sara"/>
  </r>
  <r>
    <x v="2479"/>
    <x v="18"/>
    <s v="Pune"/>
    <x v="2"/>
    <x v="3"/>
    <x v="34"/>
    <x v="0"/>
    <s v="Consumer"/>
    <n v="8"/>
    <n v="2186"/>
    <n v="0.1"/>
    <x v="2453"/>
    <n v="11542.93"/>
    <n v="4196.2700000000004"/>
    <s v="Debit Card"/>
    <s v="Meera"/>
  </r>
  <r>
    <x v="2480"/>
    <x v="194"/>
    <s v="Hyderabad"/>
    <x v="0"/>
    <x v="4"/>
    <x v="27"/>
    <x v="2"/>
    <s v="Consumer"/>
    <n v="1"/>
    <n v="21147"/>
    <n v="0.2"/>
    <x v="2454"/>
    <n v="13800.47"/>
    <n v="3117.13"/>
    <s v="UPI"/>
    <s v="Kabir"/>
  </r>
  <r>
    <x v="2481"/>
    <x v="49"/>
    <s v="Pune"/>
    <x v="2"/>
    <x v="3"/>
    <x v="32"/>
    <x v="1"/>
    <s v="Small Business"/>
    <n v="5"/>
    <n v="1651"/>
    <n v="0.1"/>
    <x v="2455"/>
    <n v="4805.37"/>
    <n v="2624.13"/>
    <s v="Cash"/>
    <s v="Aarav"/>
  </r>
  <r>
    <x v="2482"/>
    <x v="69"/>
    <s v="Hyderabad"/>
    <x v="0"/>
    <x v="4"/>
    <x v="14"/>
    <x v="2"/>
    <s v="Corporate"/>
    <n v="3"/>
    <n v="21969"/>
    <n v="0.1"/>
    <x v="2456"/>
    <n v="39577.9"/>
    <n v="19738.400000000001"/>
    <s v="Debit Card"/>
    <s v="Rohan"/>
  </r>
  <r>
    <x v="2483"/>
    <x v="354"/>
    <s v="Kolkata"/>
    <x v="1"/>
    <x v="2"/>
    <x v="5"/>
    <x v="0"/>
    <s v="Small Business"/>
    <n v="3"/>
    <n v="66822"/>
    <n v="0.1"/>
    <x v="2457"/>
    <n v="115091.53"/>
    <n v="65327.87"/>
    <s v="Net Banking"/>
    <s v="Anaya"/>
  </r>
  <r>
    <x v="2484"/>
    <x v="199"/>
    <s v="Hyderabad"/>
    <x v="0"/>
    <x v="2"/>
    <x v="21"/>
    <x v="2"/>
    <s v="Consumer"/>
    <n v="6"/>
    <n v="12157"/>
    <n v="0"/>
    <x v="2458"/>
    <n v="49403.38"/>
    <n v="23538.62"/>
    <s v="UPI"/>
    <s v="Diya"/>
  </r>
  <r>
    <x v="2485"/>
    <x v="208"/>
    <s v="Ahmedabad"/>
    <x v="2"/>
    <x v="5"/>
    <x v="6"/>
    <x v="0"/>
    <s v="Corporate"/>
    <n v="7"/>
    <n v="3058"/>
    <n v="0.05"/>
    <x v="2459"/>
    <n v="13316.57"/>
    <n v="7019.13"/>
    <s v="Debit Card"/>
    <s v="Rohan"/>
  </r>
  <r>
    <x v="2486"/>
    <x v="183"/>
    <s v="Mumbai"/>
    <x v="2"/>
    <x v="0"/>
    <x v="23"/>
    <x v="0"/>
    <s v="Corporate"/>
    <n v="7"/>
    <n v="801"/>
    <n v="0.05"/>
    <x v="2460"/>
    <n v="3299.9"/>
    <n v="2026.75"/>
    <s v="Net Banking"/>
    <s v="Diya"/>
  </r>
  <r>
    <x v="2487"/>
    <x v="36"/>
    <s v="Bengaluru"/>
    <x v="0"/>
    <x v="4"/>
    <x v="14"/>
    <x v="2"/>
    <s v="Small Business"/>
    <n v="8"/>
    <n v="18797"/>
    <n v="0.05"/>
    <x v="2461"/>
    <n v="97295.25"/>
    <n v="45561.95"/>
    <s v="Cash"/>
    <s v="Aarav"/>
  </r>
  <r>
    <x v="2488"/>
    <x v="2"/>
    <s v="Mumbai"/>
    <x v="2"/>
    <x v="4"/>
    <x v="13"/>
    <x v="0"/>
    <s v="Corporate"/>
    <n v="2"/>
    <n v="24194"/>
    <n v="0.05"/>
    <x v="2462"/>
    <n v="40198.160000000003"/>
    <n v="5770.44"/>
    <s v="Net Banking"/>
    <s v="Rohan"/>
  </r>
  <r>
    <x v="2489"/>
    <x v="210"/>
    <s v="Delhi"/>
    <x v="3"/>
    <x v="4"/>
    <x v="31"/>
    <x v="1"/>
    <s v="Small Business"/>
    <n v="8"/>
    <n v="7402"/>
    <n v="0.1"/>
    <x v="2463"/>
    <n v="42972.160000000003"/>
    <n v="10322.24"/>
    <s v="Debit Card"/>
    <s v="Sara"/>
  </r>
  <r>
    <x v="2490"/>
    <x v="281"/>
    <s v="Kolkata"/>
    <x v="1"/>
    <x v="2"/>
    <x v="29"/>
    <x v="0"/>
    <s v="Small Business"/>
    <n v="1"/>
    <n v="33442"/>
    <n v="0.1"/>
    <x v="2464"/>
    <n v="25723.1"/>
    <n v="4374.7"/>
    <s v="Debit Card"/>
    <s v="Vikram"/>
  </r>
  <r>
    <x v="2491"/>
    <x v="82"/>
    <s v="Pune"/>
    <x v="2"/>
    <x v="5"/>
    <x v="6"/>
    <x v="1"/>
    <s v="Corporate"/>
    <n v="6"/>
    <n v="22252"/>
    <n v="0"/>
    <x v="2465"/>
    <n v="108878.62"/>
    <n v="24633.38"/>
    <s v="Net Banking"/>
    <s v="Aarav"/>
  </r>
  <r>
    <x v="2492"/>
    <x v="202"/>
    <s v="Pune"/>
    <x v="2"/>
    <x v="6"/>
    <x v="20"/>
    <x v="1"/>
    <s v="Consumer"/>
    <n v="3"/>
    <n v="2833"/>
    <n v="0.05"/>
    <x v="2466"/>
    <n v="5673.4"/>
    <n v="2400.65"/>
    <s v="Credit Card"/>
    <s v="Meera"/>
  </r>
  <r>
    <x v="2493"/>
    <x v="72"/>
    <s v="Mumbai"/>
    <x v="2"/>
    <x v="5"/>
    <x v="24"/>
    <x v="2"/>
    <s v="Small Business"/>
    <n v="6"/>
    <n v="9734"/>
    <n v="0.1"/>
    <x v="2467"/>
    <n v="31236.2"/>
    <n v="21327.4"/>
    <s v="Net Banking"/>
    <s v="Rohan"/>
  </r>
  <r>
    <x v="2494"/>
    <x v="248"/>
    <s v="Mumbai"/>
    <x v="2"/>
    <x v="6"/>
    <x v="33"/>
    <x v="0"/>
    <s v="Consumer"/>
    <n v="2"/>
    <n v="3093"/>
    <n v="0.1"/>
    <x v="2468"/>
    <n v="4315.92"/>
    <n v="1251.48"/>
    <s v="UPI"/>
    <s v="Aarav"/>
  </r>
  <r>
    <x v="2495"/>
    <x v="291"/>
    <s v="Delhi"/>
    <x v="3"/>
    <x v="4"/>
    <x v="4"/>
    <x v="1"/>
    <s v="Corporate"/>
    <n v="4"/>
    <n v="4762"/>
    <n v="0.1"/>
    <x v="2469"/>
    <n v="12465.33"/>
    <n v="4677.87"/>
    <s v="Credit Card"/>
    <s v="Meera"/>
  </r>
  <r>
    <x v="2496"/>
    <x v="270"/>
    <s v="Chennai"/>
    <x v="0"/>
    <x v="5"/>
    <x v="25"/>
    <x v="1"/>
    <s v="Corporate"/>
    <n v="5"/>
    <n v="6860"/>
    <n v="0.1"/>
    <x v="2470"/>
    <n v="27025.73"/>
    <n v="3844.27"/>
    <s v="Debit Card"/>
    <s v="Meera"/>
  </r>
  <r>
    <x v="2497"/>
    <x v="104"/>
    <s v="Chennai"/>
    <x v="0"/>
    <x v="6"/>
    <x v="8"/>
    <x v="1"/>
    <s v="Small Business"/>
    <n v="6"/>
    <n v="2467"/>
    <n v="0.1"/>
    <x v="2471"/>
    <n v="11175.33"/>
    <n v="2146.4699999999998"/>
    <s v="Credit Card"/>
    <s v="Rohan"/>
  </r>
  <r>
    <x v="2498"/>
    <x v="268"/>
    <s v="Hyderabad"/>
    <x v="0"/>
    <x v="5"/>
    <x v="24"/>
    <x v="2"/>
    <s v="Small Business"/>
    <n v="5"/>
    <n v="28047"/>
    <n v="0.05"/>
    <x v="2472"/>
    <n v="80141.63"/>
    <n v="53081.62"/>
    <s v="Debit Card"/>
    <s v="Sara"/>
  </r>
  <r>
    <x v="2499"/>
    <x v="112"/>
    <s v="Delhi"/>
    <x v="3"/>
    <x v="6"/>
    <x v="8"/>
    <x v="2"/>
    <s v="Consumer"/>
    <n v="1"/>
    <n v="4540"/>
    <n v="0.1"/>
    <x v="2473"/>
    <n v="2746.97"/>
    <n v="1339.03"/>
    <s v="Debit Card"/>
    <s v="Rohan"/>
  </r>
  <r>
    <x v="2500"/>
    <x v="301"/>
    <s v="Ahmedabad"/>
    <x v="2"/>
    <x v="2"/>
    <x v="21"/>
    <x v="0"/>
    <s v="Small Business"/>
    <n v="1"/>
    <n v="65163"/>
    <n v="0.1"/>
    <x v="2474"/>
    <n v="32903"/>
    <n v="25743.7"/>
    <s v="UPI"/>
    <s v="Anaya"/>
  </r>
  <r>
    <x v="2501"/>
    <x v="312"/>
    <s v="Hyderabad"/>
    <x v="0"/>
    <x v="3"/>
    <x v="15"/>
    <x v="2"/>
    <s v="Consumer"/>
    <n v="3"/>
    <n v="1061"/>
    <n v="0.15"/>
    <x v="2475"/>
    <n v="1856.36"/>
    <n v="849.19"/>
    <s v="Cash"/>
    <s v="Diya"/>
  </r>
  <r>
    <x v="2502"/>
    <x v="217"/>
    <s v="Kolkata"/>
    <x v="1"/>
    <x v="5"/>
    <x v="25"/>
    <x v="0"/>
    <s v="Corporate"/>
    <n v="6"/>
    <n v="29282"/>
    <n v="0.1"/>
    <x v="2476"/>
    <n v="101497.8"/>
    <n v="56625"/>
    <s v="Credit Card"/>
    <s v="Kabir"/>
  </r>
  <r>
    <x v="2503"/>
    <x v="110"/>
    <s v="Kolkata"/>
    <x v="1"/>
    <x v="2"/>
    <x v="9"/>
    <x v="0"/>
    <s v="Corporate"/>
    <n v="3"/>
    <n v="21942"/>
    <n v="0.1"/>
    <x v="2477"/>
    <n v="39868.03"/>
    <n v="19375.37"/>
    <s v="Credit Card"/>
    <s v="Kabir"/>
  </r>
  <r>
    <x v="2504"/>
    <x v="291"/>
    <s v="Chennai"/>
    <x v="0"/>
    <x v="3"/>
    <x v="15"/>
    <x v="2"/>
    <s v="Consumer"/>
    <n v="4"/>
    <n v="2459"/>
    <n v="0.1"/>
    <x v="2478"/>
    <n v="5328.38"/>
    <n v="3524.02"/>
    <s v="Net Banking"/>
    <s v="Aarav"/>
  </r>
  <r>
    <x v="2505"/>
    <x v="278"/>
    <s v="Ahmedabad"/>
    <x v="2"/>
    <x v="4"/>
    <x v="14"/>
    <x v="1"/>
    <s v="Corporate"/>
    <n v="2"/>
    <n v="11627"/>
    <n v="0"/>
    <x v="2479"/>
    <n v="13929.86"/>
    <n v="9324.14"/>
    <s v="Credit Card"/>
    <s v="Vikram"/>
  </r>
  <r>
    <x v="2506"/>
    <x v="284"/>
    <s v="Chennai"/>
    <x v="0"/>
    <x v="4"/>
    <x v="31"/>
    <x v="1"/>
    <s v="Corporate"/>
    <n v="5"/>
    <n v="15006"/>
    <n v="0.15"/>
    <x v="2480"/>
    <n v="38472.660000000003"/>
    <n v="25302.84"/>
    <s v="Cash"/>
    <s v="Meera"/>
  </r>
  <r>
    <x v="2507"/>
    <x v="317"/>
    <s v="Chennai"/>
    <x v="0"/>
    <x v="5"/>
    <x v="25"/>
    <x v="0"/>
    <s v="Small Business"/>
    <n v="2"/>
    <n v="38132"/>
    <n v="0.1"/>
    <x v="2481"/>
    <n v="43522.61"/>
    <n v="25114.99"/>
    <s v="Cash"/>
    <s v="Meera"/>
  </r>
  <r>
    <x v="2508"/>
    <x v="148"/>
    <s v="Mumbai"/>
    <x v="2"/>
    <x v="1"/>
    <x v="7"/>
    <x v="0"/>
    <s v="Consumer"/>
    <n v="1"/>
    <n v="10896"/>
    <n v="0.15"/>
    <x v="2482"/>
    <n v="6154.76"/>
    <n v="3106.84"/>
    <s v="Debit Card"/>
    <s v="Anaya"/>
  </r>
  <r>
    <x v="2509"/>
    <x v="345"/>
    <s v="Delhi"/>
    <x v="3"/>
    <x v="6"/>
    <x v="30"/>
    <x v="2"/>
    <s v="Corporate"/>
    <n v="2"/>
    <n v="4619"/>
    <n v="0.05"/>
    <x v="2483"/>
    <n v="7602.57"/>
    <n v="1173.53"/>
    <s v="Net Banking"/>
    <s v="Rohan"/>
  </r>
  <r>
    <x v="2510"/>
    <x v="262"/>
    <s v="Pune"/>
    <x v="2"/>
    <x v="5"/>
    <x v="11"/>
    <x v="2"/>
    <s v="Consumer"/>
    <n v="8"/>
    <n v="4396"/>
    <n v="0.05"/>
    <x v="2484"/>
    <n v="24866.93"/>
    <n v="8542.67"/>
    <s v="UPI"/>
    <s v="Anaya"/>
  </r>
  <r>
    <x v="2511"/>
    <x v="162"/>
    <s v="Kolkata"/>
    <x v="1"/>
    <x v="3"/>
    <x v="34"/>
    <x v="0"/>
    <s v="Consumer"/>
    <n v="6"/>
    <n v="1193"/>
    <n v="0.15"/>
    <x v="2485"/>
    <n v="4469.0600000000004"/>
    <n v="1615.24"/>
    <s v="Net Banking"/>
    <s v="Rohan"/>
  </r>
  <r>
    <x v="2512"/>
    <x v="75"/>
    <s v="Kolkata"/>
    <x v="1"/>
    <x v="6"/>
    <x v="30"/>
    <x v="1"/>
    <s v="Consumer"/>
    <n v="5"/>
    <n v="5153"/>
    <n v="0.2"/>
    <x v="2486"/>
    <n v="17548.990000000002"/>
    <n v="3063.01"/>
    <s v="Cash"/>
    <s v="Diya"/>
  </r>
  <r>
    <x v="2513"/>
    <x v="236"/>
    <s v="Delhi"/>
    <x v="3"/>
    <x v="5"/>
    <x v="11"/>
    <x v="2"/>
    <s v="Small Business"/>
    <n v="2"/>
    <n v="12967"/>
    <n v="0.05"/>
    <x v="2487"/>
    <n v="17582.310000000001"/>
    <n v="7054.99"/>
    <s v="UPI"/>
    <s v="Kabir"/>
  </r>
  <r>
    <x v="2514"/>
    <x v="230"/>
    <s v="Delhi"/>
    <x v="3"/>
    <x v="5"/>
    <x v="17"/>
    <x v="2"/>
    <s v="Small Business"/>
    <n v="3"/>
    <n v="6817"/>
    <n v="0"/>
    <x v="2488"/>
    <n v="17059.45"/>
    <n v="3391.55"/>
    <s v="Net Banking"/>
    <s v="Aarav"/>
  </r>
  <r>
    <x v="2515"/>
    <x v="339"/>
    <s v="Mumbai"/>
    <x v="2"/>
    <x v="5"/>
    <x v="25"/>
    <x v="1"/>
    <s v="Corporate"/>
    <n v="1"/>
    <n v="18003"/>
    <n v="0"/>
    <x v="2489"/>
    <n v="12560.62"/>
    <n v="5442.38"/>
    <s v="Net Banking"/>
    <s v="Aarav"/>
  </r>
  <r>
    <x v="2516"/>
    <x v="231"/>
    <s v="Mumbai"/>
    <x v="2"/>
    <x v="4"/>
    <x v="14"/>
    <x v="1"/>
    <s v="Small Business"/>
    <n v="7"/>
    <n v="4490"/>
    <n v="0.15"/>
    <x v="2490"/>
    <n v="22038.45"/>
    <n v="4677.05"/>
    <s v="UPI"/>
    <s v="Meera"/>
  </r>
  <r>
    <x v="2517"/>
    <x v="116"/>
    <s v="Hyderabad"/>
    <x v="0"/>
    <x v="5"/>
    <x v="6"/>
    <x v="0"/>
    <s v="Consumer"/>
    <n v="1"/>
    <n v="10750"/>
    <n v="0.05"/>
    <x v="2491"/>
    <n v="7994.01"/>
    <n v="2218.4899999999998"/>
    <s v="Cash"/>
    <s v="Anaya"/>
  </r>
  <r>
    <x v="2518"/>
    <x v="18"/>
    <s v="Mumbai"/>
    <x v="2"/>
    <x v="6"/>
    <x v="8"/>
    <x v="2"/>
    <s v="Small Business"/>
    <n v="2"/>
    <n v="2180"/>
    <n v="0.1"/>
    <x v="2492"/>
    <n v="3087.83"/>
    <n v="836.17"/>
    <s v="Debit Card"/>
    <s v="Meera"/>
  </r>
  <r>
    <x v="2519"/>
    <x v="49"/>
    <s v="Bengaluru"/>
    <x v="0"/>
    <x v="5"/>
    <x v="11"/>
    <x v="2"/>
    <s v="Consumer"/>
    <n v="5"/>
    <n v="17084"/>
    <n v="0.1"/>
    <x v="2493"/>
    <n v="48583.34"/>
    <n v="28294.66"/>
    <s v="Cash"/>
    <s v="Meera"/>
  </r>
  <r>
    <x v="2520"/>
    <x v="126"/>
    <s v="Ahmedabad"/>
    <x v="2"/>
    <x v="3"/>
    <x v="34"/>
    <x v="0"/>
    <s v="Consumer"/>
    <n v="8"/>
    <n v="298"/>
    <n v="0"/>
    <x v="2494"/>
    <n v="1806.82"/>
    <n v="577.17999999999995"/>
    <s v="Credit Card"/>
    <s v="Vikram"/>
  </r>
  <r>
    <x v="2521"/>
    <x v="81"/>
    <s v="Mumbai"/>
    <x v="2"/>
    <x v="4"/>
    <x v="14"/>
    <x v="2"/>
    <s v="Corporate"/>
    <n v="4"/>
    <n v="20141"/>
    <n v="0.1"/>
    <x v="2495"/>
    <n v="57717.38"/>
    <n v="14790.22"/>
    <s v="Cash"/>
    <s v="Meera"/>
  </r>
  <r>
    <x v="2522"/>
    <x v="294"/>
    <s v="Bengaluru"/>
    <x v="0"/>
    <x v="4"/>
    <x v="13"/>
    <x v="1"/>
    <s v="Consumer"/>
    <n v="3"/>
    <n v="1942"/>
    <n v="0.1"/>
    <x v="2496"/>
    <n v="2988.11"/>
    <n v="2255.29"/>
    <s v="Debit Card"/>
    <s v="Kabir"/>
  </r>
  <r>
    <x v="2523"/>
    <x v="58"/>
    <s v="Mumbai"/>
    <x v="2"/>
    <x v="0"/>
    <x v="23"/>
    <x v="1"/>
    <s v="Corporate"/>
    <n v="1"/>
    <n v="726"/>
    <n v="0.1"/>
    <x v="2497"/>
    <n v="574.11"/>
    <n v="79.290000000000006"/>
    <s v="Cash"/>
    <s v="Sara"/>
  </r>
  <r>
    <x v="2524"/>
    <x v="282"/>
    <s v="Mumbai"/>
    <x v="2"/>
    <x v="0"/>
    <x v="0"/>
    <x v="0"/>
    <s v="Small Business"/>
    <n v="5"/>
    <n v="712"/>
    <n v="0"/>
    <x v="2498"/>
    <n v="2805.28"/>
    <n v="754.72"/>
    <s v="Cash"/>
    <s v="Meera"/>
  </r>
  <r>
    <x v="2525"/>
    <x v="159"/>
    <s v="Chennai"/>
    <x v="0"/>
    <x v="3"/>
    <x v="3"/>
    <x v="0"/>
    <s v="Corporate"/>
    <n v="5"/>
    <n v="1193"/>
    <n v="0"/>
    <x v="2499"/>
    <n v="3411.79"/>
    <n v="2553.21"/>
    <s v="Debit Card"/>
    <s v="Meera"/>
  </r>
  <r>
    <x v="2526"/>
    <x v="9"/>
    <s v="Mumbai"/>
    <x v="2"/>
    <x v="0"/>
    <x v="26"/>
    <x v="2"/>
    <s v="Small Business"/>
    <n v="2"/>
    <n v="183"/>
    <n v="0.05"/>
    <x v="2500"/>
    <n v="280.42"/>
    <n v="67.28"/>
    <s v="Debit Card"/>
    <s v="Anaya"/>
  </r>
  <r>
    <x v="2527"/>
    <x v="174"/>
    <s v="Pune"/>
    <x v="2"/>
    <x v="6"/>
    <x v="16"/>
    <x v="2"/>
    <s v="Small Business"/>
    <n v="5"/>
    <n v="3123"/>
    <n v="0.15"/>
    <x v="2501"/>
    <n v="7983.97"/>
    <n v="5288.78"/>
    <s v="Cash"/>
    <s v="Rohan"/>
  </r>
  <r>
    <x v="2528"/>
    <x v="202"/>
    <s v="Pune"/>
    <x v="2"/>
    <x v="6"/>
    <x v="33"/>
    <x v="2"/>
    <s v="Consumer"/>
    <n v="4"/>
    <n v="3545"/>
    <n v="0"/>
    <x v="2502"/>
    <n v="9109.18"/>
    <n v="5070.82"/>
    <s v="UPI"/>
    <s v="Sara"/>
  </r>
  <r>
    <x v="2529"/>
    <x v="80"/>
    <s v="Hyderabad"/>
    <x v="0"/>
    <x v="6"/>
    <x v="30"/>
    <x v="0"/>
    <s v="Small Business"/>
    <n v="2"/>
    <n v="5831"/>
    <n v="0.1"/>
    <x v="2503"/>
    <n v="8870.56"/>
    <n v="1625.24"/>
    <s v="Net Banking"/>
    <s v="Kabir"/>
  </r>
  <r>
    <x v="2530"/>
    <x v="26"/>
    <s v="Hyderabad"/>
    <x v="0"/>
    <x v="0"/>
    <x v="19"/>
    <x v="1"/>
    <s v="Corporate"/>
    <n v="4"/>
    <n v="683"/>
    <n v="0"/>
    <x v="2504"/>
    <n v="2394.64"/>
    <n v="337.36"/>
    <s v="Credit Card"/>
    <s v="Diya"/>
  </r>
  <r>
    <x v="2531"/>
    <x v="88"/>
    <s v="Mumbai"/>
    <x v="2"/>
    <x v="5"/>
    <x v="6"/>
    <x v="1"/>
    <s v="Small Business"/>
    <n v="2"/>
    <n v="43813"/>
    <n v="0.05"/>
    <x v="2505"/>
    <n v="57019.42"/>
    <n v="26225.279999999999"/>
    <s v="Net Banking"/>
    <s v="Diya"/>
  </r>
  <r>
    <x v="2532"/>
    <x v="184"/>
    <s v="Ahmedabad"/>
    <x v="2"/>
    <x v="4"/>
    <x v="4"/>
    <x v="2"/>
    <s v="Small Business"/>
    <n v="3"/>
    <n v="22107"/>
    <n v="0.1"/>
    <x v="2506"/>
    <n v="51019.56"/>
    <n v="8669.34"/>
    <s v="Net Banking"/>
    <s v="Diya"/>
  </r>
  <r>
    <x v="2533"/>
    <x v="164"/>
    <s v="Hyderabad"/>
    <x v="0"/>
    <x v="0"/>
    <x v="28"/>
    <x v="0"/>
    <s v="Corporate"/>
    <n v="3"/>
    <n v="541"/>
    <n v="0.05"/>
    <x v="2507"/>
    <n v="1276.8900000000001"/>
    <n v="264.95999999999998"/>
    <s v="Cash"/>
    <s v="Vikram"/>
  </r>
  <r>
    <x v="2534"/>
    <x v="170"/>
    <s v="Delhi"/>
    <x v="3"/>
    <x v="4"/>
    <x v="27"/>
    <x v="2"/>
    <s v="Small Business"/>
    <n v="7"/>
    <n v="17184"/>
    <n v="0.2"/>
    <x v="2508"/>
    <n v="65084.43"/>
    <n v="31145.97"/>
    <s v="Cash"/>
    <s v="Meera"/>
  </r>
  <r>
    <x v="2535"/>
    <x v="245"/>
    <s v="Bengaluru"/>
    <x v="0"/>
    <x v="5"/>
    <x v="25"/>
    <x v="2"/>
    <s v="Consumer"/>
    <n v="4"/>
    <n v="11845"/>
    <n v="0.1"/>
    <x v="2509"/>
    <n v="37378.17"/>
    <n v="5263.83"/>
    <s v="Net Banking"/>
    <s v="Anaya"/>
  </r>
  <r>
    <x v="2536"/>
    <x v="109"/>
    <s v="Mumbai"/>
    <x v="2"/>
    <x v="3"/>
    <x v="3"/>
    <x v="1"/>
    <s v="Small Business"/>
    <n v="3"/>
    <n v="1734"/>
    <n v="0"/>
    <x v="2510"/>
    <n v="3337.68"/>
    <n v="1864.32"/>
    <s v="Net Banking"/>
    <s v="Sara"/>
  </r>
  <r>
    <x v="2537"/>
    <x v="181"/>
    <s v="Pune"/>
    <x v="2"/>
    <x v="4"/>
    <x v="14"/>
    <x v="1"/>
    <s v="Small Business"/>
    <n v="8"/>
    <n v="16054"/>
    <n v="0.05"/>
    <x v="2511"/>
    <n v="79619.72"/>
    <n v="42390.68"/>
    <s v="Debit Card"/>
    <s v="Diya"/>
  </r>
  <r>
    <x v="2538"/>
    <x v="310"/>
    <s v="Kolkata"/>
    <x v="1"/>
    <x v="0"/>
    <x v="23"/>
    <x v="2"/>
    <s v="Corporate"/>
    <n v="4"/>
    <n v="1006"/>
    <n v="0.15"/>
    <x v="2512"/>
    <n v="2825.9"/>
    <n v="594.5"/>
    <s v="Cash"/>
    <s v="Vikram"/>
  </r>
  <r>
    <x v="2539"/>
    <x v="241"/>
    <s v="Hyderabad"/>
    <x v="0"/>
    <x v="5"/>
    <x v="25"/>
    <x v="0"/>
    <s v="Corporate"/>
    <n v="1"/>
    <n v="9074"/>
    <n v="0.1"/>
    <x v="2513"/>
    <n v="7123.42"/>
    <n v="1043.18"/>
    <s v="Credit Card"/>
    <s v="Kabir"/>
  </r>
  <r>
    <x v="2540"/>
    <x v="301"/>
    <s v="Hyderabad"/>
    <x v="0"/>
    <x v="1"/>
    <x v="18"/>
    <x v="1"/>
    <s v="Small Business"/>
    <n v="5"/>
    <n v="1265"/>
    <n v="0.15"/>
    <x v="2514"/>
    <n v="3653.21"/>
    <n v="1723.04"/>
    <s v="Cash"/>
    <s v="Meera"/>
  </r>
  <r>
    <x v="2541"/>
    <x v="35"/>
    <s v="Ahmedabad"/>
    <x v="2"/>
    <x v="5"/>
    <x v="25"/>
    <x v="1"/>
    <s v="Small Business"/>
    <n v="7"/>
    <n v="35960"/>
    <n v="0.2"/>
    <x v="2515"/>
    <n v="163580.04999999999"/>
    <n v="37795.949999999997"/>
    <s v="Cash"/>
    <s v="Anaya"/>
  </r>
  <r>
    <x v="2542"/>
    <x v="185"/>
    <s v="Ahmedabad"/>
    <x v="2"/>
    <x v="1"/>
    <x v="1"/>
    <x v="1"/>
    <s v="Corporate"/>
    <n v="7"/>
    <n v="8069"/>
    <n v="0"/>
    <x v="2516"/>
    <n v="44731.05"/>
    <n v="11751.95"/>
    <s v="Credit Card"/>
    <s v="Diya"/>
  </r>
  <r>
    <x v="2543"/>
    <x v="288"/>
    <s v="Kolkata"/>
    <x v="1"/>
    <x v="1"/>
    <x v="22"/>
    <x v="0"/>
    <s v="Consumer"/>
    <n v="8"/>
    <n v="5467"/>
    <n v="0.15"/>
    <x v="2517"/>
    <n v="23740.12"/>
    <n v="13435.48"/>
    <s v="UPI"/>
    <s v="Kabir"/>
  </r>
  <r>
    <x v="2544"/>
    <x v="201"/>
    <s v="Mumbai"/>
    <x v="2"/>
    <x v="3"/>
    <x v="15"/>
    <x v="1"/>
    <s v="Small Business"/>
    <n v="3"/>
    <n v="1756"/>
    <n v="0"/>
    <x v="2518"/>
    <n v="4266.8"/>
    <n v="1001.2"/>
    <s v="Net Banking"/>
    <s v="Kabir"/>
  </r>
  <r>
    <x v="2545"/>
    <x v="22"/>
    <s v="Delhi"/>
    <x v="3"/>
    <x v="6"/>
    <x v="8"/>
    <x v="0"/>
    <s v="Corporate"/>
    <n v="4"/>
    <n v="2471"/>
    <n v="0.15"/>
    <x v="2519"/>
    <n v="6999.01"/>
    <n v="1402.39"/>
    <s v="Debit Card"/>
    <s v="Meera"/>
  </r>
  <r>
    <x v="2546"/>
    <x v="129"/>
    <s v="Bengaluru"/>
    <x v="0"/>
    <x v="0"/>
    <x v="28"/>
    <x v="2"/>
    <s v="Consumer"/>
    <n v="1"/>
    <n v="1795"/>
    <n v="0.15"/>
    <x v="2520"/>
    <n v="1094.67"/>
    <n v="431.08"/>
    <s v="UPI"/>
    <s v="Kabir"/>
  </r>
  <r>
    <x v="2547"/>
    <x v="175"/>
    <s v="Delhi"/>
    <x v="3"/>
    <x v="3"/>
    <x v="15"/>
    <x v="0"/>
    <s v="Consumer"/>
    <n v="5"/>
    <n v="1383"/>
    <n v="0"/>
    <x v="2521"/>
    <n v="5502.02"/>
    <n v="1412.98"/>
    <s v="Net Banking"/>
    <s v="Meera"/>
  </r>
  <r>
    <x v="2548"/>
    <x v="244"/>
    <s v="Delhi"/>
    <x v="3"/>
    <x v="2"/>
    <x v="29"/>
    <x v="2"/>
    <s v="Consumer"/>
    <n v="1"/>
    <n v="64779"/>
    <n v="0.05"/>
    <x v="2522"/>
    <n v="48113.440000000002"/>
    <n v="13426.61"/>
    <s v="UPI"/>
    <s v="Vikram"/>
  </r>
  <r>
    <x v="2549"/>
    <x v="224"/>
    <s v="Bengaluru"/>
    <x v="0"/>
    <x v="5"/>
    <x v="6"/>
    <x v="1"/>
    <s v="Corporate"/>
    <n v="7"/>
    <n v="23209"/>
    <n v="0.15"/>
    <x v="2523"/>
    <n v="91102.97"/>
    <n v="46990.58"/>
    <s v="Cash"/>
    <s v="Kabir"/>
  </r>
  <r>
    <x v="2550"/>
    <x v="143"/>
    <s v="Delhi"/>
    <x v="3"/>
    <x v="1"/>
    <x v="7"/>
    <x v="2"/>
    <s v="Corporate"/>
    <n v="5"/>
    <n v="8257"/>
    <n v="0.1"/>
    <x v="2524"/>
    <n v="31153.97"/>
    <n v="6002.53"/>
    <s v="Debit Card"/>
    <s v="Aarav"/>
  </r>
  <r>
    <x v="2551"/>
    <x v="341"/>
    <s v="Mumbai"/>
    <x v="2"/>
    <x v="1"/>
    <x v="18"/>
    <x v="2"/>
    <s v="Corporate"/>
    <n v="7"/>
    <n v="9073"/>
    <n v="0"/>
    <x v="2525"/>
    <n v="50701.919999999998"/>
    <n v="12809.08"/>
    <s v="Debit Card"/>
    <s v="Sara"/>
  </r>
  <r>
    <x v="2552"/>
    <x v="268"/>
    <s v="Delhi"/>
    <x v="3"/>
    <x v="4"/>
    <x v="31"/>
    <x v="2"/>
    <s v="Consumer"/>
    <n v="7"/>
    <n v="12330"/>
    <n v="0.05"/>
    <x v="2526"/>
    <n v="45330.86"/>
    <n v="36663.64"/>
    <s v="Net Banking"/>
    <s v="Vikram"/>
  </r>
  <r>
    <x v="2553"/>
    <x v="154"/>
    <s v="Ahmedabad"/>
    <x v="2"/>
    <x v="3"/>
    <x v="3"/>
    <x v="0"/>
    <s v="Corporate"/>
    <n v="3"/>
    <n v="2255"/>
    <n v="0.15"/>
    <x v="2527"/>
    <n v="3402.85"/>
    <n v="2347.4"/>
    <s v="Debit Card"/>
    <s v="Anaya"/>
  </r>
  <r>
    <x v="2554"/>
    <x v="194"/>
    <s v="Ahmedabad"/>
    <x v="2"/>
    <x v="0"/>
    <x v="0"/>
    <x v="1"/>
    <s v="Corporate"/>
    <n v="3"/>
    <n v="2306"/>
    <n v="0.1"/>
    <x v="2528"/>
    <n v="4223.1499999999996"/>
    <n v="2003.05"/>
    <s v="Net Banking"/>
    <s v="Vikram"/>
  </r>
  <r>
    <x v="2555"/>
    <x v="307"/>
    <s v="Hyderabad"/>
    <x v="0"/>
    <x v="1"/>
    <x v="1"/>
    <x v="2"/>
    <s v="Corporate"/>
    <n v="3"/>
    <n v="2884"/>
    <n v="0.2"/>
    <x v="2529"/>
    <n v="4393.8100000000004"/>
    <n v="2527.79"/>
    <s v="Debit Card"/>
    <s v="Meera"/>
  </r>
  <r>
    <x v="2556"/>
    <x v="47"/>
    <s v="Kolkata"/>
    <x v="1"/>
    <x v="6"/>
    <x v="8"/>
    <x v="2"/>
    <s v="Corporate"/>
    <n v="6"/>
    <n v="2077"/>
    <n v="0"/>
    <x v="2530"/>
    <n v="10286.780000000001"/>
    <n v="2175.2199999999998"/>
    <s v="Net Banking"/>
    <s v="Kabir"/>
  </r>
  <r>
    <x v="2557"/>
    <x v="317"/>
    <s v="Pune"/>
    <x v="2"/>
    <x v="0"/>
    <x v="0"/>
    <x v="1"/>
    <s v="Consumer"/>
    <n v="3"/>
    <n v="1568"/>
    <n v="0.1"/>
    <x v="2531"/>
    <n v="3108.8"/>
    <n v="1124.8"/>
    <s v="Debit Card"/>
    <s v="Vikram"/>
  </r>
  <r>
    <x v="2558"/>
    <x v="50"/>
    <s v="Delhi"/>
    <x v="3"/>
    <x v="6"/>
    <x v="30"/>
    <x v="1"/>
    <s v="Corporate"/>
    <n v="5"/>
    <n v="4423"/>
    <n v="0"/>
    <x v="2532"/>
    <n v="16773.45"/>
    <n v="5341.55"/>
    <s v="Net Banking"/>
    <s v="Sara"/>
  </r>
  <r>
    <x v="2559"/>
    <x v="134"/>
    <s v="Mumbai"/>
    <x v="2"/>
    <x v="6"/>
    <x v="33"/>
    <x v="0"/>
    <s v="Small Business"/>
    <n v="4"/>
    <n v="1787"/>
    <n v="0.1"/>
    <x v="2533"/>
    <n v="5039.1899999999996"/>
    <n v="1394.01"/>
    <s v="Credit Card"/>
    <s v="Vikram"/>
  </r>
  <r>
    <x v="2560"/>
    <x v="5"/>
    <s v="Mumbai"/>
    <x v="2"/>
    <x v="3"/>
    <x v="12"/>
    <x v="0"/>
    <s v="Corporate"/>
    <n v="3"/>
    <n v="1983"/>
    <n v="0.1"/>
    <x v="2534"/>
    <n v="3620.82"/>
    <n v="1733.28"/>
    <s v="UPI"/>
    <s v="Kabir"/>
  </r>
  <r>
    <x v="2561"/>
    <x v="12"/>
    <s v="Delhi"/>
    <x v="3"/>
    <x v="0"/>
    <x v="28"/>
    <x v="2"/>
    <s v="Consumer"/>
    <n v="2"/>
    <n v="130"/>
    <n v="0.05"/>
    <x v="2535"/>
    <n v="170.98"/>
    <n v="76.02"/>
    <s v="Debit Card"/>
    <s v="Sara"/>
  </r>
  <r>
    <x v="2562"/>
    <x v="31"/>
    <s v="Pune"/>
    <x v="2"/>
    <x v="6"/>
    <x v="8"/>
    <x v="2"/>
    <s v="Small Business"/>
    <n v="3"/>
    <n v="1024"/>
    <n v="0.1"/>
    <x v="2536"/>
    <n v="1707.66"/>
    <n v="1057.1400000000001"/>
    <s v="Debit Card"/>
    <s v="Rohan"/>
  </r>
  <r>
    <x v="2563"/>
    <x v="281"/>
    <s v="Mumbai"/>
    <x v="2"/>
    <x v="2"/>
    <x v="5"/>
    <x v="1"/>
    <s v="Consumer"/>
    <n v="8"/>
    <n v="8429"/>
    <n v="0.05"/>
    <x v="2537"/>
    <n v="55700.01"/>
    <n v="8360.39"/>
    <s v="Net Banking"/>
    <s v="Anaya"/>
  </r>
  <r>
    <x v="2564"/>
    <x v="42"/>
    <s v="Pune"/>
    <x v="2"/>
    <x v="4"/>
    <x v="31"/>
    <x v="0"/>
    <s v="Small Business"/>
    <n v="4"/>
    <n v="1428"/>
    <n v="0"/>
    <x v="2538"/>
    <n v="3721.6"/>
    <n v="1990.4"/>
    <s v="Credit Card"/>
    <s v="Sara"/>
  </r>
  <r>
    <x v="2565"/>
    <x v="327"/>
    <s v="Bengaluru"/>
    <x v="0"/>
    <x v="2"/>
    <x v="5"/>
    <x v="2"/>
    <s v="Small Business"/>
    <n v="4"/>
    <n v="65656"/>
    <n v="0.1"/>
    <x v="2539"/>
    <n v="205251.55"/>
    <n v="31110.05"/>
    <s v="Cash"/>
    <s v="Sara"/>
  </r>
  <r>
    <x v="2566"/>
    <x v="184"/>
    <s v="Hyderabad"/>
    <x v="0"/>
    <x v="2"/>
    <x v="29"/>
    <x v="1"/>
    <s v="Small Business"/>
    <n v="3"/>
    <n v="15393"/>
    <n v="0.05"/>
    <x v="2540"/>
    <n v="28036.19"/>
    <n v="15833.86"/>
    <s v="Debit Card"/>
    <s v="Diya"/>
  </r>
  <r>
    <x v="2567"/>
    <x v="190"/>
    <s v="Bengaluru"/>
    <x v="0"/>
    <x v="5"/>
    <x v="17"/>
    <x v="0"/>
    <s v="Corporate"/>
    <n v="5"/>
    <n v="47964"/>
    <n v="0.1"/>
    <x v="2541"/>
    <n v="165807.85"/>
    <n v="50030.15"/>
    <s v="Credit Card"/>
    <s v="Kabir"/>
  </r>
  <r>
    <x v="2568"/>
    <x v="279"/>
    <s v="Delhi"/>
    <x v="3"/>
    <x v="3"/>
    <x v="32"/>
    <x v="2"/>
    <s v="Corporate"/>
    <n v="4"/>
    <n v="2123"/>
    <n v="0.1"/>
    <x v="2542"/>
    <n v="5187.3599999999997"/>
    <n v="2455.44"/>
    <s v="Debit Card"/>
    <s v="Rohan"/>
  </r>
  <r>
    <x v="2569"/>
    <x v="319"/>
    <s v="Delhi"/>
    <x v="3"/>
    <x v="0"/>
    <x v="0"/>
    <x v="0"/>
    <s v="Corporate"/>
    <n v="3"/>
    <n v="749"/>
    <n v="0"/>
    <x v="2543"/>
    <n v="1342.28"/>
    <n v="904.72"/>
    <s v="Debit Card"/>
    <s v="Sara"/>
  </r>
  <r>
    <x v="2570"/>
    <x v="322"/>
    <s v="Hyderabad"/>
    <x v="0"/>
    <x v="6"/>
    <x v="20"/>
    <x v="2"/>
    <s v="Small Business"/>
    <n v="1"/>
    <n v="516"/>
    <n v="0.15"/>
    <x v="2544"/>
    <n v="252.23"/>
    <n v="186.37"/>
    <s v="Cash"/>
    <s v="Sara"/>
  </r>
  <r>
    <x v="2571"/>
    <x v="344"/>
    <s v="Delhi"/>
    <x v="3"/>
    <x v="4"/>
    <x v="31"/>
    <x v="1"/>
    <s v="Corporate"/>
    <n v="1"/>
    <n v="23309"/>
    <n v="0.05"/>
    <x v="2545"/>
    <n v="12627.18"/>
    <n v="9516.3700000000008"/>
    <s v="Net Banking"/>
    <s v="Diya"/>
  </r>
  <r>
    <x v="2572"/>
    <x v="287"/>
    <s v="Ahmedabad"/>
    <x v="2"/>
    <x v="3"/>
    <x v="15"/>
    <x v="1"/>
    <s v="Corporate"/>
    <n v="7"/>
    <n v="989"/>
    <n v="0"/>
    <x v="2546"/>
    <n v="3875.24"/>
    <n v="3047.76"/>
    <s v="Debit Card"/>
    <s v="Anaya"/>
  </r>
  <r>
    <x v="2573"/>
    <x v="336"/>
    <s v="Mumbai"/>
    <x v="2"/>
    <x v="0"/>
    <x v="26"/>
    <x v="0"/>
    <s v="Consumer"/>
    <n v="6"/>
    <n v="1003"/>
    <n v="0.05"/>
    <x v="2547"/>
    <n v="4060.32"/>
    <n v="1656.78"/>
    <s v="Credit Card"/>
    <s v="Aarav"/>
  </r>
  <r>
    <x v="2574"/>
    <x v="198"/>
    <s v="Mumbai"/>
    <x v="2"/>
    <x v="1"/>
    <x v="18"/>
    <x v="1"/>
    <s v="Corporate"/>
    <n v="6"/>
    <n v="9601"/>
    <n v="0.1"/>
    <x v="2548"/>
    <n v="44964.160000000003"/>
    <n v="6881.24"/>
    <s v="UPI"/>
    <s v="Vikram"/>
  </r>
  <r>
    <x v="2575"/>
    <x v="69"/>
    <s v="Bengaluru"/>
    <x v="0"/>
    <x v="1"/>
    <x v="1"/>
    <x v="1"/>
    <s v="Corporate"/>
    <n v="1"/>
    <n v="841"/>
    <n v="0.1"/>
    <x v="2549"/>
    <n v="451.77"/>
    <n v="305.13"/>
    <s v="UPI"/>
    <s v="Diya"/>
  </r>
  <r>
    <x v="2576"/>
    <x v="163"/>
    <s v="Delhi"/>
    <x v="3"/>
    <x v="0"/>
    <x v="0"/>
    <x v="1"/>
    <s v="Small Business"/>
    <n v="7"/>
    <n v="1590"/>
    <n v="0.05"/>
    <x v="2550"/>
    <n v="8095.06"/>
    <n v="2478.44"/>
    <s v="Credit Card"/>
    <s v="Rohan"/>
  </r>
  <r>
    <x v="2577"/>
    <x v="88"/>
    <s v="Mumbai"/>
    <x v="2"/>
    <x v="2"/>
    <x v="29"/>
    <x v="0"/>
    <s v="Consumer"/>
    <n v="7"/>
    <n v="29681"/>
    <n v="0.05"/>
    <x v="2551"/>
    <n v="126705.05"/>
    <n v="70673.600000000006"/>
    <s v="Debit Card"/>
    <s v="Rohan"/>
  </r>
  <r>
    <x v="2578"/>
    <x v="98"/>
    <s v="Pune"/>
    <x v="2"/>
    <x v="1"/>
    <x v="7"/>
    <x v="2"/>
    <s v="Corporate"/>
    <n v="8"/>
    <n v="10777"/>
    <n v="0.1"/>
    <x v="2552"/>
    <n v="63103.26"/>
    <n v="14491.14"/>
    <s v="Net Banking"/>
    <s v="Aarav"/>
  </r>
  <r>
    <x v="2579"/>
    <x v="198"/>
    <s v="Bengaluru"/>
    <x v="0"/>
    <x v="1"/>
    <x v="10"/>
    <x v="0"/>
    <s v="Corporate"/>
    <n v="6"/>
    <n v="3717"/>
    <n v="0"/>
    <x v="2553"/>
    <n v="19075.71"/>
    <n v="3226.29"/>
    <s v="Credit Card"/>
    <s v="Rohan"/>
  </r>
  <r>
    <x v="2580"/>
    <x v="65"/>
    <s v="Pune"/>
    <x v="2"/>
    <x v="1"/>
    <x v="18"/>
    <x v="2"/>
    <s v="Corporate"/>
    <n v="1"/>
    <n v="9478"/>
    <n v="0.1"/>
    <x v="2554"/>
    <n v="7184.6"/>
    <n v="1345.6"/>
    <s v="Debit Card"/>
    <s v="Aarav"/>
  </r>
  <r>
    <x v="2581"/>
    <x v="306"/>
    <s v="Chennai"/>
    <x v="0"/>
    <x v="5"/>
    <x v="6"/>
    <x v="1"/>
    <s v="Small Business"/>
    <n v="6"/>
    <n v="34172"/>
    <n v="0.05"/>
    <x v="2555"/>
    <n v="107599.29"/>
    <n v="87181.11"/>
    <s v="Credit Card"/>
    <s v="Kabir"/>
  </r>
  <r>
    <x v="2582"/>
    <x v="88"/>
    <s v="Mumbai"/>
    <x v="2"/>
    <x v="0"/>
    <x v="26"/>
    <x v="1"/>
    <s v="Consumer"/>
    <n v="8"/>
    <n v="983"/>
    <n v="0.1"/>
    <x v="2556"/>
    <n v="5377.93"/>
    <n v="1699.67"/>
    <s v="Credit Card"/>
    <s v="Meera"/>
  </r>
  <r>
    <x v="2583"/>
    <x v="324"/>
    <s v="Chennai"/>
    <x v="0"/>
    <x v="2"/>
    <x v="5"/>
    <x v="1"/>
    <s v="Small Business"/>
    <n v="8"/>
    <n v="22145"/>
    <n v="0.2"/>
    <x v="2557"/>
    <n v="81644.84"/>
    <n v="60083.16"/>
    <s v="Debit Card"/>
    <s v="Aarav"/>
  </r>
  <r>
    <x v="2584"/>
    <x v="246"/>
    <s v="Ahmedabad"/>
    <x v="2"/>
    <x v="2"/>
    <x v="2"/>
    <x v="2"/>
    <s v="Consumer"/>
    <n v="2"/>
    <n v="9168"/>
    <n v="0.1"/>
    <x v="2558"/>
    <n v="13203.31"/>
    <n v="3299.09"/>
    <s v="Debit Card"/>
    <s v="Vikram"/>
  </r>
  <r>
    <x v="2585"/>
    <x v="336"/>
    <s v="Mumbai"/>
    <x v="2"/>
    <x v="1"/>
    <x v="1"/>
    <x v="1"/>
    <s v="Consumer"/>
    <n v="7"/>
    <n v="776"/>
    <n v="0.1"/>
    <x v="2559"/>
    <n v="2973.72"/>
    <n v="1915.08"/>
    <s v="UPI"/>
    <s v="Vikram"/>
  </r>
  <r>
    <x v="2586"/>
    <x v="276"/>
    <s v="Pune"/>
    <x v="2"/>
    <x v="6"/>
    <x v="33"/>
    <x v="1"/>
    <s v="Consumer"/>
    <n v="1"/>
    <n v="4176"/>
    <n v="0"/>
    <x v="2560"/>
    <n v="3203.79"/>
    <n v="972.21"/>
    <s v="Cash"/>
    <s v="Kabir"/>
  </r>
  <r>
    <x v="2587"/>
    <x v="239"/>
    <s v="Ahmedabad"/>
    <x v="2"/>
    <x v="4"/>
    <x v="4"/>
    <x v="2"/>
    <s v="Small Business"/>
    <n v="3"/>
    <n v="10553"/>
    <n v="0.05"/>
    <x v="2561"/>
    <n v="24163.43"/>
    <n v="5912.62"/>
    <s v="Credit Card"/>
    <s v="Rohan"/>
  </r>
  <r>
    <x v="2588"/>
    <x v="347"/>
    <s v="Bengaluru"/>
    <x v="0"/>
    <x v="0"/>
    <x v="28"/>
    <x v="1"/>
    <s v="Corporate"/>
    <n v="1"/>
    <n v="1291"/>
    <n v="0.15"/>
    <x v="2562"/>
    <n v="829.71"/>
    <n v="267.64"/>
    <s v="Debit Card"/>
    <s v="Sara"/>
  </r>
  <r>
    <x v="2589"/>
    <x v="243"/>
    <s v="Mumbai"/>
    <x v="2"/>
    <x v="5"/>
    <x v="11"/>
    <x v="1"/>
    <s v="Corporate"/>
    <n v="1"/>
    <n v="34100"/>
    <n v="0.05"/>
    <x v="2563"/>
    <n v="24484.240000000002"/>
    <n v="7910.76"/>
    <s v="Cash"/>
    <s v="Aarav"/>
  </r>
  <r>
    <x v="2590"/>
    <x v="352"/>
    <s v="Chennai"/>
    <x v="0"/>
    <x v="1"/>
    <x v="10"/>
    <x v="1"/>
    <s v="Consumer"/>
    <n v="1"/>
    <n v="5435"/>
    <n v="0.1"/>
    <x v="2564"/>
    <n v="2980.63"/>
    <n v="1910.87"/>
    <s v="Cash"/>
    <s v="Meera"/>
  </r>
  <r>
    <x v="2591"/>
    <x v="207"/>
    <s v="Delhi"/>
    <x v="3"/>
    <x v="3"/>
    <x v="12"/>
    <x v="2"/>
    <s v="Small Business"/>
    <n v="8"/>
    <n v="587"/>
    <n v="0.15"/>
    <x v="2565"/>
    <n v="2205.8000000000002"/>
    <n v="1785.8"/>
    <s v="Cash"/>
    <s v="Vikram"/>
  </r>
  <r>
    <x v="2592"/>
    <x v="84"/>
    <s v="Mumbai"/>
    <x v="2"/>
    <x v="3"/>
    <x v="32"/>
    <x v="0"/>
    <s v="Corporate"/>
    <n v="8"/>
    <n v="2012"/>
    <n v="0"/>
    <x v="2566"/>
    <n v="12227.02"/>
    <n v="3868.98"/>
    <s v="Credit Card"/>
    <s v="Kabir"/>
  </r>
  <r>
    <x v="2593"/>
    <x v="187"/>
    <s v="Mumbai"/>
    <x v="2"/>
    <x v="4"/>
    <x v="14"/>
    <x v="2"/>
    <s v="Consumer"/>
    <n v="3"/>
    <n v="16488"/>
    <n v="0"/>
    <x v="2567"/>
    <n v="38537.599999999999"/>
    <n v="10926.4"/>
    <s v="Debit Card"/>
    <s v="Vikram"/>
  </r>
  <r>
    <x v="2594"/>
    <x v="12"/>
    <s v="Mumbai"/>
    <x v="2"/>
    <x v="4"/>
    <x v="27"/>
    <x v="2"/>
    <s v="Corporate"/>
    <n v="8"/>
    <n v="8765"/>
    <n v="0.15"/>
    <x v="2568"/>
    <n v="46568.71"/>
    <n v="13033.29"/>
    <s v="Credit Card"/>
    <s v="Vikram"/>
  </r>
  <r>
    <x v="2595"/>
    <x v="119"/>
    <s v="Kolkata"/>
    <x v="1"/>
    <x v="1"/>
    <x v="1"/>
    <x v="0"/>
    <s v="Small Business"/>
    <n v="7"/>
    <n v="5851"/>
    <n v="0.1"/>
    <x v="2569"/>
    <n v="32399.01"/>
    <n v="4462.29"/>
    <s v="Debit Card"/>
    <s v="Aarav"/>
  </r>
  <r>
    <x v="2596"/>
    <x v="302"/>
    <s v="Pune"/>
    <x v="2"/>
    <x v="1"/>
    <x v="10"/>
    <x v="0"/>
    <s v="Consumer"/>
    <n v="1"/>
    <n v="9093"/>
    <n v="0.1"/>
    <x v="2570"/>
    <n v="6596.96"/>
    <n v="1586.74"/>
    <s v="Net Banking"/>
    <s v="Anaya"/>
  </r>
  <r>
    <x v="2597"/>
    <x v="263"/>
    <s v="Mumbai"/>
    <x v="2"/>
    <x v="2"/>
    <x v="29"/>
    <x v="1"/>
    <s v="Small Business"/>
    <n v="1"/>
    <n v="2387"/>
    <n v="0.05"/>
    <x v="2571"/>
    <n v="1530.76"/>
    <n v="736.89"/>
    <s v="Net Banking"/>
    <s v="Vikram"/>
  </r>
  <r>
    <x v="2598"/>
    <x v="6"/>
    <s v="Bengaluru"/>
    <x v="0"/>
    <x v="5"/>
    <x v="17"/>
    <x v="0"/>
    <s v="Small Business"/>
    <n v="1"/>
    <n v="41805"/>
    <n v="0.1"/>
    <x v="2572"/>
    <n v="23261.51"/>
    <n v="14362.99"/>
    <s v="Credit Card"/>
    <s v="Meera"/>
  </r>
  <r>
    <x v="2599"/>
    <x v="284"/>
    <s v="Kolkata"/>
    <x v="1"/>
    <x v="6"/>
    <x v="33"/>
    <x v="0"/>
    <s v="Corporate"/>
    <n v="5"/>
    <n v="2798"/>
    <n v="0.2"/>
    <x v="2573"/>
    <n v="7657.94"/>
    <n v="3534.06"/>
    <s v="UPI"/>
    <s v="Aarav"/>
  </r>
  <r>
    <x v="2600"/>
    <x v="78"/>
    <s v="Bengaluru"/>
    <x v="0"/>
    <x v="4"/>
    <x v="4"/>
    <x v="0"/>
    <s v="Small Business"/>
    <n v="4"/>
    <n v="2432"/>
    <n v="0.1"/>
    <x v="2574"/>
    <n v="7642.12"/>
    <n v="1113.08"/>
    <s v="Credit Card"/>
    <s v="Kabir"/>
  </r>
  <r>
    <x v="2601"/>
    <x v="259"/>
    <s v="Hyderabad"/>
    <x v="0"/>
    <x v="5"/>
    <x v="6"/>
    <x v="1"/>
    <s v="Consumer"/>
    <n v="6"/>
    <n v="30480"/>
    <n v="0.1"/>
    <x v="2575"/>
    <n v="108884.85"/>
    <n v="55707.15"/>
    <s v="Credit Card"/>
    <s v="Sara"/>
  </r>
  <r>
    <x v="2602"/>
    <x v="220"/>
    <s v="Hyderabad"/>
    <x v="0"/>
    <x v="6"/>
    <x v="8"/>
    <x v="1"/>
    <s v="Corporate"/>
    <n v="4"/>
    <n v="5708"/>
    <n v="0.1"/>
    <x v="2576"/>
    <n v="14075.69"/>
    <n v="6473.11"/>
    <s v="Debit Card"/>
    <s v="Kabir"/>
  </r>
  <r>
    <x v="2603"/>
    <x v="35"/>
    <s v="Pune"/>
    <x v="2"/>
    <x v="0"/>
    <x v="0"/>
    <x v="2"/>
    <s v="Corporate"/>
    <n v="3"/>
    <n v="1641"/>
    <n v="0.2"/>
    <x v="2577"/>
    <n v="2378.13"/>
    <n v="1560.27"/>
    <s v="Net Banking"/>
    <s v="Meera"/>
  </r>
  <r>
    <x v="2604"/>
    <x v="224"/>
    <s v="Mumbai"/>
    <x v="2"/>
    <x v="0"/>
    <x v="0"/>
    <x v="1"/>
    <s v="Small Business"/>
    <n v="2"/>
    <n v="782"/>
    <n v="0.1"/>
    <x v="2578"/>
    <n v="969.59"/>
    <n v="438.01"/>
    <s v="UPI"/>
    <s v="Diya"/>
  </r>
  <r>
    <x v="2605"/>
    <x v="216"/>
    <s v="Chennai"/>
    <x v="0"/>
    <x v="3"/>
    <x v="34"/>
    <x v="2"/>
    <s v="Small Business"/>
    <n v="4"/>
    <n v="1113"/>
    <n v="0.1"/>
    <x v="2579"/>
    <n v="2926.68"/>
    <n v="1080.1199999999999"/>
    <s v="Credit Card"/>
    <s v="Anaya"/>
  </r>
  <r>
    <x v="2606"/>
    <x v="147"/>
    <s v="Bengaluru"/>
    <x v="0"/>
    <x v="2"/>
    <x v="2"/>
    <x v="1"/>
    <s v="Consumer"/>
    <n v="7"/>
    <n v="56107"/>
    <n v="0.05"/>
    <x v="2580"/>
    <n v="237320.66"/>
    <n v="135790.89000000001"/>
    <s v="Cash"/>
    <s v="Aarav"/>
  </r>
  <r>
    <x v="2607"/>
    <x v="266"/>
    <s v="Chennai"/>
    <x v="0"/>
    <x v="2"/>
    <x v="29"/>
    <x v="1"/>
    <s v="Small Business"/>
    <n v="6"/>
    <n v="19701"/>
    <n v="0.1"/>
    <x v="2581"/>
    <n v="85794.16"/>
    <n v="20591.240000000002"/>
    <s v="Debit Card"/>
    <s v="Kabir"/>
  </r>
  <r>
    <x v="2608"/>
    <x v="97"/>
    <s v="Delhi"/>
    <x v="3"/>
    <x v="0"/>
    <x v="0"/>
    <x v="2"/>
    <s v="Corporate"/>
    <n v="4"/>
    <n v="945"/>
    <n v="0.1"/>
    <x v="291"/>
    <n v="2075.61"/>
    <n v="1326.39"/>
    <s v="Credit Card"/>
    <s v="Diya"/>
  </r>
  <r>
    <x v="2609"/>
    <x v="156"/>
    <s v="Bengaluru"/>
    <x v="0"/>
    <x v="6"/>
    <x v="16"/>
    <x v="2"/>
    <s v="Consumer"/>
    <n v="1"/>
    <n v="3851"/>
    <n v="0.15"/>
    <x v="2582"/>
    <n v="2188.4299999999998"/>
    <n v="1084.92"/>
    <s v="Cash"/>
    <s v="Diya"/>
  </r>
  <r>
    <x v="2610"/>
    <x v="194"/>
    <s v="Chennai"/>
    <x v="0"/>
    <x v="6"/>
    <x v="8"/>
    <x v="0"/>
    <s v="Corporate"/>
    <n v="5"/>
    <n v="4694"/>
    <n v="0.05"/>
    <x v="2583"/>
    <n v="15860.42"/>
    <n v="6436.08"/>
    <s v="Debit Card"/>
    <s v="Rohan"/>
  </r>
  <r>
    <x v="2611"/>
    <x v="363"/>
    <s v="Mumbai"/>
    <x v="2"/>
    <x v="5"/>
    <x v="24"/>
    <x v="2"/>
    <s v="Small Business"/>
    <n v="1"/>
    <n v="38100"/>
    <n v="0.05"/>
    <x v="2584"/>
    <n v="30961.14"/>
    <n v="5233.8599999999997"/>
    <s v="Net Banking"/>
    <s v="Vikram"/>
  </r>
  <r>
    <x v="2612"/>
    <x v="364"/>
    <s v="Delhi"/>
    <x v="3"/>
    <x v="5"/>
    <x v="17"/>
    <x v="0"/>
    <s v="Corporate"/>
    <n v="6"/>
    <n v="31562"/>
    <n v="0"/>
    <x v="2585"/>
    <n v="127290.48"/>
    <n v="62081.52"/>
    <s v="Cash"/>
    <s v="Meera"/>
  </r>
  <r>
    <x v="2613"/>
    <x v="38"/>
    <s v="Chennai"/>
    <x v="0"/>
    <x v="5"/>
    <x v="17"/>
    <x v="0"/>
    <s v="Consumer"/>
    <n v="2"/>
    <n v="28308"/>
    <n v="0.05"/>
    <x v="2586"/>
    <n v="31043.55"/>
    <n v="22741.65"/>
    <s v="Credit Card"/>
    <s v="Sara"/>
  </r>
  <r>
    <x v="2614"/>
    <x v="174"/>
    <s v="Ahmedabad"/>
    <x v="2"/>
    <x v="3"/>
    <x v="15"/>
    <x v="2"/>
    <s v="Corporate"/>
    <n v="5"/>
    <n v="542"/>
    <n v="0.1"/>
    <x v="2587"/>
    <n v="1553.76"/>
    <n v="885.24"/>
    <s v="Debit Card"/>
    <s v="Anaya"/>
  </r>
  <r>
    <x v="2615"/>
    <x v="364"/>
    <s v="Pune"/>
    <x v="2"/>
    <x v="3"/>
    <x v="34"/>
    <x v="2"/>
    <s v="Small Business"/>
    <n v="5"/>
    <n v="868"/>
    <n v="0.1"/>
    <x v="2588"/>
    <n v="2220.6999999999998"/>
    <n v="1685.3"/>
    <s v="Debit Card"/>
    <s v="Vikram"/>
  </r>
  <r>
    <x v="2616"/>
    <x v="86"/>
    <s v="Mumbai"/>
    <x v="2"/>
    <x v="4"/>
    <x v="4"/>
    <x v="2"/>
    <s v="Consumer"/>
    <n v="6"/>
    <n v="4012"/>
    <n v="0.1"/>
    <x v="2589"/>
    <n v="14922.2"/>
    <n v="6742.6"/>
    <s v="Net Banking"/>
    <s v="Aarav"/>
  </r>
  <r>
    <x v="2617"/>
    <x v="240"/>
    <s v="Pune"/>
    <x v="2"/>
    <x v="0"/>
    <x v="28"/>
    <x v="0"/>
    <s v="Consumer"/>
    <n v="2"/>
    <n v="1926"/>
    <n v="0.05"/>
    <x v="2590"/>
    <n v="2239.15"/>
    <n v="1420.25"/>
    <s v="Credit Card"/>
    <s v="Anaya"/>
  </r>
  <r>
    <x v="2618"/>
    <x v="85"/>
    <s v="Hyderabad"/>
    <x v="0"/>
    <x v="6"/>
    <x v="33"/>
    <x v="1"/>
    <s v="Corporate"/>
    <n v="2"/>
    <n v="2426"/>
    <n v="0.05"/>
    <x v="2591"/>
    <n v="3194.6"/>
    <n v="1414.8"/>
    <s v="Debit Card"/>
    <s v="Kabir"/>
  </r>
  <r>
    <x v="2619"/>
    <x v="28"/>
    <s v="Bengaluru"/>
    <x v="0"/>
    <x v="5"/>
    <x v="25"/>
    <x v="1"/>
    <s v="Small Business"/>
    <n v="4"/>
    <n v="21060"/>
    <n v="0"/>
    <x v="2592"/>
    <n v="47292.46"/>
    <n v="36947.54"/>
    <s v="Credit Card"/>
    <s v="Kabir"/>
  </r>
  <r>
    <x v="2620"/>
    <x v="232"/>
    <s v="Delhi"/>
    <x v="3"/>
    <x v="0"/>
    <x v="0"/>
    <x v="2"/>
    <s v="Corporate"/>
    <n v="7"/>
    <n v="714"/>
    <n v="0"/>
    <x v="2593"/>
    <n v="3981.52"/>
    <n v="1016.48"/>
    <s v="Net Banking"/>
    <s v="Rohan"/>
  </r>
  <r>
    <x v="2621"/>
    <x v="221"/>
    <s v="Mumbai"/>
    <x v="2"/>
    <x v="3"/>
    <x v="34"/>
    <x v="1"/>
    <s v="Consumer"/>
    <n v="8"/>
    <n v="1229"/>
    <n v="0.15"/>
    <x v="2594"/>
    <n v="5536.12"/>
    <n v="2821.08"/>
    <s v="UPI"/>
    <s v="Kabir"/>
  </r>
  <r>
    <x v="2622"/>
    <x v="300"/>
    <s v="Mumbai"/>
    <x v="2"/>
    <x v="3"/>
    <x v="12"/>
    <x v="2"/>
    <s v="Consumer"/>
    <n v="5"/>
    <n v="644"/>
    <n v="0.15"/>
    <x v="2595"/>
    <n v="1762.54"/>
    <n v="974.46"/>
    <s v="Net Banking"/>
    <s v="Aarav"/>
  </r>
  <r>
    <x v="2623"/>
    <x v="149"/>
    <s v="Delhi"/>
    <x v="3"/>
    <x v="0"/>
    <x v="28"/>
    <x v="0"/>
    <s v="Small Business"/>
    <n v="8"/>
    <n v="83"/>
    <n v="0.05"/>
    <x v="2596"/>
    <n v="431.77"/>
    <n v="199.03"/>
    <s v="Debit Card"/>
    <s v="Kabir"/>
  </r>
  <r>
    <x v="2624"/>
    <x v="39"/>
    <s v="Mumbai"/>
    <x v="2"/>
    <x v="6"/>
    <x v="16"/>
    <x v="0"/>
    <s v="Corporate"/>
    <n v="6"/>
    <n v="3383"/>
    <n v="0.2"/>
    <x v="2597"/>
    <n v="13084.73"/>
    <n v="3153.67"/>
    <s v="Credit Card"/>
    <s v="Sara"/>
  </r>
  <r>
    <x v="2625"/>
    <x v="348"/>
    <s v="Bengaluru"/>
    <x v="0"/>
    <x v="4"/>
    <x v="4"/>
    <x v="0"/>
    <s v="Corporate"/>
    <n v="5"/>
    <n v="14747"/>
    <n v="0.15"/>
    <x v="2598"/>
    <n v="47036.25"/>
    <n v="15638.5"/>
    <s v="Debit Card"/>
    <s v="Anaya"/>
  </r>
  <r>
    <x v="2626"/>
    <x v="74"/>
    <s v="Mumbai"/>
    <x v="2"/>
    <x v="3"/>
    <x v="32"/>
    <x v="1"/>
    <s v="Small Business"/>
    <n v="1"/>
    <n v="1643"/>
    <n v="0"/>
    <x v="2599"/>
    <n v="1249.9100000000001"/>
    <n v="393.09"/>
    <s v="Net Banking"/>
    <s v="Anaya"/>
  </r>
  <r>
    <x v="2627"/>
    <x v="364"/>
    <s v="Bengaluru"/>
    <x v="0"/>
    <x v="0"/>
    <x v="0"/>
    <x v="0"/>
    <s v="Small Business"/>
    <n v="2"/>
    <n v="616"/>
    <n v="0.1"/>
    <x v="1086"/>
    <n v="794.59"/>
    <n v="314.20999999999998"/>
    <s v="Net Banking"/>
    <s v="Meera"/>
  </r>
  <r>
    <x v="2628"/>
    <x v="317"/>
    <s v="Kolkata"/>
    <x v="1"/>
    <x v="2"/>
    <x v="2"/>
    <x v="0"/>
    <s v="Corporate"/>
    <n v="7"/>
    <n v="22631"/>
    <n v="0.1"/>
    <x v="2600"/>
    <n v="102491.1"/>
    <n v="40084.199999999997"/>
    <s v="UPI"/>
    <s v="Rohan"/>
  </r>
  <r>
    <x v="2629"/>
    <x v="90"/>
    <s v="Chennai"/>
    <x v="0"/>
    <x v="6"/>
    <x v="16"/>
    <x v="0"/>
    <s v="Small Business"/>
    <n v="4"/>
    <n v="2019"/>
    <n v="0.05"/>
    <x v="2601"/>
    <n v="4420.08"/>
    <n v="3252.12"/>
    <s v="Credit Card"/>
    <s v="Aarav"/>
  </r>
  <r>
    <x v="2630"/>
    <x v="88"/>
    <s v="Delhi"/>
    <x v="3"/>
    <x v="0"/>
    <x v="19"/>
    <x v="0"/>
    <s v="Small Business"/>
    <n v="7"/>
    <n v="2154"/>
    <n v="0"/>
    <x v="2602"/>
    <n v="11955.08"/>
    <n v="3122.92"/>
    <s v="Net Banking"/>
    <s v="Rohan"/>
  </r>
  <r>
    <x v="2631"/>
    <x v="206"/>
    <s v="Pune"/>
    <x v="2"/>
    <x v="4"/>
    <x v="31"/>
    <x v="2"/>
    <s v="Corporate"/>
    <n v="7"/>
    <n v="14081"/>
    <n v="0"/>
    <x v="2603"/>
    <n v="85880.29"/>
    <n v="12686.71"/>
    <s v="Net Banking"/>
    <s v="Rohan"/>
  </r>
  <r>
    <x v="2632"/>
    <x v="328"/>
    <s v="Mumbai"/>
    <x v="2"/>
    <x v="0"/>
    <x v="23"/>
    <x v="0"/>
    <s v="Corporate"/>
    <n v="2"/>
    <n v="1720"/>
    <n v="0.05"/>
    <x v="2604"/>
    <n v="2775.84"/>
    <n v="492.16"/>
    <s v="Net Banking"/>
    <s v="Anaya"/>
  </r>
  <r>
    <x v="2633"/>
    <x v="2"/>
    <s v="Delhi"/>
    <x v="3"/>
    <x v="4"/>
    <x v="27"/>
    <x v="0"/>
    <s v="Consumer"/>
    <n v="8"/>
    <n v="1551"/>
    <n v="0"/>
    <x v="2605"/>
    <n v="9450.34"/>
    <n v="2957.66"/>
    <s v="Cash"/>
    <s v="Aarav"/>
  </r>
  <r>
    <x v="2634"/>
    <x v="43"/>
    <s v="Mumbai"/>
    <x v="2"/>
    <x v="1"/>
    <x v="22"/>
    <x v="1"/>
    <s v="Small Business"/>
    <n v="1"/>
    <n v="9008"/>
    <n v="0.05"/>
    <x v="2606"/>
    <n v="6159.28"/>
    <n v="2398.3200000000002"/>
    <s v="Cash"/>
    <s v="Meera"/>
  </r>
  <r>
    <x v="2635"/>
    <x v="330"/>
    <s v="Chennai"/>
    <x v="0"/>
    <x v="1"/>
    <x v="18"/>
    <x v="1"/>
    <s v="Consumer"/>
    <n v="3"/>
    <n v="6880"/>
    <n v="0"/>
    <x v="2607"/>
    <n v="11619.44"/>
    <n v="9020.56"/>
    <s v="Debit Card"/>
    <s v="Anaya"/>
  </r>
  <r>
    <x v="2636"/>
    <x v="106"/>
    <s v="Delhi"/>
    <x v="3"/>
    <x v="5"/>
    <x v="11"/>
    <x v="0"/>
    <s v="Small Business"/>
    <n v="8"/>
    <n v="23002"/>
    <n v="0.1"/>
    <x v="2608"/>
    <n v="121269.05"/>
    <n v="44345.35"/>
    <s v="Credit Card"/>
    <s v="Diya"/>
  </r>
  <r>
    <x v="2637"/>
    <x v="130"/>
    <s v="Bengaluru"/>
    <x v="0"/>
    <x v="0"/>
    <x v="0"/>
    <x v="2"/>
    <s v="Corporate"/>
    <n v="3"/>
    <n v="1660"/>
    <n v="0"/>
    <x v="2609"/>
    <n v="3932.05"/>
    <n v="1047.95"/>
    <s v="Cash"/>
    <s v="Diya"/>
  </r>
  <r>
    <x v="2638"/>
    <x v="102"/>
    <s v="Mumbai"/>
    <x v="2"/>
    <x v="5"/>
    <x v="25"/>
    <x v="1"/>
    <s v="Corporate"/>
    <n v="3"/>
    <n v="11623"/>
    <n v="0.15"/>
    <x v="2610"/>
    <n v="26071.91"/>
    <n v="3566.74"/>
    <s v="Credit Card"/>
    <s v="Meera"/>
  </r>
  <r>
    <x v="2639"/>
    <x v="19"/>
    <s v="Mumbai"/>
    <x v="2"/>
    <x v="2"/>
    <x v="21"/>
    <x v="1"/>
    <s v="Small Business"/>
    <n v="7"/>
    <n v="36778"/>
    <n v="0.05"/>
    <x v="2611"/>
    <n v="153294.70000000001"/>
    <n v="91279"/>
    <s v="Credit Card"/>
    <s v="Aarav"/>
  </r>
  <r>
    <x v="2640"/>
    <x v="213"/>
    <s v="Mumbai"/>
    <x v="2"/>
    <x v="2"/>
    <x v="5"/>
    <x v="1"/>
    <s v="Corporate"/>
    <n v="1"/>
    <n v="29077"/>
    <n v="0.1"/>
    <x v="2612"/>
    <n v="17343.72"/>
    <n v="8825.58"/>
    <s v="UPI"/>
    <s v="Aarav"/>
  </r>
  <r>
    <x v="2641"/>
    <x v="24"/>
    <s v="Chennai"/>
    <x v="0"/>
    <x v="2"/>
    <x v="21"/>
    <x v="2"/>
    <s v="Small Business"/>
    <n v="1"/>
    <n v="27034"/>
    <n v="0.15"/>
    <x v="2613"/>
    <n v="17043.419999999998"/>
    <n v="5935.48"/>
    <s v="Cash"/>
    <s v="Rohan"/>
  </r>
  <r>
    <x v="2642"/>
    <x v="268"/>
    <s v="Pune"/>
    <x v="2"/>
    <x v="4"/>
    <x v="14"/>
    <x v="2"/>
    <s v="Consumer"/>
    <n v="4"/>
    <n v="12529"/>
    <n v="0.05"/>
    <x v="2614"/>
    <n v="31458.67"/>
    <n v="16151.53"/>
    <s v="Cash"/>
    <s v="Rohan"/>
  </r>
  <r>
    <x v="2643"/>
    <x v="208"/>
    <s v="Mumbai"/>
    <x v="2"/>
    <x v="5"/>
    <x v="17"/>
    <x v="2"/>
    <s v="Consumer"/>
    <n v="4"/>
    <n v="12513"/>
    <n v="0.15"/>
    <x v="2615"/>
    <n v="29314.98"/>
    <n v="13229.22"/>
    <s v="Cash"/>
    <s v="Diya"/>
  </r>
  <r>
    <x v="2644"/>
    <x v="324"/>
    <s v="Bengaluru"/>
    <x v="0"/>
    <x v="3"/>
    <x v="12"/>
    <x v="2"/>
    <s v="Corporate"/>
    <n v="3"/>
    <n v="1377"/>
    <n v="0.05"/>
    <x v="2616"/>
    <n v="3079.04"/>
    <n v="845.41"/>
    <s v="Debit Card"/>
    <s v="Aarav"/>
  </r>
  <r>
    <x v="2645"/>
    <x v="3"/>
    <s v="Mumbai"/>
    <x v="2"/>
    <x v="4"/>
    <x v="4"/>
    <x v="0"/>
    <s v="Consumer"/>
    <n v="6"/>
    <n v="6853"/>
    <n v="0.1"/>
    <x v="2617"/>
    <n v="30687.64"/>
    <n v="6318.56"/>
    <s v="Cash"/>
    <s v="Kabir"/>
  </r>
  <r>
    <x v="2646"/>
    <x v="197"/>
    <s v="Ahmedabad"/>
    <x v="2"/>
    <x v="6"/>
    <x v="33"/>
    <x v="1"/>
    <s v="Small Business"/>
    <n v="3"/>
    <n v="3108"/>
    <n v="0.05"/>
    <x v="2618"/>
    <n v="5733.88"/>
    <n v="3123.92"/>
    <s v="Net Banking"/>
    <s v="Rohan"/>
  </r>
  <r>
    <x v="2647"/>
    <x v="145"/>
    <s v="Mumbai"/>
    <x v="2"/>
    <x v="3"/>
    <x v="12"/>
    <x v="2"/>
    <s v="Small Business"/>
    <n v="4"/>
    <n v="524"/>
    <n v="0"/>
    <x v="2619"/>
    <n v="1694.27"/>
    <n v="401.73"/>
    <s v="Debit Card"/>
    <s v="Kabir"/>
  </r>
  <r>
    <x v="2648"/>
    <x v="337"/>
    <s v="Delhi"/>
    <x v="3"/>
    <x v="2"/>
    <x v="29"/>
    <x v="2"/>
    <s v="Consumer"/>
    <n v="2"/>
    <n v="41130"/>
    <n v="0.05"/>
    <x v="2620"/>
    <n v="66740.42"/>
    <n v="11406.58"/>
    <s v="Credit Card"/>
    <s v="Aarav"/>
  </r>
  <r>
    <x v="2649"/>
    <x v="182"/>
    <s v="Delhi"/>
    <x v="3"/>
    <x v="1"/>
    <x v="18"/>
    <x v="2"/>
    <s v="Small Business"/>
    <n v="5"/>
    <n v="10133"/>
    <n v="0.1"/>
    <x v="2621"/>
    <n v="32640.97"/>
    <n v="12957.53"/>
    <s v="Debit Card"/>
    <s v="Anaya"/>
  </r>
  <r>
    <x v="2650"/>
    <x v="67"/>
    <s v="Delhi"/>
    <x v="3"/>
    <x v="5"/>
    <x v="24"/>
    <x v="0"/>
    <s v="Corporate"/>
    <n v="6"/>
    <n v="33537"/>
    <n v="0.05"/>
    <x v="2622"/>
    <n v="164861.74"/>
    <n v="26299.16"/>
    <s v="Credit Card"/>
    <s v="Sara"/>
  </r>
  <r>
    <x v="2651"/>
    <x v="261"/>
    <s v="Mumbai"/>
    <x v="2"/>
    <x v="5"/>
    <x v="6"/>
    <x v="2"/>
    <s v="Consumer"/>
    <n v="6"/>
    <n v="44626"/>
    <n v="0.15"/>
    <x v="2623"/>
    <n v="148185.81"/>
    <n v="79406.789999999994"/>
    <s v="Credit Card"/>
    <s v="Sara"/>
  </r>
  <r>
    <x v="2652"/>
    <x v="213"/>
    <s v="Kolkata"/>
    <x v="1"/>
    <x v="0"/>
    <x v="23"/>
    <x v="2"/>
    <s v="Corporate"/>
    <n v="8"/>
    <n v="97"/>
    <n v="0"/>
    <x v="2624"/>
    <n v="474.24"/>
    <n v="301.76"/>
    <s v="UPI"/>
    <s v="Aarav"/>
  </r>
  <r>
    <x v="2653"/>
    <x v="96"/>
    <s v="Hyderabad"/>
    <x v="0"/>
    <x v="3"/>
    <x v="3"/>
    <x v="1"/>
    <s v="Corporate"/>
    <n v="7"/>
    <n v="182"/>
    <n v="0.2"/>
    <x v="2625"/>
    <n v="851.68"/>
    <n v="167.52"/>
    <s v="Cash"/>
    <s v="Kabir"/>
  </r>
  <r>
    <x v="2654"/>
    <x v="3"/>
    <s v="Bengaluru"/>
    <x v="0"/>
    <x v="2"/>
    <x v="5"/>
    <x v="0"/>
    <s v="Corporate"/>
    <n v="7"/>
    <n v="66525"/>
    <n v="0"/>
    <x v="2626"/>
    <n v="349991.31"/>
    <n v="115683.69"/>
    <s v="Debit Card"/>
    <s v="Kabir"/>
  </r>
  <r>
    <x v="2655"/>
    <x v="50"/>
    <s v="Bengaluru"/>
    <x v="0"/>
    <x v="6"/>
    <x v="8"/>
    <x v="0"/>
    <s v="Consumer"/>
    <n v="4"/>
    <n v="5833"/>
    <n v="0.05"/>
    <x v="2627"/>
    <n v="13066.25"/>
    <n v="9099.15"/>
    <s v="UPI"/>
    <s v="Meera"/>
  </r>
  <r>
    <x v="2656"/>
    <x v="357"/>
    <s v="Hyderabad"/>
    <x v="0"/>
    <x v="0"/>
    <x v="28"/>
    <x v="2"/>
    <s v="Small Business"/>
    <n v="8"/>
    <n v="1199"/>
    <n v="0.1"/>
    <x v="2628"/>
    <n v="5602.76"/>
    <n v="3030.04"/>
    <s v="Net Banking"/>
    <s v="Kabir"/>
  </r>
  <r>
    <x v="2657"/>
    <x v="157"/>
    <s v="Mumbai"/>
    <x v="2"/>
    <x v="2"/>
    <x v="21"/>
    <x v="1"/>
    <s v="Corporate"/>
    <n v="1"/>
    <n v="28735"/>
    <n v="0.15"/>
    <x v="2629"/>
    <n v="15003.82"/>
    <n v="9420.93"/>
    <s v="Cash"/>
    <s v="Diya"/>
  </r>
  <r>
    <x v="2658"/>
    <x v="288"/>
    <s v="Mumbai"/>
    <x v="2"/>
    <x v="3"/>
    <x v="15"/>
    <x v="1"/>
    <s v="Small Business"/>
    <n v="8"/>
    <n v="415"/>
    <n v="0"/>
    <x v="2630"/>
    <n v="2677.43"/>
    <n v="642.57000000000005"/>
    <s v="Credit Card"/>
    <s v="Vikram"/>
  </r>
  <r>
    <x v="2659"/>
    <x v="174"/>
    <s v="Ahmedabad"/>
    <x v="2"/>
    <x v="0"/>
    <x v="23"/>
    <x v="1"/>
    <s v="Consumer"/>
    <n v="7"/>
    <n v="2010"/>
    <n v="0.1"/>
    <x v="2631"/>
    <n v="8263.24"/>
    <n v="4399.76"/>
    <s v="Credit Card"/>
    <s v="Aarav"/>
  </r>
  <r>
    <x v="2660"/>
    <x v="330"/>
    <s v="Chennai"/>
    <x v="0"/>
    <x v="0"/>
    <x v="28"/>
    <x v="1"/>
    <s v="Small Business"/>
    <n v="7"/>
    <n v="1993"/>
    <n v="0.1"/>
    <x v="2632"/>
    <n v="7824.22"/>
    <n v="4731.68"/>
    <s v="Cash"/>
    <s v="Diya"/>
  </r>
  <r>
    <x v="2661"/>
    <x v="118"/>
    <s v="Delhi"/>
    <x v="3"/>
    <x v="3"/>
    <x v="15"/>
    <x v="0"/>
    <s v="Consumer"/>
    <n v="6"/>
    <n v="1045"/>
    <n v="0.2"/>
    <x v="2633"/>
    <n v="3331.1"/>
    <n v="1684.9"/>
    <s v="Cash"/>
    <s v="Vikram"/>
  </r>
  <r>
    <x v="2662"/>
    <x v="204"/>
    <s v="Pune"/>
    <x v="2"/>
    <x v="1"/>
    <x v="7"/>
    <x v="0"/>
    <s v="Corporate"/>
    <n v="7"/>
    <n v="10369"/>
    <n v="0"/>
    <x v="2634"/>
    <n v="41142.57"/>
    <n v="31440.43"/>
    <s v="Cash"/>
    <s v="Rohan"/>
  </r>
  <r>
    <x v="2663"/>
    <x v="147"/>
    <s v="Mumbai"/>
    <x v="2"/>
    <x v="6"/>
    <x v="33"/>
    <x v="1"/>
    <s v="Consumer"/>
    <n v="2"/>
    <n v="3427"/>
    <n v="0.05"/>
    <x v="2635"/>
    <n v="5612.41"/>
    <n v="898.89"/>
    <s v="UPI"/>
    <s v="Aarav"/>
  </r>
  <r>
    <x v="2664"/>
    <x v="44"/>
    <s v="Pune"/>
    <x v="2"/>
    <x v="6"/>
    <x v="20"/>
    <x v="0"/>
    <s v="Consumer"/>
    <n v="1"/>
    <n v="4715"/>
    <n v="0"/>
    <x v="2636"/>
    <n v="2778.39"/>
    <n v="1936.61"/>
    <s v="Net Banking"/>
    <s v="Diya"/>
  </r>
  <r>
    <x v="2665"/>
    <x v="77"/>
    <s v="Ahmedabad"/>
    <x v="2"/>
    <x v="0"/>
    <x v="26"/>
    <x v="0"/>
    <s v="Consumer"/>
    <n v="1"/>
    <n v="850"/>
    <n v="0.2"/>
    <x v="2637"/>
    <n v="403.02"/>
    <n v="276.98"/>
    <s v="Net Banking"/>
    <s v="Sara"/>
  </r>
  <r>
    <x v="2666"/>
    <x v="315"/>
    <s v="Delhi"/>
    <x v="3"/>
    <x v="0"/>
    <x v="28"/>
    <x v="1"/>
    <s v="Corporate"/>
    <n v="4"/>
    <n v="1165"/>
    <n v="0.05"/>
    <x v="1944"/>
    <n v="2469.5700000000002"/>
    <n v="1957.43"/>
    <s v="Cash"/>
    <s v="Vikram"/>
  </r>
  <r>
    <x v="2667"/>
    <x v="31"/>
    <s v="Delhi"/>
    <x v="3"/>
    <x v="3"/>
    <x v="12"/>
    <x v="0"/>
    <s v="Consumer"/>
    <n v="7"/>
    <n v="456"/>
    <n v="0.05"/>
    <x v="2638"/>
    <n v="1831.14"/>
    <n v="1201.26"/>
    <s v="UPI"/>
    <s v="Kabir"/>
  </r>
  <r>
    <x v="2668"/>
    <x v="74"/>
    <s v="Chennai"/>
    <x v="0"/>
    <x v="0"/>
    <x v="19"/>
    <x v="0"/>
    <s v="Small Business"/>
    <n v="3"/>
    <n v="1285"/>
    <n v="0.1"/>
    <x v="2639"/>
    <n v="2290.6"/>
    <n v="1178.9000000000001"/>
    <s v="Cash"/>
    <s v="Sara"/>
  </r>
  <r>
    <x v="2669"/>
    <x v="36"/>
    <s v="Chennai"/>
    <x v="0"/>
    <x v="6"/>
    <x v="30"/>
    <x v="1"/>
    <s v="Consumer"/>
    <n v="2"/>
    <n v="3776"/>
    <n v="0.05"/>
    <x v="2640"/>
    <n v="5504.64"/>
    <n v="1669.76"/>
    <s v="Credit Card"/>
    <s v="Meera"/>
  </r>
  <r>
    <x v="2670"/>
    <x v="159"/>
    <s v="Mumbai"/>
    <x v="2"/>
    <x v="1"/>
    <x v="10"/>
    <x v="2"/>
    <s v="Consumer"/>
    <n v="2"/>
    <n v="1634"/>
    <n v="0.05"/>
    <x v="2641"/>
    <n v="1949.52"/>
    <n v="1155.08"/>
    <s v="Credit Card"/>
    <s v="Sara"/>
  </r>
  <r>
    <x v="2671"/>
    <x v="9"/>
    <s v="Pune"/>
    <x v="2"/>
    <x v="5"/>
    <x v="11"/>
    <x v="1"/>
    <s v="Small Business"/>
    <n v="5"/>
    <n v="6013"/>
    <n v="0.15"/>
    <x v="2642"/>
    <n v="15538.23"/>
    <n v="10017.02"/>
    <s v="Credit Card"/>
    <s v="Meera"/>
  </r>
  <r>
    <x v="2672"/>
    <x v="343"/>
    <s v="Bengaluru"/>
    <x v="0"/>
    <x v="0"/>
    <x v="0"/>
    <x v="1"/>
    <s v="Small Business"/>
    <n v="5"/>
    <n v="1181"/>
    <n v="0.15"/>
    <x v="2643"/>
    <n v="2809.87"/>
    <n v="2209.38"/>
    <s v="Cash"/>
    <s v="Meera"/>
  </r>
  <r>
    <x v="2673"/>
    <x v="91"/>
    <s v="Mumbai"/>
    <x v="2"/>
    <x v="4"/>
    <x v="27"/>
    <x v="1"/>
    <s v="Consumer"/>
    <n v="7"/>
    <n v="3333"/>
    <n v="0.2"/>
    <x v="2644"/>
    <n v="15588.74"/>
    <n v="3076.06"/>
    <s v="Credit Card"/>
    <s v="Diya"/>
  </r>
  <r>
    <x v="2674"/>
    <x v="74"/>
    <s v="Hyderabad"/>
    <x v="0"/>
    <x v="3"/>
    <x v="12"/>
    <x v="1"/>
    <s v="Small Business"/>
    <n v="7"/>
    <n v="1042"/>
    <n v="0.05"/>
    <x v="2645"/>
    <n v="4219.63"/>
    <n v="2709.67"/>
    <s v="Cash"/>
    <s v="Aarav"/>
  </r>
  <r>
    <x v="2675"/>
    <x v="241"/>
    <s v="Ahmedabad"/>
    <x v="2"/>
    <x v="1"/>
    <x v="22"/>
    <x v="0"/>
    <s v="Consumer"/>
    <n v="2"/>
    <n v="7991"/>
    <n v="0.15"/>
    <x v="2646"/>
    <n v="10056.540000000001"/>
    <n v="3528.16"/>
    <s v="Debit Card"/>
    <s v="Diya"/>
  </r>
  <r>
    <x v="2676"/>
    <x v="46"/>
    <s v="Delhi"/>
    <x v="3"/>
    <x v="4"/>
    <x v="14"/>
    <x v="0"/>
    <s v="Small Business"/>
    <n v="2"/>
    <n v="10973"/>
    <n v="0"/>
    <x v="2647"/>
    <n v="17396.36"/>
    <n v="4549.6400000000003"/>
    <s v="Credit Card"/>
    <s v="Sara"/>
  </r>
  <r>
    <x v="2677"/>
    <x v="259"/>
    <s v="Kolkata"/>
    <x v="1"/>
    <x v="0"/>
    <x v="0"/>
    <x v="0"/>
    <s v="Corporate"/>
    <n v="1"/>
    <n v="1039"/>
    <n v="0.1"/>
    <x v="2648"/>
    <n v="675.7"/>
    <n v="259.39999999999998"/>
    <s v="Credit Card"/>
    <s v="Rohan"/>
  </r>
  <r>
    <x v="2678"/>
    <x v="311"/>
    <s v="Kolkata"/>
    <x v="1"/>
    <x v="1"/>
    <x v="22"/>
    <x v="0"/>
    <s v="Consumer"/>
    <n v="2"/>
    <n v="1124"/>
    <n v="0.1"/>
    <x v="2649"/>
    <n v="1420.8"/>
    <n v="602.4"/>
    <s v="Cash"/>
    <s v="Aarav"/>
  </r>
  <r>
    <x v="2679"/>
    <x v="115"/>
    <s v="Chennai"/>
    <x v="0"/>
    <x v="5"/>
    <x v="24"/>
    <x v="0"/>
    <s v="Small Business"/>
    <n v="7"/>
    <n v="41727"/>
    <n v="0.1"/>
    <x v="2650"/>
    <n v="187906.64"/>
    <n v="74973.460000000006"/>
    <s v="Credit Card"/>
    <s v="Aarav"/>
  </r>
  <r>
    <x v="2680"/>
    <x v="221"/>
    <s v="Chennai"/>
    <x v="0"/>
    <x v="3"/>
    <x v="15"/>
    <x v="2"/>
    <s v="Corporate"/>
    <n v="1"/>
    <n v="550"/>
    <n v="0.2"/>
    <x v="2651"/>
    <n v="302.72000000000003"/>
    <n v="137.28"/>
    <s v="Cash"/>
    <s v="Kabir"/>
  </r>
  <r>
    <x v="2681"/>
    <x v="152"/>
    <s v="Chennai"/>
    <x v="0"/>
    <x v="1"/>
    <x v="18"/>
    <x v="1"/>
    <s v="Small Business"/>
    <n v="6"/>
    <n v="1766"/>
    <n v="0"/>
    <x v="2652"/>
    <n v="7312.53"/>
    <n v="3283.47"/>
    <s v="Cash"/>
    <s v="Sara"/>
  </r>
  <r>
    <x v="2682"/>
    <x v="236"/>
    <s v="Hyderabad"/>
    <x v="0"/>
    <x v="0"/>
    <x v="28"/>
    <x v="1"/>
    <s v="Corporate"/>
    <n v="4"/>
    <n v="1582"/>
    <n v="0.2"/>
    <x v="2653"/>
    <n v="4400.32"/>
    <n v="662.08"/>
    <s v="Debit Card"/>
    <s v="Meera"/>
  </r>
  <r>
    <x v="2683"/>
    <x v="328"/>
    <s v="Delhi"/>
    <x v="3"/>
    <x v="0"/>
    <x v="28"/>
    <x v="0"/>
    <s v="Corporate"/>
    <n v="7"/>
    <n v="2075"/>
    <n v="0.2"/>
    <x v="2654"/>
    <n v="8729.69"/>
    <n v="2890.31"/>
    <s v="Debit Card"/>
    <s v="Aarav"/>
  </r>
  <r>
    <x v="2684"/>
    <x v="229"/>
    <s v="Ahmedabad"/>
    <x v="2"/>
    <x v="4"/>
    <x v="27"/>
    <x v="0"/>
    <s v="Corporate"/>
    <n v="4"/>
    <n v="1612"/>
    <n v="0.15"/>
    <x v="2655"/>
    <n v="3120.73"/>
    <n v="2360.0700000000002"/>
    <s v="Cash"/>
    <s v="Rohan"/>
  </r>
  <r>
    <x v="2685"/>
    <x v="240"/>
    <s v="Mumbai"/>
    <x v="2"/>
    <x v="4"/>
    <x v="13"/>
    <x v="0"/>
    <s v="Corporate"/>
    <n v="5"/>
    <n v="3948"/>
    <n v="0.1"/>
    <x v="2656"/>
    <n v="10991.85"/>
    <n v="6774.15"/>
    <s v="Cash"/>
    <s v="Anaya"/>
  </r>
  <r>
    <x v="2686"/>
    <x v="37"/>
    <s v="Ahmedabad"/>
    <x v="2"/>
    <x v="6"/>
    <x v="16"/>
    <x v="1"/>
    <s v="Small Business"/>
    <n v="4"/>
    <n v="5740"/>
    <n v="0.1"/>
    <x v="2657"/>
    <n v="13514.47"/>
    <n v="7149.53"/>
    <s v="Net Banking"/>
    <s v="Rohan"/>
  </r>
  <r>
    <x v="2687"/>
    <x v="356"/>
    <s v="Pune"/>
    <x v="2"/>
    <x v="1"/>
    <x v="7"/>
    <x v="0"/>
    <s v="Small Business"/>
    <n v="3"/>
    <n v="460"/>
    <n v="0.05"/>
    <x v="2658"/>
    <n v="963.88"/>
    <n v="347.12"/>
    <s v="Debit Card"/>
    <s v="Anaya"/>
  </r>
  <r>
    <x v="2688"/>
    <x v="299"/>
    <s v="Bengaluru"/>
    <x v="0"/>
    <x v="6"/>
    <x v="16"/>
    <x v="1"/>
    <s v="Small Business"/>
    <n v="6"/>
    <n v="1404"/>
    <n v="0.15"/>
    <x v="2659"/>
    <n v="4670.76"/>
    <n v="2489.64"/>
    <s v="Net Banking"/>
    <s v="Aarav"/>
  </r>
  <r>
    <x v="2689"/>
    <x v="253"/>
    <s v="Mumbai"/>
    <x v="2"/>
    <x v="0"/>
    <x v="0"/>
    <x v="1"/>
    <s v="Corporate"/>
    <n v="1"/>
    <n v="500"/>
    <n v="0"/>
    <x v="2660"/>
    <n v="338.87"/>
    <n v="161.13"/>
    <s v="Cash"/>
    <s v="Diya"/>
  </r>
  <r>
    <x v="2690"/>
    <x v="273"/>
    <s v="Hyderabad"/>
    <x v="0"/>
    <x v="3"/>
    <x v="3"/>
    <x v="2"/>
    <s v="Small Business"/>
    <n v="4"/>
    <n v="521"/>
    <n v="0.1"/>
    <x v="2661"/>
    <n v="1461.8"/>
    <n v="413.8"/>
    <s v="Debit Card"/>
    <s v="Vikram"/>
  </r>
  <r>
    <x v="2691"/>
    <x v="261"/>
    <s v="Mumbai"/>
    <x v="2"/>
    <x v="3"/>
    <x v="32"/>
    <x v="2"/>
    <s v="Consumer"/>
    <n v="8"/>
    <n v="1676"/>
    <n v="0.1"/>
    <x v="1630"/>
    <n v="7795.12"/>
    <n v="4272.08"/>
    <s v="Net Banking"/>
    <s v="Sara"/>
  </r>
  <r>
    <x v="2692"/>
    <x v="13"/>
    <s v="Bengaluru"/>
    <x v="0"/>
    <x v="5"/>
    <x v="6"/>
    <x v="0"/>
    <s v="Consumer"/>
    <n v="8"/>
    <n v="14418"/>
    <n v="0.1"/>
    <x v="2662"/>
    <n v="63368.53"/>
    <n v="40441.07"/>
    <s v="UPI"/>
    <s v="Sara"/>
  </r>
  <r>
    <x v="2693"/>
    <x v="203"/>
    <s v="Delhi"/>
    <x v="3"/>
    <x v="2"/>
    <x v="29"/>
    <x v="2"/>
    <s v="Corporate"/>
    <n v="3"/>
    <n v="64384"/>
    <n v="0"/>
    <x v="2663"/>
    <n v="140876.9"/>
    <n v="52275.1"/>
    <s v="Net Banking"/>
    <s v="Sara"/>
  </r>
  <r>
    <x v="2694"/>
    <x v="10"/>
    <s v="Mumbai"/>
    <x v="2"/>
    <x v="5"/>
    <x v="17"/>
    <x v="1"/>
    <s v="Small Business"/>
    <n v="2"/>
    <n v="29307"/>
    <n v="0.15"/>
    <x v="2664"/>
    <n v="43321.34"/>
    <n v="6500.56"/>
    <s v="Cash"/>
    <s v="Kabir"/>
  </r>
  <r>
    <x v="2695"/>
    <x v="54"/>
    <s v="Kolkata"/>
    <x v="1"/>
    <x v="2"/>
    <x v="9"/>
    <x v="1"/>
    <s v="Corporate"/>
    <n v="2"/>
    <n v="8684"/>
    <n v="0"/>
    <x v="2665"/>
    <n v="10359.549999999999"/>
    <n v="7008.45"/>
    <s v="Credit Card"/>
    <s v="Meera"/>
  </r>
  <r>
    <x v="2696"/>
    <x v="241"/>
    <s v="Pune"/>
    <x v="2"/>
    <x v="0"/>
    <x v="0"/>
    <x v="0"/>
    <s v="Corporate"/>
    <n v="6"/>
    <n v="2391"/>
    <n v="0.05"/>
    <x v="2666"/>
    <n v="9319.8700000000008"/>
    <n v="4308.83"/>
    <s v="Cash"/>
    <s v="Diya"/>
  </r>
  <r>
    <x v="2697"/>
    <x v="24"/>
    <s v="Chennai"/>
    <x v="0"/>
    <x v="4"/>
    <x v="13"/>
    <x v="2"/>
    <s v="Corporate"/>
    <n v="3"/>
    <n v="16338"/>
    <n v="0"/>
    <x v="2667"/>
    <n v="39499.519999999997"/>
    <n v="9514.48"/>
    <s v="Credit Card"/>
    <s v="Rohan"/>
  </r>
  <r>
    <x v="2698"/>
    <x v="247"/>
    <s v="Mumbai"/>
    <x v="2"/>
    <x v="6"/>
    <x v="16"/>
    <x v="1"/>
    <s v="Consumer"/>
    <n v="3"/>
    <n v="1399"/>
    <n v="0.15"/>
    <x v="2668"/>
    <n v="3012.27"/>
    <n v="555.17999999999995"/>
    <s v="UPI"/>
    <s v="Diya"/>
  </r>
  <r>
    <x v="2699"/>
    <x v="193"/>
    <s v="Hyderabad"/>
    <x v="0"/>
    <x v="1"/>
    <x v="10"/>
    <x v="0"/>
    <s v="Small Business"/>
    <n v="5"/>
    <n v="995"/>
    <n v="0"/>
    <x v="2669"/>
    <n v="4276.7"/>
    <n v="698.3"/>
    <s v="UPI"/>
    <s v="Sara"/>
  </r>
  <r>
    <x v="2700"/>
    <x v="302"/>
    <s v="Bengaluru"/>
    <x v="0"/>
    <x v="2"/>
    <x v="5"/>
    <x v="2"/>
    <s v="Corporate"/>
    <n v="8"/>
    <n v="58115"/>
    <n v="0.15"/>
    <x v="2670"/>
    <n v="225574.95"/>
    <n v="169607.05"/>
    <s v="Debit Card"/>
    <s v="Sara"/>
  </r>
  <r>
    <x v="2701"/>
    <x v="298"/>
    <s v="Bengaluru"/>
    <x v="0"/>
    <x v="0"/>
    <x v="28"/>
    <x v="2"/>
    <s v="Small Business"/>
    <n v="4"/>
    <n v="2406"/>
    <n v="0"/>
    <x v="2671"/>
    <n v="7696.51"/>
    <n v="1927.49"/>
    <s v="Credit Card"/>
    <s v="Vikram"/>
  </r>
  <r>
    <x v="2702"/>
    <x v="37"/>
    <s v="Delhi"/>
    <x v="3"/>
    <x v="1"/>
    <x v="10"/>
    <x v="0"/>
    <s v="Corporate"/>
    <n v="4"/>
    <n v="2819"/>
    <n v="0.15"/>
    <x v="2672"/>
    <n v="8344.4599999999991"/>
    <n v="1240.1400000000001"/>
    <s v="Net Banking"/>
    <s v="Rohan"/>
  </r>
  <r>
    <x v="2703"/>
    <x v="287"/>
    <s v="Hyderabad"/>
    <x v="0"/>
    <x v="0"/>
    <x v="28"/>
    <x v="2"/>
    <s v="Corporate"/>
    <n v="1"/>
    <n v="877"/>
    <n v="0.1"/>
    <x v="2673"/>
    <n v="670.85"/>
    <n v="118.45"/>
    <s v="Net Banking"/>
    <s v="Aarav"/>
  </r>
  <r>
    <x v="2704"/>
    <x v="228"/>
    <s v="Delhi"/>
    <x v="3"/>
    <x v="3"/>
    <x v="15"/>
    <x v="1"/>
    <s v="Consumer"/>
    <n v="8"/>
    <n v="1698"/>
    <n v="0.2"/>
    <x v="2674"/>
    <n v="7382.62"/>
    <n v="3484.58"/>
    <s v="Credit Card"/>
    <s v="Sara"/>
  </r>
  <r>
    <x v="2705"/>
    <x v="59"/>
    <s v="Bengaluru"/>
    <x v="0"/>
    <x v="6"/>
    <x v="30"/>
    <x v="0"/>
    <s v="Consumer"/>
    <n v="3"/>
    <n v="828"/>
    <n v="0.05"/>
    <x v="2675"/>
    <n v="1385.97"/>
    <n v="973.83"/>
    <s v="Cash"/>
    <s v="Vikram"/>
  </r>
  <r>
    <x v="2706"/>
    <x v="356"/>
    <s v="Pune"/>
    <x v="2"/>
    <x v="1"/>
    <x v="1"/>
    <x v="2"/>
    <s v="Consumer"/>
    <n v="6"/>
    <n v="9496"/>
    <n v="0.15"/>
    <x v="2676"/>
    <n v="26705.53"/>
    <n v="21724.07"/>
    <s v="Debit Card"/>
    <s v="Sara"/>
  </r>
  <r>
    <x v="2707"/>
    <x v="336"/>
    <s v="Chennai"/>
    <x v="0"/>
    <x v="2"/>
    <x v="2"/>
    <x v="2"/>
    <s v="Consumer"/>
    <n v="3"/>
    <n v="13341"/>
    <n v="0.1"/>
    <x v="2677"/>
    <n v="30211.15"/>
    <n v="5809.55"/>
    <s v="Cash"/>
    <s v="Aarav"/>
  </r>
  <r>
    <x v="2708"/>
    <x v="294"/>
    <s v="Delhi"/>
    <x v="3"/>
    <x v="4"/>
    <x v="4"/>
    <x v="0"/>
    <s v="Small Business"/>
    <n v="8"/>
    <n v="3274"/>
    <n v="0.1"/>
    <x v="2678"/>
    <n v="19595.36"/>
    <n v="3977.44"/>
    <s v="Credit Card"/>
    <s v="Sara"/>
  </r>
  <r>
    <x v="2709"/>
    <x v="320"/>
    <s v="Ahmedabad"/>
    <x v="2"/>
    <x v="4"/>
    <x v="14"/>
    <x v="1"/>
    <s v="Consumer"/>
    <n v="8"/>
    <n v="20884"/>
    <n v="0.1"/>
    <x v="2679"/>
    <n v="83064.73"/>
    <n v="67300.070000000007"/>
    <s v="UPI"/>
    <s v="Aarav"/>
  </r>
  <r>
    <x v="2710"/>
    <x v="114"/>
    <s v="Mumbai"/>
    <x v="2"/>
    <x v="6"/>
    <x v="8"/>
    <x v="1"/>
    <s v="Small Business"/>
    <n v="2"/>
    <n v="800"/>
    <n v="0.15"/>
    <x v="2680"/>
    <n v="1088.6199999999999"/>
    <n v="271.38"/>
    <s v="Credit Card"/>
    <s v="Anaya"/>
  </r>
  <r>
    <x v="2711"/>
    <x v="223"/>
    <s v="Bengaluru"/>
    <x v="0"/>
    <x v="2"/>
    <x v="5"/>
    <x v="0"/>
    <s v="Small Business"/>
    <n v="7"/>
    <n v="63324"/>
    <n v="0.05"/>
    <x v="2681"/>
    <n v="331280.67"/>
    <n v="89823.93"/>
    <s v="Net Banking"/>
    <s v="Vikram"/>
  </r>
  <r>
    <x v="2712"/>
    <x v="236"/>
    <s v="Chennai"/>
    <x v="0"/>
    <x v="6"/>
    <x v="30"/>
    <x v="1"/>
    <s v="Corporate"/>
    <n v="5"/>
    <n v="3104"/>
    <n v="0.1"/>
    <x v="2682"/>
    <n v="10378.92"/>
    <n v="3589.08"/>
    <s v="Credit Card"/>
    <s v="Rohan"/>
  </r>
  <r>
    <x v="2713"/>
    <x v="20"/>
    <s v="Mumbai"/>
    <x v="2"/>
    <x v="2"/>
    <x v="5"/>
    <x v="1"/>
    <s v="Small Business"/>
    <n v="2"/>
    <n v="67078"/>
    <n v="0.1"/>
    <x v="2683"/>
    <n v="94501.83"/>
    <n v="26238.57"/>
    <s v="Credit Card"/>
    <s v="Aarav"/>
  </r>
  <r>
    <x v="2714"/>
    <x v="283"/>
    <s v="Pune"/>
    <x v="2"/>
    <x v="5"/>
    <x v="25"/>
    <x v="1"/>
    <s v="Corporate"/>
    <n v="2"/>
    <n v="32707"/>
    <n v="0.1"/>
    <x v="2684"/>
    <n v="42394.06"/>
    <n v="16478.54"/>
    <s v="Credit Card"/>
    <s v="Sara"/>
  </r>
  <r>
    <x v="2715"/>
    <x v="162"/>
    <s v="Delhi"/>
    <x v="3"/>
    <x v="0"/>
    <x v="28"/>
    <x v="2"/>
    <s v="Consumer"/>
    <n v="5"/>
    <n v="1842"/>
    <n v="0"/>
    <x v="2685"/>
    <n v="7559.81"/>
    <n v="1650.19"/>
    <s v="Debit Card"/>
    <s v="Meera"/>
  </r>
  <r>
    <x v="2716"/>
    <x v="157"/>
    <s v="Bengaluru"/>
    <x v="0"/>
    <x v="2"/>
    <x v="29"/>
    <x v="2"/>
    <s v="Corporate"/>
    <n v="4"/>
    <n v="5937"/>
    <n v="0.1"/>
    <x v="2686"/>
    <n v="14180.7"/>
    <n v="7192.5"/>
    <s v="Credit Card"/>
    <s v="Vikram"/>
  </r>
  <r>
    <x v="2717"/>
    <x v="179"/>
    <s v="Bengaluru"/>
    <x v="0"/>
    <x v="6"/>
    <x v="20"/>
    <x v="0"/>
    <s v="Consumer"/>
    <n v="2"/>
    <n v="255"/>
    <n v="0.1"/>
    <x v="2687"/>
    <n v="289.63"/>
    <n v="169.37"/>
    <s v="UPI"/>
    <s v="Anaya"/>
  </r>
  <r>
    <x v="2718"/>
    <x v="49"/>
    <s v="Ahmedabad"/>
    <x v="2"/>
    <x v="2"/>
    <x v="29"/>
    <x v="1"/>
    <s v="Consumer"/>
    <n v="8"/>
    <n v="18973"/>
    <n v="0.05"/>
    <x v="2688"/>
    <n v="97940.61"/>
    <n v="46254.19"/>
    <s v="Credit Card"/>
    <s v="Rohan"/>
  </r>
  <r>
    <x v="2719"/>
    <x v="97"/>
    <s v="Chennai"/>
    <x v="0"/>
    <x v="0"/>
    <x v="28"/>
    <x v="2"/>
    <s v="Small Business"/>
    <n v="6"/>
    <n v="2276"/>
    <n v="0"/>
    <x v="2689"/>
    <n v="11005.34"/>
    <n v="2650.66"/>
    <s v="Cash"/>
    <s v="Vikram"/>
  </r>
  <r>
    <x v="2720"/>
    <x v="97"/>
    <s v="Bengaluru"/>
    <x v="0"/>
    <x v="5"/>
    <x v="17"/>
    <x v="0"/>
    <s v="Corporate"/>
    <n v="1"/>
    <n v="16974"/>
    <n v="0"/>
    <x v="2690"/>
    <n v="9426.26"/>
    <n v="7547.74"/>
    <s v="Net Banking"/>
    <s v="Meera"/>
  </r>
  <r>
    <x v="2721"/>
    <x v="214"/>
    <s v="Delhi"/>
    <x v="3"/>
    <x v="3"/>
    <x v="15"/>
    <x v="0"/>
    <s v="Consumer"/>
    <n v="1"/>
    <n v="1658"/>
    <n v="0.05"/>
    <x v="2691"/>
    <n v="1037.0899999999999"/>
    <n v="538.01"/>
    <s v="Debit Card"/>
    <s v="Vikram"/>
  </r>
  <r>
    <x v="2722"/>
    <x v="27"/>
    <s v="Delhi"/>
    <x v="3"/>
    <x v="1"/>
    <x v="22"/>
    <x v="1"/>
    <s v="Corporate"/>
    <n v="7"/>
    <n v="5159"/>
    <n v="0.05"/>
    <x v="2692"/>
    <n v="25594.73"/>
    <n v="8712.6200000000008"/>
    <s v="Cash"/>
    <s v="Diya"/>
  </r>
  <r>
    <x v="2723"/>
    <x v="73"/>
    <s v="Chennai"/>
    <x v="0"/>
    <x v="1"/>
    <x v="10"/>
    <x v="0"/>
    <s v="Small Business"/>
    <n v="8"/>
    <n v="5969"/>
    <n v="0.15"/>
    <x v="2693"/>
    <n v="26361.99"/>
    <n v="14227.21"/>
    <s v="Net Banking"/>
    <s v="Meera"/>
  </r>
  <r>
    <x v="2724"/>
    <x v="342"/>
    <s v="Delhi"/>
    <x v="3"/>
    <x v="3"/>
    <x v="15"/>
    <x v="2"/>
    <s v="Corporate"/>
    <n v="1"/>
    <n v="667"/>
    <n v="0.1"/>
    <x v="2694"/>
    <n v="504.74"/>
    <n v="95.56"/>
    <s v="Debit Card"/>
    <s v="Rohan"/>
  </r>
  <r>
    <x v="2725"/>
    <x v="191"/>
    <s v="Hyderabad"/>
    <x v="0"/>
    <x v="1"/>
    <x v="7"/>
    <x v="0"/>
    <s v="Consumer"/>
    <n v="5"/>
    <n v="710"/>
    <n v="0"/>
    <x v="2695"/>
    <n v="2969.09"/>
    <n v="580.91"/>
    <s v="Net Banking"/>
    <s v="Anaya"/>
  </r>
  <r>
    <x v="2726"/>
    <x v="208"/>
    <s v="Chennai"/>
    <x v="0"/>
    <x v="6"/>
    <x v="8"/>
    <x v="1"/>
    <s v="Small Business"/>
    <n v="5"/>
    <n v="2661"/>
    <n v="0.15"/>
    <x v="2696"/>
    <n v="8400.59"/>
    <n v="2908.66"/>
    <s v="Debit Card"/>
    <s v="Meera"/>
  </r>
  <r>
    <x v="2727"/>
    <x v="73"/>
    <s v="Delhi"/>
    <x v="3"/>
    <x v="4"/>
    <x v="31"/>
    <x v="2"/>
    <s v="Corporate"/>
    <n v="8"/>
    <n v="2127"/>
    <n v="0"/>
    <x v="2697"/>
    <n v="12073.01"/>
    <n v="4942.99"/>
    <s v="Debit Card"/>
    <s v="Diya"/>
  </r>
  <r>
    <x v="2728"/>
    <x v="63"/>
    <s v="Bengaluru"/>
    <x v="0"/>
    <x v="1"/>
    <x v="10"/>
    <x v="0"/>
    <s v="Corporate"/>
    <n v="6"/>
    <n v="9721"/>
    <n v="0.1"/>
    <x v="2698"/>
    <n v="43795.59"/>
    <n v="8697.81"/>
    <s v="UPI"/>
    <s v="Sara"/>
  </r>
  <r>
    <x v="2729"/>
    <x v="350"/>
    <s v="Delhi"/>
    <x v="3"/>
    <x v="2"/>
    <x v="5"/>
    <x v="1"/>
    <s v="Small Business"/>
    <n v="7"/>
    <n v="8046"/>
    <n v="0.1"/>
    <x v="2699"/>
    <n v="28655.64"/>
    <n v="22034.16"/>
    <s v="Cash"/>
    <s v="Rohan"/>
  </r>
  <r>
    <x v="2730"/>
    <x v="282"/>
    <s v="Mumbai"/>
    <x v="2"/>
    <x v="2"/>
    <x v="9"/>
    <x v="2"/>
    <s v="Small Business"/>
    <n v="5"/>
    <n v="43648"/>
    <n v="0.05"/>
    <x v="2700"/>
    <n v="117468.99"/>
    <n v="89859.01"/>
    <s v="Cash"/>
    <s v="Sara"/>
  </r>
  <r>
    <x v="2731"/>
    <x v="47"/>
    <s v="Mumbai"/>
    <x v="2"/>
    <x v="2"/>
    <x v="5"/>
    <x v="0"/>
    <s v="Consumer"/>
    <n v="2"/>
    <n v="5005"/>
    <n v="0.05"/>
    <x v="2701"/>
    <n v="8141.94"/>
    <n v="1367.56"/>
    <s v="Net Banking"/>
    <s v="Anaya"/>
  </r>
  <r>
    <x v="2732"/>
    <x v="122"/>
    <s v="Delhi"/>
    <x v="3"/>
    <x v="1"/>
    <x v="18"/>
    <x v="1"/>
    <s v="Consumer"/>
    <n v="4"/>
    <n v="10727"/>
    <n v="0"/>
    <x v="2702"/>
    <n v="31587.51"/>
    <n v="11320.49"/>
    <s v="Credit Card"/>
    <s v="Vikram"/>
  </r>
  <r>
    <x v="2733"/>
    <x v="110"/>
    <s v="Ahmedabad"/>
    <x v="2"/>
    <x v="6"/>
    <x v="20"/>
    <x v="0"/>
    <s v="Small Business"/>
    <n v="5"/>
    <n v="3065"/>
    <n v="0.05"/>
    <x v="2703"/>
    <n v="10049.86"/>
    <n v="4508.8900000000003"/>
    <s v="Cash"/>
    <s v="Sara"/>
  </r>
  <r>
    <x v="2734"/>
    <x v="154"/>
    <s v="Bengaluru"/>
    <x v="0"/>
    <x v="4"/>
    <x v="31"/>
    <x v="1"/>
    <s v="Small Business"/>
    <n v="1"/>
    <n v="2363"/>
    <n v="0.05"/>
    <x v="2704"/>
    <n v="1575.37"/>
    <n v="669.48"/>
    <s v="Cash"/>
    <s v="Aarav"/>
  </r>
  <r>
    <x v="2735"/>
    <x v="236"/>
    <s v="Pune"/>
    <x v="2"/>
    <x v="0"/>
    <x v="19"/>
    <x v="1"/>
    <s v="Corporate"/>
    <n v="4"/>
    <n v="773"/>
    <n v="0.15"/>
    <x v="2705"/>
    <n v="1844.08"/>
    <n v="784.12"/>
    <s v="Credit Card"/>
    <s v="Rohan"/>
  </r>
  <r>
    <x v="2736"/>
    <x v="122"/>
    <s v="Chennai"/>
    <x v="0"/>
    <x v="1"/>
    <x v="10"/>
    <x v="1"/>
    <s v="Small Business"/>
    <n v="7"/>
    <n v="2325"/>
    <n v="0"/>
    <x v="2706"/>
    <n v="10976.7"/>
    <n v="5298.3"/>
    <s v="Debit Card"/>
    <s v="Meera"/>
  </r>
  <r>
    <x v="2737"/>
    <x v="31"/>
    <s v="Mumbai"/>
    <x v="2"/>
    <x v="2"/>
    <x v="5"/>
    <x v="2"/>
    <s v="Consumer"/>
    <n v="6"/>
    <n v="4944"/>
    <n v="0.05"/>
    <x v="2707"/>
    <n v="20907.060000000001"/>
    <n v="7273.74"/>
    <s v="Cash"/>
    <s v="Rohan"/>
  </r>
  <r>
    <x v="2738"/>
    <x v="123"/>
    <s v="Chennai"/>
    <x v="0"/>
    <x v="3"/>
    <x v="34"/>
    <x v="2"/>
    <s v="Corporate"/>
    <n v="8"/>
    <n v="2488"/>
    <n v="0"/>
    <x v="2708"/>
    <n v="12117.37"/>
    <n v="7786.63"/>
    <s v="Credit Card"/>
    <s v="Kabir"/>
  </r>
  <r>
    <x v="2739"/>
    <x v="49"/>
    <s v="Kolkata"/>
    <x v="1"/>
    <x v="4"/>
    <x v="13"/>
    <x v="1"/>
    <s v="Consumer"/>
    <n v="8"/>
    <n v="11307"/>
    <n v="0.1"/>
    <x v="2709"/>
    <n v="59804.41"/>
    <n v="21605.99"/>
    <s v="Cash"/>
    <s v="Meera"/>
  </r>
  <r>
    <x v="2740"/>
    <x v="15"/>
    <s v="Chennai"/>
    <x v="0"/>
    <x v="4"/>
    <x v="14"/>
    <x v="0"/>
    <s v="Small Business"/>
    <n v="7"/>
    <n v="4058"/>
    <n v="0.05"/>
    <x v="2710"/>
    <n v="21033.39"/>
    <n v="5952.31"/>
    <s v="Cash"/>
    <s v="Vikram"/>
  </r>
  <r>
    <x v="2741"/>
    <x v="44"/>
    <s v="Delhi"/>
    <x v="3"/>
    <x v="3"/>
    <x v="15"/>
    <x v="0"/>
    <s v="Small Business"/>
    <n v="8"/>
    <n v="835"/>
    <n v="0.05"/>
    <x v="2711"/>
    <n v="3792.75"/>
    <n v="2553.25"/>
    <s v="Net Banking"/>
    <s v="Meera"/>
  </r>
  <r>
    <x v="2742"/>
    <x v="286"/>
    <s v="Mumbai"/>
    <x v="2"/>
    <x v="4"/>
    <x v="14"/>
    <x v="1"/>
    <s v="Consumer"/>
    <n v="8"/>
    <n v="14846"/>
    <n v="0.05"/>
    <x v="2712"/>
    <n v="87798.14"/>
    <n v="25031.46"/>
    <s v="Credit Card"/>
    <s v="Sara"/>
  </r>
  <r>
    <x v="2743"/>
    <x v="359"/>
    <s v="Pune"/>
    <x v="2"/>
    <x v="2"/>
    <x v="21"/>
    <x v="2"/>
    <s v="Consumer"/>
    <n v="1"/>
    <n v="12952"/>
    <n v="0.1"/>
    <x v="2713"/>
    <n v="8656.91"/>
    <n v="2999.89"/>
    <s v="UPI"/>
    <s v="Anaya"/>
  </r>
  <r>
    <x v="2744"/>
    <x v="174"/>
    <s v="Kolkata"/>
    <x v="1"/>
    <x v="6"/>
    <x v="8"/>
    <x v="0"/>
    <s v="Corporate"/>
    <n v="3"/>
    <n v="5473"/>
    <n v="0"/>
    <x v="2714"/>
    <n v="12365.78"/>
    <n v="4053.22"/>
    <s v="Cash"/>
    <s v="Aarav"/>
  </r>
  <r>
    <x v="2745"/>
    <x v="244"/>
    <s v="Mumbai"/>
    <x v="2"/>
    <x v="3"/>
    <x v="32"/>
    <x v="2"/>
    <s v="Consumer"/>
    <n v="5"/>
    <n v="2037"/>
    <n v="0.1"/>
    <x v="2715"/>
    <n v="7341.97"/>
    <n v="1824.53"/>
    <s v="UPI"/>
    <s v="Rohan"/>
  </r>
  <r>
    <x v="2746"/>
    <x v="220"/>
    <s v="Mumbai"/>
    <x v="2"/>
    <x v="5"/>
    <x v="6"/>
    <x v="0"/>
    <s v="Corporate"/>
    <n v="3"/>
    <n v="4896"/>
    <n v="0"/>
    <x v="2716"/>
    <n v="12540.45"/>
    <n v="2147.5500000000002"/>
    <s v="Cash"/>
    <s v="Vikram"/>
  </r>
  <r>
    <x v="2747"/>
    <x v="168"/>
    <s v="Bengaluru"/>
    <x v="0"/>
    <x v="5"/>
    <x v="11"/>
    <x v="0"/>
    <s v="Consumer"/>
    <n v="5"/>
    <n v="6669"/>
    <n v="0.15"/>
    <x v="2717"/>
    <n v="19754.400000000001"/>
    <n v="8588.85"/>
    <s v="Cash"/>
    <s v="Meera"/>
  </r>
  <r>
    <x v="2748"/>
    <x v="162"/>
    <s v="Hyderabad"/>
    <x v="0"/>
    <x v="0"/>
    <x v="19"/>
    <x v="2"/>
    <s v="Corporate"/>
    <n v="5"/>
    <n v="177"/>
    <n v="0"/>
    <x v="2718"/>
    <n v="733.51"/>
    <n v="151.49"/>
    <s v="Net Banking"/>
    <s v="Rohan"/>
  </r>
  <r>
    <x v="2749"/>
    <x v="320"/>
    <s v="Delhi"/>
    <x v="3"/>
    <x v="6"/>
    <x v="33"/>
    <x v="2"/>
    <s v="Consumer"/>
    <n v="4"/>
    <n v="4865"/>
    <n v="0"/>
    <x v="2719"/>
    <n v="13137.52"/>
    <n v="6322.48"/>
    <s v="Debit Card"/>
    <s v="Rohan"/>
  </r>
  <r>
    <x v="2750"/>
    <x v="335"/>
    <s v="Mumbai"/>
    <x v="2"/>
    <x v="1"/>
    <x v="22"/>
    <x v="1"/>
    <s v="Corporate"/>
    <n v="5"/>
    <n v="3731"/>
    <n v="0.1"/>
    <x v="2720"/>
    <n v="12878.01"/>
    <n v="3911.49"/>
    <s v="Debit Card"/>
    <s v="Kabir"/>
  </r>
  <r>
    <x v="2751"/>
    <x v="64"/>
    <s v="Delhi"/>
    <x v="3"/>
    <x v="2"/>
    <x v="2"/>
    <x v="1"/>
    <s v="Consumer"/>
    <n v="1"/>
    <n v="54413"/>
    <n v="0.1"/>
    <x v="2721"/>
    <n v="27846.43"/>
    <n v="21125.27"/>
    <s v="UPI"/>
    <s v="Aarav"/>
  </r>
  <r>
    <x v="2752"/>
    <x v="92"/>
    <s v="Chennai"/>
    <x v="0"/>
    <x v="5"/>
    <x v="6"/>
    <x v="1"/>
    <s v="Corporate"/>
    <n v="1"/>
    <n v="34654"/>
    <n v="0.05"/>
    <x v="2722"/>
    <n v="23300.06"/>
    <n v="9621.24"/>
    <s v="Net Banking"/>
    <s v="Vikram"/>
  </r>
  <r>
    <x v="2753"/>
    <x v="269"/>
    <s v="Delhi"/>
    <x v="3"/>
    <x v="6"/>
    <x v="16"/>
    <x v="2"/>
    <s v="Consumer"/>
    <n v="7"/>
    <n v="713"/>
    <n v="0.15"/>
    <x v="2723"/>
    <n v="2569.9899999999998"/>
    <n v="1672.36"/>
    <s v="Debit Card"/>
    <s v="Kabir"/>
  </r>
  <r>
    <x v="2754"/>
    <x v="362"/>
    <s v="Hyderabad"/>
    <x v="0"/>
    <x v="4"/>
    <x v="27"/>
    <x v="2"/>
    <s v="Small Business"/>
    <n v="4"/>
    <n v="8280"/>
    <n v="0"/>
    <x v="2724"/>
    <n v="22416.07"/>
    <n v="10703.93"/>
    <s v="UPI"/>
    <s v="Kabir"/>
  </r>
  <r>
    <x v="2755"/>
    <x v="221"/>
    <s v="Kolkata"/>
    <x v="1"/>
    <x v="5"/>
    <x v="25"/>
    <x v="2"/>
    <s v="Corporate"/>
    <n v="8"/>
    <n v="30908"/>
    <n v="0.1"/>
    <x v="2725"/>
    <n v="173752.18"/>
    <n v="48785.42"/>
    <s v="Credit Card"/>
    <s v="Rohan"/>
  </r>
  <r>
    <x v="2756"/>
    <x v="315"/>
    <s v="Ahmedabad"/>
    <x v="2"/>
    <x v="2"/>
    <x v="21"/>
    <x v="1"/>
    <s v="Consumer"/>
    <n v="4"/>
    <n v="57330"/>
    <n v="0"/>
    <x v="2726"/>
    <n v="167283.35999999999"/>
    <n v="62036.639999999999"/>
    <s v="Debit Card"/>
    <s v="Anaya"/>
  </r>
  <r>
    <x v="2757"/>
    <x v="235"/>
    <s v="Mumbai"/>
    <x v="2"/>
    <x v="4"/>
    <x v="13"/>
    <x v="0"/>
    <s v="Small Business"/>
    <n v="4"/>
    <n v="13055"/>
    <n v="0.15"/>
    <x v="2727"/>
    <n v="31136.400000000001"/>
    <n v="13250.6"/>
    <s v="Debit Card"/>
    <s v="Sara"/>
  </r>
  <r>
    <x v="2758"/>
    <x v="23"/>
    <s v="Delhi"/>
    <x v="3"/>
    <x v="6"/>
    <x v="20"/>
    <x v="0"/>
    <s v="Small Business"/>
    <n v="8"/>
    <n v="3047"/>
    <n v="0.15"/>
    <x v="2728"/>
    <n v="17535.849999999999"/>
    <n v="3183.75"/>
    <s v="UPI"/>
    <s v="Sara"/>
  </r>
  <r>
    <x v="2759"/>
    <x v="97"/>
    <s v="Delhi"/>
    <x v="3"/>
    <x v="5"/>
    <x v="17"/>
    <x v="2"/>
    <s v="Corporate"/>
    <n v="1"/>
    <n v="26019"/>
    <n v="0"/>
    <x v="2729"/>
    <n v="21103"/>
    <n v="4916"/>
    <s v="UPI"/>
    <s v="Diya"/>
  </r>
  <r>
    <x v="2760"/>
    <x v="295"/>
    <s v="Ahmedabad"/>
    <x v="2"/>
    <x v="2"/>
    <x v="29"/>
    <x v="0"/>
    <s v="Consumer"/>
    <n v="2"/>
    <n v="42287"/>
    <n v="0.1"/>
    <x v="2730"/>
    <n v="63185.04"/>
    <n v="12931.56"/>
    <s v="Credit Card"/>
    <s v="Anaya"/>
  </r>
  <r>
    <x v="2761"/>
    <x v="316"/>
    <s v="Bengaluru"/>
    <x v="0"/>
    <x v="2"/>
    <x v="2"/>
    <x v="0"/>
    <s v="Consumer"/>
    <n v="7"/>
    <n v="14529"/>
    <n v="0.1"/>
    <x v="2731"/>
    <n v="76702.48"/>
    <n v="14830.22"/>
    <s v="Cash"/>
    <s v="Vikram"/>
  </r>
  <r>
    <x v="2762"/>
    <x v="238"/>
    <s v="Mumbai"/>
    <x v="2"/>
    <x v="3"/>
    <x v="12"/>
    <x v="2"/>
    <s v="Consumer"/>
    <n v="3"/>
    <n v="909"/>
    <n v="0.1"/>
    <x v="2732"/>
    <n v="1439.1"/>
    <n v="1015.2"/>
    <s v="UPI"/>
    <s v="Sara"/>
  </r>
  <r>
    <x v="2763"/>
    <x v="213"/>
    <s v="Mumbai"/>
    <x v="2"/>
    <x v="0"/>
    <x v="0"/>
    <x v="1"/>
    <s v="Corporate"/>
    <n v="4"/>
    <n v="2232"/>
    <n v="0"/>
    <x v="2733"/>
    <n v="5710.21"/>
    <n v="3217.79"/>
    <s v="UPI"/>
    <s v="Sara"/>
  </r>
  <r>
    <x v="2764"/>
    <x v="35"/>
    <s v="Bengaluru"/>
    <x v="0"/>
    <x v="3"/>
    <x v="32"/>
    <x v="0"/>
    <s v="Corporate"/>
    <n v="3"/>
    <n v="308"/>
    <n v="0"/>
    <x v="2734"/>
    <n v="711.46"/>
    <n v="212.54"/>
    <s v="Net Banking"/>
    <s v="Anaya"/>
  </r>
  <r>
    <x v="2765"/>
    <x v="242"/>
    <s v="Bengaluru"/>
    <x v="0"/>
    <x v="1"/>
    <x v="18"/>
    <x v="1"/>
    <s v="Small Business"/>
    <n v="3"/>
    <n v="5938"/>
    <n v="0.15"/>
    <x v="2735"/>
    <n v="11725.74"/>
    <n v="3416.16"/>
    <s v="Credit Card"/>
    <s v="Vikram"/>
  </r>
  <r>
    <x v="2766"/>
    <x v="9"/>
    <s v="Mumbai"/>
    <x v="2"/>
    <x v="6"/>
    <x v="30"/>
    <x v="0"/>
    <s v="Corporate"/>
    <n v="2"/>
    <n v="5290"/>
    <n v="0.05"/>
    <x v="2736"/>
    <n v="6639.58"/>
    <n v="3411.42"/>
    <s v="Net Banking"/>
    <s v="Anaya"/>
  </r>
  <r>
    <x v="2767"/>
    <x v="105"/>
    <s v="Chennai"/>
    <x v="0"/>
    <x v="3"/>
    <x v="12"/>
    <x v="1"/>
    <s v="Small Business"/>
    <n v="4"/>
    <n v="468"/>
    <n v="0.05"/>
    <x v="2737"/>
    <n v="1260.3800000000001"/>
    <n v="518.02"/>
    <s v="Net Banking"/>
    <s v="Anaya"/>
  </r>
  <r>
    <x v="2768"/>
    <x v="108"/>
    <s v="Bengaluru"/>
    <x v="0"/>
    <x v="1"/>
    <x v="22"/>
    <x v="1"/>
    <s v="Corporate"/>
    <n v="1"/>
    <n v="9050"/>
    <n v="0.05"/>
    <x v="2738"/>
    <n v="7534.17"/>
    <n v="1063.33"/>
    <s v="Cash"/>
    <s v="Meera"/>
  </r>
  <r>
    <x v="2769"/>
    <x v="137"/>
    <s v="Chennai"/>
    <x v="0"/>
    <x v="0"/>
    <x v="19"/>
    <x v="0"/>
    <s v="Corporate"/>
    <n v="2"/>
    <n v="583"/>
    <n v="0.1"/>
    <x v="2739"/>
    <n v="676.42"/>
    <n v="372.98"/>
    <s v="Cash"/>
    <s v="Vikram"/>
  </r>
  <r>
    <x v="2770"/>
    <x v="84"/>
    <s v="Pune"/>
    <x v="2"/>
    <x v="4"/>
    <x v="13"/>
    <x v="1"/>
    <s v="Small Business"/>
    <n v="8"/>
    <n v="11678"/>
    <n v="0.05"/>
    <x v="2740"/>
    <n v="61722.64"/>
    <n v="27030.16"/>
    <s v="Credit Card"/>
    <s v="Aarav"/>
  </r>
  <r>
    <x v="2771"/>
    <x v="213"/>
    <s v="Chennai"/>
    <x v="0"/>
    <x v="2"/>
    <x v="9"/>
    <x v="2"/>
    <s v="Consumer"/>
    <n v="2"/>
    <n v="15634"/>
    <n v="0.05"/>
    <x v="2741"/>
    <n v="20333.990000000002"/>
    <n v="9370.61"/>
    <s v="Debit Card"/>
    <s v="Meera"/>
  </r>
  <r>
    <x v="2772"/>
    <x v="269"/>
    <s v="Chennai"/>
    <x v="0"/>
    <x v="1"/>
    <x v="7"/>
    <x v="2"/>
    <s v="Small Business"/>
    <n v="8"/>
    <n v="2811"/>
    <n v="0"/>
    <x v="2742"/>
    <n v="13393.99"/>
    <n v="9094.01"/>
    <s v="Debit Card"/>
    <s v="Aarav"/>
  </r>
  <r>
    <x v="2773"/>
    <x v="77"/>
    <s v="Pune"/>
    <x v="2"/>
    <x v="2"/>
    <x v="29"/>
    <x v="0"/>
    <s v="Corporate"/>
    <n v="7"/>
    <n v="6616"/>
    <n v="0"/>
    <x v="2743"/>
    <n v="29869.279999999999"/>
    <n v="16442.72"/>
    <s v="Net Banking"/>
    <s v="Anaya"/>
  </r>
  <r>
    <x v="2774"/>
    <x v="161"/>
    <s v="Mumbai"/>
    <x v="2"/>
    <x v="4"/>
    <x v="31"/>
    <x v="1"/>
    <s v="Corporate"/>
    <n v="5"/>
    <n v="24980"/>
    <n v="0.05"/>
    <x v="2744"/>
    <n v="93395.26"/>
    <n v="25259.74"/>
    <s v="Net Banking"/>
    <s v="Aarav"/>
  </r>
  <r>
    <x v="2775"/>
    <x v="31"/>
    <s v="Mumbai"/>
    <x v="2"/>
    <x v="4"/>
    <x v="27"/>
    <x v="1"/>
    <s v="Consumer"/>
    <n v="8"/>
    <n v="8404"/>
    <n v="0.1"/>
    <x v="2745"/>
    <n v="40553.199999999997"/>
    <n v="19955.599999999999"/>
    <s v="Credit Card"/>
    <s v="Anaya"/>
  </r>
  <r>
    <x v="2776"/>
    <x v="2"/>
    <s v="Pune"/>
    <x v="2"/>
    <x v="5"/>
    <x v="11"/>
    <x v="0"/>
    <s v="Small Business"/>
    <n v="5"/>
    <n v="11214"/>
    <n v="0.2"/>
    <x v="2746"/>
    <n v="36882.06"/>
    <n v="7973.94"/>
    <s v="Net Banking"/>
    <s v="Vikram"/>
  </r>
  <r>
    <x v="2777"/>
    <x v="203"/>
    <s v="Bengaluru"/>
    <x v="0"/>
    <x v="4"/>
    <x v="14"/>
    <x v="2"/>
    <s v="Corporate"/>
    <n v="2"/>
    <n v="24680"/>
    <n v="0.05"/>
    <x v="2747"/>
    <n v="33770.76"/>
    <n v="13121.24"/>
    <s v="Net Banking"/>
    <s v="Meera"/>
  </r>
  <r>
    <x v="2778"/>
    <x v="112"/>
    <s v="Mumbai"/>
    <x v="2"/>
    <x v="4"/>
    <x v="4"/>
    <x v="2"/>
    <s v="Small Business"/>
    <n v="3"/>
    <n v="5836"/>
    <n v="0.05"/>
    <x v="2748"/>
    <n v="10334.34"/>
    <n v="6298.26"/>
    <s v="Cash"/>
    <s v="Vikram"/>
  </r>
  <r>
    <x v="2779"/>
    <x v="115"/>
    <s v="Mumbai"/>
    <x v="2"/>
    <x v="6"/>
    <x v="33"/>
    <x v="2"/>
    <s v="Consumer"/>
    <n v="3"/>
    <n v="601"/>
    <n v="0.05"/>
    <x v="2749"/>
    <n v="1076.5899999999999"/>
    <n v="636.26"/>
    <s v="Credit Card"/>
    <s v="Diya"/>
  </r>
  <r>
    <x v="2780"/>
    <x v="104"/>
    <s v="Ahmedabad"/>
    <x v="2"/>
    <x v="1"/>
    <x v="10"/>
    <x v="2"/>
    <s v="Consumer"/>
    <n v="8"/>
    <n v="7639"/>
    <n v="0"/>
    <x v="2750"/>
    <n v="45956.24"/>
    <n v="15155.76"/>
    <s v="Debit Card"/>
    <s v="Rohan"/>
  </r>
  <r>
    <x v="2781"/>
    <x v="302"/>
    <s v="Delhi"/>
    <x v="3"/>
    <x v="1"/>
    <x v="18"/>
    <x v="0"/>
    <s v="Corporate"/>
    <n v="2"/>
    <n v="6953"/>
    <n v="0"/>
    <x v="2751"/>
    <n v="9453.2000000000007"/>
    <n v="4452.8"/>
    <s v="Credit Card"/>
    <s v="Vikram"/>
  </r>
  <r>
    <x v="2782"/>
    <x v="183"/>
    <s v="Pune"/>
    <x v="2"/>
    <x v="1"/>
    <x v="22"/>
    <x v="1"/>
    <s v="Small Business"/>
    <n v="3"/>
    <n v="9710"/>
    <n v="0.15"/>
    <x v="2752"/>
    <n v="20878.22"/>
    <n v="3882.28"/>
    <s v="Credit Card"/>
    <s v="Vikram"/>
  </r>
  <r>
    <x v="2783"/>
    <x v="211"/>
    <s v="Kolkata"/>
    <x v="1"/>
    <x v="6"/>
    <x v="8"/>
    <x v="2"/>
    <s v="Small Business"/>
    <n v="1"/>
    <n v="772"/>
    <n v="0.05"/>
    <x v="2111"/>
    <n v="457.2"/>
    <n v="276.2"/>
    <s v="UPI"/>
    <s v="Vikram"/>
  </r>
  <r>
    <x v="2784"/>
    <x v="71"/>
    <s v="Pune"/>
    <x v="2"/>
    <x v="5"/>
    <x v="6"/>
    <x v="2"/>
    <s v="Corporate"/>
    <n v="7"/>
    <n v="48720"/>
    <n v="0.1"/>
    <x v="2753"/>
    <n v="181088.22"/>
    <n v="125847.78"/>
    <s v="Net Banking"/>
    <s v="Rohan"/>
  </r>
  <r>
    <x v="2785"/>
    <x v="42"/>
    <s v="Mumbai"/>
    <x v="2"/>
    <x v="6"/>
    <x v="16"/>
    <x v="1"/>
    <s v="Consumer"/>
    <n v="4"/>
    <n v="501"/>
    <n v="0.15"/>
    <x v="2754"/>
    <n v="1058.1300000000001"/>
    <n v="645.27"/>
    <s v="Debit Card"/>
    <s v="Rohan"/>
  </r>
  <r>
    <x v="2786"/>
    <x v="151"/>
    <s v="Bengaluru"/>
    <x v="0"/>
    <x v="4"/>
    <x v="13"/>
    <x v="2"/>
    <s v="Consumer"/>
    <n v="7"/>
    <n v="8369"/>
    <n v="0.1"/>
    <x v="2755"/>
    <n v="40155.01"/>
    <n v="12569.69"/>
    <s v="UPI"/>
    <s v="Anaya"/>
  </r>
  <r>
    <x v="2787"/>
    <x v="148"/>
    <s v="Mumbai"/>
    <x v="2"/>
    <x v="5"/>
    <x v="11"/>
    <x v="2"/>
    <s v="Corporate"/>
    <n v="8"/>
    <n v="9417"/>
    <n v="0.1"/>
    <x v="2756"/>
    <n v="39623.96"/>
    <n v="28178.44"/>
    <s v="Debit Card"/>
    <s v="Kabir"/>
  </r>
  <r>
    <x v="2788"/>
    <x v="91"/>
    <s v="Bengaluru"/>
    <x v="0"/>
    <x v="1"/>
    <x v="18"/>
    <x v="0"/>
    <s v="Consumer"/>
    <n v="7"/>
    <n v="2299"/>
    <n v="0.1"/>
    <x v="2757"/>
    <n v="8243.1299999999992"/>
    <n v="6240.57"/>
    <s v="Credit Card"/>
    <s v="Rohan"/>
  </r>
  <r>
    <x v="2789"/>
    <x v="323"/>
    <s v="Kolkata"/>
    <x v="1"/>
    <x v="0"/>
    <x v="0"/>
    <x v="2"/>
    <s v="Small Business"/>
    <n v="4"/>
    <n v="973"/>
    <n v="0.15"/>
    <x v="2758"/>
    <n v="2565.23"/>
    <n v="742.97"/>
    <s v="Cash"/>
    <s v="Rohan"/>
  </r>
  <r>
    <x v="2790"/>
    <x v="275"/>
    <s v="Mumbai"/>
    <x v="2"/>
    <x v="2"/>
    <x v="5"/>
    <x v="1"/>
    <s v="Corporate"/>
    <n v="4"/>
    <n v="7165"/>
    <n v="0"/>
    <x v="2759"/>
    <n v="16819.669999999998"/>
    <n v="11840.33"/>
    <s v="Credit Card"/>
    <s v="Kabir"/>
  </r>
  <r>
    <x v="2791"/>
    <x v="85"/>
    <s v="Pune"/>
    <x v="2"/>
    <x v="1"/>
    <x v="10"/>
    <x v="0"/>
    <s v="Consumer"/>
    <n v="3"/>
    <n v="5045"/>
    <n v="0"/>
    <x v="2760"/>
    <n v="11919.93"/>
    <n v="3215.07"/>
    <s v="Credit Card"/>
    <s v="Vikram"/>
  </r>
  <r>
    <x v="2792"/>
    <x v="167"/>
    <s v="Ahmedabad"/>
    <x v="2"/>
    <x v="1"/>
    <x v="7"/>
    <x v="0"/>
    <s v="Corporate"/>
    <n v="6"/>
    <n v="10540"/>
    <n v="0"/>
    <x v="2761"/>
    <n v="52551.65"/>
    <n v="10688.35"/>
    <s v="Credit Card"/>
    <s v="Vikram"/>
  </r>
  <r>
    <x v="2793"/>
    <x v="112"/>
    <s v="Pune"/>
    <x v="2"/>
    <x v="5"/>
    <x v="25"/>
    <x v="0"/>
    <s v="Corporate"/>
    <n v="8"/>
    <n v="23407"/>
    <n v="0.05"/>
    <x v="2762"/>
    <n v="139814.91"/>
    <n v="38078.29"/>
    <s v="Debit Card"/>
    <s v="Vikram"/>
  </r>
  <r>
    <x v="2794"/>
    <x v="177"/>
    <s v="Bengaluru"/>
    <x v="0"/>
    <x v="3"/>
    <x v="32"/>
    <x v="0"/>
    <s v="Small Business"/>
    <n v="3"/>
    <n v="693"/>
    <n v="0.1"/>
    <x v="2763"/>
    <n v="1399.09"/>
    <n v="472.01"/>
    <s v="Debit Card"/>
    <s v="Rohan"/>
  </r>
  <r>
    <x v="2795"/>
    <x v="120"/>
    <s v="Ahmedabad"/>
    <x v="2"/>
    <x v="4"/>
    <x v="14"/>
    <x v="2"/>
    <s v="Small Business"/>
    <n v="2"/>
    <n v="20406"/>
    <n v="0.1"/>
    <x v="1152"/>
    <n v="30042.84"/>
    <n v="6687.96"/>
    <s v="Cash"/>
    <s v="Rohan"/>
  </r>
  <r>
    <x v="2796"/>
    <x v="213"/>
    <s v="Delhi"/>
    <x v="3"/>
    <x v="0"/>
    <x v="28"/>
    <x v="0"/>
    <s v="Consumer"/>
    <n v="1"/>
    <n v="688"/>
    <n v="0.1"/>
    <x v="2764"/>
    <n v="350.45"/>
    <n v="268.75"/>
    <s v="Debit Card"/>
    <s v="Vikram"/>
  </r>
  <r>
    <x v="2797"/>
    <x v="156"/>
    <s v="Delhi"/>
    <x v="3"/>
    <x v="1"/>
    <x v="7"/>
    <x v="2"/>
    <s v="Small Business"/>
    <n v="4"/>
    <n v="5521"/>
    <n v="0.15"/>
    <x v="2765"/>
    <n v="14189.44"/>
    <n v="4581.96"/>
    <s v="Credit Card"/>
    <s v="Aarav"/>
  </r>
  <r>
    <x v="2798"/>
    <x v="318"/>
    <s v="Chennai"/>
    <x v="0"/>
    <x v="1"/>
    <x v="18"/>
    <x v="1"/>
    <s v="Consumer"/>
    <n v="6"/>
    <n v="7008"/>
    <n v="0.2"/>
    <x v="2766"/>
    <n v="27384.34"/>
    <n v="6254.06"/>
    <s v="Debit Card"/>
    <s v="Anaya"/>
  </r>
  <r>
    <x v="2799"/>
    <x v="82"/>
    <s v="Bengaluru"/>
    <x v="0"/>
    <x v="0"/>
    <x v="0"/>
    <x v="2"/>
    <s v="Consumer"/>
    <n v="3"/>
    <n v="1505"/>
    <n v="0"/>
    <x v="2767"/>
    <n v="3642.37"/>
    <n v="872.63"/>
    <s v="UPI"/>
    <s v="Kabir"/>
  </r>
  <r>
    <x v="2800"/>
    <x v="324"/>
    <s v="Pune"/>
    <x v="2"/>
    <x v="1"/>
    <x v="1"/>
    <x v="0"/>
    <s v="Small Business"/>
    <n v="7"/>
    <n v="3360"/>
    <n v="0.05"/>
    <x v="2768"/>
    <n v="16055.54"/>
    <n v="6288.46"/>
    <s v="Debit Card"/>
    <s v="Anaya"/>
  </r>
  <r>
    <x v="2801"/>
    <x v="221"/>
    <s v="Mumbai"/>
    <x v="2"/>
    <x v="4"/>
    <x v="13"/>
    <x v="2"/>
    <s v="Corporate"/>
    <n v="6"/>
    <n v="11236"/>
    <n v="0.15"/>
    <x v="2769"/>
    <n v="34988.559999999998"/>
    <n v="22315.040000000001"/>
    <s v="Cash"/>
    <s v="Kabir"/>
  </r>
  <r>
    <x v="2802"/>
    <x v="29"/>
    <s v="Pune"/>
    <x v="2"/>
    <x v="5"/>
    <x v="6"/>
    <x v="2"/>
    <s v="Corporate"/>
    <n v="3"/>
    <n v="29313"/>
    <n v="0"/>
    <x v="2770"/>
    <n v="64131.81"/>
    <n v="23807.19"/>
    <s v="Cash"/>
    <s v="Vikram"/>
  </r>
  <r>
    <x v="2803"/>
    <x v="266"/>
    <s v="Ahmedabad"/>
    <x v="2"/>
    <x v="2"/>
    <x v="5"/>
    <x v="1"/>
    <s v="Consumer"/>
    <n v="6"/>
    <n v="28007"/>
    <n v="0"/>
    <x v="2771"/>
    <n v="137213.53"/>
    <n v="30828.47"/>
    <s v="UPI"/>
    <s v="Kabir"/>
  </r>
  <r>
    <x v="2804"/>
    <x v="175"/>
    <s v="Mumbai"/>
    <x v="2"/>
    <x v="5"/>
    <x v="11"/>
    <x v="0"/>
    <s v="Consumer"/>
    <n v="1"/>
    <n v="48368"/>
    <n v="0.05"/>
    <x v="2772"/>
    <n v="34467.93"/>
    <n v="11481.67"/>
    <s v="Net Banking"/>
    <s v="Aarav"/>
  </r>
  <r>
    <x v="2805"/>
    <x v="8"/>
    <s v="Hyderabad"/>
    <x v="0"/>
    <x v="2"/>
    <x v="9"/>
    <x v="2"/>
    <s v="Corporate"/>
    <n v="5"/>
    <n v="14208"/>
    <n v="0"/>
    <x v="2773"/>
    <n v="62322.7"/>
    <n v="8717.2999999999993"/>
    <s v="Net Banking"/>
    <s v="Rohan"/>
  </r>
  <r>
    <x v="2806"/>
    <x v="229"/>
    <s v="Delhi"/>
    <x v="3"/>
    <x v="5"/>
    <x v="11"/>
    <x v="0"/>
    <s v="Small Business"/>
    <n v="2"/>
    <n v="36907"/>
    <n v="0.1"/>
    <x v="2774"/>
    <n v="43230.53"/>
    <n v="23202.07"/>
    <s v="Net Banking"/>
    <s v="Vikram"/>
  </r>
  <r>
    <x v="2807"/>
    <x v="223"/>
    <s v="Ahmedabad"/>
    <x v="2"/>
    <x v="3"/>
    <x v="34"/>
    <x v="1"/>
    <s v="Small Business"/>
    <n v="3"/>
    <n v="505"/>
    <n v="0.1"/>
    <x v="2775"/>
    <n v="1076.51"/>
    <n v="286.99"/>
    <s v="Net Banking"/>
    <s v="Diya"/>
  </r>
  <r>
    <x v="2808"/>
    <x v="163"/>
    <s v="Mumbai"/>
    <x v="2"/>
    <x v="1"/>
    <x v="10"/>
    <x v="1"/>
    <s v="Consumer"/>
    <n v="1"/>
    <n v="11680"/>
    <n v="0.2"/>
    <x v="2776"/>
    <n v="5293.29"/>
    <n v="4050.71"/>
    <s v="Credit Card"/>
    <s v="Kabir"/>
  </r>
  <r>
    <x v="2809"/>
    <x v="207"/>
    <s v="Kolkata"/>
    <x v="1"/>
    <x v="5"/>
    <x v="11"/>
    <x v="2"/>
    <s v="Corporate"/>
    <n v="1"/>
    <n v="16334"/>
    <n v="0.05"/>
    <x v="2777"/>
    <n v="10984.18"/>
    <n v="4533.12"/>
    <s v="Net Banking"/>
    <s v="Vikram"/>
  </r>
  <r>
    <x v="2810"/>
    <x v="219"/>
    <s v="Chennai"/>
    <x v="0"/>
    <x v="2"/>
    <x v="21"/>
    <x v="0"/>
    <s v="Corporate"/>
    <n v="8"/>
    <n v="43395"/>
    <n v="0"/>
    <x v="2778"/>
    <n v="239482.18"/>
    <n v="107677.82"/>
    <s v="Cash"/>
    <s v="Anaya"/>
  </r>
  <r>
    <x v="2811"/>
    <x v="131"/>
    <s v="Hyderabad"/>
    <x v="0"/>
    <x v="2"/>
    <x v="21"/>
    <x v="2"/>
    <s v="Small Business"/>
    <n v="8"/>
    <n v="67259"/>
    <n v="0.05"/>
    <x v="2779"/>
    <n v="435660.55"/>
    <n v="75507.850000000006"/>
    <s v="Net Banking"/>
    <s v="Kabir"/>
  </r>
  <r>
    <x v="2812"/>
    <x v="197"/>
    <s v="Kolkata"/>
    <x v="1"/>
    <x v="6"/>
    <x v="30"/>
    <x v="2"/>
    <s v="Consumer"/>
    <n v="1"/>
    <n v="2514"/>
    <n v="0"/>
    <x v="2780"/>
    <n v="2173.58"/>
    <n v="340.42"/>
    <s v="Net Banking"/>
    <s v="Sara"/>
  </r>
  <r>
    <x v="2813"/>
    <x v="15"/>
    <s v="Bengaluru"/>
    <x v="0"/>
    <x v="5"/>
    <x v="11"/>
    <x v="2"/>
    <s v="Consumer"/>
    <n v="1"/>
    <n v="40343"/>
    <n v="0.1"/>
    <x v="2781"/>
    <n v="25934.94"/>
    <n v="10373.76"/>
    <s v="Credit Card"/>
    <s v="Diya"/>
  </r>
  <r>
    <x v="2814"/>
    <x v="184"/>
    <s v="Ahmedabad"/>
    <x v="2"/>
    <x v="6"/>
    <x v="8"/>
    <x v="1"/>
    <s v="Corporate"/>
    <n v="7"/>
    <n v="1385"/>
    <n v="0"/>
    <x v="2782"/>
    <n v="6675.88"/>
    <n v="3019.12"/>
    <s v="Cash"/>
    <s v="Kabir"/>
  </r>
  <r>
    <x v="2815"/>
    <x v="91"/>
    <s v="Mumbai"/>
    <x v="2"/>
    <x v="4"/>
    <x v="31"/>
    <x v="1"/>
    <s v="Corporate"/>
    <n v="2"/>
    <n v="20366"/>
    <n v="0.1"/>
    <x v="2783"/>
    <n v="21241.5"/>
    <n v="15417.3"/>
    <s v="Debit Card"/>
    <s v="Anaya"/>
  </r>
  <r>
    <x v="2816"/>
    <x v="140"/>
    <s v="Mumbai"/>
    <x v="2"/>
    <x v="5"/>
    <x v="25"/>
    <x v="0"/>
    <s v="Corporate"/>
    <n v="1"/>
    <n v="2793"/>
    <n v="0"/>
    <x v="2784"/>
    <n v="2150.79"/>
    <n v="642.21"/>
    <s v="Debit Card"/>
    <s v="Diya"/>
  </r>
  <r>
    <x v="2817"/>
    <x v="244"/>
    <s v="Mumbai"/>
    <x v="2"/>
    <x v="4"/>
    <x v="31"/>
    <x v="2"/>
    <s v="Small Business"/>
    <n v="7"/>
    <n v="11703"/>
    <n v="0.1"/>
    <x v="2785"/>
    <n v="60520.160000000003"/>
    <n v="13208.74"/>
    <s v="UPI"/>
    <s v="Sara"/>
  </r>
  <r>
    <x v="2818"/>
    <x v="88"/>
    <s v="Delhi"/>
    <x v="3"/>
    <x v="5"/>
    <x v="25"/>
    <x v="2"/>
    <s v="Corporate"/>
    <n v="5"/>
    <n v="13232"/>
    <n v="0.15"/>
    <x v="2786"/>
    <n v="48203.6"/>
    <n v="8032.4"/>
    <s v="Net Banking"/>
    <s v="Diya"/>
  </r>
  <r>
    <x v="2819"/>
    <x v="147"/>
    <s v="Delhi"/>
    <x v="3"/>
    <x v="1"/>
    <x v="10"/>
    <x v="0"/>
    <s v="Small Business"/>
    <n v="4"/>
    <n v="9051"/>
    <n v="0.1"/>
    <x v="2787"/>
    <n v="22486.240000000002"/>
    <n v="10097.36"/>
    <s v="Credit Card"/>
    <s v="Anaya"/>
  </r>
  <r>
    <x v="2820"/>
    <x v="124"/>
    <s v="Delhi"/>
    <x v="3"/>
    <x v="0"/>
    <x v="23"/>
    <x v="2"/>
    <s v="Corporate"/>
    <n v="2"/>
    <n v="2440"/>
    <n v="0"/>
    <x v="2788"/>
    <n v="4281.53"/>
    <n v="598.47"/>
    <s v="Cash"/>
    <s v="Diya"/>
  </r>
  <r>
    <x v="2821"/>
    <x v="85"/>
    <s v="Mumbai"/>
    <x v="2"/>
    <x v="4"/>
    <x v="13"/>
    <x v="0"/>
    <s v="Corporate"/>
    <n v="2"/>
    <n v="17204"/>
    <n v="0.1"/>
    <x v="2789"/>
    <n v="23722.799999999999"/>
    <n v="7244.4"/>
    <s v="UPI"/>
    <s v="Meera"/>
  </r>
  <r>
    <x v="2822"/>
    <x v="261"/>
    <s v="Ahmedabad"/>
    <x v="2"/>
    <x v="2"/>
    <x v="2"/>
    <x v="0"/>
    <s v="Consumer"/>
    <n v="3"/>
    <n v="37333"/>
    <n v="0.05"/>
    <x v="2790"/>
    <n v="68565.899999999994"/>
    <n v="37833.15"/>
    <s v="UPI"/>
    <s v="Rohan"/>
  </r>
  <r>
    <x v="2823"/>
    <x v="26"/>
    <s v="Pune"/>
    <x v="2"/>
    <x v="2"/>
    <x v="9"/>
    <x v="0"/>
    <s v="Corporate"/>
    <n v="1"/>
    <n v="6978"/>
    <n v="0.05"/>
    <x v="2791"/>
    <n v="3901.15"/>
    <n v="2727.95"/>
    <s v="Debit Card"/>
    <s v="Vikram"/>
  </r>
  <r>
    <x v="2824"/>
    <x v="34"/>
    <s v="Ahmedabad"/>
    <x v="2"/>
    <x v="4"/>
    <x v="27"/>
    <x v="2"/>
    <s v="Small Business"/>
    <n v="7"/>
    <n v="22733"/>
    <n v="0.1"/>
    <x v="2792"/>
    <n v="110757.21"/>
    <n v="32460.69"/>
    <s v="Credit Card"/>
    <s v="Rohan"/>
  </r>
  <r>
    <x v="2825"/>
    <x v="299"/>
    <s v="Ahmedabad"/>
    <x v="2"/>
    <x v="3"/>
    <x v="32"/>
    <x v="1"/>
    <s v="Consumer"/>
    <n v="1"/>
    <n v="2422"/>
    <n v="0.1"/>
    <x v="1756"/>
    <n v="1425.65"/>
    <n v="754.15"/>
    <s v="Net Banking"/>
    <s v="Sara"/>
  </r>
  <r>
    <x v="2826"/>
    <x v="63"/>
    <s v="Ahmedabad"/>
    <x v="2"/>
    <x v="0"/>
    <x v="0"/>
    <x v="2"/>
    <s v="Small Business"/>
    <n v="3"/>
    <n v="1870"/>
    <n v="0.05"/>
    <x v="2793"/>
    <n v="3833.77"/>
    <n v="1495.73"/>
    <s v="Debit Card"/>
    <s v="Vikram"/>
  </r>
  <r>
    <x v="2827"/>
    <x v="221"/>
    <s v="Pune"/>
    <x v="2"/>
    <x v="3"/>
    <x v="32"/>
    <x v="2"/>
    <s v="Small Business"/>
    <n v="8"/>
    <n v="1856"/>
    <n v="0.1"/>
    <x v="2794"/>
    <n v="7955.53"/>
    <n v="5407.67"/>
    <s v="Cash"/>
    <s v="Vikram"/>
  </r>
  <r>
    <x v="2828"/>
    <x v="227"/>
    <s v="Delhi"/>
    <x v="3"/>
    <x v="5"/>
    <x v="11"/>
    <x v="1"/>
    <s v="Consumer"/>
    <n v="5"/>
    <n v="28098"/>
    <n v="0"/>
    <x v="2795"/>
    <n v="92032.97"/>
    <n v="48457.03"/>
    <s v="Cash"/>
    <s v="Vikram"/>
  </r>
  <r>
    <x v="2829"/>
    <x v="292"/>
    <s v="Delhi"/>
    <x v="3"/>
    <x v="6"/>
    <x v="8"/>
    <x v="0"/>
    <s v="Corporate"/>
    <n v="4"/>
    <n v="649"/>
    <n v="0.2"/>
    <x v="2796"/>
    <n v="1634.88"/>
    <n v="441.92"/>
    <s v="Debit Card"/>
    <s v="Vikram"/>
  </r>
  <r>
    <x v="2830"/>
    <x v="150"/>
    <s v="Mumbai"/>
    <x v="2"/>
    <x v="4"/>
    <x v="4"/>
    <x v="0"/>
    <s v="Small Business"/>
    <n v="1"/>
    <n v="19190"/>
    <n v="0.1"/>
    <x v="2797"/>
    <n v="12449.96"/>
    <n v="4821.04"/>
    <s v="Net Banking"/>
    <s v="Vikram"/>
  </r>
  <r>
    <x v="2831"/>
    <x v="54"/>
    <s v="Mumbai"/>
    <x v="2"/>
    <x v="2"/>
    <x v="5"/>
    <x v="0"/>
    <s v="Corporate"/>
    <n v="2"/>
    <n v="33428"/>
    <n v="0"/>
    <x v="2798"/>
    <n v="53382.89"/>
    <n v="13473.11"/>
    <s v="UPI"/>
    <s v="Kabir"/>
  </r>
  <r>
    <x v="2832"/>
    <x v="158"/>
    <s v="Hyderabad"/>
    <x v="0"/>
    <x v="0"/>
    <x v="28"/>
    <x v="2"/>
    <s v="Corporate"/>
    <n v="3"/>
    <n v="1962"/>
    <n v="0.1"/>
    <x v="326"/>
    <n v="4479.76"/>
    <n v="817.64"/>
    <s v="Credit Card"/>
    <s v="Rohan"/>
  </r>
  <r>
    <x v="2833"/>
    <x v="16"/>
    <s v="Bengaluru"/>
    <x v="0"/>
    <x v="2"/>
    <x v="29"/>
    <x v="0"/>
    <s v="Consumer"/>
    <n v="1"/>
    <n v="42376"/>
    <n v="0"/>
    <x v="2799"/>
    <n v="27294.78"/>
    <n v="15081.22"/>
    <s v="Debit Card"/>
    <s v="Rohan"/>
  </r>
  <r>
    <x v="2834"/>
    <x v="316"/>
    <s v="Kolkata"/>
    <x v="1"/>
    <x v="0"/>
    <x v="28"/>
    <x v="1"/>
    <s v="Small Business"/>
    <n v="8"/>
    <n v="1475"/>
    <n v="0.15"/>
    <x v="2800"/>
    <n v="8218.75"/>
    <n v="1811.25"/>
    <s v="UPI"/>
    <s v="Aarav"/>
  </r>
  <r>
    <x v="2835"/>
    <x v="63"/>
    <s v="Pune"/>
    <x v="2"/>
    <x v="6"/>
    <x v="16"/>
    <x v="1"/>
    <s v="Small Business"/>
    <n v="6"/>
    <n v="4955"/>
    <n v="0"/>
    <x v="2801"/>
    <n v="17991.2"/>
    <n v="11738.8"/>
    <s v="UPI"/>
    <s v="Rohan"/>
  </r>
  <r>
    <x v="2836"/>
    <x v="113"/>
    <s v="Ahmedabad"/>
    <x v="2"/>
    <x v="6"/>
    <x v="20"/>
    <x v="1"/>
    <s v="Consumer"/>
    <n v="7"/>
    <n v="5831"/>
    <n v="0.15"/>
    <x v="2802"/>
    <n v="28196.93"/>
    <n v="6497.52"/>
    <s v="Cash"/>
    <s v="Kabir"/>
  </r>
  <r>
    <x v="2837"/>
    <x v="345"/>
    <s v="Kolkata"/>
    <x v="1"/>
    <x v="3"/>
    <x v="34"/>
    <x v="1"/>
    <s v="Consumer"/>
    <n v="4"/>
    <n v="1371"/>
    <n v="0.1"/>
    <x v="2803"/>
    <n v="3454.22"/>
    <n v="1481.38"/>
    <s v="Debit Card"/>
    <s v="Meera"/>
  </r>
  <r>
    <x v="2838"/>
    <x v="128"/>
    <s v="Hyderabad"/>
    <x v="0"/>
    <x v="6"/>
    <x v="20"/>
    <x v="1"/>
    <s v="Consumer"/>
    <n v="4"/>
    <n v="525"/>
    <n v="0.05"/>
    <x v="2804"/>
    <n v="1526.85"/>
    <n v="468.15"/>
    <s v="UPI"/>
    <s v="Kabir"/>
  </r>
  <r>
    <x v="2839"/>
    <x v="194"/>
    <s v="Mumbai"/>
    <x v="2"/>
    <x v="2"/>
    <x v="5"/>
    <x v="2"/>
    <s v="Corporate"/>
    <n v="4"/>
    <n v="64591"/>
    <n v="0.1"/>
    <x v="2805"/>
    <n v="190297.03"/>
    <n v="42230.57"/>
    <s v="Credit Card"/>
    <s v="Kabir"/>
  </r>
  <r>
    <x v="2840"/>
    <x v="304"/>
    <s v="Ahmedabad"/>
    <x v="2"/>
    <x v="6"/>
    <x v="8"/>
    <x v="1"/>
    <s v="Consumer"/>
    <n v="2"/>
    <n v="2749"/>
    <n v="0.1"/>
    <x v="2806"/>
    <n v="3890.18"/>
    <n v="1058.02"/>
    <s v="Net Banking"/>
    <s v="Rohan"/>
  </r>
  <r>
    <x v="2841"/>
    <x v="90"/>
    <s v="Kolkata"/>
    <x v="1"/>
    <x v="0"/>
    <x v="23"/>
    <x v="0"/>
    <s v="Corporate"/>
    <n v="7"/>
    <n v="2101"/>
    <n v="0.1"/>
    <x v="2807"/>
    <n v="11536.51"/>
    <n v="1699.79"/>
    <s v="UPI"/>
    <s v="Rohan"/>
  </r>
  <r>
    <x v="2842"/>
    <x v="334"/>
    <s v="Bengaluru"/>
    <x v="0"/>
    <x v="0"/>
    <x v="19"/>
    <x v="2"/>
    <s v="Consumer"/>
    <n v="2"/>
    <n v="1830"/>
    <n v="0.1"/>
    <x v="2808"/>
    <n v="2872.5"/>
    <n v="421.5"/>
    <s v="Cash"/>
    <s v="Sara"/>
  </r>
  <r>
    <x v="2843"/>
    <x v="317"/>
    <s v="Bengaluru"/>
    <x v="0"/>
    <x v="2"/>
    <x v="29"/>
    <x v="1"/>
    <s v="Small Business"/>
    <n v="1"/>
    <n v="19061"/>
    <n v="0.05"/>
    <x v="2809"/>
    <n v="15500.29"/>
    <n v="2607.66"/>
    <s v="UPI"/>
    <s v="Vikram"/>
  </r>
  <r>
    <x v="2844"/>
    <x v="57"/>
    <s v="Bengaluru"/>
    <x v="0"/>
    <x v="6"/>
    <x v="30"/>
    <x v="0"/>
    <s v="Consumer"/>
    <n v="4"/>
    <n v="737"/>
    <n v="0"/>
    <x v="2810"/>
    <n v="2228.84"/>
    <n v="719.16"/>
    <s v="UPI"/>
    <s v="Sara"/>
  </r>
  <r>
    <x v="2845"/>
    <x v="308"/>
    <s v="Delhi"/>
    <x v="3"/>
    <x v="1"/>
    <x v="10"/>
    <x v="0"/>
    <s v="Corporate"/>
    <n v="5"/>
    <n v="7736"/>
    <n v="0.05"/>
    <x v="2811"/>
    <n v="22077.62"/>
    <n v="14668.38"/>
    <s v="UPI"/>
    <s v="Kabir"/>
  </r>
  <r>
    <x v="2846"/>
    <x v="334"/>
    <s v="Bengaluru"/>
    <x v="0"/>
    <x v="4"/>
    <x v="13"/>
    <x v="0"/>
    <s v="Consumer"/>
    <n v="8"/>
    <n v="15271"/>
    <n v="0.1"/>
    <x v="2812"/>
    <n v="82076.44"/>
    <n v="27874.76"/>
    <s v="Debit Card"/>
    <s v="Anaya"/>
  </r>
  <r>
    <x v="2847"/>
    <x v="303"/>
    <s v="Mumbai"/>
    <x v="2"/>
    <x v="3"/>
    <x v="34"/>
    <x v="1"/>
    <s v="Consumer"/>
    <n v="6"/>
    <n v="732"/>
    <n v="0.15"/>
    <x v="2813"/>
    <n v="2863.3"/>
    <n v="869.9"/>
    <s v="UPI"/>
    <s v="Meera"/>
  </r>
  <r>
    <x v="2848"/>
    <x v="56"/>
    <s v="Mumbai"/>
    <x v="2"/>
    <x v="2"/>
    <x v="5"/>
    <x v="2"/>
    <s v="Small Business"/>
    <n v="5"/>
    <n v="28717"/>
    <n v="0"/>
    <x v="2814"/>
    <n v="111418.79"/>
    <n v="32166.21"/>
    <s v="Net Banking"/>
    <s v="Vikram"/>
  </r>
  <r>
    <x v="2849"/>
    <x v="91"/>
    <s v="Delhi"/>
    <x v="3"/>
    <x v="0"/>
    <x v="0"/>
    <x v="2"/>
    <s v="Small Business"/>
    <n v="2"/>
    <n v="2313"/>
    <n v="0.05"/>
    <x v="2815"/>
    <n v="3233.34"/>
    <n v="1161.3599999999999"/>
    <s v="Debit Card"/>
    <s v="Sara"/>
  </r>
  <r>
    <x v="2850"/>
    <x v="155"/>
    <s v="Mumbai"/>
    <x v="2"/>
    <x v="2"/>
    <x v="29"/>
    <x v="0"/>
    <s v="Consumer"/>
    <n v="2"/>
    <n v="55096"/>
    <n v="0.1"/>
    <x v="2816"/>
    <n v="76442.16"/>
    <n v="22730.639999999999"/>
    <s v="Debit Card"/>
    <s v="Sara"/>
  </r>
  <r>
    <x v="2851"/>
    <x v="44"/>
    <s v="Mumbai"/>
    <x v="2"/>
    <x v="2"/>
    <x v="29"/>
    <x v="0"/>
    <s v="Consumer"/>
    <n v="7"/>
    <n v="47753"/>
    <n v="0.05"/>
    <x v="2817"/>
    <n v="181150.5"/>
    <n v="136406.95000000001"/>
    <s v="UPI"/>
    <s v="Diya"/>
  </r>
  <r>
    <x v="2852"/>
    <x v="346"/>
    <s v="Ahmedabad"/>
    <x v="2"/>
    <x v="0"/>
    <x v="0"/>
    <x v="2"/>
    <s v="Corporate"/>
    <n v="4"/>
    <n v="163"/>
    <n v="0.05"/>
    <x v="2818"/>
    <n v="409.67"/>
    <n v="209.73"/>
    <s v="Debit Card"/>
    <s v="Aarav"/>
  </r>
  <r>
    <x v="2853"/>
    <x v="22"/>
    <s v="Ahmedabad"/>
    <x v="2"/>
    <x v="1"/>
    <x v="18"/>
    <x v="0"/>
    <s v="Consumer"/>
    <n v="8"/>
    <n v="7223"/>
    <n v="0.1"/>
    <x v="2819"/>
    <n v="28752.92"/>
    <n v="23252.68"/>
    <s v="UPI"/>
    <s v="Rohan"/>
  </r>
  <r>
    <x v="2854"/>
    <x v="283"/>
    <s v="Bengaluru"/>
    <x v="0"/>
    <x v="1"/>
    <x v="22"/>
    <x v="1"/>
    <s v="Consumer"/>
    <n v="8"/>
    <n v="10920"/>
    <n v="0.15"/>
    <x v="2820"/>
    <n v="47697.4"/>
    <n v="26558.6"/>
    <s v="Credit Card"/>
    <s v="Sara"/>
  </r>
  <r>
    <x v="2855"/>
    <x v="46"/>
    <s v="Delhi"/>
    <x v="3"/>
    <x v="5"/>
    <x v="11"/>
    <x v="1"/>
    <s v="Consumer"/>
    <n v="3"/>
    <n v="28285"/>
    <n v="0"/>
    <x v="2821"/>
    <n v="50192.51"/>
    <n v="34662.49"/>
    <s v="UPI"/>
    <s v="Rohan"/>
  </r>
  <r>
    <x v="2856"/>
    <x v="161"/>
    <s v="Mumbai"/>
    <x v="2"/>
    <x v="2"/>
    <x v="9"/>
    <x v="1"/>
    <s v="Consumer"/>
    <n v="5"/>
    <n v="49472"/>
    <n v="0.1"/>
    <x v="2822"/>
    <n v="129390.62"/>
    <n v="93233.38"/>
    <s v="Net Banking"/>
    <s v="Diya"/>
  </r>
  <r>
    <x v="2857"/>
    <x v="156"/>
    <s v="Bengaluru"/>
    <x v="0"/>
    <x v="1"/>
    <x v="10"/>
    <x v="2"/>
    <s v="Consumer"/>
    <n v="6"/>
    <n v="5028"/>
    <n v="0"/>
    <x v="2823"/>
    <n v="23735.51"/>
    <n v="6432.49"/>
    <s v="Cash"/>
    <s v="Rohan"/>
  </r>
  <r>
    <x v="2858"/>
    <x v="309"/>
    <s v="Ahmedabad"/>
    <x v="2"/>
    <x v="0"/>
    <x v="19"/>
    <x v="2"/>
    <s v="Corporate"/>
    <n v="2"/>
    <n v="659"/>
    <n v="0.1"/>
    <x v="2824"/>
    <n v="1023.13"/>
    <n v="163.07"/>
    <s v="Debit Card"/>
    <s v="Meera"/>
  </r>
  <r>
    <x v="2859"/>
    <x v="332"/>
    <s v="Mumbai"/>
    <x v="2"/>
    <x v="1"/>
    <x v="18"/>
    <x v="2"/>
    <s v="Consumer"/>
    <n v="2"/>
    <n v="7635"/>
    <n v="0.05"/>
    <x v="2825"/>
    <n v="9674.69"/>
    <n v="4831.8100000000004"/>
    <s v="Cash"/>
    <s v="Rohan"/>
  </r>
  <r>
    <x v="2860"/>
    <x v="278"/>
    <s v="Chennai"/>
    <x v="0"/>
    <x v="3"/>
    <x v="12"/>
    <x v="0"/>
    <s v="Small Business"/>
    <n v="8"/>
    <n v="1596"/>
    <n v="0.1"/>
    <x v="2826"/>
    <n v="8552.15"/>
    <n v="2939.05"/>
    <s v="Debit Card"/>
    <s v="Kabir"/>
  </r>
  <r>
    <x v="2861"/>
    <x v="268"/>
    <s v="Hyderabad"/>
    <x v="0"/>
    <x v="1"/>
    <x v="1"/>
    <x v="1"/>
    <s v="Consumer"/>
    <n v="4"/>
    <n v="4884"/>
    <n v="0"/>
    <x v="2827"/>
    <n v="10771.1"/>
    <n v="8764.9"/>
    <s v="Cash"/>
    <s v="Vikram"/>
  </r>
  <r>
    <x v="2862"/>
    <x v="162"/>
    <s v="Ahmedabad"/>
    <x v="2"/>
    <x v="3"/>
    <x v="15"/>
    <x v="1"/>
    <s v="Small Business"/>
    <n v="2"/>
    <n v="737"/>
    <n v="0.1"/>
    <x v="2828"/>
    <n v="955.83"/>
    <n v="370.77"/>
    <s v="Net Banking"/>
    <s v="Rohan"/>
  </r>
  <r>
    <x v="2863"/>
    <x v="288"/>
    <s v="Ahmedabad"/>
    <x v="2"/>
    <x v="6"/>
    <x v="16"/>
    <x v="2"/>
    <s v="Corporate"/>
    <n v="5"/>
    <n v="3364"/>
    <n v="0"/>
    <x v="2829"/>
    <n v="11938.3"/>
    <n v="4881.7"/>
    <s v="Debit Card"/>
    <s v="Aarav"/>
  </r>
  <r>
    <x v="2864"/>
    <x v="104"/>
    <s v="Hyderabad"/>
    <x v="0"/>
    <x v="5"/>
    <x v="6"/>
    <x v="0"/>
    <s v="Corporate"/>
    <n v="4"/>
    <n v="26171"/>
    <n v="0.1"/>
    <x v="2830"/>
    <n v="80216.31"/>
    <n v="13999.29"/>
    <s v="Cash"/>
    <s v="Rohan"/>
  </r>
  <r>
    <x v="2865"/>
    <x v="100"/>
    <s v="Hyderabad"/>
    <x v="0"/>
    <x v="6"/>
    <x v="30"/>
    <x v="0"/>
    <s v="Corporate"/>
    <n v="5"/>
    <n v="4422"/>
    <n v="0"/>
    <x v="2831"/>
    <n v="14713.05"/>
    <n v="7396.95"/>
    <s v="Net Banking"/>
    <s v="Aarav"/>
  </r>
  <r>
    <x v="2866"/>
    <x v="11"/>
    <s v="Ahmedabad"/>
    <x v="2"/>
    <x v="3"/>
    <x v="3"/>
    <x v="0"/>
    <s v="Small Business"/>
    <n v="2"/>
    <n v="1134"/>
    <n v="0.1"/>
    <x v="2832"/>
    <n v="1429.66"/>
    <n v="611.54"/>
    <s v="Net Banking"/>
    <s v="Meera"/>
  </r>
  <r>
    <x v="2867"/>
    <x v="163"/>
    <s v="Hyderabad"/>
    <x v="0"/>
    <x v="6"/>
    <x v="33"/>
    <x v="0"/>
    <s v="Small Business"/>
    <n v="7"/>
    <n v="5424"/>
    <n v="0.15"/>
    <x v="2833"/>
    <n v="28240.49"/>
    <n v="4032.31"/>
    <s v="Cash"/>
    <s v="Rohan"/>
  </r>
  <r>
    <x v="2868"/>
    <x v="338"/>
    <s v="Mumbai"/>
    <x v="2"/>
    <x v="4"/>
    <x v="4"/>
    <x v="2"/>
    <s v="Small Business"/>
    <n v="4"/>
    <n v="18765"/>
    <n v="0"/>
    <x v="2834"/>
    <n v="65357.05"/>
    <n v="9702.9500000000007"/>
    <s v="Net Banking"/>
    <s v="Vikram"/>
  </r>
  <r>
    <x v="2869"/>
    <x v="123"/>
    <s v="Ahmedabad"/>
    <x v="2"/>
    <x v="6"/>
    <x v="33"/>
    <x v="2"/>
    <s v="Small Business"/>
    <n v="3"/>
    <n v="396"/>
    <n v="0.05"/>
    <x v="2835"/>
    <n v="988.23"/>
    <n v="140.37"/>
    <s v="UPI"/>
    <s v="Sara"/>
  </r>
  <r>
    <x v="2870"/>
    <x v="256"/>
    <s v="Ahmedabad"/>
    <x v="2"/>
    <x v="4"/>
    <x v="27"/>
    <x v="2"/>
    <s v="Small Business"/>
    <n v="3"/>
    <n v="12455"/>
    <n v="0.1"/>
    <x v="2836"/>
    <n v="21049.23"/>
    <n v="12579.27"/>
    <s v="Cash"/>
    <s v="Sara"/>
  </r>
  <r>
    <x v="2871"/>
    <x v="116"/>
    <s v="Mumbai"/>
    <x v="2"/>
    <x v="4"/>
    <x v="4"/>
    <x v="1"/>
    <s v="Consumer"/>
    <n v="8"/>
    <n v="4424"/>
    <n v="0.1"/>
    <x v="2837"/>
    <n v="19953.060000000001"/>
    <n v="11899.74"/>
    <s v="Debit Card"/>
    <s v="Meera"/>
  </r>
  <r>
    <x v="2872"/>
    <x v="68"/>
    <s v="Mumbai"/>
    <x v="2"/>
    <x v="0"/>
    <x v="19"/>
    <x v="1"/>
    <s v="Small Business"/>
    <n v="2"/>
    <n v="1026"/>
    <n v="0"/>
    <x v="2838"/>
    <n v="1391.26"/>
    <n v="660.74"/>
    <s v="Net Banking"/>
    <s v="Sara"/>
  </r>
  <r>
    <x v="2873"/>
    <x v="97"/>
    <s v="Mumbai"/>
    <x v="2"/>
    <x v="1"/>
    <x v="22"/>
    <x v="2"/>
    <s v="Small Business"/>
    <n v="7"/>
    <n v="835"/>
    <n v="0.15"/>
    <x v="2839"/>
    <n v="4300.51"/>
    <n v="667.74"/>
    <s v="Net Banking"/>
    <s v="Diya"/>
  </r>
  <r>
    <x v="2874"/>
    <x v="210"/>
    <s v="Ahmedabad"/>
    <x v="2"/>
    <x v="2"/>
    <x v="9"/>
    <x v="0"/>
    <s v="Corporate"/>
    <n v="5"/>
    <n v="49486"/>
    <n v="0.15"/>
    <x v="2840"/>
    <n v="137258.45000000001"/>
    <n v="73057.05"/>
    <s v="Net Banking"/>
    <s v="Meera"/>
  </r>
  <r>
    <x v="2875"/>
    <x v="51"/>
    <s v="Mumbai"/>
    <x v="2"/>
    <x v="5"/>
    <x v="24"/>
    <x v="0"/>
    <s v="Consumer"/>
    <n v="2"/>
    <n v="28916"/>
    <n v="0.2"/>
    <x v="2841"/>
    <n v="38082.550000000003"/>
    <n v="8183.05"/>
    <s v="UPI"/>
    <s v="Vikram"/>
  </r>
  <r>
    <x v="2876"/>
    <x v="7"/>
    <s v="Mumbai"/>
    <x v="2"/>
    <x v="3"/>
    <x v="32"/>
    <x v="0"/>
    <s v="Corporate"/>
    <n v="4"/>
    <n v="448"/>
    <n v="0.05"/>
    <x v="2842"/>
    <n v="1112.8"/>
    <n v="589.6"/>
    <s v="Credit Card"/>
    <s v="Aarav"/>
  </r>
  <r>
    <x v="2877"/>
    <x v="142"/>
    <s v="Hyderabad"/>
    <x v="0"/>
    <x v="5"/>
    <x v="24"/>
    <x v="1"/>
    <s v="Consumer"/>
    <n v="3"/>
    <n v="21906"/>
    <n v="0.1"/>
    <x v="2843"/>
    <n v="34772.160000000003"/>
    <n v="24374.04"/>
    <s v="Debit Card"/>
    <s v="Diya"/>
  </r>
  <r>
    <x v="2878"/>
    <x v="190"/>
    <s v="Pune"/>
    <x v="2"/>
    <x v="0"/>
    <x v="28"/>
    <x v="0"/>
    <s v="Small Business"/>
    <n v="1"/>
    <n v="2200"/>
    <n v="0.1"/>
    <x v="2844"/>
    <n v="1408.2"/>
    <n v="571.79999999999995"/>
    <s v="UPI"/>
    <s v="Rohan"/>
  </r>
  <r>
    <x v="2879"/>
    <x v="151"/>
    <s v="Ahmedabad"/>
    <x v="2"/>
    <x v="0"/>
    <x v="0"/>
    <x v="0"/>
    <s v="Consumer"/>
    <n v="6"/>
    <n v="156"/>
    <n v="0.05"/>
    <x v="2845"/>
    <n v="737.66"/>
    <n v="151.54"/>
    <s v="Net Banking"/>
    <s v="Sara"/>
  </r>
  <r>
    <x v="2880"/>
    <x v="225"/>
    <s v="Bengaluru"/>
    <x v="0"/>
    <x v="6"/>
    <x v="16"/>
    <x v="1"/>
    <s v="Small Business"/>
    <n v="6"/>
    <n v="2544"/>
    <n v="0.1"/>
    <x v="2846"/>
    <n v="11086.16"/>
    <n v="2651.44"/>
    <s v="Debit Card"/>
    <s v="Aarav"/>
  </r>
  <r>
    <x v="2881"/>
    <x v="8"/>
    <s v="Mumbai"/>
    <x v="2"/>
    <x v="0"/>
    <x v="19"/>
    <x v="0"/>
    <s v="Corporate"/>
    <n v="8"/>
    <n v="591"/>
    <n v="0"/>
    <x v="2847"/>
    <n v="4123.91"/>
    <n v="604.09"/>
    <s v="Debit Card"/>
    <s v="Meera"/>
  </r>
  <r>
    <x v="2882"/>
    <x v="65"/>
    <s v="Bengaluru"/>
    <x v="0"/>
    <x v="6"/>
    <x v="20"/>
    <x v="1"/>
    <s v="Consumer"/>
    <n v="4"/>
    <n v="5886"/>
    <n v="0.1"/>
    <x v="2848"/>
    <n v="15071.44"/>
    <n v="6118.16"/>
    <s v="Net Banking"/>
    <s v="Vikram"/>
  </r>
  <r>
    <x v="2883"/>
    <x v="254"/>
    <s v="Delhi"/>
    <x v="3"/>
    <x v="4"/>
    <x v="14"/>
    <x v="2"/>
    <s v="Small Business"/>
    <n v="1"/>
    <n v="9342"/>
    <n v="0.1"/>
    <x v="2849"/>
    <n v="4669.21"/>
    <n v="3738.59"/>
    <s v="Net Banking"/>
    <s v="Diya"/>
  </r>
  <r>
    <x v="2884"/>
    <x v="354"/>
    <s v="Hyderabad"/>
    <x v="0"/>
    <x v="3"/>
    <x v="32"/>
    <x v="0"/>
    <s v="Corporate"/>
    <n v="1"/>
    <n v="2489"/>
    <n v="0"/>
    <x v="2850"/>
    <n v="1373.24"/>
    <n v="1115.76"/>
    <s v="Net Banking"/>
    <s v="Anaya"/>
  </r>
  <r>
    <x v="2885"/>
    <x v="264"/>
    <s v="Ahmedabad"/>
    <x v="2"/>
    <x v="5"/>
    <x v="6"/>
    <x v="2"/>
    <s v="Small Business"/>
    <n v="1"/>
    <n v="31620"/>
    <n v="0.05"/>
    <x v="2851"/>
    <n v="23689.81"/>
    <n v="6349.19"/>
    <s v="Net Banking"/>
    <s v="Rohan"/>
  </r>
  <r>
    <x v="2886"/>
    <x v="163"/>
    <s v="Ahmedabad"/>
    <x v="2"/>
    <x v="2"/>
    <x v="29"/>
    <x v="1"/>
    <s v="Consumer"/>
    <n v="2"/>
    <n v="59885"/>
    <n v="0.05"/>
    <x v="2852"/>
    <n v="65337.24"/>
    <n v="48444.26"/>
    <s v="Cash"/>
    <s v="Anaya"/>
  </r>
  <r>
    <x v="2887"/>
    <x v="188"/>
    <s v="Ahmedabad"/>
    <x v="2"/>
    <x v="3"/>
    <x v="3"/>
    <x v="0"/>
    <s v="Corporate"/>
    <n v="6"/>
    <n v="668"/>
    <n v="0.1"/>
    <x v="2853"/>
    <n v="2986.54"/>
    <n v="620.66"/>
    <s v="Debit Card"/>
    <s v="Vikram"/>
  </r>
  <r>
    <x v="2888"/>
    <x v="248"/>
    <s v="Chennai"/>
    <x v="0"/>
    <x v="2"/>
    <x v="21"/>
    <x v="2"/>
    <s v="Small Business"/>
    <n v="6"/>
    <n v="5525"/>
    <n v="0.05"/>
    <x v="2854"/>
    <n v="20990.240000000002"/>
    <n v="10502.26"/>
    <s v="Net Banking"/>
    <s v="Sara"/>
  </r>
  <r>
    <x v="2889"/>
    <x v="49"/>
    <s v="Kolkata"/>
    <x v="1"/>
    <x v="6"/>
    <x v="16"/>
    <x v="2"/>
    <s v="Corporate"/>
    <n v="1"/>
    <n v="5261"/>
    <n v="0.15"/>
    <x v="2855"/>
    <n v="3493.48"/>
    <n v="978.37"/>
    <s v="Debit Card"/>
    <s v="Anaya"/>
  </r>
  <r>
    <x v="2890"/>
    <x v="29"/>
    <s v="Bengaluru"/>
    <x v="0"/>
    <x v="0"/>
    <x v="28"/>
    <x v="2"/>
    <s v="Small Business"/>
    <n v="7"/>
    <n v="2206"/>
    <n v="0.15"/>
    <x v="2856"/>
    <n v="10550.61"/>
    <n v="2575.09"/>
    <s v="Credit Card"/>
    <s v="Kabir"/>
  </r>
  <r>
    <x v="2891"/>
    <x v="31"/>
    <s v="Pune"/>
    <x v="2"/>
    <x v="6"/>
    <x v="16"/>
    <x v="0"/>
    <s v="Corporate"/>
    <n v="4"/>
    <n v="211"/>
    <n v="0"/>
    <x v="2857"/>
    <n v="574.82000000000005"/>
    <n v="269.18"/>
    <s v="Cash"/>
    <s v="Kabir"/>
  </r>
  <r>
    <x v="2892"/>
    <x v="307"/>
    <s v="Mumbai"/>
    <x v="2"/>
    <x v="2"/>
    <x v="21"/>
    <x v="0"/>
    <s v="Small Business"/>
    <n v="6"/>
    <n v="41528"/>
    <n v="0.15"/>
    <x v="2858"/>
    <n v="121739.91"/>
    <n v="90052.89"/>
    <s v="Credit Card"/>
    <s v="Sara"/>
  </r>
  <r>
    <x v="2893"/>
    <x v="332"/>
    <s v="Delhi"/>
    <x v="3"/>
    <x v="3"/>
    <x v="12"/>
    <x v="2"/>
    <s v="Consumer"/>
    <n v="6"/>
    <n v="615"/>
    <n v="0.15"/>
    <x v="2859"/>
    <n v="2263.41"/>
    <n v="873.09"/>
    <s v="Debit Card"/>
    <s v="Meera"/>
  </r>
  <r>
    <x v="2894"/>
    <x v="157"/>
    <s v="Bengaluru"/>
    <x v="0"/>
    <x v="4"/>
    <x v="4"/>
    <x v="0"/>
    <s v="Corporate"/>
    <n v="1"/>
    <n v="19988"/>
    <n v="0.1"/>
    <x v="613"/>
    <n v="14692.85"/>
    <n v="3296.35"/>
    <s v="Net Banking"/>
    <s v="Kabir"/>
  </r>
  <r>
    <x v="2895"/>
    <x v="179"/>
    <s v="Bengaluru"/>
    <x v="0"/>
    <x v="5"/>
    <x v="25"/>
    <x v="0"/>
    <s v="Consumer"/>
    <n v="7"/>
    <n v="32967"/>
    <n v="0.1"/>
    <x v="2860"/>
    <n v="143615.22"/>
    <n v="64076.88"/>
    <s v="UPI"/>
    <s v="Rohan"/>
  </r>
  <r>
    <x v="2896"/>
    <x v="203"/>
    <s v="Mumbai"/>
    <x v="2"/>
    <x v="5"/>
    <x v="6"/>
    <x v="1"/>
    <s v="Corporate"/>
    <n v="7"/>
    <n v="34267"/>
    <n v="0.1"/>
    <x v="2861"/>
    <n v="136292.18"/>
    <n v="79589.919999999998"/>
    <s v="Debit Card"/>
    <s v="Aarav"/>
  </r>
  <r>
    <x v="2897"/>
    <x v="155"/>
    <s v="Bengaluru"/>
    <x v="0"/>
    <x v="6"/>
    <x v="8"/>
    <x v="0"/>
    <s v="Small Business"/>
    <n v="3"/>
    <n v="265"/>
    <n v="0.1"/>
    <x v="2862"/>
    <n v="547.41999999999996"/>
    <n v="168.08"/>
    <s v="Cash"/>
    <s v="Diya"/>
  </r>
  <r>
    <x v="2898"/>
    <x v="332"/>
    <s v="Hyderabad"/>
    <x v="0"/>
    <x v="0"/>
    <x v="23"/>
    <x v="2"/>
    <s v="Small Business"/>
    <n v="7"/>
    <n v="1988"/>
    <n v="0"/>
    <x v="2863"/>
    <n v="11886.24"/>
    <n v="2029.76"/>
    <s v="UPI"/>
    <s v="Kabir"/>
  </r>
  <r>
    <x v="2899"/>
    <x v="145"/>
    <s v="Delhi"/>
    <x v="3"/>
    <x v="2"/>
    <x v="29"/>
    <x v="1"/>
    <s v="Consumer"/>
    <n v="6"/>
    <n v="54049"/>
    <n v="0.1"/>
    <x v="2864"/>
    <n v="245087.41"/>
    <n v="46777.19"/>
    <s v="Cash"/>
    <s v="Sara"/>
  </r>
  <r>
    <x v="2900"/>
    <x v="345"/>
    <s v="Kolkata"/>
    <x v="1"/>
    <x v="4"/>
    <x v="27"/>
    <x v="1"/>
    <s v="Consumer"/>
    <n v="8"/>
    <n v="3161"/>
    <n v="0.05"/>
    <x v="2865"/>
    <n v="17677.419999999998"/>
    <n v="6346.18"/>
    <s v="Cash"/>
    <s v="Meera"/>
  </r>
  <r>
    <x v="2901"/>
    <x v="141"/>
    <s v="Bengaluru"/>
    <x v="0"/>
    <x v="1"/>
    <x v="10"/>
    <x v="2"/>
    <s v="Corporate"/>
    <n v="5"/>
    <n v="11104"/>
    <n v="0.1"/>
    <x v="2866"/>
    <n v="31308.85"/>
    <n v="18659.150000000001"/>
    <s v="UPI"/>
    <s v="Diya"/>
  </r>
  <r>
    <x v="2902"/>
    <x v="123"/>
    <s v="Mumbai"/>
    <x v="2"/>
    <x v="2"/>
    <x v="5"/>
    <x v="0"/>
    <s v="Small Business"/>
    <n v="7"/>
    <n v="49965"/>
    <n v="0.15"/>
    <x v="2867"/>
    <n v="232704.35"/>
    <n v="64587.4"/>
    <s v="Net Banking"/>
    <s v="Diya"/>
  </r>
  <r>
    <x v="2903"/>
    <x v="317"/>
    <s v="Mumbai"/>
    <x v="2"/>
    <x v="1"/>
    <x v="1"/>
    <x v="2"/>
    <s v="Small Business"/>
    <n v="7"/>
    <n v="9580"/>
    <n v="0.1"/>
    <x v="2868"/>
    <n v="44280.31"/>
    <n v="16073.69"/>
    <s v="Cash"/>
    <s v="Rohan"/>
  </r>
  <r>
    <x v="2904"/>
    <x v="210"/>
    <s v="Pune"/>
    <x v="2"/>
    <x v="4"/>
    <x v="14"/>
    <x v="1"/>
    <s v="Corporate"/>
    <n v="8"/>
    <n v="9156"/>
    <n v="0"/>
    <x v="2869"/>
    <n v="47678.76"/>
    <n v="25569.24"/>
    <s v="UPI"/>
    <s v="Aarav"/>
  </r>
  <r>
    <x v="2905"/>
    <x v="354"/>
    <s v="Ahmedabad"/>
    <x v="2"/>
    <x v="5"/>
    <x v="25"/>
    <x v="2"/>
    <s v="Consumer"/>
    <n v="1"/>
    <n v="45709"/>
    <n v="0.15"/>
    <x v="2870"/>
    <n v="33325.4"/>
    <n v="5527.25"/>
    <s v="Debit Card"/>
    <s v="Meera"/>
  </r>
  <r>
    <x v="2906"/>
    <x v="337"/>
    <s v="Bengaluru"/>
    <x v="0"/>
    <x v="5"/>
    <x v="25"/>
    <x v="1"/>
    <s v="Corporate"/>
    <n v="3"/>
    <n v="46523"/>
    <n v="0.05"/>
    <x v="2871"/>
    <n v="113509.57"/>
    <n v="19080.98"/>
    <s v="Cash"/>
    <s v="Meera"/>
  </r>
  <r>
    <x v="2907"/>
    <x v="113"/>
    <s v="Chennai"/>
    <x v="0"/>
    <x v="5"/>
    <x v="17"/>
    <x v="2"/>
    <s v="Small Business"/>
    <n v="5"/>
    <n v="21105"/>
    <n v="0.15"/>
    <x v="2872"/>
    <n v="52664.84"/>
    <n v="37031.410000000003"/>
    <s v="Credit Card"/>
    <s v="Sara"/>
  </r>
  <r>
    <x v="2908"/>
    <x v="192"/>
    <s v="Ahmedabad"/>
    <x v="2"/>
    <x v="6"/>
    <x v="8"/>
    <x v="1"/>
    <s v="Consumer"/>
    <n v="3"/>
    <n v="4863"/>
    <n v="0.1"/>
    <x v="2873"/>
    <n v="7570.05"/>
    <n v="5560.05"/>
    <s v="Debit Card"/>
    <s v="Sara"/>
  </r>
  <r>
    <x v="2909"/>
    <x v="228"/>
    <s v="Ahmedabad"/>
    <x v="2"/>
    <x v="2"/>
    <x v="21"/>
    <x v="1"/>
    <s v="Corporate"/>
    <n v="2"/>
    <n v="10780"/>
    <n v="0"/>
    <x v="2"/>
    <n v="12456.54"/>
    <n v="9103.4599999999991"/>
    <s v="UPI"/>
    <s v="Rohan"/>
  </r>
  <r>
    <x v="2910"/>
    <x v="116"/>
    <s v="Hyderabad"/>
    <x v="0"/>
    <x v="1"/>
    <x v="1"/>
    <x v="0"/>
    <s v="Consumer"/>
    <n v="5"/>
    <n v="3607"/>
    <n v="0.05"/>
    <x v="2874"/>
    <n v="13206.21"/>
    <n v="3927.04"/>
    <s v="Credit Card"/>
    <s v="Sara"/>
  </r>
  <r>
    <x v="2911"/>
    <x v="109"/>
    <s v="Chennai"/>
    <x v="0"/>
    <x v="3"/>
    <x v="3"/>
    <x v="2"/>
    <s v="Consumer"/>
    <n v="8"/>
    <n v="1740"/>
    <n v="0"/>
    <x v="2875"/>
    <n v="11265.91"/>
    <n v="2654.09"/>
    <s v="Credit Card"/>
    <s v="Anaya"/>
  </r>
  <r>
    <x v="2912"/>
    <x v="246"/>
    <s v="Mumbai"/>
    <x v="2"/>
    <x v="3"/>
    <x v="12"/>
    <x v="0"/>
    <s v="Small Business"/>
    <n v="2"/>
    <n v="322"/>
    <n v="0.15"/>
    <x v="2876"/>
    <n v="444.22"/>
    <n v="103.18"/>
    <s v="Credit Card"/>
    <s v="Rohan"/>
  </r>
  <r>
    <x v="2913"/>
    <x v="2"/>
    <s v="Hyderabad"/>
    <x v="0"/>
    <x v="5"/>
    <x v="11"/>
    <x v="0"/>
    <s v="Small Business"/>
    <n v="2"/>
    <n v="9460"/>
    <n v="0.05"/>
    <x v="2877"/>
    <n v="10482.34"/>
    <n v="7491.66"/>
    <s v="Debit Card"/>
    <s v="Anaya"/>
  </r>
  <r>
    <x v="2914"/>
    <x v="176"/>
    <s v="Bengaluru"/>
    <x v="0"/>
    <x v="5"/>
    <x v="6"/>
    <x v="0"/>
    <s v="Consumer"/>
    <n v="5"/>
    <n v="36817"/>
    <n v="0"/>
    <x v="2878"/>
    <n v="153024.06"/>
    <n v="31060.94"/>
    <s v="Credit Card"/>
    <s v="Vikram"/>
  </r>
  <r>
    <x v="2915"/>
    <x v="356"/>
    <s v="Delhi"/>
    <x v="3"/>
    <x v="4"/>
    <x v="4"/>
    <x v="0"/>
    <s v="Corporate"/>
    <n v="8"/>
    <n v="9581"/>
    <n v="0.05"/>
    <x v="2879"/>
    <n v="44436.34"/>
    <n v="28379.26"/>
    <s v="Credit Card"/>
    <s v="Vikram"/>
  </r>
  <r>
    <x v="2916"/>
    <x v="110"/>
    <s v="Chennai"/>
    <x v="0"/>
    <x v="4"/>
    <x v="13"/>
    <x v="2"/>
    <s v="Consumer"/>
    <n v="6"/>
    <n v="6062"/>
    <n v="0.05"/>
    <x v="2880"/>
    <n v="25465.03"/>
    <n v="9088.3700000000008"/>
    <s v="Net Banking"/>
    <s v="Anaya"/>
  </r>
  <r>
    <x v="2917"/>
    <x v="94"/>
    <s v="Bengaluru"/>
    <x v="0"/>
    <x v="4"/>
    <x v="27"/>
    <x v="2"/>
    <s v="Small Business"/>
    <n v="3"/>
    <n v="10601"/>
    <n v="0.15"/>
    <x v="2881"/>
    <n v="18199.400000000001"/>
    <n v="8833.15"/>
    <s v="Cash"/>
    <s v="Kabir"/>
  </r>
  <r>
    <x v="2918"/>
    <x v="137"/>
    <s v="Ahmedabad"/>
    <x v="2"/>
    <x v="4"/>
    <x v="13"/>
    <x v="1"/>
    <s v="Small Business"/>
    <n v="7"/>
    <n v="20922"/>
    <n v="0.1"/>
    <x v="2882"/>
    <n v="89398.14"/>
    <n v="42410.46"/>
    <s v="Credit Card"/>
    <s v="Anaya"/>
  </r>
  <r>
    <x v="2919"/>
    <x v="327"/>
    <s v="Pune"/>
    <x v="2"/>
    <x v="5"/>
    <x v="24"/>
    <x v="2"/>
    <s v="Small Business"/>
    <n v="1"/>
    <n v="16899"/>
    <n v="0.05"/>
    <x v="2883"/>
    <n v="13250.96"/>
    <n v="2803.09"/>
    <s v="Cash"/>
    <s v="Diya"/>
  </r>
  <r>
    <x v="2920"/>
    <x v="131"/>
    <s v="Pune"/>
    <x v="2"/>
    <x v="5"/>
    <x v="24"/>
    <x v="2"/>
    <s v="Corporate"/>
    <n v="7"/>
    <n v="8096"/>
    <n v="0.05"/>
    <x v="2884"/>
    <n v="45188.31"/>
    <n v="8650.09"/>
    <s v="Debit Card"/>
    <s v="Anaya"/>
  </r>
  <r>
    <x v="2921"/>
    <x v="253"/>
    <s v="Pune"/>
    <x v="2"/>
    <x v="4"/>
    <x v="4"/>
    <x v="1"/>
    <s v="Consumer"/>
    <n v="6"/>
    <n v="24455"/>
    <n v="0.1"/>
    <x v="2885"/>
    <n v="75722.289999999994"/>
    <n v="56334.71"/>
    <s v="Cash"/>
    <s v="Vikram"/>
  </r>
  <r>
    <x v="2922"/>
    <x v="144"/>
    <s v="Bengaluru"/>
    <x v="0"/>
    <x v="1"/>
    <x v="1"/>
    <x v="0"/>
    <s v="Small Business"/>
    <n v="7"/>
    <n v="9586"/>
    <n v="0"/>
    <x v="2886"/>
    <n v="42688.81"/>
    <n v="24413.19"/>
    <s v="Net Banking"/>
    <s v="Sara"/>
  </r>
  <r>
    <x v="2923"/>
    <x v="299"/>
    <s v="Chennai"/>
    <x v="0"/>
    <x v="4"/>
    <x v="13"/>
    <x v="2"/>
    <s v="Small Business"/>
    <n v="5"/>
    <n v="10028"/>
    <n v="0.15"/>
    <x v="2887"/>
    <n v="24930.45"/>
    <n v="17688.55"/>
    <s v="Cash"/>
    <s v="Rohan"/>
  </r>
  <r>
    <x v="2924"/>
    <x v="165"/>
    <s v="Kolkata"/>
    <x v="1"/>
    <x v="0"/>
    <x v="23"/>
    <x v="1"/>
    <s v="Small Business"/>
    <n v="6"/>
    <n v="440"/>
    <n v="0.05"/>
    <x v="2888"/>
    <n v="1440.12"/>
    <n v="1067.8800000000001"/>
    <s v="Credit Card"/>
    <s v="Diya"/>
  </r>
  <r>
    <x v="2925"/>
    <x v="231"/>
    <s v="Chennai"/>
    <x v="0"/>
    <x v="2"/>
    <x v="21"/>
    <x v="0"/>
    <s v="Corporate"/>
    <n v="1"/>
    <n v="7670"/>
    <n v="0.1"/>
    <x v="2889"/>
    <n v="4069.3"/>
    <n v="2833.7"/>
    <s v="Debit Card"/>
    <s v="Sara"/>
  </r>
  <r>
    <x v="2926"/>
    <x v="301"/>
    <s v="Bengaluru"/>
    <x v="0"/>
    <x v="0"/>
    <x v="19"/>
    <x v="1"/>
    <s v="Corporate"/>
    <n v="5"/>
    <n v="344"/>
    <n v="0"/>
    <x v="2890"/>
    <n v="1318.58"/>
    <n v="401.42"/>
    <s v="Net Banking"/>
    <s v="Rohan"/>
  </r>
  <r>
    <x v="2927"/>
    <x v="232"/>
    <s v="Ahmedabad"/>
    <x v="2"/>
    <x v="4"/>
    <x v="27"/>
    <x v="2"/>
    <s v="Corporate"/>
    <n v="3"/>
    <n v="20977"/>
    <n v="0"/>
    <x v="2891"/>
    <n v="39979.599999999999"/>
    <n v="22951.4"/>
    <s v="Net Banking"/>
    <s v="Anaya"/>
  </r>
  <r>
    <x v="2928"/>
    <x v="229"/>
    <s v="Kolkata"/>
    <x v="1"/>
    <x v="6"/>
    <x v="33"/>
    <x v="1"/>
    <s v="Small Business"/>
    <n v="1"/>
    <n v="599"/>
    <n v="0.2"/>
    <x v="2892"/>
    <n v="280.83"/>
    <n v="198.37"/>
    <s v="UPI"/>
    <s v="Rohan"/>
  </r>
  <r>
    <x v="2929"/>
    <x v="41"/>
    <s v="Ahmedabad"/>
    <x v="2"/>
    <x v="5"/>
    <x v="24"/>
    <x v="1"/>
    <s v="Corporate"/>
    <n v="2"/>
    <n v="41178"/>
    <n v="0.1"/>
    <x v="2893"/>
    <n v="64865.19"/>
    <n v="9255.2099999999991"/>
    <s v="UPI"/>
    <s v="Aarav"/>
  </r>
  <r>
    <x v="2930"/>
    <x v="211"/>
    <s v="Delhi"/>
    <x v="3"/>
    <x v="0"/>
    <x v="28"/>
    <x v="2"/>
    <s v="Consumer"/>
    <n v="6"/>
    <n v="1832"/>
    <n v="0"/>
    <x v="2894"/>
    <n v="6389.44"/>
    <n v="4602.5600000000004"/>
    <s v="Net Banking"/>
    <s v="Vikram"/>
  </r>
  <r>
    <x v="2931"/>
    <x v="146"/>
    <s v="Pune"/>
    <x v="2"/>
    <x v="3"/>
    <x v="12"/>
    <x v="2"/>
    <s v="Small Business"/>
    <n v="1"/>
    <n v="1025"/>
    <n v="0.1"/>
    <x v="2895"/>
    <n v="595.07000000000005"/>
    <n v="327.43"/>
    <s v="Debit Card"/>
    <s v="Rohan"/>
  </r>
  <r>
    <x v="2932"/>
    <x v="294"/>
    <s v="Bengaluru"/>
    <x v="0"/>
    <x v="3"/>
    <x v="12"/>
    <x v="2"/>
    <s v="Small Business"/>
    <n v="1"/>
    <n v="709"/>
    <n v="0.2"/>
    <x v="2896"/>
    <n v="322.32"/>
    <n v="244.88"/>
    <s v="Credit Card"/>
    <s v="Aarav"/>
  </r>
  <r>
    <x v="2933"/>
    <x v="137"/>
    <s v="Bengaluru"/>
    <x v="0"/>
    <x v="1"/>
    <x v="18"/>
    <x v="1"/>
    <s v="Consumer"/>
    <n v="7"/>
    <n v="9933"/>
    <n v="0"/>
    <x v="2897"/>
    <n v="47023.93"/>
    <n v="22507.07"/>
    <s v="Cash"/>
    <s v="Kabir"/>
  </r>
  <r>
    <x v="2934"/>
    <x v="311"/>
    <s v="Mumbai"/>
    <x v="2"/>
    <x v="0"/>
    <x v="23"/>
    <x v="0"/>
    <s v="Consumer"/>
    <n v="8"/>
    <n v="1109"/>
    <n v="0"/>
    <x v="2898"/>
    <n v="7611.5"/>
    <n v="1260.5"/>
    <s v="Cash"/>
    <s v="Sara"/>
  </r>
  <r>
    <x v="2935"/>
    <x v="38"/>
    <s v="Mumbai"/>
    <x v="2"/>
    <x v="1"/>
    <x v="10"/>
    <x v="0"/>
    <s v="Small Business"/>
    <n v="4"/>
    <n v="2777"/>
    <n v="0.1"/>
    <x v="2899"/>
    <n v="6359.88"/>
    <n v="3637.32"/>
    <s v="Debit Card"/>
    <s v="Vikram"/>
  </r>
  <r>
    <x v="2936"/>
    <x v="157"/>
    <s v="Kolkata"/>
    <x v="1"/>
    <x v="4"/>
    <x v="14"/>
    <x v="1"/>
    <s v="Small Business"/>
    <n v="6"/>
    <n v="9248"/>
    <n v="0.1"/>
    <x v="2900"/>
    <n v="39383.599999999999"/>
    <n v="10555.6"/>
    <s v="UPI"/>
    <s v="Anaya"/>
  </r>
  <r>
    <x v="2937"/>
    <x v="323"/>
    <s v="Bengaluru"/>
    <x v="0"/>
    <x v="6"/>
    <x v="33"/>
    <x v="0"/>
    <s v="Corporate"/>
    <n v="1"/>
    <n v="819"/>
    <n v="0.05"/>
    <x v="2901"/>
    <n v="504.88"/>
    <n v="273.17"/>
    <s v="Cash"/>
    <s v="Kabir"/>
  </r>
  <r>
    <x v="2938"/>
    <x v="94"/>
    <s v="Delhi"/>
    <x v="3"/>
    <x v="2"/>
    <x v="9"/>
    <x v="0"/>
    <s v="Small Business"/>
    <n v="7"/>
    <n v="55525"/>
    <n v="0.15"/>
    <x v="2902"/>
    <n v="232240.7"/>
    <n v="98133.05"/>
    <s v="Cash"/>
    <s v="Meera"/>
  </r>
  <r>
    <x v="2939"/>
    <x v="358"/>
    <s v="Ahmedabad"/>
    <x v="2"/>
    <x v="0"/>
    <x v="23"/>
    <x v="0"/>
    <s v="Small Business"/>
    <n v="1"/>
    <n v="1164"/>
    <n v="0.05"/>
    <x v="2903"/>
    <n v="897.17"/>
    <n v="208.63"/>
    <s v="Credit Card"/>
    <s v="Rohan"/>
  </r>
  <r>
    <x v="2940"/>
    <x v="73"/>
    <s v="Hyderabad"/>
    <x v="0"/>
    <x v="5"/>
    <x v="25"/>
    <x v="0"/>
    <s v="Corporate"/>
    <n v="3"/>
    <n v="44791"/>
    <n v="0"/>
    <x v="2904"/>
    <n v="105184.01"/>
    <n v="29188.99"/>
    <s v="Cash"/>
    <s v="Meera"/>
  </r>
  <r>
    <x v="2941"/>
    <x v="266"/>
    <s v="Bengaluru"/>
    <x v="0"/>
    <x v="3"/>
    <x v="32"/>
    <x v="2"/>
    <s v="Consumer"/>
    <n v="4"/>
    <n v="729"/>
    <n v="0.15"/>
    <x v="2905"/>
    <n v="2156.5700000000002"/>
    <n v="322.02999999999997"/>
    <s v="Credit Card"/>
    <s v="Kabir"/>
  </r>
  <r>
    <x v="2942"/>
    <x v="237"/>
    <s v="Hyderabad"/>
    <x v="0"/>
    <x v="4"/>
    <x v="27"/>
    <x v="0"/>
    <s v="Corporate"/>
    <n v="4"/>
    <n v="14952"/>
    <n v="0.1"/>
    <x v="2906"/>
    <n v="31097.94"/>
    <n v="22729.26"/>
    <s v="Debit Card"/>
    <s v="Vikram"/>
  </r>
  <r>
    <x v="2943"/>
    <x v="301"/>
    <s v="Mumbai"/>
    <x v="2"/>
    <x v="6"/>
    <x v="16"/>
    <x v="0"/>
    <s v="Consumer"/>
    <n v="5"/>
    <n v="929"/>
    <n v="0.05"/>
    <x v="2907"/>
    <n v="3812.59"/>
    <n v="600.16"/>
    <s v="UPI"/>
    <s v="Aarav"/>
  </r>
  <r>
    <x v="2944"/>
    <x v="126"/>
    <s v="Mumbai"/>
    <x v="2"/>
    <x v="0"/>
    <x v="0"/>
    <x v="2"/>
    <s v="Corporate"/>
    <n v="8"/>
    <n v="1142"/>
    <n v="0.15"/>
    <x v="2908"/>
    <n v="6607.11"/>
    <n v="1158.49"/>
    <s v="Credit Card"/>
    <s v="Kabir"/>
  </r>
  <r>
    <x v="2945"/>
    <x v="248"/>
    <s v="Pune"/>
    <x v="2"/>
    <x v="0"/>
    <x v="19"/>
    <x v="2"/>
    <s v="Consumer"/>
    <n v="2"/>
    <n v="492"/>
    <n v="0.05"/>
    <x v="2909"/>
    <n v="599.69000000000005"/>
    <n v="335.11"/>
    <s v="Debit Card"/>
    <s v="Sara"/>
  </r>
  <r>
    <x v="2946"/>
    <x v="45"/>
    <s v="Pune"/>
    <x v="2"/>
    <x v="6"/>
    <x v="30"/>
    <x v="1"/>
    <s v="Corporate"/>
    <n v="8"/>
    <n v="5965"/>
    <n v="0.15"/>
    <x v="2910"/>
    <n v="24601.64"/>
    <n v="15960.36"/>
    <s v="Cash"/>
    <s v="Diya"/>
  </r>
  <r>
    <x v="2947"/>
    <x v="328"/>
    <s v="Kolkata"/>
    <x v="1"/>
    <x v="4"/>
    <x v="27"/>
    <x v="1"/>
    <s v="Consumer"/>
    <n v="6"/>
    <n v="7749"/>
    <n v="0.1"/>
    <x v="2911"/>
    <n v="28766.79"/>
    <n v="13077.81"/>
    <s v="Credit Card"/>
    <s v="Anaya"/>
  </r>
  <r>
    <x v="2948"/>
    <x v="52"/>
    <s v="Chennai"/>
    <x v="0"/>
    <x v="0"/>
    <x v="19"/>
    <x v="0"/>
    <s v="Small Business"/>
    <n v="8"/>
    <n v="1930"/>
    <n v="0"/>
    <x v="2912"/>
    <n v="10400.719999999999"/>
    <n v="5039.28"/>
    <s v="UPI"/>
    <s v="Anaya"/>
  </r>
  <r>
    <x v="2949"/>
    <x v="182"/>
    <s v="Mumbai"/>
    <x v="2"/>
    <x v="6"/>
    <x v="20"/>
    <x v="0"/>
    <s v="Small Business"/>
    <n v="4"/>
    <n v="3733"/>
    <n v="0.1"/>
    <x v="2913"/>
    <n v="7883.22"/>
    <n v="5555.58"/>
    <s v="Credit Card"/>
    <s v="Diya"/>
  </r>
  <r>
    <x v="2950"/>
    <x v="106"/>
    <s v="Chennai"/>
    <x v="0"/>
    <x v="0"/>
    <x v="23"/>
    <x v="0"/>
    <s v="Small Business"/>
    <n v="6"/>
    <n v="289"/>
    <n v="0"/>
    <x v="2914"/>
    <n v="1167.71"/>
    <n v="566.29"/>
    <s v="Net Banking"/>
    <s v="Kabir"/>
  </r>
  <r>
    <x v="2951"/>
    <x v="212"/>
    <s v="Mumbai"/>
    <x v="2"/>
    <x v="6"/>
    <x v="8"/>
    <x v="0"/>
    <s v="Corporate"/>
    <n v="6"/>
    <n v="740"/>
    <n v="0.1"/>
    <x v="2915"/>
    <n v="2296.31"/>
    <n v="1699.69"/>
    <s v="Net Banking"/>
    <s v="Anaya"/>
  </r>
  <r>
    <x v="2952"/>
    <x v="14"/>
    <s v="Kolkata"/>
    <x v="1"/>
    <x v="2"/>
    <x v="2"/>
    <x v="0"/>
    <s v="Corporate"/>
    <n v="2"/>
    <n v="25959"/>
    <n v="0.05"/>
    <x v="2916"/>
    <n v="38912.29"/>
    <n v="10409.81"/>
    <s v="UPI"/>
    <s v="Kabir"/>
  </r>
  <r>
    <x v="2953"/>
    <x v="326"/>
    <s v="Mumbai"/>
    <x v="2"/>
    <x v="3"/>
    <x v="3"/>
    <x v="1"/>
    <s v="Corporate"/>
    <n v="3"/>
    <n v="1440"/>
    <n v="0.1"/>
    <x v="2917"/>
    <n v="2296.89"/>
    <n v="1591.11"/>
    <s v="UPI"/>
    <s v="Rohan"/>
  </r>
  <r>
    <x v="2954"/>
    <x v="161"/>
    <s v="Mumbai"/>
    <x v="2"/>
    <x v="0"/>
    <x v="23"/>
    <x v="1"/>
    <s v="Corporate"/>
    <n v="4"/>
    <n v="321"/>
    <n v="0"/>
    <x v="769"/>
    <n v="1017.61"/>
    <n v="266.39"/>
    <s v="Debit Card"/>
    <s v="Aarav"/>
  </r>
  <r>
    <x v="2955"/>
    <x v="254"/>
    <s v="Pune"/>
    <x v="2"/>
    <x v="5"/>
    <x v="24"/>
    <x v="1"/>
    <s v="Small Business"/>
    <n v="1"/>
    <n v="20286"/>
    <n v="0.05"/>
    <x v="2918"/>
    <n v="14720.01"/>
    <n v="4551.6899999999996"/>
    <s v="UPI"/>
    <s v="Sara"/>
  </r>
  <r>
    <x v="2956"/>
    <x v="133"/>
    <s v="Hyderabad"/>
    <x v="0"/>
    <x v="6"/>
    <x v="16"/>
    <x v="2"/>
    <s v="Consumer"/>
    <n v="7"/>
    <n v="5083"/>
    <n v="0.2"/>
    <x v="2919"/>
    <n v="23614.5"/>
    <n v="4850.3"/>
    <s v="Cash"/>
    <s v="Anaya"/>
  </r>
  <r>
    <x v="2957"/>
    <x v="123"/>
    <s v="Bengaluru"/>
    <x v="0"/>
    <x v="0"/>
    <x v="28"/>
    <x v="2"/>
    <s v="Small Business"/>
    <n v="6"/>
    <n v="2450"/>
    <n v="0.2"/>
    <x v="2920"/>
    <n v="9666.99"/>
    <n v="2093.0100000000002"/>
    <s v="Cash"/>
    <s v="Rohan"/>
  </r>
  <r>
    <x v="2958"/>
    <x v="218"/>
    <s v="Ahmedabad"/>
    <x v="2"/>
    <x v="6"/>
    <x v="33"/>
    <x v="1"/>
    <s v="Corporate"/>
    <n v="3"/>
    <n v="3437"/>
    <n v="0.1"/>
    <x v="2921"/>
    <n v="5434.89"/>
    <n v="3845.01"/>
    <s v="UPI"/>
    <s v="Rohan"/>
  </r>
  <r>
    <x v="2959"/>
    <x v="251"/>
    <s v="Kolkata"/>
    <x v="1"/>
    <x v="0"/>
    <x v="23"/>
    <x v="2"/>
    <s v="Corporate"/>
    <n v="3"/>
    <n v="950"/>
    <n v="0.05"/>
    <x v="2922"/>
    <n v="1686.88"/>
    <n v="1020.62"/>
    <s v="Cash"/>
    <s v="Anaya"/>
  </r>
  <r>
    <x v="2960"/>
    <x v="191"/>
    <s v="Bengaluru"/>
    <x v="0"/>
    <x v="6"/>
    <x v="8"/>
    <x v="0"/>
    <s v="Consumer"/>
    <n v="2"/>
    <n v="1816"/>
    <n v="0.05"/>
    <x v="2923"/>
    <n v="2741.58"/>
    <n v="708.82"/>
    <s v="Credit Card"/>
    <s v="Diya"/>
  </r>
  <r>
    <x v="2961"/>
    <x v="132"/>
    <s v="Mumbai"/>
    <x v="2"/>
    <x v="2"/>
    <x v="2"/>
    <x v="2"/>
    <s v="Small Business"/>
    <n v="8"/>
    <n v="40134"/>
    <n v="0.1"/>
    <x v="2924"/>
    <n v="160699.04"/>
    <n v="128265.76"/>
    <s v="Debit Card"/>
    <s v="Vikram"/>
  </r>
  <r>
    <x v="2962"/>
    <x v="275"/>
    <s v="Bengaluru"/>
    <x v="0"/>
    <x v="3"/>
    <x v="32"/>
    <x v="0"/>
    <s v="Consumer"/>
    <n v="8"/>
    <n v="1742"/>
    <n v="0.05"/>
    <x v="2925"/>
    <n v="9891.51"/>
    <n v="3347.69"/>
    <s v="UPI"/>
    <s v="Sara"/>
  </r>
  <r>
    <x v="2963"/>
    <x v="67"/>
    <s v="Hyderabad"/>
    <x v="0"/>
    <x v="1"/>
    <x v="1"/>
    <x v="0"/>
    <s v="Corporate"/>
    <n v="3"/>
    <n v="2906"/>
    <n v="0.15"/>
    <x v="2926"/>
    <n v="4828.22"/>
    <n v="2582.08"/>
    <s v="Net Banking"/>
    <s v="Sara"/>
  </r>
  <r>
    <x v="2964"/>
    <x v="336"/>
    <s v="Delhi"/>
    <x v="3"/>
    <x v="1"/>
    <x v="10"/>
    <x v="2"/>
    <s v="Consumer"/>
    <n v="3"/>
    <n v="6078"/>
    <n v="0.05"/>
    <x v="2927"/>
    <n v="13937.96"/>
    <n v="3384.34"/>
    <s v="Net Banking"/>
    <s v="Anaya"/>
  </r>
  <r>
    <x v="2965"/>
    <x v="233"/>
    <s v="Kolkata"/>
    <x v="1"/>
    <x v="5"/>
    <x v="25"/>
    <x v="1"/>
    <s v="Corporate"/>
    <n v="2"/>
    <n v="32788"/>
    <n v="0"/>
    <x v="2928"/>
    <n v="39246.76"/>
    <n v="26329.24"/>
    <s v="Debit Card"/>
    <s v="Diya"/>
  </r>
  <r>
    <x v="2966"/>
    <x v="3"/>
    <s v="Hyderabad"/>
    <x v="0"/>
    <x v="2"/>
    <x v="21"/>
    <x v="1"/>
    <s v="Corporate"/>
    <n v="4"/>
    <n v="11081"/>
    <n v="0"/>
    <x v="2929"/>
    <n v="38212.29"/>
    <n v="6111.71"/>
    <s v="Net Banking"/>
    <s v="Kabir"/>
  </r>
  <r>
    <x v="2967"/>
    <x v="99"/>
    <s v="Mumbai"/>
    <x v="2"/>
    <x v="6"/>
    <x v="8"/>
    <x v="0"/>
    <s v="Corporate"/>
    <n v="7"/>
    <n v="5232"/>
    <n v="0"/>
    <x v="2930"/>
    <n v="29082.03"/>
    <n v="7541.97"/>
    <s v="Net Banking"/>
    <s v="Vikram"/>
  </r>
  <r>
    <x v="2968"/>
    <x v="292"/>
    <s v="Ahmedabad"/>
    <x v="2"/>
    <x v="5"/>
    <x v="25"/>
    <x v="1"/>
    <s v="Consumer"/>
    <n v="1"/>
    <n v="6155"/>
    <n v="0.2"/>
    <x v="2931"/>
    <n v="3942.7"/>
    <n v="981.3"/>
    <s v="UPI"/>
    <s v="Rohan"/>
  </r>
  <r>
    <x v="2969"/>
    <x v="208"/>
    <s v="Bengaluru"/>
    <x v="0"/>
    <x v="5"/>
    <x v="17"/>
    <x v="1"/>
    <s v="Consumer"/>
    <n v="2"/>
    <n v="42037"/>
    <n v="0.1"/>
    <x v="2932"/>
    <n v="43039.77"/>
    <n v="32626.83"/>
    <s v="Cash"/>
    <s v="Diya"/>
  </r>
  <r>
    <x v="2970"/>
    <x v="304"/>
    <s v="Delhi"/>
    <x v="3"/>
    <x v="2"/>
    <x v="21"/>
    <x v="0"/>
    <s v="Small Business"/>
    <n v="6"/>
    <n v="62741"/>
    <n v="0.05"/>
    <x v="2933"/>
    <n v="292191.69"/>
    <n v="65432.01"/>
    <s v="UPI"/>
    <s v="Vikram"/>
  </r>
  <r>
    <x v="2971"/>
    <x v="231"/>
    <s v="Chennai"/>
    <x v="0"/>
    <x v="2"/>
    <x v="9"/>
    <x v="2"/>
    <s v="Corporate"/>
    <n v="1"/>
    <n v="62897"/>
    <n v="0.05"/>
    <x v="2934"/>
    <n v="41676.17"/>
    <n v="18075.98"/>
    <s v="UPI"/>
    <s v="Anaya"/>
  </r>
  <r>
    <x v="2972"/>
    <x v="115"/>
    <s v="Mumbai"/>
    <x v="2"/>
    <x v="1"/>
    <x v="7"/>
    <x v="2"/>
    <s v="Corporate"/>
    <n v="3"/>
    <n v="6504"/>
    <n v="0.2"/>
    <x v="2935"/>
    <n v="11867.89"/>
    <n v="3741.71"/>
    <s v="Credit Card"/>
    <s v="Meera"/>
  </r>
  <r>
    <x v="2973"/>
    <x v="2"/>
    <s v="Delhi"/>
    <x v="3"/>
    <x v="5"/>
    <x v="6"/>
    <x v="0"/>
    <s v="Corporate"/>
    <n v="7"/>
    <n v="6723"/>
    <n v="0"/>
    <x v="2936"/>
    <n v="34258.26"/>
    <n v="12802.74"/>
    <s v="Debit Card"/>
    <s v="Rohan"/>
  </r>
  <r>
    <x v="2974"/>
    <x v="183"/>
    <s v="Delhi"/>
    <x v="3"/>
    <x v="2"/>
    <x v="29"/>
    <x v="0"/>
    <s v="Corporate"/>
    <n v="3"/>
    <n v="51444"/>
    <n v="0.05"/>
    <x v="2937"/>
    <n v="100482.2"/>
    <n v="46133.2"/>
    <s v="Credit Card"/>
    <s v="Aarav"/>
  </r>
  <r>
    <x v="2975"/>
    <x v="284"/>
    <s v="Bengaluru"/>
    <x v="0"/>
    <x v="5"/>
    <x v="24"/>
    <x v="2"/>
    <s v="Consumer"/>
    <n v="6"/>
    <n v="42043"/>
    <n v="0"/>
    <x v="2938"/>
    <n v="159772.76999999999"/>
    <n v="92485.23"/>
    <s v="Debit Card"/>
    <s v="Rohan"/>
  </r>
  <r>
    <x v="2976"/>
    <x v="132"/>
    <s v="Pune"/>
    <x v="2"/>
    <x v="1"/>
    <x v="7"/>
    <x v="0"/>
    <s v="Small Business"/>
    <n v="7"/>
    <n v="1632"/>
    <n v="0.05"/>
    <x v="2939"/>
    <n v="8030.14"/>
    <n v="2822.66"/>
    <s v="UPI"/>
    <s v="Rohan"/>
  </r>
  <r>
    <x v="2977"/>
    <x v="352"/>
    <s v="Hyderabad"/>
    <x v="0"/>
    <x v="3"/>
    <x v="34"/>
    <x v="0"/>
    <s v="Corporate"/>
    <n v="6"/>
    <n v="2290"/>
    <n v="0.2"/>
    <x v="2894"/>
    <n v="9513.74"/>
    <n v="1478.26"/>
    <s v="Credit Card"/>
    <s v="Sara"/>
  </r>
  <r>
    <x v="2978"/>
    <x v="360"/>
    <s v="Delhi"/>
    <x v="3"/>
    <x v="3"/>
    <x v="12"/>
    <x v="0"/>
    <s v="Consumer"/>
    <n v="8"/>
    <n v="839"/>
    <n v="0.1"/>
    <x v="2940"/>
    <n v="3747.48"/>
    <n v="2293.3200000000002"/>
    <s v="Cash"/>
    <s v="Meera"/>
  </r>
  <r>
    <x v="2979"/>
    <x v="173"/>
    <s v="Mumbai"/>
    <x v="2"/>
    <x v="1"/>
    <x v="22"/>
    <x v="0"/>
    <s v="Consumer"/>
    <n v="6"/>
    <n v="6076"/>
    <n v="0.1"/>
    <x v="2941"/>
    <n v="21811.67"/>
    <n v="10998.73"/>
    <s v="Net Banking"/>
    <s v="Diya"/>
  </r>
  <r>
    <x v="2980"/>
    <x v="197"/>
    <s v="Ahmedabad"/>
    <x v="2"/>
    <x v="5"/>
    <x v="6"/>
    <x v="1"/>
    <s v="Consumer"/>
    <n v="5"/>
    <n v="42458"/>
    <n v="0.15"/>
    <x v="2942"/>
    <n v="114249.25"/>
    <n v="66197.25"/>
    <s v="Net Banking"/>
    <s v="Rohan"/>
  </r>
  <r>
    <x v="2981"/>
    <x v="321"/>
    <s v="Delhi"/>
    <x v="3"/>
    <x v="2"/>
    <x v="21"/>
    <x v="1"/>
    <s v="Corporate"/>
    <n v="8"/>
    <n v="24827"/>
    <n v="0.15"/>
    <x v="2943"/>
    <n v="146201.67000000001"/>
    <n v="22621.93"/>
    <s v="Credit Card"/>
    <s v="Kabir"/>
  </r>
  <r>
    <x v="2982"/>
    <x v="189"/>
    <s v="Kolkata"/>
    <x v="1"/>
    <x v="6"/>
    <x v="20"/>
    <x v="0"/>
    <s v="Corporate"/>
    <n v="7"/>
    <n v="4769"/>
    <n v="0.05"/>
    <x v="2944"/>
    <n v="23836.97"/>
    <n v="7876.88"/>
    <s v="Debit Card"/>
    <s v="Rohan"/>
  </r>
  <r>
    <x v="2983"/>
    <x v="44"/>
    <s v="Chennai"/>
    <x v="0"/>
    <x v="4"/>
    <x v="31"/>
    <x v="2"/>
    <s v="Small Business"/>
    <n v="1"/>
    <n v="21654"/>
    <n v="0.1"/>
    <x v="2945"/>
    <n v="16036.96"/>
    <n v="3451.64"/>
    <s v="Cash"/>
    <s v="Vikram"/>
  </r>
  <r>
    <x v="2984"/>
    <x v="355"/>
    <s v="Pune"/>
    <x v="2"/>
    <x v="4"/>
    <x v="13"/>
    <x v="0"/>
    <s v="Small Business"/>
    <n v="8"/>
    <n v="10769"/>
    <n v="0"/>
    <x v="2946"/>
    <n v="47947.51"/>
    <n v="38204.49"/>
    <s v="Net Banking"/>
    <s v="Anaya"/>
  </r>
  <r>
    <x v="2985"/>
    <x v="185"/>
    <s v="Mumbai"/>
    <x v="2"/>
    <x v="5"/>
    <x v="17"/>
    <x v="1"/>
    <s v="Corporate"/>
    <n v="6"/>
    <n v="24837"/>
    <n v="0.1"/>
    <x v="2947"/>
    <n v="115053.39"/>
    <n v="19066.41"/>
    <s v="UPI"/>
    <s v="Kabir"/>
  </r>
  <r>
    <x v="2986"/>
    <x v="105"/>
    <s v="Bengaluru"/>
    <x v="0"/>
    <x v="5"/>
    <x v="11"/>
    <x v="2"/>
    <s v="Consumer"/>
    <n v="6"/>
    <n v="27341"/>
    <n v="0"/>
    <x v="2948"/>
    <n v="102857.09"/>
    <n v="61188.91"/>
    <s v="UPI"/>
    <s v="Kabir"/>
  </r>
  <r>
    <x v="2987"/>
    <x v="185"/>
    <s v="Mumbai"/>
    <x v="2"/>
    <x v="3"/>
    <x v="15"/>
    <x v="1"/>
    <s v="Consumer"/>
    <n v="3"/>
    <n v="2217"/>
    <n v="0"/>
    <x v="2949"/>
    <n v="5119.54"/>
    <n v="1531.46"/>
    <s v="Net Banking"/>
    <s v="Rohan"/>
  </r>
  <r>
    <x v="2988"/>
    <x v="299"/>
    <s v="Pune"/>
    <x v="2"/>
    <x v="5"/>
    <x v="25"/>
    <x v="2"/>
    <s v="Small Business"/>
    <n v="1"/>
    <n v="6175"/>
    <n v="0.05"/>
    <x v="2950"/>
    <n v="3291.61"/>
    <n v="2574.64"/>
    <s v="Debit Card"/>
    <s v="Meera"/>
  </r>
  <r>
    <x v="2989"/>
    <x v="207"/>
    <s v="Pune"/>
    <x v="2"/>
    <x v="5"/>
    <x v="6"/>
    <x v="1"/>
    <s v="Small Business"/>
    <n v="8"/>
    <n v="36697"/>
    <n v="0.1"/>
    <x v="2951"/>
    <n v="205908.39"/>
    <n v="58310.01"/>
    <s v="Cash"/>
    <s v="Meera"/>
  </r>
  <r>
    <x v="2990"/>
    <x v="331"/>
    <s v="Bengaluru"/>
    <x v="0"/>
    <x v="4"/>
    <x v="13"/>
    <x v="2"/>
    <s v="Consumer"/>
    <n v="1"/>
    <n v="15166"/>
    <n v="0"/>
    <x v="2952"/>
    <n v="8875.81"/>
    <n v="6290.19"/>
    <s v="Debit Card"/>
    <s v="Diya"/>
  </r>
  <r>
    <x v="2991"/>
    <x v="276"/>
    <s v="Delhi"/>
    <x v="3"/>
    <x v="6"/>
    <x v="8"/>
    <x v="2"/>
    <s v="Small Business"/>
    <n v="1"/>
    <n v="3262"/>
    <n v="0.15"/>
    <x v="2953"/>
    <n v="2023.8"/>
    <n v="748.9"/>
    <s v="UPI"/>
    <s v="Sara"/>
  </r>
  <r>
    <x v="2992"/>
    <x v="280"/>
    <s v="Kolkata"/>
    <x v="1"/>
    <x v="4"/>
    <x v="13"/>
    <x v="2"/>
    <s v="Small Business"/>
    <n v="1"/>
    <n v="1256"/>
    <n v="0"/>
    <x v="2954"/>
    <n v="832.07"/>
    <n v="423.93"/>
    <s v="Cash"/>
    <s v="Rohan"/>
  </r>
  <r>
    <x v="2993"/>
    <x v="213"/>
    <s v="Delhi"/>
    <x v="3"/>
    <x v="3"/>
    <x v="15"/>
    <x v="2"/>
    <s v="Corporate"/>
    <n v="6"/>
    <n v="795"/>
    <n v="0.05"/>
    <x v="2955"/>
    <n v="2631.99"/>
    <n v="1899.51"/>
    <s v="Net Banking"/>
    <s v="Meera"/>
  </r>
  <r>
    <x v="2994"/>
    <x v="120"/>
    <s v="Mumbai"/>
    <x v="2"/>
    <x v="1"/>
    <x v="7"/>
    <x v="2"/>
    <s v="Small Business"/>
    <n v="7"/>
    <n v="4933"/>
    <n v="0"/>
    <x v="2956"/>
    <n v="20312.349999999999"/>
    <n v="14218.65"/>
    <s v="Credit Card"/>
    <s v="Sara"/>
  </r>
  <r>
    <x v="2995"/>
    <x v="132"/>
    <s v="Delhi"/>
    <x v="3"/>
    <x v="5"/>
    <x v="25"/>
    <x v="0"/>
    <s v="Corporate"/>
    <n v="7"/>
    <n v="8210"/>
    <n v="0.15"/>
    <x v="2957"/>
    <n v="37677.839999999997"/>
    <n v="11171.66"/>
    <s v="Cash"/>
    <s v="Sara"/>
  </r>
  <r>
    <x v="2996"/>
    <x v="316"/>
    <s v="Hyderabad"/>
    <x v="0"/>
    <x v="4"/>
    <x v="27"/>
    <x v="2"/>
    <s v="Corporate"/>
    <n v="7"/>
    <n v="9684"/>
    <n v="0"/>
    <x v="2958"/>
    <n v="41846.06"/>
    <n v="25941.94"/>
    <s v="Debit Card"/>
    <s v="Sara"/>
  </r>
  <r>
    <x v="2997"/>
    <x v="180"/>
    <s v="Pune"/>
    <x v="2"/>
    <x v="6"/>
    <x v="30"/>
    <x v="2"/>
    <s v="Corporate"/>
    <n v="5"/>
    <n v="4331"/>
    <n v="0"/>
    <x v="2959"/>
    <n v="16803.05"/>
    <n v="4851.95"/>
    <s v="UPI"/>
    <s v="Kabir"/>
  </r>
  <r>
    <x v="2998"/>
    <x v="334"/>
    <s v="Delhi"/>
    <x v="3"/>
    <x v="1"/>
    <x v="10"/>
    <x v="0"/>
    <s v="Small Business"/>
    <n v="6"/>
    <n v="4922"/>
    <n v="0.1"/>
    <x v="2960"/>
    <n v="20290.86"/>
    <n v="6287.94"/>
    <s v="Debit Card"/>
    <s v="Rohan"/>
  </r>
  <r>
    <x v="2999"/>
    <x v="97"/>
    <s v="Ahmedabad"/>
    <x v="2"/>
    <x v="4"/>
    <x v="14"/>
    <x v="2"/>
    <s v="Corporate"/>
    <n v="4"/>
    <n v="21566"/>
    <n v="0.2"/>
    <x v="2961"/>
    <n v="60027.61"/>
    <n v="8983.59"/>
    <s v="Credit Card"/>
    <s v="Roh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38404B-7E68-410A-AF48-1B930354B8B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B9" firstHeaderRow="1" firstDataRow="1" firstDataCol="1"/>
  <pivotFields count="17">
    <pivotField showAll="0"/>
    <pivotField showAll="0">
      <items count="15">
        <item x="0"/>
        <item x="1"/>
        <item x="2"/>
        <item x="3"/>
        <item x="4"/>
        <item x="5"/>
        <item x="6"/>
        <item x="7"/>
        <item x="8"/>
        <item x="9"/>
        <item x="10"/>
        <item x="11"/>
        <item x="12"/>
        <item x="13"/>
        <item t="default"/>
      </items>
    </pivotField>
    <pivotField showAll="0"/>
    <pivotField showAll="0">
      <items count="5">
        <item x="1"/>
        <item x="3"/>
        <item x="0"/>
        <item x="2"/>
        <item t="default"/>
      </items>
    </pivotField>
    <pivotField axis="axisRow" showAll="0" sortType="descending">
      <items count="8">
        <item x="6"/>
        <item x="2"/>
        <item x="5"/>
        <item x="3"/>
        <item x="4"/>
        <item x="1"/>
        <item x="0"/>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dataField="1" showAll="0">
      <items count="2963">
        <item x="2119"/>
        <item x="360"/>
        <item x="986"/>
        <item x="474"/>
        <item x="803"/>
        <item x="358"/>
        <item x="1697"/>
        <item x="1297"/>
        <item x="2535"/>
        <item x="1256"/>
        <item x="1952"/>
        <item x="192"/>
        <item x="1354"/>
        <item x="1992"/>
        <item x="368"/>
        <item x="558"/>
        <item x="1360"/>
        <item x="2059"/>
        <item x="2500"/>
        <item x="1011"/>
        <item x="956"/>
        <item x="2043"/>
        <item x="1680"/>
        <item x="1211"/>
        <item x="2544"/>
        <item x="226"/>
        <item x="2651"/>
        <item x="132"/>
        <item x="2687"/>
        <item x="1027"/>
        <item x="2451"/>
        <item x="1976"/>
        <item x="1991"/>
        <item x="2892"/>
        <item x="2660"/>
        <item x="1255"/>
        <item x="1207"/>
        <item x="2876"/>
        <item x="1561"/>
        <item x="821"/>
        <item x="2083"/>
        <item x="1585"/>
        <item x="108"/>
        <item x="1555"/>
        <item x="521"/>
        <item x="2165"/>
        <item x="2896"/>
        <item x="1238"/>
        <item x="2694"/>
        <item x="40"/>
        <item x="1049"/>
        <item x="2764"/>
        <item x="2818"/>
        <item x="648"/>
        <item x="1654"/>
        <item x="2068"/>
        <item x="2596"/>
        <item x="2497"/>
        <item x="1836"/>
        <item x="177"/>
        <item x="1923"/>
        <item x="2637"/>
        <item x="2227"/>
        <item x="357"/>
        <item x="2192"/>
        <item x="2862"/>
        <item x="1729"/>
        <item x="2111"/>
        <item x="1200"/>
        <item x="2549"/>
        <item x="1182"/>
        <item x="637"/>
        <item x="1698"/>
        <item x="504"/>
        <item x="376"/>
        <item x="2624"/>
        <item x="2901"/>
        <item x="1196"/>
        <item x="2673"/>
        <item x="1869"/>
        <item x="1749"/>
        <item x="2422"/>
        <item x="220"/>
        <item x="227"/>
        <item x="1429"/>
        <item x="1285"/>
        <item x="355"/>
        <item x="2133"/>
        <item x="2857"/>
        <item x="1242"/>
        <item x="1291"/>
        <item x="1123"/>
        <item x="2137"/>
        <item x="2718"/>
        <item x="2845"/>
        <item x="555"/>
        <item x="387"/>
        <item x="2895"/>
        <item x="2734"/>
        <item x="1627"/>
        <item x="2909"/>
        <item x="2648"/>
        <item x="731"/>
        <item x="741"/>
        <item x="2244"/>
        <item x="1412"/>
        <item x="920"/>
        <item x="1598"/>
        <item x="966"/>
        <item x="1300"/>
        <item x="292"/>
        <item x="1593"/>
        <item x="463"/>
        <item x="2625"/>
        <item x="1231"/>
        <item x="586"/>
        <item x="1781"/>
        <item x="2263"/>
        <item x="2739"/>
        <item x="1372"/>
        <item x="2012"/>
        <item x="1746"/>
        <item x="2061"/>
        <item x="2115"/>
        <item x="2562"/>
        <item x="2086"/>
        <item x="1168"/>
        <item x="2903"/>
        <item x="2088"/>
        <item x="1086"/>
        <item x="1359"/>
        <item x="1054"/>
        <item x="2835"/>
        <item x="833"/>
        <item x="912"/>
        <item x="433"/>
        <item x="2052"/>
        <item x="699"/>
        <item x="1165"/>
        <item x="1156"/>
        <item x="2824"/>
        <item x="2196"/>
        <item x="676"/>
        <item x="1512"/>
        <item x="1239"/>
        <item x="697"/>
        <item x="2385"/>
        <item x="632"/>
        <item x="513"/>
        <item x="2179"/>
        <item x="2954"/>
        <item x="1083"/>
        <item x="404"/>
        <item x="2184"/>
        <item x="769"/>
        <item x="75"/>
        <item x="594"/>
        <item x="1376"/>
        <item x="2658"/>
        <item x="614"/>
        <item x="2828"/>
        <item x="729"/>
        <item x="1193"/>
        <item x="1618"/>
        <item x="2680"/>
        <item x="2775"/>
        <item x="1034"/>
        <item x="2094"/>
        <item x="1147"/>
        <item x="381"/>
        <item x="1732"/>
        <item x="2578"/>
        <item x="2234"/>
        <item x="2407"/>
        <item x="1467"/>
        <item x="2016"/>
        <item x="1738"/>
        <item x="1810"/>
        <item x="618"/>
        <item x="1953"/>
        <item x="2005"/>
        <item x="564"/>
        <item x="1546"/>
        <item x="1886"/>
        <item x="651"/>
        <item x="399"/>
        <item x="1621"/>
        <item x="66"/>
        <item x="1970"/>
        <item x="121"/>
        <item x="2163"/>
        <item x="880"/>
        <item x="2520"/>
        <item x="383"/>
        <item x="2507"/>
        <item x="2215"/>
        <item x="214"/>
        <item x="1587"/>
        <item x="1703"/>
        <item x="2691"/>
        <item x="359"/>
        <item x="580"/>
        <item x="2333"/>
        <item x="1419"/>
        <item x="1624"/>
        <item x="385"/>
        <item x="1026"/>
        <item x="1276"/>
        <item x="1638"/>
        <item x="2599"/>
        <item x="2320"/>
        <item x="1427"/>
        <item x="402"/>
        <item x="977"/>
        <item x="684"/>
        <item x="749"/>
        <item x="1059"/>
        <item x="781"/>
        <item x="2842"/>
        <item x="2754"/>
        <item x="2327"/>
        <item x="2749"/>
        <item x="2890"/>
        <item x="2120"/>
        <item x="1072"/>
        <item x="290"/>
        <item x="2914"/>
        <item x="2237"/>
        <item x="1098"/>
        <item x="970"/>
        <item x="1584"/>
        <item x="926"/>
        <item x="2737"/>
        <item x="1928"/>
        <item x="2201"/>
        <item x="1820"/>
        <item x="828"/>
        <item x="1817"/>
        <item x="578"/>
        <item x="2290"/>
        <item x="1785"/>
        <item x="1905"/>
        <item x="2362"/>
        <item x="965"/>
        <item x="738"/>
        <item x="2261"/>
        <item x="1136"/>
        <item x="1409"/>
        <item x="655"/>
        <item x="2763"/>
        <item x="2661"/>
        <item x="201"/>
        <item x="571"/>
        <item x="1369"/>
        <item x="2318"/>
        <item x="2310"/>
        <item x="2313"/>
        <item x="955"/>
        <item x="1395"/>
        <item x="630"/>
        <item x="170"/>
        <item x="801"/>
        <item x="2844"/>
        <item x="1362"/>
        <item x="2804"/>
        <item x="721"/>
        <item x="2160"/>
        <item x="1572"/>
        <item x="297"/>
        <item x="426"/>
        <item x="2274"/>
        <item x="1031"/>
        <item x="1314"/>
        <item x="2649"/>
        <item x="1714"/>
        <item x="1448"/>
        <item x="582"/>
        <item x="2203"/>
        <item x="2832"/>
        <item x="1959"/>
        <item x="1871"/>
        <item x="1601"/>
        <item x="2838"/>
        <item x="1473"/>
        <item x="681"/>
        <item x="2796"/>
        <item x="421"/>
        <item x="852"/>
        <item x="1969"/>
        <item x="2619"/>
        <item x="1678"/>
        <item x="1006"/>
        <item x="1460"/>
        <item x="477"/>
        <item x="924"/>
        <item x="1060"/>
        <item x="2337"/>
        <item x="493"/>
        <item x="1899"/>
        <item x="1756"/>
        <item x="1943"/>
        <item x="34"/>
        <item x="111"/>
        <item x="2033"/>
        <item x="2271"/>
        <item x="2030"/>
        <item x="346"/>
        <item x="1263"/>
        <item x="11"/>
        <item x="2220"/>
        <item x="2704"/>
        <item x="2543"/>
        <item x="1743"/>
        <item x="327"/>
        <item x="1416"/>
        <item x="576"/>
        <item x="2279"/>
        <item x="678"/>
        <item x="2571"/>
        <item x="704"/>
        <item x="726"/>
        <item x="286"/>
        <item x="1471"/>
        <item x="1210"/>
        <item x="1274"/>
        <item x="2277"/>
        <item x="2675"/>
        <item x="180"/>
        <item x="2494"/>
        <item x="1515"/>
        <item x="490"/>
        <item x="23"/>
        <item x="1434"/>
        <item x="1100"/>
        <item x="1730"/>
        <item x="2587"/>
        <item x="2732"/>
        <item x="2373"/>
        <item x="2905"/>
        <item x="348"/>
        <item x="230"/>
        <item x="2366"/>
        <item x="2850"/>
        <item x="1499"/>
        <item x="1565"/>
        <item x="2888"/>
        <item x="409"/>
        <item x="2780"/>
        <item x="300"/>
        <item x="951"/>
        <item x="724"/>
        <item x="378"/>
        <item x="1246"/>
        <item x="1958"/>
        <item x="1399"/>
        <item x="997"/>
        <item x="125"/>
        <item x="498"/>
        <item x="1793"/>
        <item x="847"/>
        <item x="2154"/>
        <item x="164"/>
        <item x="2705"/>
        <item x="500"/>
        <item x="663"/>
        <item x="1898"/>
        <item x="771"/>
        <item x="1262"/>
        <item x="2475"/>
        <item x="2922"/>
        <item x="2504"/>
        <item x="2595"/>
        <item x="1667"/>
        <item x="556"/>
        <item x="2536"/>
        <item x="1055"/>
        <item x="661"/>
        <item x="2953"/>
        <item x="1532"/>
        <item x="2784"/>
        <item x="22"/>
        <item x="1454"/>
        <item x="2295"/>
        <item x="786"/>
        <item x="623"/>
        <item x="520"/>
        <item x="80"/>
        <item x="657"/>
        <item x="2344"/>
        <item x="2099"/>
        <item x="2810"/>
        <item x="2439"/>
        <item x="2322"/>
        <item x="2379"/>
        <item x="758"/>
        <item x="1559"/>
        <item x="1261"/>
        <item x="592"/>
        <item x="1163"/>
        <item x="2081"/>
        <item x="2638"/>
        <item x="798"/>
        <item x="1337"/>
        <item x="1684"/>
        <item x="1333"/>
        <item x="1723"/>
        <item x="2008"/>
        <item x="587"/>
        <item x="1061"/>
        <item x="628"/>
        <item x="664"/>
        <item x="2641"/>
        <item x="444"/>
        <item x="2412"/>
        <item x="2859"/>
        <item x="1764"/>
        <item x="2368"/>
        <item x="1397"/>
        <item x="1884"/>
        <item x="2329"/>
        <item x="1480"/>
        <item x="747"/>
        <item x="2046"/>
        <item x="19"/>
        <item x="1295"/>
        <item x="1338"/>
        <item x="136"/>
        <item x="2397"/>
        <item x="250"/>
        <item x="2604"/>
        <item x="2582"/>
        <item x="976"/>
        <item x="96"/>
        <item x="1956"/>
        <item x="1656"/>
        <item x="963"/>
        <item x="2808"/>
        <item x="1324"/>
        <item x="2758"/>
        <item x="575"/>
        <item x="2630"/>
        <item x="1148"/>
        <item x="720"/>
        <item x="1548"/>
        <item x="1892"/>
        <item x="1888"/>
        <item x="1902"/>
        <item x="1896"/>
        <item x="83"/>
        <item x="139"/>
        <item x="1375"/>
        <item x="990"/>
        <item x="291"/>
        <item x="128"/>
        <item x="679"/>
        <item x="2512"/>
        <item x="347"/>
        <item x="2091"/>
        <item x="2923"/>
        <item x="756"/>
        <item x="2639"/>
        <item x="775"/>
        <item x="279"/>
        <item x="598"/>
        <item x="710"/>
        <item x="283"/>
        <item x="2287"/>
        <item x="1217"/>
        <item x="884"/>
        <item x="2420"/>
        <item x="2065"/>
        <item x="1475"/>
        <item x="2695"/>
        <item x="1581"/>
        <item x="2498"/>
        <item x="2304"/>
        <item x="2668"/>
        <item x="1533"/>
        <item x="1252"/>
        <item x="1843"/>
        <item x="2853"/>
        <item x="772"/>
        <item x="1119"/>
        <item x="1212"/>
        <item x="2590"/>
        <item x="1094"/>
        <item x="1150"/>
        <item x="1482"/>
        <item x="2418"/>
        <item x="553"/>
        <item x="1087"/>
        <item x="1023"/>
        <item x="734"/>
        <item x="1741"/>
        <item x="2813"/>
        <item x="2233"/>
        <item x="842"/>
        <item x="2417"/>
        <item x="1430"/>
        <item x="46"/>
        <item x="1332"/>
        <item x="904"/>
        <item x="2017"/>
        <item x="1724"/>
        <item x="335"/>
        <item x="2114"/>
        <item x="861"/>
        <item x="472"/>
        <item x="1805"/>
        <item x="2112"/>
        <item x="761"/>
        <item x="962"/>
        <item x="1272"/>
        <item x="855"/>
        <item x="1580"/>
        <item x="408"/>
        <item x="1491"/>
        <item x="1116"/>
        <item x="2917"/>
        <item x="819"/>
        <item x="2431"/>
        <item x="532"/>
        <item x="2588"/>
        <item x="1069"/>
        <item x="1688"/>
        <item x="918"/>
        <item x="2492"/>
        <item x="2616"/>
        <item x="1206"/>
        <item x="1120"/>
        <item x="1470"/>
        <item x="2577"/>
        <item x="87"/>
        <item x="1889"/>
        <item x="1834"/>
        <item x="1926"/>
        <item x="2565"/>
        <item x="382"/>
        <item x="2915"/>
        <item x="588"/>
        <item x="215"/>
        <item x="2579"/>
        <item x="35"/>
        <item x="538"/>
        <item x="413"/>
        <item x="142"/>
        <item x="1236"/>
        <item x="91"/>
        <item x="2324"/>
        <item x="131"/>
        <item x="310"/>
        <item x="287"/>
        <item x="2473"/>
        <item x="1099"/>
        <item x="1827"/>
        <item x="1307"/>
        <item x="2129"/>
        <item x="545"/>
        <item x="1046"/>
        <item x="2560"/>
        <item x="1012"/>
        <item x="1560"/>
        <item x="1199"/>
        <item x="2288"/>
        <item x="353"/>
        <item x="2531"/>
        <item x="2723"/>
        <item x="1874"/>
        <item x="2339"/>
        <item x="1378"/>
        <item x="2140"/>
        <item x="1192"/>
        <item x="1509"/>
        <item x="1345"/>
        <item x="849"/>
        <item x="72"/>
        <item x="239"/>
        <item x="419"/>
        <item x="2172"/>
        <item x="643"/>
        <item x="552"/>
        <item x="1903"/>
        <item x="755"/>
        <item x="820"/>
        <item x="1073"/>
        <item x="597"/>
        <item x="1574"/>
        <item x="2815"/>
        <item x="468"/>
        <item x="1085"/>
        <item x="2907"/>
        <item x="104"/>
        <item x="1944"/>
        <item x="1009"/>
        <item x="992"/>
        <item x="1662"/>
        <item x="1172"/>
        <item x="2401"/>
        <item x="845"/>
        <item x="2855"/>
        <item x="1118"/>
        <item x="1142"/>
        <item x="256"/>
        <item x="2767"/>
        <item x="1227"/>
        <item x="2955"/>
        <item x="1517"/>
        <item x="1556"/>
        <item x="1265"/>
        <item x="144"/>
        <item x="1505"/>
        <item x="591"/>
        <item x="2591"/>
        <item x="1269"/>
        <item x="1564"/>
        <item x="1789"/>
        <item x="793"/>
        <item x="422"/>
        <item x="26"/>
        <item x="1141"/>
        <item x="746"/>
        <item x="2636"/>
        <item x="1659"/>
        <item x="577"/>
        <item x="2847"/>
        <item x="1839"/>
        <item x="1596"/>
        <item x="365"/>
        <item x="1933"/>
        <item x="791"/>
        <item x="1936"/>
        <item x="218"/>
        <item x="1428"/>
        <item x="1462"/>
        <item x="1310"/>
        <item x="2788"/>
        <item x="1890"/>
        <item x="494"/>
        <item x="2136"/>
        <item x="2559"/>
        <item x="1830"/>
        <item x="2564"/>
        <item x="1635"/>
        <item x="2127"/>
        <item x="892"/>
        <item x="2931"/>
        <item x="987"/>
        <item x="1158"/>
        <item x="2803"/>
        <item x="2806"/>
        <item x="2003"/>
        <item x="2031"/>
        <item x="2345"/>
        <item x="2839"/>
        <item x="534"/>
        <item x="902"/>
        <item x="2669"/>
        <item x="499"/>
        <item x="2609"/>
        <item x="252"/>
        <item x="1690"/>
        <item x="2142"/>
        <item x="2593"/>
        <item x="2116"/>
        <item x="2633"/>
        <item x="2643"/>
        <item x="1024"/>
        <item x="205"/>
        <item x="1695"/>
        <item x="1342"/>
        <item x="1877"/>
        <item x="2653"/>
        <item x="224"/>
        <item x="638"/>
        <item x="1692"/>
        <item x="216"/>
        <item x="2124"/>
        <item x="2334"/>
        <item x="1244"/>
        <item x="1925"/>
        <item x="1739"/>
        <item x="267"/>
        <item x="1744"/>
        <item x="2319"/>
        <item x="1214"/>
        <item x="329"/>
        <item x="822"/>
        <item x="2510"/>
        <item x="198"/>
        <item x="323"/>
        <item x="608"/>
        <item x="1065"/>
        <item x="2496"/>
        <item x="717"/>
        <item x="913"/>
        <item x="1018"/>
        <item x="2518"/>
        <item x="307"/>
        <item x="1728"/>
        <item x="326"/>
        <item x="1792"/>
        <item x="1612"/>
        <item x="2460"/>
        <item x="2793"/>
        <item x="115"/>
        <item x="1485"/>
        <item x="2450"/>
        <item x="2534"/>
        <item x="968"/>
        <item x="2514"/>
        <item x="795"/>
        <item x="208"/>
        <item x="1589"/>
        <item x="794"/>
        <item x="2026"/>
        <item x="2655"/>
        <item x="566"/>
        <item x="1403"/>
        <item x="550"/>
        <item x="276"/>
        <item x="2399"/>
        <item x="7"/>
        <item x="751"/>
        <item x="2468"/>
        <item x="42"/>
        <item x="2107"/>
        <item x="364"/>
        <item x="281"/>
        <item x="388"/>
        <item x="850"/>
        <item x="716"/>
        <item x="1025"/>
        <item x="1887"/>
        <item x="2538"/>
        <item x="2445"/>
        <item x="2547"/>
        <item x="1498"/>
        <item x="1795"/>
        <item x="2527"/>
        <item x="2053"/>
        <item x="806"/>
        <item x="953"/>
        <item x="1320"/>
        <item x="667"/>
        <item x="2950"/>
        <item x="1652"/>
        <item x="1639"/>
        <item x="1742"/>
        <item x="2408"/>
        <item x="1966"/>
        <item x="619"/>
        <item x="460"/>
        <item x="2499"/>
        <item x="1557"/>
        <item x="2015"/>
        <item x="954"/>
        <item x="1501"/>
        <item x="1582"/>
        <item x="328"/>
        <item x="2940"/>
        <item x="891"/>
        <item x="1447"/>
        <item x="211"/>
        <item x="1524"/>
        <item x="2485"/>
        <item x="1497"/>
        <item x="942"/>
        <item x="2426"/>
        <item x="815"/>
        <item x="332"/>
        <item x="514"/>
        <item x="2528"/>
        <item x="646"/>
        <item x="2292"/>
        <item x="1727"/>
        <item x="2007"/>
        <item x="1675"/>
        <item x="606"/>
        <item x="2711"/>
        <item x="2181"/>
        <item x="1438"/>
        <item x="508"/>
        <item x="1408"/>
        <item x="257"/>
        <item x="960"/>
        <item x="1452"/>
        <item x="341"/>
        <item x="2533"/>
        <item x="1404"/>
        <item x="1323"/>
        <item x="2635"/>
        <item x="99"/>
        <item x="785"/>
        <item x="1929"/>
        <item x="2183"/>
        <item x="2200"/>
        <item x="1579"/>
        <item x="874"/>
        <item x="1636"/>
        <item x="1978"/>
        <item x="2791"/>
        <item x="2949"/>
        <item x="709"/>
        <item x="1328"/>
        <item x="863"/>
        <item x="1829"/>
        <item x="2440"/>
        <item x="2206"/>
        <item x="186"/>
        <item x="1487"/>
        <item x="826"/>
        <item x="854"/>
        <item x="1720"/>
        <item x="685"/>
        <item x="665"/>
        <item x="1774"/>
        <item x="1002"/>
        <item x="2158"/>
        <item x="764"/>
        <item x="1433"/>
        <item x="1644"/>
        <item x="2335"/>
        <item x="2022"/>
        <item x="2067"/>
        <item x="2889"/>
        <item x="1107"/>
        <item x="1993"/>
        <item x="2521"/>
        <item x="2529"/>
        <item x="2546"/>
        <item x="1140"/>
        <item x="2645"/>
        <item x="2054"/>
        <item x="2095"/>
        <item x="644"/>
        <item x="2429"/>
        <item x="89"/>
        <item x="1209"/>
        <item x="727"/>
        <item x="62"/>
        <item x="823"/>
        <item x="529"/>
        <item x="403"/>
        <item x="1541"/>
        <item x="518"/>
        <item x="2556"/>
        <item x="868"/>
        <item x="2072"/>
        <item x="2259"/>
        <item x="158"/>
        <item x="2659"/>
        <item x="1230"/>
        <item x="2640"/>
        <item x="1804"/>
        <item x="94"/>
        <item x="901"/>
        <item x="2021"/>
        <item x="324"/>
        <item x="2338"/>
        <item x="899"/>
        <item x="911"/>
        <item x="1356"/>
        <item x="1867"/>
        <item x="212"/>
        <item x="258"/>
        <item x="1045"/>
        <item x="103"/>
        <item x="1857"/>
        <item x="343"/>
        <item x="1594"/>
        <item x="1075"/>
        <item x="2926"/>
        <item x="2173"/>
        <item x="2455"/>
        <item x="569"/>
        <item x="2437"/>
        <item x="777"/>
        <item x="1396"/>
        <item x="2141"/>
        <item x="544"/>
        <item x="194"/>
        <item x="2058"/>
        <item x="940"/>
        <item x="135"/>
        <item x="2542"/>
        <item x="1735"/>
        <item x="2601"/>
        <item x="2394"/>
        <item x="309"/>
        <item x="439"/>
        <item x="1228"/>
        <item x="1289"/>
        <item x="1554"/>
        <item x="1442"/>
        <item x="466"/>
        <item x="1351"/>
        <item x="1267"/>
        <item x="2908"/>
        <item x="339"/>
        <item x="2355"/>
        <item x="703"/>
        <item x="2332"/>
        <item x="2331"/>
        <item x="56"/>
        <item x="1335"/>
        <item x="879"/>
        <item x="2040"/>
        <item x="191"/>
        <item x="919"/>
        <item x="1806"/>
        <item x="634"/>
        <item x="217"/>
        <item x="486"/>
        <item x="71"/>
        <item x="627"/>
        <item x="1549"/>
        <item x="1459"/>
        <item x="1716"/>
        <item x="1446"/>
        <item x="1930"/>
        <item x="1686"/>
        <item x="1916"/>
        <item x="1088"/>
        <item x="2466"/>
        <item x="2063"/>
        <item x="837"/>
        <item x="113"/>
        <item x="2276"/>
        <item x="1381"/>
        <item x="1712"/>
        <item x="2513"/>
        <item x="1995"/>
        <item x="1797"/>
        <item x="2570"/>
        <item x="814"/>
        <item x="1772"/>
        <item x="1037"/>
        <item x="888"/>
        <item x="1110"/>
        <item x="70"/>
        <item x="149"/>
        <item x="2144"/>
        <item x="1648"/>
        <item x="1138"/>
        <item x="437"/>
        <item x="457"/>
        <item x="1095"/>
        <item x="743"/>
        <item x="2594"/>
        <item x="2389"/>
        <item x="350"/>
        <item x="2519"/>
        <item x="2849"/>
        <item x="1486"/>
        <item x="150"/>
        <item x="1591"/>
        <item x="1778"/>
        <item x="261"/>
        <item x="857"/>
        <item x="134"/>
        <item x="1044"/>
        <item x="2255"/>
        <item x="2554"/>
        <item x="626"/>
        <item x="1531"/>
        <item x="2084"/>
        <item x="2070"/>
        <item x="1844"/>
        <item x="2606"/>
        <item x="1687"/>
        <item x="2738"/>
        <item x="541"/>
        <item x="996"/>
        <item x="2628"/>
        <item x="1355"/>
        <item x="424"/>
        <item x="105"/>
        <item x="1854"/>
        <item x="293"/>
        <item x="2125"/>
        <item x="1696"/>
        <item x="1080"/>
        <item x="562"/>
        <item x="2574"/>
        <item x="993"/>
        <item x="1676"/>
        <item x="2483"/>
        <item x="1683"/>
        <item x="394"/>
        <item x="2478"/>
        <item x="2618"/>
        <item x="2898"/>
        <item x="1074"/>
        <item x="585"/>
        <item x="1550"/>
        <item x="551"/>
        <item x="88"/>
        <item x="2383"/>
        <item x="2733"/>
        <item x="1384"/>
        <item x="1998"/>
        <item x="653"/>
        <item x="1865"/>
        <item x="1736"/>
        <item x="1628"/>
        <item x="320"/>
        <item x="2186"/>
        <item x="2387"/>
        <item x="137"/>
        <item x="1828"/>
        <item x="2715"/>
        <item x="1981"/>
        <item x="165"/>
        <item x="2685"/>
        <item x="649"/>
        <item x="2482"/>
        <item x="2921"/>
        <item x="344"/>
        <item x="484"/>
        <item x="1220"/>
        <item x="735"/>
        <item x="2430"/>
        <item x="2776"/>
        <item x="1225"/>
        <item x="2044"/>
        <item x="203"/>
        <item x="1305"/>
        <item x="2231"/>
        <item x="1814"/>
        <item x="1573"/>
        <item x="2257"/>
        <item x="739"/>
        <item x="219"/>
        <item x="722"/>
        <item x="1155"/>
        <item x="2701"/>
        <item x="2316"/>
        <item x="1761"/>
        <item x="2672"/>
        <item x="1709"/>
        <item x="2089"/>
        <item x="2671"/>
        <item x="2097"/>
        <item x="616"/>
        <item x="2782"/>
        <item x="101"/>
        <item x="1313"/>
        <item x="1847"/>
        <item x="658"/>
        <item x="2266"/>
        <item x="1568"/>
        <item x="2251"/>
        <item x="1021"/>
        <item x="1146"/>
        <item x="1668"/>
        <item x="410"/>
        <item x="2328"/>
        <item x="2899"/>
        <item x="1623"/>
        <item x="2800"/>
        <item x="272"/>
        <item x="2736"/>
        <item x="1229"/>
        <item x="1634"/>
        <item x="1111"/>
        <item x="573"/>
        <item x="2118"/>
        <item x="1232"/>
        <item x="877"/>
        <item x="1941"/>
        <item x="773"/>
        <item x="1837"/>
        <item x="2230"/>
        <item x="800"/>
        <item x="24"/>
        <item x="2491"/>
        <item x="2395"/>
        <item x="2145"/>
        <item x="407"/>
        <item x="1875"/>
        <item x="1583"/>
        <item x="2358"/>
        <item x="1848"/>
        <item x="427"/>
        <item x="1063"/>
        <item x="369"/>
        <item x="1780"/>
        <item x="2447"/>
        <item x="1331"/>
        <item x="531"/>
        <item x="1543"/>
        <item x="50"/>
        <item x="2254"/>
        <item x="2503"/>
        <item x="278"/>
        <item x="2550"/>
        <item x="1325"/>
        <item x="3"/>
        <item x="2161"/>
        <item x="2652"/>
        <item x="479"/>
        <item x="2380"/>
        <item x="1423"/>
        <item x="467"/>
        <item x="744"/>
        <item x="1790"/>
        <item x="2939"/>
        <item x="2312"/>
        <item x="2674"/>
        <item x="946"/>
        <item x="1964"/>
        <item x="1415"/>
        <item x="943"/>
        <item x="645"/>
        <item x="1383"/>
        <item x="670"/>
        <item x="502"/>
        <item x="765"/>
        <item x="604"/>
        <item x="1109"/>
        <item x="2894"/>
        <item x="1387"/>
        <item x="2369"/>
        <item x="315"/>
        <item x="1188"/>
        <item x="2113"/>
        <item x="1097"/>
        <item x="1175"/>
        <item x="983"/>
        <item x="1390"/>
        <item x="1270"/>
        <item x="1493"/>
        <item x="2573"/>
        <item x="2062"/>
        <item x="398"/>
        <item x="2166"/>
        <item x="69"/>
        <item x="530"/>
        <item x="752"/>
        <item x="379"/>
        <item x="2696"/>
        <item x="273"/>
        <item x="391"/>
        <item x="1539"/>
        <item x="1105"/>
        <item x="818"/>
        <item x="1474"/>
        <item x="1900"/>
        <item x="519"/>
        <item x="1984"/>
        <item x="2348"/>
        <item x="1401"/>
        <item x="1102"/>
        <item x="1322"/>
        <item x="914"/>
        <item x="2826"/>
        <item x="1881"/>
        <item x="1784"/>
        <item x="487"/>
        <item x="2315"/>
        <item x="305"/>
        <item x="2405"/>
        <item x="2343"/>
        <item x="1799"/>
        <item x="2654"/>
        <item x="2713"/>
        <item x="1456"/>
        <item x="372"/>
        <item x="2038"/>
        <item x="1502"/>
        <item x="2085"/>
        <item x="416"/>
        <item x="338"/>
        <item x="228"/>
        <item x="2117"/>
        <item x="374"/>
        <item x="2920"/>
        <item x="1747"/>
        <item x="1284"/>
        <item x="937"/>
        <item x="2128"/>
        <item x="1183"/>
        <item x="1495"/>
        <item x="1850"/>
        <item x="2298"/>
        <item x="1007"/>
        <item x="973"/>
        <item x="1309"/>
        <item x="2449"/>
        <item x="1630"/>
        <item x="82"/>
        <item x="314"/>
        <item x="875"/>
        <item x="204"/>
        <item x="2303"/>
        <item x="1971"/>
        <item x="2122"/>
        <item x="730"/>
        <item x="2074"/>
        <item x="1937"/>
        <item x="1205"/>
        <item x="712"/>
        <item x="1235"/>
        <item x="1189"/>
        <item x="570"/>
        <item x="1661"/>
        <item x="1704"/>
        <item x="1670"/>
        <item x="774"/>
        <item x="864"/>
        <item x="1664"/>
        <item x="1347"/>
        <item x="2605"/>
        <item x="2204"/>
        <item x="2530"/>
        <item x="1484"/>
        <item x="967"/>
        <item x="2632"/>
        <item x="1405"/>
        <item x="1418"/>
        <item x="1691"/>
        <item x="296"/>
        <item x="2631"/>
        <item x="2034"/>
        <item x="370"/>
        <item x="590"/>
        <item x="1671"/>
        <item x="2000"/>
        <item x="574"/>
        <item x="2378"/>
        <item x="110"/>
        <item x="2102"/>
        <item x="48"/>
        <item x="1748"/>
        <item x="1734"/>
        <item x="199"/>
        <item x="397"/>
        <item x="18"/>
        <item x="2020"/>
        <item x="2856"/>
        <item x="1121"/>
        <item x="2873"/>
        <item x="45"/>
        <item x="1122"/>
        <item x="153"/>
        <item x="1908"/>
        <item x="1710"/>
        <item x="2807"/>
        <item x="2925"/>
        <item x="1496"/>
        <item x="2009"/>
        <item x="1807"/>
        <item x="1717"/>
        <item x="2501"/>
        <item x="1260"/>
        <item x="2471"/>
        <item x="782"/>
        <item x="2381"/>
        <item x="1341"/>
        <item x="982"/>
        <item x="2794"/>
        <item x="1186"/>
        <item x="2302"/>
        <item x="2913"/>
        <item x="1407"/>
        <item x="1575"/>
        <item x="680"/>
        <item x="866"/>
        <item x="195"/>
        <item x="2646"/>
        <item x="1526"/>
        <item x="2666"/>
        <item x="979"/>
        <item x="2689"/>
        <item x="161"/>
        <item x="1301"/>
        <item x="2846"/>
        <item x="1040"/>
        <item x="1578"/>
        <item x="1751"/>
        <item x="456"/>
        <item x="2314"/>
        <item x="1852"/>
        <item x="2252"/>
        <item x="1942"/>
        <item x="2751"/>
        <item x="2863"/>
        <item x="2875"/>
        <item x="2682"/>
        <item x="1547"/>
        <item x="2294"/>
        <item x="1631"/>
        <item x="1529"/>
        <item x="2299"/>
        <item x="642"/>
        <item x="563"/>
        <item x="2396"/>
        <item x="2502"/>
        <item x="1221"/>
        <item x="698"/>
        <item x="1327"/>
        <item x="1280"/>
        <item x="1237"/>
        <item x="1103"/>
        <item x="162"/>
        <item x="2193"/>
        <item x="1492"/>
        <item x="1013"/>
        <item x="1513"/>
        <item x="690"/>
        <item x="802"/>
        <item x="2757"/>
        <item x="2388"/>
        <item x="876"/>
        <item x="2825"/>
        <item x="2273"/>
        <item x="464"/>
        <item x="1053"/>
        <item x="2703"/>
        <item x="254"/>
        <item x="969"/>
        <item x="2023"/>
        <item x="994"/>
        <item x="2716"/>
        <item x="2342"/>
        <item x="927"/>
        <item x="1051"/>
        <item x="2132"/>
        <item x="1516"/>
        <item x="405"/>
        <item x="886"/>
        <item x="906"/>
        <item x="1527"/>
        <item x="1906"/>
        <item x="319"/>
        <item x="2168"/>
        <item x="10"/>
        <item x="299"/>
        <item x="1500"/>
        <item x="2602"/>
        <item x="47"/>
        <item x="617"/>
        <item x="1752"/>
        <item x="2760"/>
        <item x="2735"/>
        <item x="2952"/>
        <item x="1825"/>
        <item x="1625"/>
        <item x="1422"/>
        <item x="1947"/>
        <item x="589"/>
        <item x="2282"/>
        <item x="159"/>
        <item x="695"/>
        <item x="666"/>
        <item x="1731"/>
        <item x="2912"/>
        <item x="14"/>
        <item x="1861"/>
        <item x="2352"/>
        <item x="2777"/>
        <item x="1518"/>
        <item x="175"/>
        <item x="74"/>
        <item x="1653"/>
        <item x="2123"/>
        <item x="2935"/>
        <item x="37"/>
        <item x="2098"/>
        <item x="1426"/>
        <item x="1343"/>
        <item x="2453"/>
        <item x="1321"/>
        <item x="179"/>
        <item x="1945"/>
        <item x="723"/>
        <item x="2208"/>
        <item x="2359"/>
        <item x="2060"/>
        <item x="560"/>
        <item x="662"/>
        <item x="2267"/>
        <item x="1562"/>
        <item x="1114"/>
        <item x="2398"/>
        <item x="2883"/>
        <item x="811"/>
        <item x="2566"/>
        <item x="304"/>
        <item x="311"/>
        <item x="2597"/>
        <item x="1108"/>
        <item x="2706"/>
        <item x="827"/>
        <item x="362"/>
        <item x="844"/>
        <item x="939"/>
        <item x="2714"/>
        <item x="1822"/>
        <item x="1465"/>
        <item x="1672"/>
        <item x="2558"/>
        <item x="1758"/>
        <item x="2748"/>
        <item x="337"/>
        <item x="543"/>
        <item x="2296"/>
        <item x="373"/>
        <item x="1234"/>
        <item x="2720"/>
        <item x="2829"/>
        <item x="0"/>
        <item x="1176"/>
        <item x="533"/>
        <item x="1545"/>
        <item x="1151"/>
        <item x="2454"/>
        <item x="2349"/>
        <item x="1858"/>
        <item x="2690"/>
        <item x="2697"/>
        <item x="2874"/>
        <item x="2469"/>
        <item x="1706"/>
        <item x="2421"/>
        <item x="1135"/>
        <item x="21"/>
        <item x="2797"/>
        <item x="2927"/>
        <item x="241"/>
        <item x="2164"/>
        <item x="1921"/>
        <item x="2665"/>
        <item x="2211"/>
        <item x="483"/>
        <item x="1437"/>
        <item x="503"/>
        <item x="152"/>
        <item x="2225"/>
        <item x="1609"/>
        <item x="1198"/>
        <item x="1722"/>
        <item x="1702"/>
        <item x="1882"/>
        <item x="796"/>
        <item x="934"/>
        <item x="2093"/>
        <item x="2656"/>
        <item x="221"/>
        <item x="2268"/>
        <item x="1226"/>
        <item x="546"/>
        <item x="2877"/>
        <item x="613"/>
        <item x="2489"/>
        <item x="2400"/>
        <item x="2809"/>
        <item x="264"/>
        <item x="1849"/>
        <item x="952"/>
        <item x="1816"/>
        <item x="1340"/>
        <item x="1435"/>
        <item x="1050"/>
        <item x="1801"/>
        <item x="2078"/>
        <item x="671"/>
        <item x="526"/>
        <item x="1809"/>
        <item x="1919"/>
        <item x="1862"/>
        <item x="1133"/>
        <item x="748"/>
        <item x="1315"/>
        <item x="2356"/>
        <item x="1057"/>
        <item x="2644"/>
        <item x="1519"/>
        <item x="2223"/>
        <item x="2765"/>
        <item x="792"/>
        <item x="38"/>
        <item x="1771"/>
        <item x="1563"/>
        <item x="1413"/>
        <item x="733"/>
        <item x="17"/>
        <item x="2249"/>
        <item x="2159"/>
        <item x="1845"/>
        <item x="2167"/>
        <item x="898"/>
        <item x="2433"/>
        <item x="1786"/>
        <item x="1398"/>
        <item x="1769"/>
        <item x="2918"/>
        <item x="2272"/>
        <item x="1081"/>
        <item x="1891"/>
        <item x="1726"/>
        <item x="1693"/>
        <item x="767"/>
        <item x="2719"/>
        <item x="1642"/>
        <item x="2945"/>
        <item x="431"/>
        <item x="505"/>
        <item x="2827"/>
        <item x="126"/>
        <item x="2402"/>
        <item x="187"/>
        <item x="2411"/>
        <item x="429"/>
        <item x="1632"/>
        <item x="1965"/>
        <item x="2300"/>
        <item x="2187"/>
        <item x="4"/>
        <item x="141"/>
        <item x="2708"/>
        <item x="2104"/>
        <item x="524"/>
        <item x="352"/>
        <item x="602"/>
        <item x="1666"/>
        <item x="572"/>
        <item x="851"/>
        <item x="2459"/>
        <item x="109"/>
        <item x="1521"/>
        <item x="2258"/>
        <item x="2488"/>
        <item x="1931"/>
        <item x="2289"/>
        <item x="2576"/>
        <item x="2176"/>
        <item x="8"/>
        <item x="2486"/>
        <item x="2607"/>
        <item x="2657"/>
        <item x="989"/>
        <item x="1303"/>
        <item x="2728"/>
        <item x="334"/>
        <item x="1603"/>
        <item x="127"/>
        <item x="816"/>
        <item x="885"/>
        <item x="1645"/>
        <item x="2066"/>
        <item x="2226"/>
        <item x="2848"/>
        <item x="2374"/>
        <item x="599"/>
        <item x="2047"/>
        <item x="1162"/>
        <item x="1607"/>
        <item x="2686"/>
        <item x="90"/>
        <item x="2055"/>
        <item x="2"/>
        <item x="984"/>
        <item x="1032"/>
        <item x="438"/>
        <item x="1257"/>
        <item x="2959"/>
        <item x="2589"/>
        <item x="916"/>
        <item x="600"/>
        <item x="1077"/>
        <item x="30"/>
        <item x="1755"/>
        <item x="2647"/>
        <item x="2364"/>
        <item x="1330"/>
        <item x="2134"/>
        <item x="2831"/>
        <item x="2532"/>
        <item x="2545"/>
        <item x="2627"/>
        <item x="525"/>
        <item x="2224"/>
        <item x="2583"/>
        <item x="2553"/>
        <item x="1366"/>
        <item x="2768"/>
        <item x="1600"/>
        <item x="342"/>
        <item x="1089"/>
        <item x="234"/>
        <item x="2214"/>
        <item x="2281"/>
        <item x="813"/>
        <item x="790"/>
        <item x="312"/>
        <item x="2742"/>
        <item x="1768"/>
        <item x="1319"/>
        <item x="455"/>
        <item x="1968"/>
        <item x="59"/>
        <item x="981"/>
        <item x="2444"/>
        <item x="106"/>
        <item x="930"/>
        <item x="2613"/>
        <item x="621"/>
        <item x="567"/>
        <item x="915"/>
        <item x="2375"/>
        <item x="2371"/>
        <item x="2479"/>
        <item x="389"/>
        <item x="178"/>
        <item x="805"/>
        <item x="1791"/>
        <item x="1987"/>
        <item x="2678"/>
        <item x="622"/>
        <item x="53"/>
        <item x="2336"/>
        <item x="1064"/>
        <item x="1808"/>
        <item x="2865"/>
        <item x="1191"/>
        <item x="1421"/>
        <item x="1432"/>
        <item x="2416"/>
        <item x="1400"/>
        <item x="1948"/>
        <item x="763"/>
        <item x="1001"/>
        <item x="1259"/>
        <item x="745"/>
        <item x="1606"/>
        <item x="1855"/>
        <item x="2629"/>
        <item x="1879"/>
        <item x="656"/>
        <item x="725"/>
        <item x="1273"/>
        <item x="2487"/>
        <item x="446"/>
        <item x="2100"/>
        <item x="2752"/>
        <item x="753"/>
        <item x="978"/>
        <item x="1673"/>
        <item x="908"/>
        <item x="1216"/>
        <item x="1818"/>
        <item x="1798"/>
        <item x="1363"/>
        <item x="259"/>
        <item x="1164"/>
        <item x="2323"/>
        <item x="2010"/>
        <item x="336"/>
        <item x="2642"/>
        <item x="759"/>
        <item x="1535"/>
        <item x="1880"/>
        <item x="1184"/>
        <item x="925"/>
        <item x="674"/>
        <item x="1222"/>
        <item x="2729"/>
        <item x="1679"/>
        <item x="1287"/>
        <item x="2384"/>
        <item x="1614"/>
        <item x="2612"/>
        <item x="506"/>
        <item x="528"/>
        <item x="2443"/>
        <item x="73"/>
        <item x="1113"/>
        <item x="673"/>
        <item x="2270"/>
        <item x="2284"/>
        <item x="1506"/>
        <item x="683"/>
        <item x="2960"/>
        <item x="933"/>
        <item x="2490"/>
        <item x="1177"/>
        <item x="1754"/>
        <item x="998"/>
        <item x="301"/>
        <item x="1167"/>
        <item x="2710"/>
        <item x="2881"/>
        <item x="2309"/>
        <item x="1329"/>
        <item x="1815"/>
        <item x="225"/>
        <item x="2286"/>
        <item x="1249"/>
        <item x="386"/>
        <item x="881"/>
        <item x="1436"/>
        <item x="1402"/>
        <item x="473"/>
        <item x="1005"/>
        <item x="1070"/>
        <item x="1339"/>
        <item x="1382"/>
        <item x="2218"/>
        <item x="2367"/>
        <item x="1640"/>
        <item x="1633"/>
        <item x="52"/>
        <item x="1856"/>
        <item x="2149"/>
        <item x="2707"/>
        <item x="63"/>
        <item x="2191"/>
        <item x="2092"/>
        <item x="2717"/>
        <item x="1835"/>
        <item x="2197"/>
        <item x="2919"/>
        <item x="1365"/>
        <item x="527"/>
        <item x="1753"/>
        <item x="2243"/>
        <item x="2759"/>
        <item x="568"/>
        <item x="469"/>
        <item x="1169"/>
        <item x="181"/>
        <item x="1967"/>
        <item x="947"/>
        <item x="2019"/>
        <item x="1029"/>
        <item x="432"/>
        <item x="2073"/>
        <item x="1386"/>
        <item x="1250"/>
        <item x="1763"/>
        <item x="2002"/>
        <item x="554"/>
        <item x="31"/>
        <item x="2001"/>
        <item x="406"/>
        <item x="396"/>
        <item x="2188"/>
        <item x="2610"/>
        <item x="2741"/>
        <item x="2222"/>
        <item x="2801"/>
        <item x="375"/>
        <item x="1708"/>
        <item x="932"/>
        <item x="890"/>
        <item x="2413"/>
        <item x="2080"/>
        <item x="2851"/>
        <item x="2561"/>
        <item x="1224"/>
        <item x="2464"/>
        <item x="2823"/>
        <item x="1093"/>
        <item x="1410"/>
        <item x="2155"/>
        <item x="776"/>
        <item x="1540"/>
        <item x="605"/>
        <item x="1649"/>
        <item x="1800"/>
        <item x="1760"/>
        <item x="817"/>
        <item x="900"/>
        <item x="1358"/>
        <item x="2392"/>
        <item x="1611"/>
        <item x="428"/>
        <item x="1665"/>
        <item x="231"/>
        <item x="2470"/>
        <item x="1530"/>
        <item x="516"/>
        <item x="2789"/>
        <item x="1986"/>
        <item x="652"/>
        <item x="2435"/>
        <item x="853"/>
        <item x="2210"/>
        <item x="1588"/>
        <item x="1503"/>
        <item x="1304"/>
        <item x="1885"/>
        <item x="636"/>
        <item x="840"/>
        <item x="2854"/>
        <item x="1145"/>
        <item x="2372"/>
        <item x="1507"/>
        <item x="445"/>
        <item x="2944"/>
        <item x="610"/>
        <item x="289"/>
        <item x="1840"/>
        <item x="2837"/>
        <item x="1336"/>
        <item x="539"/>
        <item x="1590"/>
        <item x="495"/>
        <item x="895"/>
        <item x="2425"/>
        <item x="2833"/>
        <item x="961"/>
        <item x="907"/>
        <item x="2563"/>
        <item x="1361"/>
        <item x="1219"/>
        <item x="1181"/>
        <item x="2130"/>
        <item x="2018"/>
        <item x="321"/>
        <item x="2787"/>
        <item x="244"/>
        <item x="2442"/>
        <item x="2042"/>
        <item x="2941"/>
        <item x="686"/>
        <item x="1759"/>
        <item x="2722"/>
        <item x="236"/>
        <item x="1068"/>
        <item x="1458"/>
        <item x="2724"/>
        <item x="308"/>
        <item x="1494"/>
        <item x="1711"/>
        <item x="2484"/>
        <item x="949"/>
        <item x="2216"/>
        <item x="2836"/>
        <item x="2766"/>
        <item x="595"/>
        <item x="838"/>
        <item x="114"/>
        <item x="436"/>
        <item x="523"/>
        <item x="2180"/>
        <item x="120"/>
        <item x="451"/>
        <item x="1292"/>
        <item x="1725"/>
        <item x="2370"/>
        <item x="400"/>
        <item x="2692"/>
        <item x="262"/>
        <item x="882"/>
        <item x="1106"/>
        <item x="1450"/>
        <item x="872"/>
        <item x="2377"/>
        <item x="2956"/>
        <item x="2880"/>
        <item x="67"/>
        <item x="841"/>
        <item x="2802"/>
        <item x="124"/>
        <item x="1483"/>
        <item x="1775"/>
        <item x="2182"/>
        <item x="392"/>
        <item x="271"/>
        <item x="1938"/>
        <item x="2045"/>
        <item x="1863"/>
        <item x="156"/>
        <item x="1478"/>
        <item x="565"/>
        <item x="183"/>
        <item x="1112"/>
        <item x="1326"/>
        <item x="2448"/>
        <item x="711"/>
        <item x="1962"/>
        <item x="16"/>
        <item x="829"/>
        <item x="2677"/>
        <item x="893"/>
        <item x="1977"/>
        <item x="2584"/>
        <item x="1577"/>
        <item x="1643"/>
        <item x="2354"/>
        <item x="2781"/>
        <item x="1599"/>
        <item x="732"/>
        <item x="184"/>
        <item x="2311"/>
        <item x="839"/>
        <item x="1445"/>
        <item x="959"/>
        <item x="2930"/>
        <item x="2783"/>
        <item x="1537"/>
        <item x="1152"/>
        <item x="2811"/>
        <item x="559"/>
        <item x="2035"/>
        <item x="2075"/>
        <item x="2569"/>
        <item x="809"/>
        <item x="2617"/>
        <item x="1767"/>
        <item x="2350"/>
        <item x="517"/>
        <item x="865"/>
        <item x="2524"/>
        <item x="1173"/>
        <item x="2517"/>
        <item x="1765"/>
        <item x="807"/>
        <item x="2414"/>
        <item x="2126"/>
        <item x="2572"/>
        <item x="1371"/>
        <item x="1878"/>
        <item x="2190"/>
        <item x="660"/>
        <item x="176"/>
        <item x="2432"/>
        <item x="1350"/>
        <item x="1608"/>
        <item x="778"/>
        <item x="247"/>
        <item x="1569"/>
        <item x="1124"/>
        <item x="2049"/>
        <item x="2391"/>
        <item x="1721"/>
        <item x="5"/>
        <item x="1308"/>
        <item x="1174"/>
        <item x="349"/>
        <item x="1394"/>
        <item x="2410"/>
        <item x="2870"/>
        <item x="985"/>
        <item x="1344"/>
        <item x="1388"/>
        <item x="1542"/>
        <item x="2357"/>
        <item x="411"/>
        <item x="1240"/>
        <item x="2131"/>
        <item x="1469"/>
        <item x="2278"/>
        <item x="659"/>
        <item x="1915"/>
        <item x="1223"/>
        <item x="1101"/>
        <item x="2011"/>
        <item x="2178"/>
        <item x="708"/>
        <item x="1243"/>
        <item x="1864"/>
        <item x="322"/>
        <item x="1439"/>
        <item x="1208"/>
        <item x="2910"/>
        <item x="515"/>
        <item x="2693"/>
        <item x="148"/>
        <item x="1660"/>
        <item x="1092"/>
        <item x="1058"/>
        <item x="991"/>
        <item x="1913"/>
        <item x="2264"/>
        <item x="414"/>
        <item x="668"/>
        <item x="2321"/>
        <item x="1766"/>
        <item x="189"/>
        <item x="33"/>
        <item x="2139"/>
        <item x="2911"/>
        <item x="167"/>
        <item x="2050"/>
        <item x="2382"/>
        <item x="1802"/>
        <item x="2799"/>
        <item x="248"/>
        <item x="1425"/>
        <item x="2615"/>
        <item x="701"/>
        <item x="2887"/>
        <item x="2509"/>
        <item x="980"/>
        <item x="2090"/>
        <item x="12"/>
        <item x="92"/>
        <item x="2702"/>
        <item x="2360"/>
        <item x="1048"/>
        <item x="1910"/>
        <item x="1918"/>
        <item x="331"/>
        <item x="1420"/>
        <item x="2285"/>
        <item x="269"/>
        <item x="859"/>
        <item x="85"/>
        <item x="974"/>
        <item x="1821"/>
        <item x="1912"/>
        <item x="1586"/>
        <item x="1831"/>
        <item x="654"/>
        <item x="491"/>
        <item x="2540"/>
        <item x="119"/>
        <item x="1178"/>
        <item x="51"/>
        <item x="2929"/>
        <item x="2727"/>
        <item x="1039"/>
        <item x="1052"/>
        <item x="182"/>
        <item x="1306"/>
        <item x="2746"/>
        <item x="1694"/>
        <item x="1286"/>
        <item x="1859"/>
        <item x="612"/>
        <item x="1129"/>
        <item x="64"/>
        <item x="2621"/>
        <item x="862"/>
        <item x="788"/>
        <item x="1154"/>
        <item x="1185"/>
        <item x="488"/>
        <item x="1455"/>
        <item x="2772"/>
        <item x="2462"/>
        <item x="1373"/>
        <item x="1288"/>
        <item x="579"/>
        <item x="2841"/>
        <item x="2743"/>
        <item x="313"/>
        <item x="728"/>
        <item x="481"/>
        <item x="2747"/>
        <item x="2936"/>
        <item x="453"/>
        <item x="1999"/>
        <item x="2614"/>
        <item x="1868"/>
        <item x="1994"/>
        <item x="1737"/>
        <item x="6"/>
        <item x="240"/>
        <item x="57"/>
        <item x="1597"/>
        <item x="497"/>
        <item x="625"/>
        <item x="1961"/>
        <item x="707"/>
        <item x="2676"/>
        <item x="266"/>
        <item x="2103"/>
        <item x="1374"/>
        <item x="200"/>
        <item x="2957"/>
        <item x="2721"/>
        <item x="2667"/>
        <item x="1144"/>
        <item x="2239"/>
        <item x="2916"/>
        <item x="1776"/>
        <item x="122"/>
        <item x="2567"/>
        <item x="1078"/>
        <item x="2108"/>
        <item x="2209"/>
        <item x="633"/>
        <item x="2664"/>
        <item x="345"/>
        <item x="2900"/>
        <item x="2866"/>
        <item x="1316"/>
        <item x="1641"/>
        <item x="1115"/>
        <item x="2317"/>
        <item x="836"/>
        <item x="2699"/>
        <item x="27"/>
        <item x="1990"/>
        <item x="910"/>
        <item x="2297"/>
        <item x="1028"/>
        <item x="441"/>
        <item x="160"/>
        <item x="489"/>
        <item x="1974"/>
        <item x="713"/>
        <item x="672"/>
        <item x="1479"/>
        <item x="650"/>
        <item x="213"/>
        <item x="123"/>
        <item x="2548"/>
        <item x="1076"/>
        <item x="2415"/>
        <item x="270"/>
        <item x="2819"/>
        <item x="1773"/>
        <item x="1960"/>
        <item x="2207"/>
        <item x="54"/>
        <item x="1674"/>
        <item x="2698"/>
        <item x="2467"/>
        <item x="1715"/>
        <item x="1870"/>
        <item x="2755"/>
        <item x="2325"/>
        <item x="537"/>
        <item x="945"/>
        <item x="1131"/>
        <item x="2463"/>
        <item x="29"/>
        <item x="1275"/>
        <item x="143"/>
        <item x="2586"/>
        <item x="2906"/>
        <item x="1377"/>
        <item x="2884"/>
        <item x="1472"/>
        <item x="1950"/>
        <item x="2174"/>
        <item x="1682"/>
        <item x="1268"/>
        <item x="107"/>
        <item x="1424"/>
        <item x="1957"/>
        <item x="36"/>
        <item x="512"/>
        <item x="2219"/>
        <item x="2330"/>
        <item x="447"/>
        <item x="511"/>
        <item x="2076"/>
        <item x="762"/>
        <item x="2786"/>
        <item x="2041"/>
        <item x="1367"/>
        <item x="2516"/>
        <item x="835"/>
        <item x="435"/>
        <item x="1617"/>
        <item x="1370"/>
        <item x="417"/>
        <item x="1935"/>
        <item x="2189"/>
        <item x="2153"/>
        <item x="1453"/>
        <item x="742"/>
        <item x="2769"/>
        <item x="1777"/>
        <item x="754"/>
        <item x="420"/>
        <item x="856"/>
        <item x="2024"/>
        <item x="848"/>
        <item x="1650"/>
        <item x="831"/>
        <item x="548"/>
        <item x="380"/>
        <item x="2474"/>
        <item x="1466"/>
        <item x="2253"/>
        <item x="2684"/>
        <item x="2427"/>
        <item x="1824"/>
        <item x="2307"/>
        <item x="2843"/>
        <item x="2477"/>
        <item x="2456"/>
        <item x="2409"/>
        <item x="1346"/>
        <item x="944"/>
        <item x="2568"/>
        <item x="1130"/>
        <item x="830"/>
        <item x="55"/>
        <item x="2506"/>
        <item x="1385"/>
        <item x="2934"/>
        <item x="1876"/>
        <item x="1204"/>
        <item x="824"/>
        <item x="249"/>
        <item x="2171"/>
        <item x="2868"/>
        <item x="2745"/>
        <item x="536"/>
        <item x="870"/>
        <item x="263"/>
        <item x="2256"/>
        <item x="2051"/>
        <item x="2750"/>
        <item x="2423"/>
        <item x="593"/>
        <item x="44"/>
        <item x="2522"/>
        <item x="2057"/>
        <item x="540"/>
        <item x="377"/>
        <item x="116"/>
        <item x="948"/>
        <item x="196"/>
        <item x="1414"/>
        <item x="1062"/>
        <item x="2598"/>
        <item x="2891"/>
        <item x="1312"/>
        <item x="2761"/>
        <item x="492"/>
        <item x="957"/>
        <item x="2525"/>
        <item x="740"/>
        <item x="1982"/>
        <item x="2480"/>
        <item x="1663"/>
        <item x="1934"/>
        <item x="2537"/>
        <item x="1872"/>
        <item x="100"/>
        <item x="1932"/>
        <item x="1203"/>
        <item x="2071"/>
        <item x="1750"/>
        <item x="1014"/>
        <item x="696"/>
        <item x="1047"/>
        <item x="2928"/>
        <item x="1788"/>
        <item x="1010"/>
        <item x="1451"/>
        <item x="2774"/>
        <item x="1897"/>
        <item x="1553"/>
        <item x="2798"/>
        <item x="1201"/>
        <item x="275"/>
        <item x="288"/>
        <item x="395"/>
        <item x="2886"/>
        <item x="294"/>
        <item x="81"/>
        <item x="2110"/>
        <item x="1277"/>
        <item x="507"/>
        <item x="1866"/>
        <item x="887"/>
        <item x="1125"/>
        <item x="1707"/>
        <item x="1534"/>
        <item x="2958"/>
        <item x="2247"/>
        <item x="2756"/>
        <item x="2069"/>
        <item x="1392"/>
        <item x="834"/>
        <item x="1213"/>
        <item x="118"/>
        <item x="2341"/>
        <item x="2481"/>
        <item x="49"/>
        <item x="2265"/>
        <item x="1719"/>
        <item x="2961"/>
        <item x="2146"/>
        <item x="2305"/>
        <item x="2177"/>
        <item x="367"/>
        <item x="1520"/>
        <item x="1651"/>
        <item x="2897"/>
        <item x="1357"/>
        <item x="1019"/>
        <item x="1544"/>
        <item x="522"/>
        <item x="1056"/>
        <item x="76"/>
        <item x="1576"/>
        <item x="202"/>
        <item x="611"/>
        <item x="459"/>
        <item x="1787"/>
        <item x="229"/>
        <item x="1134"/>
        <item x="1523"/>
        <item x="2773"/>
        <item x="640"/>
        <item x="1166"/>
        <item x="860"/>
        <item x="1838"/>
        <item x="1030"/>
        <item x="1161"/>
        <item x="210"/>
        <item x="2308"/>
        <item x="889"/>
        <item x="1713"/>
        <item x="112"/>
        <item x="1528"/>
        <item x="2495"/>
        <item x="2634"/>
        <item x="988"/>
        <item x="2879"/>
        <item x="2458"/>
        <item x="2025"/>
        <item x="2077"/>
        <item x="2869"/>
        <item x="1620"/>
        <item x="810"/>
        <item x="2785"/>
        <item x="2893"/>
        <item x="1813"/>
        <item x="2820"/>
        <item x="2169"/>
        <item x="1132"/>
        <item x="246"/>
        <item x="2361"/>
        <item x="693"/>
        <item x="1853"/>
        <item x="2834"/>
        <item x="779"/>
        <item x="496"/>
        <item x="333"/>
        <item x="2106"/>
        <item x="1171"/>
        <item x="2436"/>
        <item x="2301"/>
        <item x="2932"/>
        <item x="13"/>
        <item x="2730"/>
        <item x="2151"/>
        <item x="32"/>
        <item x="390"/>
        <item x="1657"/>
        <item x="1066"/>
        <item x="1468"/>
        <item x="28"/>
        <item x="1197"/>
        <item x="2143"/>
        <item x="2493"/>
        <item x="206"/>
        <item x="222"/>
        <item x="2162"/>
        <item x="1972"/>
        <item x="535"/>
        <item x="883"/>
        <item x="1149"/>
        <item x="2552"/>
        <item x="760"/>
        <item x="2212"/>
        <item x="1271"/>
        <item x="1997"/>
        <item x="443"/>
        <item x="2620"/>
        <item x="1043"/>
        <item x="485"/>
        <item x="2346"/>
        <item x="2217"/>
        <item x="452"/>
        <item x="1770"/>
        <item x="1283"/>
        <item x="768"/>
        <item x="1016"/>
        <item x="718"/>
        <item x="702"/>
        <item x="1909"/>
        <item x="1783"/>
        <item x="1117"/>
        <item x="1622"/>
        <item x="2014"/>
        <item x="2709"/>
        <item x="1258"/>
        <item x="2526"/>
        <item x="2242"/>
        <item x="2438"/>
        <item x="1973"/>
        <item x="1"/>
        <item x="1160"/>
        <item x="2505"/>
        <item x="808"/>
        <item x="1079"/>
        <item x="1963"/>
        <item x="631"/>
        <item x="1949"/>
        <item x="1082"/>
        <item x="2032"/>
        <item x="2592"/>
        <item x="2821"/>
        <item x="501"/>
        <item x="607"/>
        <item x="1298"/>
        <item x="2280"/>
        <item x="1251"/>
        <item x="412"/>
        <item x="1441"/>
        <item x="2946"/>
        <item x="9"/>
        <item x="1826"/>
        <item x="1901"/>
        <item x="561"/>
        <item x="2452"/>
        <item x="705"/>
        <item x="1017"/>
        <item x="155"/>
        <item x="1389"/>
        <item x="647"/>
        <item x="478"/>
        <item x="2770"/>
        <item x="639"/>
        <item x="581"/>
        <item x="251"/>
        <item x="1917"/>
        <item x="190"/>
        <item x="1819"/>
        <item x="2740"/>
        <item x="1038"/>
        <item x="454"/>
        <item x="2036"/>
        <item x="2872"/>
        <item x="1803"/>
        <item x="1646"/>
        <item x="1980"/>
        <item x="245"/>
        <item x="1096"/>
        <item x="903"/>
        <item x="1552"/>
        <item x="2390"/>
        <item x="1008"/>
        <item x="475"/>
        <item x="2731"/>
        <item x="1296"/>
        <item x="549"/>
        <item x="584"/>
        <item x="15"/>
        <item x="1195"/>
        <item x="999"/>
        <item x="1940"/>
        <item x="603"/>
        <item x="2376"/>
        <item x="2830"/>
        <item x="1137"/>
        <item x="274"/>
        <item x="609"/>
        <item x="140"/>
        <item x="2508"/>
        <item x="1504"/>
        <item x="750"/>
        <item x="787"/>
        <item x="129"/>
        <item x="1904"/>
        <item x="1266"/>
        <item x="93"/>
        <item x="151"/>
        <item x="2293"/>
        <item x="1955"/>
        <item x="2603"/>
        <item x="2406"/>
        <item x="415"/>
        <item x="2816"/>
        <item x="340"/>
        <item x="2235"/>
        <item x="84"/>
        <item x="1842"/>
        <item x="1449"/>
        <item x="1718"/>
        <item x="448"/>
        <item x="2109"/>
        <item x="1282"/>
        <item x="384"/>
        <item x="1457"/>
        <item x="917"/>
        <item x="430"/>
        <item x="858"/>
        <item x="1985"/>
        <item x="896"/>
        <item x="1566"/>
        <item x="1406"/>
        <item x="97"/>
        <item x="2662"/>
        <item x="1090"/>
        <item x="2138"/>
        <item x="737"/>
        <item x="1602"/>
        <item x="356"/>
        <item x="867"/>
        <item x="146"/>
        <item x="1187"/>
        <item x="166"/>
        <item x="1558"/>
        <item x="1979"/>
        <item x="1610"/>
        <item x="78"/>
        <item x="2581"/>
        <item x="2790"/>
        <item x="1907"/>
        <item x="2147"/>
        <item x="2245"/>
        <item x="1440"/>
        <item x="2326"/>
        <item x="2283"/>
        <item x="1647"/>
        <item x="2812"/>
        <item x="1353"/>
        <item x="2275"/>
        <item x="2386"/>
        <item x="1522"/>
        <item x="1939"/>
        <item x="1311"/>
        <item x="1464"/>
        <item x="284"/>
        <item x="958"/>
        <item x="1431"/>
        <item x="2712"/>
        <item x="921"/>
        <item x="393"/>
        <item x="2852"/>
        <item x="1139"/>
        <item x="2393"/>
        <item x="193"/>
        <item x="938"/>
        <item x="700"/>
        <item x="102"/>
        <item x="1595"/>
        <item x="1975"/>
        <item x="95"/>
        <item x="1278"/>
        <item x="1481"/>
        <item x="770"/>
        <item x="1170"/>
        <item x="1536"/>
        <item x="2404"/>
        <item x="1490"/>
        <item x="1637"/>
        <item x="509"/>
        <item x="480"/>
        <item x="624"/>
        <item x="1042"/>
        <item x="2082"/>
        <item x="964"/>
        <item x="2744"/>
        <item x="77"/>
        <item x="163"/>
        <item x="1127"/>
        <item x="1153"/>
        <item x="2683"/>
        <item x="1570"/>
        <item x="1461"/>
        <item x="316"/>
        <item x="1143"/>
        <item x="542"/>
        <item x="1302"/>
        <item x="2511"/>
        <item x="557"/>
        <item x="1983"/>
        <item x="971"/>
        <item x="812"/>
        <item x="905"/>
        <item x="1157"/>
        <item x="1699"/>
        <item x="43"/>
        <item x="2121"/>
        <item x="147"/>
        <item x="1629"/>
        <item x="629"/>
        <item x="2238"/>
        <item x="1179"/>
        <item x="601"/>
        <item x="878"/>
        <item x="2291"/>
        <item x="1281"/>
        <item x="61"/>
        <item x="1379"/>
        <item x="242"/>
        <item x="1299"/>
        <item x="1860"/>
        <item x="1951"/>
        <item x="1190"/>
        <item x="1126"/>
        <item x="1883"/>
        <item x="873"/>
        <item x="1290"/>
        <item x="2882"/>
        <item x="1655"/>
        <item x="2885"/>
        <item x="1996"/>
        <item x="2871"/>
        <item x="1128"/>
        <item x="692"/>
        <item x="2472"/>
        <item x="2340"/>
        <item x="2157"/>
        <item x="2465"/>
        <item x="2947"/>
        <item x="2904"/>
        <item x="1293"/>
        <item x="1036"/>
        <item x="470"/>
        <item x="1071"/>
        <item x="2105"/>
        <item x="207"/>
        <item x="1510"/>
        <item x="1391"/>
        <item x="869"/>
        <item x="936"/>
        <item x="2523"/>
        <item x="923"/>
        <item x="1782"/>
        <item x="1241"/>
        <item x="2795"/>
        <item x="843"/>
        <item x="1000"/>
        <item x="1927"/>
        <item x="2557"/>
        <item x="1873"/>
        <item x="2600"/>
        <item x="1605"/>
        <item x="2461"/>
        <item x="1253"/>
        <item x="461"/>
        <item x="2792"/>
        <item x="280"/>
        <item x="1380"/>
        <item x="1922"/>
        <item x="1604"/>
        <item x="2814"/>
        <item x="2248"/>
        <item x="2064"/>
        <item x="1020"/>
        <item x="2241"/>
        <item x="2688"/>
        <item x="450"/>
        <item x="465"/>
        <item x="2232"/>
        <item x="2937"/>
        <item x="318"/>
        <item x="2306"/>
        <item x="86"/>
        <item x="197"/>
        <item x="1592"/>
        <item x="1685"/>
        <item x="1508"/>
        <item x="2679"/>
        <item x="1701"/>
        <item x="894"/>
        <item x="154"/>
        <item x="238"/>
        <item x="1677"/>
        <item x="363"/>
        <item x="719"/>
        <item x="1318"/>
        <item x="2229"/>
        <item x="25"/>
        <item x="2428"/>
        <item x="233"/>
        <item x="1015"/>
        <item x="929"/>
        <item x="79"/>
        <item x="295"/>
        <item x="243"/>
        <item x="2476"/>
        <item x="458"/>
        <item x="687"/>
        <item x="2441"/>
        <item x="1841"/>
        <item x="1348"/>
        <item x="298"/>
        <item x="1254"/>
        <item x="928"/>
        <item x="1104"/>
        <item x="1619"/>
        <item x="1733"/>
        <item x="1033"/>
        <item x="972"/>
        <item x="2948"/>
        <item x="366"/>
        <item x="2194"/>
        <item x="2575"/>
        <item x="2135"/>
        <item x="401"/>
        <item x="2608"/>
        <item x="1851"/>
        <item x="2269"/>
        <item x="615"/>
        <item x="361"/>
        <item x="2771"/>
        <item x="783"/>
        <item x="2943"/>
        <item x="689"/>
        <item x="1989"/>
        <item x="1615"/>
        <item x="174"/>
        <item x="462"/>
        <item x="2419"/>
        <item x="476"/>
        <item x="1003"/>
        <item x="694"/>
        <item x="371"/>
        <item x="2037"/>
        <item x="1022"/>
        <item x="168"/>
        <item x="909"/>
        <item x="425"/>
        <item x="1538"/>
        <item x="330"/>
        <item x="1846"/>
        <item x="941"/>
        <item x="1811"/>
        <item x="2762"/>
        <item x="547"/>
        <item x="232"/>
        <item x="1893"/>
        <item x="260"/>
        <item x="434"/>
        <item x="2457"/>
        <item x="2942"/>
        <item x="675"/>
        <item x="1084"/>
        <item x="2101"/>
        <item x="1988"/>
        <item x="2198"/>
        <item x="302"/>
        <item x="2878"/>
        <item x="2170"/>
        <item x="1364"/>
        <item x="1833"/>
        <item x="41"/>
        <item x="98"/>
        <item x="2347"/>
        <item x="58"/>
        <item x="1247"/>
        <item x="804"/>
        <item x="2028"/>
        <item x="583"/>
        <item x="185"/>
        <item x="2250"/>
        <item x="2246"/>
        <item x="832"/>
        <item x="1954"/>
        <item x="2585"/>
        <item x="682"/>
        <item x="635"/>
        <item x="265"/>
        <item x="2029"/>
        <item x="2622"/>
        <item x="931"/>
        <item x="1613"/>
        <item x="2663"/>
        <item x="2004"/>
        <item x="825"/>
        <item x="235"/>
        <item x="2555"/>
        <item x="1202"/>
        <item x="1681"/>
        <item x="2551"/>
        <item x="145"/>
        <item x="138"/>
        <item x="1368"/>
        <item x="2515"/>
        <item x="1233"/>
        <item x="255"/>
        <item x="1567"/>
        <item x="209"/>
        <item x="2013"/>
        <item x="2213"/>
        <item x="2700"/>
        <item x="2860"/>
        <item x="2236"/>
        <item x="188"/>
        <item x="1571"/>
        <item x="2039"/>
        <item x="1616"/>
        <item x="1444"/>
        <item x="2840"/>
        <item x="130"/>
        <item x="1832"/>
        <item x="1689"/>
        <item x="2858"/>
        <item x="714"/>
        <item x="1920"/>
        <item x="1245"/>
        <item x="1463"/>
        <item x="1476"/>
        <item x="2541"/>
        <item x="2861"/>
        <item x="303"/>
        <item x="688"/>
        <item x="1035"/>
        <item x="1796"/>
        <item x="354"/>
        <item x="1946"/>
        <item x="2424"/>
        <item x="172"/>
        <item x="1740"/>
        <item x="2199"/>
        <item x="2027"/>
        <item x="2725"/>
        <item x="2822"/>
        <item x="325"/>
        <item x="1352"/>
        <item x="2096"/>
        <item x="736"/>
        <item x="1705"/>
        <item x="2260"/>
        <item x="2623"/>
        <item x="1180"/>
        <item x="1514"/>
        <item x="223"/>
        <item x="1914"/>
        <item x="797"/>
        <item x="2726"/>
        <item x="1762"/>
        <item x="2353"/>
        <item x="2805"/>
        <item x="2351"/>
        <item x="1041"/>
        <item x="2539"/>
        <item x="2079"/>
        <item x="2434"/>
        <item x="1248"/>
        <item x="1091"/>
        <item x="871"/>
        <item x="1511"/>
        <item x="2611"/>
        <item x="715"/>
        <item x="471"/>
        <item x="2202"/>
        <item x="784"/>
        <item x="1067"/>
        <item x="2363"/>
        <item x="2087"/>
        <item x="2938"/>
        <item x="2262"/>
        <item x="2205"/>
        <item x="1924"/>
        <item x="757"/>
        <item x="1215"/>
        <item x="418"/>
        <item x="2048"/>
        <item x="975"/>
        <item x="669"/>
        <item x="1279"/>
        <item x="1294"/>
        <item x="995"/>
        <item x="253"/>
        <item x="1349"/>
        <item x="2650"/>
        <item x="1159"/>
        <item x="2006"/>
        <item x="2951"/>
        <item x="1393"/>
        <item x="2148"/>
        <item x="1911"/>
        <item x="950"/>
        <item x="2056"/>
        <item x="1264"/>
        <item x="268"/>
        <item x="285"/>
        <item x="117"/>
        <item x="2185"/>
        <item x="789"/>
        <item x="237"/>
        <item x="1757"/>
        <item x="351"/>
        <item x="1823"/>
        <item x="1489"/>
        <item x="2152"/>
        <item x="171"/>
        <item x="157"/>
        <item x="677"/>
        <item x="2924"/>
        <item x="1525"/>
        <item x="706"/>
        <item x="1477"/>
        <item x="2864"/>
        <item x="1417"/>
        <item x="2221"/>
        <item x="780"/>
        <item x="1194"/>
        <item x="1894"/>
        <item x="2365"/>
        <item x="1794"/>
        <item x="2867"/>
        <item x="449"/>
        <item x="935"/>
        <item x="2753"/>
        <item x="68"/>
        <item x="691"/>
        <item x="423"/>
        <item x="1551"/>
        <item x="2817"/>
        <item x="897"/>
        <item x="282"/>
        <item x="173"/>
        <item x="317"/>
        <item x="1218"/>
        <item x="1895"/>
        <item x="766"/>
        <item x="133"/>
        <item x="169"/>
        <item x="1812"/>
        <item x="2902"/>
        <item x="2240"/>
        <item x="277"/>
        <item x="442"/>
        <item x="39"/>
        <item x="922"/>
        <item x="20"/>
        <item x="2195"/>
        <item x="1334"/>
        <item x="799"/>
        <item x="2778"/>
        <item x="641"/>
        <item x="2403"/>
        <item x="510"/>
        <item x="1745"/>
        <item x="2156"/>
        <item x="2933"/>
        <item x="1779"/>
        <item x="440"/>
        <item x="2228"/>
        <item x="620"/>
        <item x="1658"/>
        <item x="2580"/>
        <item x="1443"/>
        <item x="482"/>
        <item x="2446"/>
        <item x="846"/>
        <item x="2670"/>
        <item x="65"/>
        <item x="60"/>
        <item x="2681"/>
        <item x="596"/>
        <item x="1411"/>
        <item x="2150"/>
        <item x="1626"/>
        <item x="306"/>
        <item x="1700"/>
        <item x="2626"/>
        <item x="1669"/>
        <item x="1488"/>
        <item x="2779"/>
        <item x="1004"/>
        <item x="2175"/>
        <item x="1317"/>
        <item t="default"/>
      </items>
    </pivotField>
    <pivotField showAll="0"/>
    <pivotField showAll="0"/>
    <pivotField showAll="0"/>
    <pivotField showAll="0"/>
    <pivotField showAll="0">
      <items count="5">
        <item x="0"/>
        <item x="1"/>
        <item x="2"/>
        <item x="3"/>
        <item t="default"/>
      </items>
    </pivotField>
  </pivotFields>
  <rowFields count="1">
    <field x="4"/>
  </rowFields>
  <rowItems count="8">
    <i>
      <x v="1"/>
    </i>
    <i>
      <x v="2"/>
    </i>
    <i>
      <x v="4"/>
    </i>
    <i>
      <x v="5"/>
    </i>
    <i>
      <x/>
    </i>
    <i>
      <x v="6"/>
    </i>
    <i>
      <x v="3"/>
    </i>
    <i t="grand">
      <x/>
    </i>
  </rowItems>
  <colItems count="1">
    <i/>
  </colItems>
  <dataFields count="1">
    <dataField name="Sum of Revenue" fld="11"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D47B52-A215-4817-8A71-F2876ED68A8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7">
    <pivotField showAll="0"/>
    <pivotField showAll="0">
      <items count="15">
        <item x="0"/>
        <item x="1"/>
        <item x="2"/>
        <item x="3"/>
        <item x="4"/>
        <item x="5"/>
        <item x="6"/>
        <item x="7"/>
        <item x="8"/>
        <item x="9"/>
        <item x="10"/>
        <item x="11"/>
        <item x="12"/>
        <item x="13"/>
        <item t="default"/>
      </items>
    </pivotField>
    <pivotField showAll="0"/>
    <pivotField axis="axisRow" showAll="0">
      <items count="5">
        <item x="1"/>
        <item x="3"/>
        <item x="0"/>
        <item x="2"/>
        <item t="default"/>
      </items>
    </pivotField>
    <pivotField showAll="0">
      <items count="8">
        <item x="6"/>
        <item x="2"/>
        <item x="5"/>
        <item x="3"/>
        <item x="4"/>
        <item x="1"/>
        <item x="0"/>
        <item t="default"/>
      </items>
    </pivotField>
    <pivotField showAll="0"/>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989318-4268-4CED-BC6A-FDCC0158368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7" firstHeaderRow="1" firstDataRow="1" firstDataCol="1"/>
  <pivotFields count="17">
    <pivotField showAll="0"/>
    <pivotField axis="axisRow" showAll="0">
      <items count="15">
        <item x="0"/>
        <item x="1"/>
        <item x="2"/>
        <item x="3"/>
        <item x="4"/>
        <item x="5"/>
        <item x="6"/>
        <item x="7"/>
        <item x="8"/>
        <item x="9"/>
        <item x="10"/>
        <item x="11"/>
        <item x="12"/>
        <item x="13"/>
        <item t="default"/>
      </items>
    </pivotField>
    <pivotField showAll="0"/>
    <pivotField showAll="0">
      <items count="5">
        <item x="1"/>
        <item x="3"/>
        <item x="0"/>
        <item x="2"/>
        <item t="default"/>
      </items>
    </pivotField>
    <pivotField showAll="0">
      <items count="8">
        <item x="6"/>
        <item x="2"/>
        <item x="5"/>
        <item x="3"/>
        <item x="4"/>
        <item x="1"/>
        <item x="0"/>
        <item t="default"/>
      </items>
    </pivotField>
    <pivotField showAll="0"/>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axis="axisRow" showAll="0">
      <items count="5">
        <item x="0"/>
        <item x="1"/>
        <item x="2"/>
        <item x="3"/>
        <item t="default"/>
      </items>
    </pivotField>
  </pivotFields>
  <rowFields count="2">
    <field x="16"/>
    <field x="1"/>
  </rowFields>
  <rowItems count="14">
    <i>
      <x v="1"/>
    </i>
    <i r="1">
      <x v="1"/>
    </i>
    <i r="1">
      <x v="2"/>
    </i>
    <i r="1">
      <x v="3"/>
    </i>
    <i r="1">
      <x v="4"/>
    </i>
    <i r="1">
      <x v="5"/>
    </i>
    <i r="1">
      <x v="6"/>
    </i>
    <i r="1">
      <x v="7"/>
    </i>
    <i r="1">
      <x v="8"/>
    </i>
    <i r="1">
      <x v="9"/>
    </i>
    <i r="1">
      <x v="10"/>
    </i>
    <i r="1">
      <x v="11"/>
    </i>
    <i r="1">
      <x v="12"/>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AEEB6C-4441-41B2-B3FE-F48F7EA238F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17">
    <pivotField showAll="0"/>
    <pivotField showAll="0"/>
    <pivotField showAll="0"/>
    <pivotField showAll="0">
      <items count="5">
        <item x="1"/>
        <item x="3"/>
        <item x="0"/>
        <item x="2"/>
        <item t="default"/>
      </items>
    </pivotField>
    <pivotField showAll="0">
      <items count="8">
        <item x="6"/>
        <item x="2"/>
        <item x="5"/>
        <item x="3"/>
        <item x="4"/>
        <item x="1"/>
        <item x="0"/>
        <item t="default"/>
      </items>
    </pivotField>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defaultSubtotal="0"/>
  </pivotFields>
  <rowFields count="1">
    <field x="6"/>
  </rowFields>
  <rowItems count="4">
    <i>
      <x/>
    </i>
    <i>
      <x v="1"/>
    </i>
    <i>
      <x v="2"/>
    </i>
    <i t="grand">
      <x/>
    </i>
  </rowItems>
  <colItems count="1">
    <i/>
  </colItems>
  <dataFields count="1">
    <dataField name="Sum of Revenue" fld="1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88190B-B517-4DB8-BE13-2B247A805F4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B14" firstHeaderRow="1" firstDataRow="1" firstDataCol="1"/>
  <pivotFields count="17">
    <pivotField showAll="0"/>
    <pivotField showAll="0"/>
    <pivotField showAll="0"/>
    <pivotField showAll="0">
      <items count="5">
        <item x="1"/>
        <item x="3"/>
        <item x="0"/>
        <item x="2"/>
        <item t="default"/>
      </items>
    </pivotField>
    <pivotField showAll="0">
      <items count="8">
        <item x="6"/>
        <item x="2"/>
        <item x="5"/>
        <item x="3"/>
        <item x="4"/>
        <item x="1"/>
        <item x="0"/>
        <item t="default"/>
      </items>
    </pivotField>
    <pivotField axis="axisRow" showAll="0" measureFilter="1" sortType="descending">
      <items count="36">
        <item x="14"/>
        <item x="6"/>
        <item x="15"/>
        <item x="24"/>
        <item x="19"/>
        <item x="3"/>
        <item x="12"/>
        <item x="7"/>
        <item x="17"/>
        <item x="1"/>
        <item x="16"/>
        <item x="27"/>
        <item x="28"/>
        <item x="18"/>
        <item x="2"/>
        <item x="9"/>
        <item x="21"/>
        <item x="0"/>
        <item x="4"/>
        <item x="13"/>
        <item x="30"/>
        <item x="5"/>
        <item x="26"/>
        <item x="25"/>
        <item x="23"/>
        <item x="8"/>
        <item x="32"/>
        <item x="10"/>
        <item x="33"/>
        <item x="29"/>
        <item x="11"/>
        <item x="20"/>
        <item x="34"/>
        <item x="31"/>
        <item x="22"/>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defaultSubtotal="0"/>
  </pivotFields>
  <rowFields count="1">
    <field x="5"/>
  </rowFields>
  <rowItems count="11">
    <i>
      <x v="21"/>
    </i>
    <i>
      <x v="15"/>
    </i>
    <i>
      <x v="1"/>
    </i>
    <i>
      <x v="16"/>
    </i>
    <i>
      <x v="14"/>
    </i>
    <i>
      <x v="29"/>
    </i>
    <i>
      <x v="30"/>
    </i>
    <i>
      <x v="3"/>
    </i>
    <i>
      <x v="8"/>
    </i>
    <i>
      <x v="23"/>
    </i>
    <i t="grand">
      <x/>
    </i>
  </rowItems>
  <colItems count="1">
    <i/>
  </colItems>
  <dataFields count="1">
    <dataField name="Sum of Revenue" fld="11" baseField="0" baseItem="0"/>
  </dataFields>
  <chartFormats count="3">
    <chartFormat chart="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208C62-2B1D-47A0-A809-2F8182C4EC7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7">
    <pivotField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items count="8">
        <item x="6"/>
        <item x="2"/>
        <item x="5"/>
        <item x="3"/>
        <item x="4"/>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defaultSubtotal="0"/>
  </pivotFields>
  <rowFields count="1">
    <field x="3"/>
  </rowFields>
  <rowItems count="5">
    <i>
      <x v="3"/>
    </i>
    <i>
      <x v="2"/>
    </i>
    <i>
      <x v="1"/>
    </i>
    <i>
      <x/>
    </i>
    <i t="grand">
      <x/>
    </i>
  </rowItems>
  <colItems count="1">
    <i/>
  </colItems>
  <dataFields count="1">
    <dataField name="Sum of Profit" fld="13"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593192-BADA-4D33-AF45-1573FF6D77F0}" name="PivotTable1" cacheId="0" dataOnRows="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
  <location ref="A3:B7" firstHeaderRow="1" firstDataRow="1" firstDataCol="1"/>
  <pivotFields count="17">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pivotField showAll="0">
      <items count="5">
        <item x="1"/>
        <item x="3"/>
        <item x="0"/>
        <item x="2"/>
        <item t="default"/>
      </items>
    </pivotField>
    <pivotField showAll="0">
      <items count="8">
        <item x="6"/>
        <item x="2"/>
        <item x="5"/>
        <item x="3"/>
        <item x="4"/>
        <item x="1"/>
        <item x="0"/>
        <item t="default"/>
      </items>
    </pivotField>
    <pivotField showAll="0"/>
    <pivotField showAll="0">
      <items count="4">
        <item x="0"/>
        <item x="1"/>
        <item x="2"/>
        <item t="default"/>
      </items>
    </pivotField>
    <pivotField showAll="0"/>
    <pivotField dataField="1" showAll="0"/>
    <pivotField showAll="0"/>
    <pivotField showAll="0"/>
    <pivotField dataField="1" showAll="0">
      <items count="2963">
        <item x="2119"/>
        <item x="360"/>
        <item x="986"/>
        <item x="474"/>
        <item x="803"/>
        <item x="358"/>
        <item x="1697"/>
        <item x="1297"/>
        <item x="2535"/>
        <item x="1256"/>
        <item x="1952"/>
        <item x="192"/>
        <item x="1354"/>
        <item x="1992"/>
        <item x="368"/>
        <item x="558"/>
        <item x="1360"/>
        <item x="2059"/>
        <item x="2500"/>
        <item x="1011"/>
        <item x="956"/>
        <item x="2043"/>
        <item x="1680"/>
        <item x="1211"/>
        <item x="2544"/>
        <item x="226"/>
        <item x="2651"/>
        <item x="132"/>
        <item x="2687"/>
        <item x="1027"/>
        <item x="2451"/>
        <item x="1976"/>
        <item x="1991"/>
        <item x="2892"/>
        <item x="2660"/>
        <item x="1255"/>
        <item x="1207"/>
        <item x="2876"/>
        <item x="1561"/>
        <item x="821"/>
        <item x="2083"/>
        <item x="1585"/>
        <item x="108"/>
        <item x="1555"/>
        <item x="521"/>
        <item x="2165"/>
        <item x="2896"/>
        <item x="1238"/>
        <item x="2694"/>
        <item x="40"/>
        <item x="1049"/>
        <item x="2764"/>
        <item x="2818"/>
        <item x="648"/>
        <item x="1654"/>
        <item x="2068"/>
        <item x="2596"/>
        <item x="2497"/>
        <item x="1836"/>
        <item x="177"/>
        <item x="1923"/>
        <item x="2637"/>
        <item x="2227"/>
        <item x="357"/>
        <item x="2192"/>
        <item x="2862"/>
        <item x="1729"/>
        <item x="2111"/>
        <item x="1200"/>
        <item x="2549"/>
        <item x="1182"/>
        <item x="637"/>
        <item x="1698"/>
        <item x="504"/>
        <item x="376"/>
        <item x="2624"/>
        <item x="2901"/>
        <item x="1196"/>
        <item x="2673"/>
        <item x="1869"/>
        <item x="1749"/>
        <item x="2422"/>
        <item x="220"/>
        <item x="227"/>
        <item x="1429"/>
        <item x="1285"/>
        <item x="355"/>
        <item x="2133"/>
        <item x="2857"/>
        <item x="1242"/>
        <item x="1291"/>
        <item x="1123"/>
        <item x="2137"/>
        <item x="2718"/>
        <item x="2845"/>
        <item x="555"/>
        <item x="387"/>
        <item x="2895"/>
        <item x="2734"/>
        <item x="1627"/>
        <item x="2909"/>
        <item x="2648"/>
        <item x="731"/>
        <item x="741"/>
        <item x="2244"/>
        <item x="1412"/>
        <item x="920"/>
        <item x="1598"/>
        <item x="966"/>
        <item x="1300"/>
        <item x="292"/>
        <item x="1593"/>
        <item x="463"/>
        <item x="2625"/>
        <item x="1231"/>
        <item x="586"/>
        <item x="1781"/>
        <item x="2263"/>
        <item x="2739"/>
        <item x="1372"/>
        <item x="2012"/>
        <item x="1746"/>
        <item x="2061"/>
        <item x="2115"/>
        <item x="2562"/>
        <item x="2086"/>
        <item x="1168"/>
        <item x="2903"/>
        <item x="2088"/>
        <item x="1086"/>
        <item x="1359"/>
        <item x="1054"/>
        <item x="2835"/>
        <item x="833"/>
        <item x="912"/>
        <item x="433"/>
        <item x="2052"/>
        <item x="699"/>
        <item x="1165"/>
        <item x="1156"/>
        <item x="2824"/>
        <item x="2196"/>
        <item x="676"/>
        <item x="1512"/>
        <item x="1239"/>
        <item x="697"/>
        <item x="2385"/>
        <item x="632"/>
        <item x="513"/>
        <item x="2179"/>
        <item x="2954"/>
        <item x="1083"/>
        <item x="404"/>
        <item x="2184"/>
        <item x="769"/>
        <item x="75"/>
        <item x="594"/>
        <item x="1376"/>
        <item x="2658"/>
        <item x="614"/>
        <item x="2828"/>
        <item x="729"/>
        <item x="1193"/>
        <item x="1618"/>
        <item x="2680"/>
        <item x="2775"/>
        <item x="1034"/>
        <item x="2094"/>
        <item x="1147"/>
        <item x="381"/>
        <item x="1732"/>
        <item x="2578"/>
        <item x="2234"/>
        <item x="2407"/>
        <item x="1467"/>
        <item x="2016"/>
        <item x="1738"/>
        <item x="1810"/>
        <item x="618"/>
        <item x="1953"/>
        <item x="2005"/>
        <item x="564"/>
        <item x="1546"/>
        <item x="1886"/>
        <item x="651"/>
        <item x="399"/>
        <item x="1621"/>
        <item x="66"/>
        <item x="1970"/>
        <item x="121"/>
        <item x="2163"/>
        <item x="880"/>
        <item x="2520"/>
        <item x="383"/>
        <item x="2507"/>
        <item x="2215"/>
        <item x="214"/>
        <item x="1587"/>
        <item x="1703"/>
        <item x="2691"/>
        <item x="359"/>
        <item x="580"/>
        <item x="2333"/>
        <item x="1419"/>
        <item x="1624"/>
        <item x="385"/>
        <item x="1026"/>
        <item x="1276"/>
        <item x="1638"/>
        <item x="2599"/>
        <item x="2320"/>
        <item x="1427"/>
        <item x="402"/>
        <item x="977"/>
        <item x="684"/>
        <item x="749"/>
        <item x="1059"/>
        <item x="781"/>
        <item x="2842"/>
        <item x="2754"/>
        <item x="2327"/>
        <item x="2749"/>
        <item x="2890"/>
        <item x="2120"/>
        <item x="1072"/>
        <item x="290"/>
        <item x="2914"/>
        <item x="2237"/>
        <item x="1098"/>
        <item x="970"/>
        <item x="1584"/>
        <item x="926"/>
        <item x="2737"/>
        <item x="1928"/>
        <item x="2201"/>
        <item x="1820"/>
        <item x="828"/>
        <item x="1817"/>
        <item x="578"/>
        <item x="2290"/>
        <item x="1785"/>
        <item x="1905"/>
        <item x="2362"/>
        <item x="965"/>
        <item x="738"/>
        <item x="2261"/>
        <item x="1136"/>
        <item x="1409"/>
        <item x="655"/>
        <item x="2763"/>
        <item x="2661"/>
        <item x="201"/>
        <item x="571"/>
        <item x="1369"/>
        <item x="2318"/>
        <item x="2310"/>
        <item x="2313"/>
        <item x="955"/>
        <item x="1395"/>
        <item x="630"/>
        <item x="170"/>
        <item x="801"/>
        <item x="2844"/>
        <item x="1362"/>
        <item x="2804"/>
        <item x="721"/>
        <item x="2160"/>
        <item x="1572"/>
        <item x="297"/>
        <item x="426"/>
        <item x="2274"/>
        <item x="1031"/>
        <item x="1314"/>
        <item x="2649"/>
        <item x="1714"/>
        <item x="1448"/>
        <item x="582"/>
        <item x="2203"/>
        <item x="2832"/>
        <item x="1959"/>
        <item x="1871"/>
        <item x="1601"/>
        <item x="2838"/>
        <item x="1473"/>
        <item x="681"/>
        <item x="2796"/>
        <item x="421"/>
        <item x="852"/>
        <item x="1969"/>
        <item x="2619"/>
        <item x="1678"/>
        <item x="1006"/>
        <item x="1460"/>
        <item x="477"/>
        <item x="924"/>
        <item x="1060"/>
        <item x="2337"/>
        <item x="493"/>
        <item x="1899"/>
        <item x="1756"/>
        <item x="1943"/>
        <item x="34"/>
        <item x="111"/>
        <item x="2033"/>
        <item x="2271"/>
        <item x="2030"/>
        <item x="346"/>
        <item x="1263"/>
        <item x="11"/>
        <item x="2220"/>
        <item x="2704"/>
        <item x="2543"/>
        <item x="1743"/>
        <item x="327"/>
        <item x="1416"/>
        <item x="576"/>
        <item x="2279"/>
        <item x="678"/>
        <item x="2571"/>
        <item x="704"/>
        <item x="726"/>
        <item x="286"/>
        <item x="1471"/>
        <item x="1210"/>
        <item x="1274"/>
        <item x="2277"/>
        <item x="2675"/>
        <item x="180"/>
        <item x="2494"/>
        <item x="1515"/>
        <item x="490"/>
        <item x="23"/>
        <item x="1434"/>
        <item x="1100"/>
        <item x="1730"/>
        <item x="2587"/>
        <item x="2732"/>
        <item x="2373"/>
        <item x="2905"/>
        <item x="348"/>
        <item x="230"/>
        <item x="2366"/>
        <item x="2850"/>
        <item x="1499"/>
        <item x="1565"/>
        <item x="2888"/>
        <item x="409"/>
        <item x="2780"/>
        <item x="300"/>
        <item x="951"/>
        <item x="724"/>
        <item x="378"/>
        <item x="1246"/>
        <item x="1958"/>
        <item x="1399"/>
        <item x="997"/>
        <item x="125"/>
        <item x="498"/>
        <item x="1793"/>
        <item x="847"/>
        <item x="2154"/>
        <item x="164"/>
        <item x="2705"/>
        <item x="500"/>
        <item x="663"/>
        <item x="1898"/>
        <item x="771"/>
        <item x="1262"/>
        <item x="2475"/>
        <item x="2922"/>
        <item x="2504"/>
        <item x="2595"/>
        <item x="1667"/>
        <item x="556"/>
        <item x="2536"/>
        <item x="1055"/>
        <item x="661"/>
        <item x="2953"/>
        <item x="1532"/>
        <item x="2784"/>
        <item x="22"/>
        <item x="1454"/>
        <item x="2295"/>
        <item x="786"/>
        <item x="623"/>
        <item x="520"/>
        <item x="80"/>
        <item x="657"/>
        <item x="2344"/>
        <item x="2099"/>
        <item x="2810"/>
        <item x="2439"/>
        <item x="2322"/>
        <item x="2379"/>
        <item x="758"/>
        <item x="1559"/>
        <item x="1261"/>
        <item x="592"/>
        <item x="1163"/>
        <item x="2081"/>
        <item x="2638"/>
        <item x="798"/>
        <item x="1337"/>
        <item x="1684"/>
        <item x="1333"/>
        <item x="1723"/>
        <item x="2008"/>
        <item x="587"/>
        <item x="1061"/>
        <item x="628"/>
        <item x="664"/>
        <item x="2641"/>
        <item x="444"/>
        <item x="2412"/>
        <item x="2859"/>
        <item x="1764"/>
        <item x="2368"/>
        <item x="1397"/>
        <item x="1884"/>
        <item x="2329"/>
        <item x="1480"/>
        <item x="747"/>
        <item x="2046"/>
        <item x="19"/>
        <item x="1295"/>
        <item x="1338"/>
        <item x="136"/>
        <item x="2397"/>
        <item x="250"/>
        <item x="2604"/>
        <item x="2582"/>
        <item x="976"/>
        <item x="96"/>
        <item x="1956"/>
        <item x="1656"/>
        <item x="963"/>
        <item x="2808"/>
        <item x="1324"/>
        <item x="2758"/>
        <item x="575"/>
        <item x="2630"/>
        <item x="1148"/>
        <item x="720"/>
        <item x="1548"/>
        <item x="1892"/>
        <item x="1888"/>
        <item x="1902"/>
        <item x="1896"/>
        <item x="83"/>
        <item x="139"/>
        <item x="1375"/>
        <item x="990"/>
        <item x="291"/>
        <item x="128"/>
        <item x="679"/>
        <item x="2512"/>
        <item x="347"/>
        <item x="2091"/>
        <item x="2923"/>
        <item x="756"/>
        <item x="2639"/>
        <item x="775"/>
        <item x="279"/>
        <item x="598"/>
        <item x="710"/>
        <item x="283"/>
        <item x="2287"/>
        <item x="1217"/>
        <item x="884"/>
        <item x="2420"/>
        <item x="2065"/>
        <item x="1475"/>
        <item x="2695"/>
        <item x="1581"/>
        <item x="2498"/>
        <item x="2304"/>
        <item x="2668"/>
        <item x="1533"/>
        <item x="1252"/>
        <item x="1843"/>
        <item x="2853"/>
        <item x="772"/>
        <item x="1119"/>
        <item x="1212"/>
        <item x="2590"/>
        <item x="1094"/>
        <item x="1150"/>
        <item x="1482"/>
        <item x="2418"/>
        <item x="553"/>
        <item x="1087"/>
        <item x="1023"/>
        <item x="734"/>
        <item x="1741"/>
        <item x="2813"/>
        <item x="2233"/>
        <item x="842"/>
        <item x="2417"/>
        <item x="1430"/>
        <item x="46"/>
        <item x="1332"/>
        <item x="904"/>
        <item x="2017"/>
        <item x="1724"/>
        <item x="335"/>
        <item x="2114"/>
        <item x="861"/>
        <item x="472"/>
        <item x="1805"/>
        <item x="2112"/>
        <item x="761"/>
        <item x="962"/>
        <item x="1272"/>
        <item x="855"/>
        <item x="1580"/>
        <item x="408"/>
        <item x="1491"/>
        <item x="1116"/>
        <item x="2917"/>
        <item x="819"/>
        <item x="2431"/>
        <item x="532"/>
        <item x="2588"/>
        <item x="1069"/>
        <item x="1688"/>
        <item x="918"/>
        <item x="2492"/>
        <item x="2616"/>
        <item x="1206"/>
        <item x="1120"/>
        <item x="1470"/>
        <item x="2577"/>
        <item x="87"/>
        <item x="1889"/>
        <item x="1834"/>
        <item x="1926"/>
        <item x="2565"/>
        <item x="382"/>
        <item x="2915"/>
        <item x="588"/>
        <item x="215"/>
        <item x="2579"/>
        <item x="35"/>
        <item x="538"/>
        <item x="413"/>
        <item x="142"/>
        <item x="1236"/>
        <item x="91"/>
        <item x="2324"/>
        <item x="131"/>
        <item x="310"/>
        <item x="287"/>
        <item x="2473"/>
        <item x="1099"/>
        <item x="1827"/>
        <item x="1307"/>
        <item x="2129"/>
        <item x="545"/>
        <item x="1046"/>
        <item x="2560"/>
        <item x="1012"/>
        <item x="1560"/>
        <item x="1199"/>
        <item x="2288"/>
        <item x="353"/>
        <item x="2531"/>
        <item x="2723"/>
        <item x="1874"/>
        <item x="2339"/>
        <item x="1378"/>
        <item x="2140"/>
        <item x="1192"/>
        <item x="1509"/>
        <item x="1345"/>
        <item x="849"/>
        <item x="72"/>
        <item x="239"/>
        <item x="419"/>
        <item x="2172"/>
        <item x="643"/>
        <item x="552"/>
        <item x="1903"/>
        <item x="755"/>
        <item x="820"/>
        <item x="1073"/>
        <item x="597"/>
        <item x="1574"/>
        <item x="2815"/>
        <item x="468"/>
        <item x="1085"/>
        <item x="2907"/>
        <item x="104"/>
        <item x="1944"/>
        <item x="1009"/>
        <item x="992"/>
        <item x="1662"/>
        <item x="1172"/>
        <item x="2401"/>
        <item x="845"/>
        <item x="2855"/>
        <item x="1118"/>
        <item x="1142"/>
        <item x="256"/>
        <item x="2767"/>
        <item x="1227"/>
        <item x="2955"/>
        <item x="1517"/>
        <item x="1556"/>
        <item x="1265"/>
        <item x="144"/>
        <item x="1505"/>
        <item x="591"/>
        <item x="2591"/>
        <item x="1269"/>
        <item x="1564"/>
        <item x="1789"/>
        <item x="793"/>
        <item x="422"/>
        <item x="26"/>
        <item x="1141"/>
        <item x="746"/>
        <item x="2636"/>
        <item x="1659"/>
        <item x="577"/>
        <item x="2847"/>
        <item x="1839"/>
        <item x="1596"/>
        <item x="365"/>
        <item x="1933"/>
        <item x="791"/>
        <item x="1936"/>
        <item x="218"/>
        <item x="1428"/>
        <item x="1462"/>
        <item x="1310"/>
        <item x="2788"/>
        <item x="1890"/>
        <item x="494"/>
        <item x="2136"/>
        <item x="2559"/>
        <item x="1830"/>
        <item x="2564"/>
        <item x="1635"/>
        <item x="2127"/>
        <item x="892"/>
        <item x="2931"/>
        <item x="987"/>
        <item x="1158"/>
        <item x="2803"/>
        <item x="2806"/>
        <item x="2003"/>
        <item x="2031"/>
        <item x="2345"/>
        <item x="2839"/>
        <item x="534"/>
        <item x="902"/>
        <item x="2669"/>
        <item x="499"/>
        <item x="2609"/>
        <item x="252"/>
        <item x="1690"/>
        <item x="2142"/>
        <item x="2593"/>
        <item x="2116"/>
        <item x="2633"/>
        <item x="2643"/>
        <item x="1024"/>
        <item x="205"/>
        <item x="1695"/>
        <item x="1342"/>
        <item x="1877"/>
        <item x="2653"/>
        <item x="224"/>
        <item x="638"/>
        <item x="1692"/>
        <item x="216"/>
        <item x="2124"/>
        <item x="2334"/>
        <item x="1244"/>
        <item x="1925"/>
        <item x="1739"/>
        <item x="267"/>
        <item x="1744"/>
        <item x="2319"/>
        <item x="1214"/>
        <item x="329"/>
        <item x="822"/>
        <item x="2510"/>
        <item x="198"/>
        <item x="323"/>
        <item x="608"/>
        <item x="1065"/>
        <item x="2496"/>
        <item x="717"/>
        <item x="913"/>
        <item x="1018"/>
        <item x="2518"/>
        <item x="307"/>
        <item x="1728"/>
        <item x="326"/>
        <item x="1792"/>
        <item x="1612"/>
        <item x="2460"/>
        <item x="2793"/>
        <item x="115"/>
        <item x="1485"/>
        <item x="2450"/>
        <item x="2534"/>
        <item x="968"/>
        <item x="2514"/>
        <item x="795"/>
        <item x="208"/>
        <item x="1589"/>
        <item x="794"/>
        <item x="2026"/>
        <item x="2655"/>
        <item x="566"/>
        <item x="1403"/>
        <item x="550"/>
        <item x="276"/>
        <item x="2399"/>
        <item x="7"/>
        <item x="751"/>
        <item x="2468"/>
        <item x="42"/>
        <item x="2107"/>
        <item x="364"/>
        <item x="281"/>
        <item x="388"/>
        <item x="850"/>
        <item x="716"/>
        <item x="1025"/>
        <item x="1887"/>
        <item x="2538"/>
        <item x="2445"/>
        <item x="2547"/>
        <item x="1498"/>
        <item x="1795"/>
        <item x="2527"/>
        <item x="2053"/>
        <item x="806"/>
        <item x="953"/>
        <item x="1320"/>
        <item x="667"/>
        <item x="2950"/>
        <item x="1652"/>
        <item x="1639"/>
        <item x="1742"/>
        <item x="2408"/>
        <item x="1966"/>
        <item x="619"/>
        <item x="460"/>
        <item x="2499"/>
        <item x="1557"/>
        <item x="2015"/>
        <item x="954"/>
        <item x="1501"/>
        <item x="1582"/>
        <item x="328"/>
        <item x="2940"/>
        <item x="891"/>
        <item x="1447"/>
        <item x="211"/>
        <item x="1524"/>
        <item x="2485"/>
        <item x="1497"/>
        <item x="942"/>
        <item x="2426"/>
        <item x="815"/>
        <item x="332"/>
        <item x="514"/>
        <item x="2528"/>
        <item x="646"/>
        <item x="2292"/>
        <item x="1727"/>
        <item x="2007"/>
        <item x="1675"/>
        <item x="606"/>
        <item x="2711"/>
        <item x="2181"/>
        <item x="1438"/>
        <item x="508"/>
        <item x="1408"/>
        <item x="257"/>
        <item x="960"/>
        <item x="1452"/>
        <item x="341"/>
        <item x="2533"/>
        <item x="1404"/>
        <item x="1323"/>
        <item x="2635"/>
        <item x="99"/>
        <item x="785"/>
        <item x="1929"/>
        <item x="2183"/>
        <item x="2200"/>
        <item x="1579"/>
        <item x="874"/>
        <item x="1636"/>
        <item x="1978"/>
        <item x="2791"/>
        <item x="2949"/>
        <item x="709"/>
        <item x="1328"/>
        <item x="863"/>
        <item x="1829"/>
        <item x="2440"/>
        <item x="2206"/>
        <item x="186"/>
        <item x="1487"/>
        <item x="826"/>
        <item x="854"/>
        <item x="1720"/>
        <item x="685"/>
        <item x="665"/>
        <item x="1774"/>
        <item x="1002"/>
        <item x="2158"/>
        <item x="764"/>
        <item x="1433"/>
        <item x="1644"/>
        <item x="2335"/>
        <item x="2022"/>
        <item x="2067"/>
        <item x="2889"/>
        <item x="1107"/>
        <item x="1993"/>
        <item x="2521"/>
        <item x="2529"/>
        <item x="2546"/>
        <item x="1140"/>
        <item x="2645"/>
        <item x="2054"/>
        <item x="2095"/>
        <item x="644"/>
        <item x="2429"/>
        <item x="89"/>
        <item x="1209"/>
        <item x="727"/>
        <item x="62"/>
        <item x="823"/>
        <item x="529"/>
        <item x="403"/>
        <item x="1541"/>
        <item x="518"/>
        <item x="2556"/>
        <item x="868"/>
        <item x="2072"/>
        <item x="2259"/>
        <item x="158"/>
        <item x="2659"/>
        <item x="1230"/>
        <item x="2640"/>
        <item x="1804"/>
        <item x="94"/>
        <item x="901"/>
        <item x="2021"/>
        <item x="324"/>
        <item x="2338"/>
        <item x="899"/>
        <item x="911"/>
        <item x="1356"/>
        <item x="1867"/>
        <item x="212"/>
        <item x="258"/>
        <item x="1045"/>
        <item x="103"/>
        <item x="1857"/>
        <item x="343"/>
        <item x="1594"/>
        <item x="1075"/>
        <item x="2926"/>
        <item x="2173"/>
        <item x="2455"/>
        <item x="569"/>
        <item x="2437"/>
        <item x="777"/>
        <item x="1396"/>
        <item x="2141"/>
        <item x="544"/>
        <item x="194"/>
        <item x="2058"/>
        <item x="940"/>
        <item x="135"/>
        <item x="2542"/>
        <item x="1735"/>
        <item x="2601"/>
        <item x="2394"/>
        <item x="309"/>
        <item x="439"/>
        <item x="1228"/>
        <item x="1289"/>
        <item x="1554"/>
        <item x="1442"/>
        <item x="466"/>
        <item x="1351"/>
        <item x="1267"/>
        <item x="2908"/>
        <item x="339"/>
        <item x="2355"/>
        <item x="703"/>
        <item x="2332"/>
        <item x="2331"/>
        <item x="56"/>
        <item x="1335"/>
        <item x="879"/>
        <item x="2040"/>
        <item x="191"/>
        <item x="919"/>
        <item x="1806"/>
        <item x="634"/>
        <item x="217"/>
        <item x="486"/>
        <item x="71"/>
        <item x="627"/>
        <item x="1549"/>
        <item x="1459"/>
        <item x="1716"/>
        <item x="1446"/>
        <item x="1930"/>
        <item x="1686"/>
        <item x="1916"/>
        <item x="1088"/>
        <item x="2466"/>
        <item x="2063"/>
        <item x="837"/>
        <item x="113"/>
        <item x="2276"/>
        <item x="1381"/>
        <item x="1712"/>
        <item x="2513"/>
        <item x="1995"/>
        <item x="1797"/>
        <item x="2570"/>
        <item x="814"/>
        <item x="1772"/>
        <item x="1037"/>
        <item x="888"/>
        <item x="1110"/>
        <item x="70"/>
        <item x="149"/>
        <item x="2144"/>
        <item x="1648"/>
        <item x="1138"/>
        <item x="437"/>
        <item x="457"/>
        <item x="1095"/>
        <item x="743"/>
        <item x="2594"/>
        <item x="2389"/>
        <item x="350"/>
        <item x="2519"/>
        <item x="2849"/>
        <item x="1486"/>
        <item x="150"/>
        <item x="1591"/>
        <item x="1778"/>
        <item x="261"/>
        <item x="857"/>
        <item x="134"/>
        <item x="1044"/>
        <item x="2255"/>
        <item x="2554"/>
        <item x="626"/>
        <item x="1531"/>
        <item x="2084"/>
        <item x="2070"/>
        <item x="1844"/>
        <item x="2606"/>
        <item x="1687"/>
        <item x="2738"/>
        <item x="541"/>
        <item x="996"/>
        <item x="2628"/>
        <item x="1355"/>
        <item x="424"/>
        <item x="105"/>
        <item x="1854"/>
        <item x="293"/>
        <item x="2125"/>
        <item x="1696"/>
        <item x="1080"/>
        <item x="562"/>
        <item x="2574"/>
        <item x="993"/>
        <item x="1676"/>
        <item x="2483"/>
        <item x="1683"/>
        <item x="394"/>
        <item x="2478"/>
        <item x="2618"/>
        <item x="2898"/>
        <item x="1074"/>
        <item x="585"/>
        <item x="1550"/>
        <item x="551"/>
        <item x="88"/>
        <item x="2383"/>
        <item x="2733"/>
        <item x="1384"/>
        <item x="1998"/>
        <item x="653"/>
        <item x="1865"/>
        <item x="1736"/>
        <item x="1628"/>
        <item x="320"/>
        <item x="2186"/>
        <item x="2387"/>
        <item x="137"/>
        <item x="1828"/>
        <item x="2715"/>
        <item x="1981"/>
        <item x="165"/>
        <item x="2685"/>
        <item x="649"/>
        <item x="2482"/>
        <item x="2921"/>
        <item x="344"/>
        <item x="484"/>
        <item x="1220"/>
        <item x="735"/>
        <item x="2430"/>
        <item x="2776"/>
        <item x="1225"/>
        <item x="2044"/>
        <item x="203"/>
        <item x="1305"/>
        <item x="2231"/>
        <item x="1814"/>
        <item x="1573"/>
        <item x="2257"/>
        <item x="739"/>
        <item x="219"/>
        <item x="722"/>
        <item x="1155"/>
        <item x="2701"/>
        <item x="2316"/>
        <item x="1761"/>
        <item x="2672"/>
        <item x="1709"/>
        <item x="2089"/>
        <item x="2671"/>
        <item x="2097"/>
        <item x="616"/>
        <item x="2782"/>
        <item x="101"/>
        <item x="1313"/>
        <item x="1847"/>
        <item x="658"/>
        <item x="2266"/>
        <item x="1568"/>
        <item x="2251"/>
        <item x="1021"/>
        <item x="1146"/>
        <item x="1668"/>
        <item x="410"/>
        <item x="2328"/>
        <item x="2899"/>
        <item x="1623"/>
        <item x="2800"/>
        <item x="272"/>
        <item x="2736"/>
        <item x="1229"/>
        <item x="1634"/>
        <item x="1111"/>
        <item x="573"/>
        <item x="2118"/>
        <item x="1232"/>
        <item x="877"/>
        <item x="1941"/>
        <item x="773"/>
        <item x="1837"/>
        <item x="2230"/>
        <item x="800"/>
        <item x="24"/>
        <item x="2491"/>
        <item x="2395"/>
        <item x="2145"/>
        <item x="407"/>
        <item x="1875"/>
        <item x="1583"/>
        <item x="2358"/>
        <item x="1848"/>
        <item x="427"/>
        <item x="1063"/>
        <item x="369"/>
        <item x="1780"/>
        <item x="2447"/>
        <item x="1331"/>
        <item x="531"/>
        <item x="1543"/>
        <item x="50"/>
        <item x="2254"/>
        <item x="2503"/>
        <item x="278"/>
        <item x="2550"/>
        <item x="1325"/>
        <item x="3"/>
        <item x="2161"/>
        <item x="2652"/>
        <item x="479"/>
        <item x="2380"/>
        <item x="1423"/>
        <item x="467"/>
        <item x="744"/>
        <item x="1790"/>
        <item x="2939"/>
        <item x="2312"/>
        <item x="2674"/>
        <item x="946"/>
        <item x="1964"/>
        <item x="1415"/>
        <item x="943"/>
        <item x="645"/>
        <item x="1383"/>
        <item x="670"/>
        <item x="502"/>
        <item x="765"/>
        <item x="604"/>
        <item x="1109"/>
        <item x="2894"/>
        <item x="1387"/>
        <item x="2369"/>
        <item x="315"/>
        <item x="1188"/>
        <item x="2113"/>
        <item x="1097"/>
        <item x="1175"/>
        <item x="983"/>
        <item x="1390"/>
        <item x="1270"/>
        <item x="1493"/>
        <item x="2573"/>
        <item x="2062"/>
        <item x="398"/>
        <item x="2166"/>
        <item x="69"/>
        <item x="530"/>
        <item x="752"/>
        <item x="379"/>
        <item x="2696"/>
        <item x="273"/>
        <item x="391"/>
        <item x="1539"/>
        <item x="1105"/>
        <item x="818"/>
        <item x="1474"/>
        <item x="1900"/>
        <item x="519"/>
        <item x="1984"/>
        <item x="2348"/>
        <item x="1401"/>
        <item x="1102"/>
        <item x="1322"/>
        <item x="914"/>
        <item x="2826"/>
        <item x="1881"/>
        <item x="1784"/>
        <item x="487"/>
        <item x="2315"/>
        <item x="305"/>
        <item x="2405"/>
        <item x="2343"/>
        <item x="1799"/>
        <item x="2654"/>
        <item x="2713"/>
        <item x="1456"/>
        <item x="372"/>
        <item x="2038"/>
        <item x="1502"/>
        <item x="2085"/>
        <item x="416"/>
        <item x="338"/>
        <item x="228"/>
        <item x="2117"/>
        <item x="374"/>
        <item x="2920"/>
        <item x="1747"/>
        <item x="1284"/>
        <item x="937"/>
        <item x="2128"/>
        <item x="1183"/>
        <item x="1495"/>
        <item x="1850"/>
        <item x="2298"/>
        <item x="1007"/>
        <item x="973"/>
        <item x="1309"/>
        <item x="2449"/>
        <item x="1630"/>
        <item x="82"/>
        <item x="314"/>
        <item x="875"/>
        <item x="204"/>
        <item x="2303"/>
        <item x="1971"/>
        <item x="2122"/>
        <item x="730"/>
        <item x="2074"/>
        <item x="1937"/>
        <item x="1205"/>
        <item x="712"/>
        <item x="1235"/>
        <item x="1189"/>
        <item x="570"/>
        <item x="1661"/>
        <item x="1704"/>
        <item x="1670"/>
        <item x="774"/>
        <item x="864"/>
        <item x="1664"/>
        <item x="1347"/>
        <item x="2605"/>
        <item x="2204"/>
        <item x="2530"/>
        <item x="1484"/>
        <item x="967"/>
        <item x="2632"/>
        <item x="1405"/>
        <item x="1418"/>
        <item x="1691"/>
        <item x="296"/>
        <item x="2631"/>
        <item x="2034"/>
        <item x="370"/>
        <item x="590"/>
        <item x="1671"/>
        <item x="2000"/>
        <item x="574"/>
        <item x="2378"/>
        <item x="110"/>
        <item x="2102"/>
        <item x="48"/>
        <item x="1748"/>
        <item x="1734"/>
        <item x="199"/>
        <item x="397"/>
        <item x="18"/>
        <item x="2020"/>
        <item x="2856"/>
        <item x="1121"/>
        <item x="2873"/>
        <item x="45"/>
        <item x="1122"/>
        <item x="153"/>
        <item x="1908"/>
        <item x="1710"/>
        <item x="2807"/>
        <item x="2925"/>
        <item x="1496"/>
        <item x="2009"/>
        <item x="1807"/>
        <item x="1717"/>
        <item x="2501"/>
        <item x="1260"/>
        <item x="2471"/>
        <item x="782"/>
        <item x="2381"/>
        <item x="1341"/>
        <item x="982"/>
        <item x="2794"/>
        <item x="1186"/>
        <item x="2302"/>
        <item x="2913"/>
        <item x="1407"/>
        <item x="1575"/>
        <item x="680"/>
        <item x="866"/>
        <item x="195"/>
        <item x="2646"/>
        <item x="1526"/>
        <item x="2666"/>
        <item x="979"/>
        <item x="2689"/>
        <item x="161"/>
        <item x="1301"/>
        <item x="2846"/>
        <item x="1040"/>
        <item x="1578"/>
        <item x="1751"/>
        <item x="456"/>
        <item x="2314"/>
        <item x="1852"/>
        <item x="2252"/>
        <item x="1942"/>
        <item x="2751"/>
        <item x="2863"/>
        <item x="2875"/>
        <item x="2682"/>
        <item x="1547"/>
        <item x="2294"/>
        <item x="1631"/>
        <item x="1529"/>
        <item x="2299"/>
        <item x="642"/>
        <item x="563"/>
        <item x="2396"/>
        <item x="2502"/>
        <item x="1221"/>
        <item x="698"/>
        <item x="1327"/>
        <item x="1280"/>
        <item x="1237"/>
        <item x="1103"/>
        <item x="162"/>
        <item x="2193"/>
        <item x="1492"/>
        <item x="1013"/>
        <item x="1513"/>
        <item x="690"/>
        <item x="802"/>
        <item x="2757"/>
        <item x="2388"/>
        <item x="876"/>
        <item x="2825"/>
        <item x="2273"/>
        <item x="464"/>
        <item x="1053"/>
        <item x="2703"/>
        <item x="254"/>
        <item x="969"/>
        <item x="2023"/>
        <item x="994"/>
        <item x="2716"/>
        <item x="2342"/>
        <item x="927"/>
        <item x="1051"/>
        <item x="2132"/>
        <item x="1516"/>
        <item x="405"/>
        <item x="886"/>
        <item x="906"/>
        <item x="1527"/>
        <item x="1906"/>
        <item x="319"/>
        <item x="2168"/>
        <item x="10"/>
        <item x="299"/>
        <item x="1500"/>
        <item x="2602"/>
        <item x="47"/>
        <item x="617"/>
        <item x="1752"/>
        <item x="2760"/>
        <item x="2735"/>
        <item x="2952"/>
        <item x="1825"/>
        <item x="1625"/>
        <item x="1422"/>
        <item x="1947"/>
        <item x="589"/>
        <item x="2282"/>
        <item x="159"/>
        <item x="695"/>
        <item x="666"/>
        <item x="1731"/>
        <item x="2912"/>
        <item x="14"/>
        <item x="1861"/>
        <item x="2352"/>
        <item x="2777"/>
        <item x="1518"/>
        <item x="175"/>
        <item x="74"/>
        <item x="1653"/>
        <item x="2123"/>
        <item x="2935"/>
        <item x="37"/>
        <item x="2098"/>
        <item x="1426"/>
        <item x="1343"/>
        <item x="2453"/>
        <item x="1321"/>
        <item x="179"/>
        <item x="1945"/>
        <item x="723"/>
        <item x="2208"/>
        <item x="2359"/>
        <item x="2060"/>
        <item x="560"/>
        <item x="662"/>
        <item x="2267"/>
        <item x="1562"/>
        <item x="1114"/>
        <item x="2398"/>
        <item x="2883"/>
        <item x="811"/>
        <item x="2566"/>
        <item x="304"/>
        <item x="311"/>
        <item x="2597"/>
        <item x="1108"/>
        <item x="2706"/>
        <item x="827"/>
        <item x="362"/>
        <item x="844"/>
        <item x="939"/>
        <item x="2714"/>
        <item x="1822"/>
        <item x="1465"/>
        <item x="1672"/>
        <item x="2558"/>
        <item x="1758"/>
        <item x="2748"/>
        <item x="337"/>
        <item x="543"/>
        <item x="2296"/>
        <item x="373"/>
        <item x="1234"/>
        <item x="2720"/>
        <item x="2829"/>
        <item x="0"/>
        <item x="1176"/>
        <item x="533"/>
        <item x="1545"/>
        <item x="1151"/>
        <item x="2454"/>
        <item x="2349"/>
        <item x="1858"/>
        <item x="2690"/>
        <item x="2697"/>
        <item x="2874"/>
        <item x="2469"/>
        <item x="1706"/>
        <item x="2421"/>
        <item x="1135"/>
        <item x="21"/>
        <item x="2797"/>
        <item x="2927"/>
        <item x="241"/>
        <item x="2164"/>
        <item x="1921"/>
        <item x="2665"/>
        <item x="2211"/>
        <item x="483"/>
        <item x="1437"/>
        <item x="503"/>
        <item x="152"/>
        <item x="2225"/>
        <item x="1609"/>
        <item x="1198"/>
        <item x="1722"/>
        <item x="1702"/>
        <item x="1882"/>
        <item x="796"/>
        <item x="934"/>
        <item x="2093"/>
        <item x="2656"/>
        <item x="221"/>
        <item x="2268"/>
        <item x="1226"/>
        <item x="546"/>
        <item x="2877"/>
        <item x="613"/>
        <item x="2489"/>
        <item x="2400"/>
        <item x="2809"/>
        <item x="264"/>
        <item x="1849"/>
        <item x="952"/>
        <item x="1816"/>
        <item x="1340"/>
        <item x="1435"/>
        <item x="1050"/>
        <item x="1801"/>
        <item x="2078"/>
        <item x="671"/>
        <item x="526"/>
        <item x="1809"/>
        <item x="1919"/>
        <item x="1862"/>
        <item x="1133"/>
        <item x="748"/>
        <item x="1315"/>
        <item x="2356"/>
        <item x="1057"/>
        <item x="2644"/>
        <item x="1519"/>
        <item x="2223"/>
        <item x="2765"/>
        <item x="792"/>
        <item x="38"/>
        <item x="1771"/>
        <item x="1563"/>
        <item x="1413"/>
        <item x="733"/>
        <item x="17"/>
        <item x="2249"/>
        <item x="2159"/>
        <item x="1845"/>
        <item x="2167"/>
        <item x="898"/>
        <item x="2433"/>
        <item x="1786"/>
        <item x="1398"/>
        <item x="1769"/>
        <item x="2918"/>
        <item x="2272"/>
        <item x="1081"/>
        <item x="1891"/>
        <item x="1726"/>
        <item x="1693"/>
        <item x="767"/>
        <item x="2719"/>
        <item x="1642"/>
        <item x="2945"/>
        <item x="431"/>
        <item x="505"/>
        <item x="2827"/>
        <item x="126"/>
        <item x="2402"/>
        <item x="187"/>
        <item x="2411"/>
        <item x="429"/>
        <item x="1632"/>
        <item x="1965"/>
        <item x="2300"/>
        <item x="2187"/>
        <item x="4"/>
        <item x="141"/>
        <item x="2708"/>
        <item x="2104"/>
        <item x="524"/>
        <item x="352"/>
        <item x="602"/>
        <item x="1666"/>
        <item x="572"/>
        <item x="851"/>
        <item x="2459"/>
        <item x="109"/>
        <item x="1521"/>
        <item x="2258"/>
        <item x="2488"/>
        <item x="1931"/>
        <item x="2289"/>
        <item x="2576"/>
        <item x="2176"/>
        <item x="8"/>
        <item x="2486"/>
        <item x="2607"/>
        <item x="2657"/>
        <item x="989"/>
        <item x="1303"/>
        <item x="2728"/>
        <item x="334"/>
        <item x="1603"/>
        <item x="127"/>
        <item x="816"/>
        <item x="885"/>
        <item x="1645"/>
        <item x="2066"/>
        <item x="2226"/>
        <item x="2848"/>
        <item x="2374"/>
        <item x="599"/>
        <item x="2047"/>
        <item x="1162"/>
        <item x="1607"/>
        <item x="2686"/>
        <item x="90"/>
        <item x="2055"/>
        <item x="2"/>
        <item x="984"/>
        <item x="1032"/>
        <item x="438"/>
        <item x="1257"/>
        <item x="2959"/>
        <item x="2589"/>
        <item x="916"/>
        <item x="600"/>
        <item x="1077"/>
        <item x="30"/>
        <item x="1755"/>
        <item x="2647"/>
        <item x="2364"/>
        <item x="1330"/>
        <item x="2134"/>
        <item x="2831"/>
        <item x="2532"/>
        <item x="2545"/>
        <item x="2627"/>
        <item x="525"/>
        <item x="2224"/>
        <item x="2583"/>
        <item x="2553"/>
        <item x="1366"/>
        <item x="2768"/>
        <item x="1600"/>
        <item x="342"/>
        <item x="1089"/>
        <item x="234"/>
        <item x="2214"/>
        <item x="2281"/>
        <item x="813"/>
        <item x="790"/>
        <item x="312"/>
        <item x="2742"/>
        <item x="1768"/>
        <item x="1319"/>
        <item x="455"/>
        <item x="1968"/>
        <item x="59"/>
        <item x="981"/>
        <item x="2444"/>
        <item x="106"/>
        <item x="930"/>
        <item x="2613"/>
        <item x="621"/>
        <item x="567"/>
        <item x="915"/>
        <item x="2375"/>
        <item x="2371"/>
        <item x="2479"/>
        <item x="389"/>
        <item x="178"/>
        <item x="805"/>
        <item x="1791"/>
        <item x="1987"/>
        <item x="2678"/>
        <item x="622"/>
        <item x="53"/>
        <item x="2336"/>
        <item x="1064"/>
        <item x="1808"/>
        <item x="2865"/>
        <item x="1191"/>
        <item x="1421"/>
        <item x="1432"/>
        <item x="2416"/>
        <item x="1400"/>
        <item x="1948"/>
        <item x="763"/>
        <item x="1001"/>
        <item x="1259"/>
        <item x="745"/>
        <item x="1606"/>
        <item x="1855"/>
        <item x="2629"/>
        <item x="1879"/>
        <item x="656"/>
        <item x="725"/>
        <item x="1273"/>
        <item x="2487"/>
        <item x="446"/>
        <item x="2100"/>
        <item x="2752"/>
        <item x="753"/>
        <item x="978"/>
        <item x="1673"/>
        <item x="908"/>
        <item x="1216"/>
        <item x="1818"/>
        <item x="1798"/>
        <item x="1363"/>
        <item x="259"/>
        <item x="1164"/>
        <item x="2323"/>
        <item x="2010"/>
        <item x="336"/>
        <item x="2642"/>
        <item x="759"/>
        <item x="1535"/>
        <item x="1880"/>
        <item x="1184"/>
        <item x="925"/>
        <item x="674"/>
        <item x="1222"/>
        <item x="2729"/>
        <item x="1679"/>
        <item x="1287"/>
        <item x="2384"/>
        <item x="1614"/>
        <item x="2612"/>
        <item x="506"/>
        <item x="528"/>
        <item x="2443"/>
        <item x="73"/>
        <item x="1113"/>
        <item x="673"/>
        <item x="2270"/>
        <item x="2284"/>
        <item x="1506"/>
        <item x="683"/>
        <item x="2960"/>
        <item x="933"/>
        <item x="2490"/>
        <item x="1177"/>
        <item x="1754"/>
        <item x="998"/>
        <item x="301"/>
        <item x="1167"/>
        <item x="2710"/>
        <item x="2881"/>
        <item x="2309"/>
        <item x="1329"/>
        <item x="1815"/>
        <item x="225"/>
        <item x="2286"/>
        <item x="1249"/>
        <item x="386"/>
        <item x="881"/>
        <item x="1436"/>
        <item x="1402"/>
        <item x="473"/>
        <item x="1005"/>
        <item x="1070"/>
        <item x="1339"/>
        <item x="1382"/>
        <item x="2218"/>
        <item x="2367"/>
        <item x="1640"/>
        <item x="1633"/>
        <item x="52"/>
        <item x="1856"/>
        <item x="2149"/>
        <item x="2707"/>
        <item x="63"/>
        <item x="2191"/>
        <item x="2092"/>
        <item x="2717"/>
        <item x="1835"/>
        <item x="2197"/>
        <item x="2919"/>
        <item x="1365"/>
        <item x="527"/>
        <item x="1753"/>
        <item x="2243"/>
        <item x="2759"/>
        <item x="568"/>
        <item x="469"/>
        <item x="1169"/>
        <item x="181"/>
        <item x="1967"/>
        <item x="947"/>
        <item x="2019"/>
        <item x="1029"/>
        <item x="432"/>
        <item x="2073"/>
        <item x="1386"/>
        <item x="1250"/>
        <item x="1763"/>
        <item x="2002"/>
        <item x="554"/>
        <item x="31"/>
        <item x="2001"/>
        <item x="406"/>
        <item x="396"/>
        <item x="2188"/>
        <item x="2610"/>
        <item x="2741"/>
        <item x="2222"/>
        <item x="2801"/>
        <item x="375"/>
        <item x="1708"/>
        <item x="932"/>
        <item x="890"/>
        <item x="2413"/>
        <item x="2080"/>
        <item x="2851"/>
        <item x="2561"/>
        <item x="1224"/>
        <item x="2464"/>
        <item x="2823"/>
        <item x="1093"/>
        <item x="1410"/>
        <item x="2155"/>
        <item x="776"/>
        <item x="1540"/>
        <item x="605"/>
        <item x="1649"/>
        <item x="1800"/>
        <item x="1760"/>
        <item x="817"/>
        <item x="900"/>
        <item x="1358"/>
        <item x="2392"/>
        <item x="1611"/>
        <item x="428"/>
        <item x="1665"/>
        <item x="231"/>
        <item x="2470"/>
        <item x="1530"/>
        <item x="516"/>
        <item x="2789"/>
        <item x="1986"/>
        <item x="652"/>
        <item x="2435"/>
        <item x="853"/>
        <item x="2210"/>
        <item x="1588"/>
        <item x="1503"/>
        <item x="1304"/>
        <item x="1885"/>
        <item x="636"/>
        <item x="840"/>
        <item x="2854"/>
        <item x="1145"/>
        <item x="2372"/>
        <item x="1507"/>
        <item x="445"/>
        <item x="2944"/>
        <item x="610"/>
        <item x="289"/>
        <item x="1840"/>
        <item x="2837"/>
        <item x="1336"/>
        <item x="539"/>
        <item x="1590"/>
        <item x="495"/>
        <item x="895"/>
        <item x="2425"/>
        <item x="2833"/>
        <item x="961"/>
        <item x="907"/>
        <item x="2563"/>
        <item x="1361"/>
        <item x="1219"/>
        <item x="1181"/>
        <item x="2130"/>
        <item x="2018"/>
        <item x="321"/>
        <item x="2787"/>
        <item x="244"/>
        <item x="2442"/>
        <item x="2042"/>
        <item x="2941"/>
        <item x="686"/>
        <item x="1759"/>
        <item x="2722"/>
        <item x="236"/>
        <item x="1068"/>
        <item x="1458"/>
        <item x="2724"/>
        <item x="308"/>
        <item x="1494"/>
        <item x="1711"/>
        <item x="2484"/>
        <item x="949"/>
        <item x="2216"/>
        <item x="2836"/>
        <item x="2766"/>
        <item x="595"/>
        <item x="838"/>
        <item x="114"/>
        <item x="436"/>
        <item x="523"/>
        <item x="2180"/>
        <item x="120"/>
        <item x="451"/>
        <item x="1292"/>
        <item x="1725"/>
        <item x="2370"/>
        <item x="400"/>
        <item x="2692"/>
        <item x="262"/>
        <item x="882"/>
        <item x="1106"/>
        <item x="1450"/>
        <item x="872"/>
        <item x="2377"/>
        <item x="2956"/>
        <item x="2880"/>
        <item x="67"/>
        <item x="841"/>
        <item x="2802"/>
        <item x="124"/>
        <item x="1483"/>
        <item x="1775"/>
        <item x="2182"/>
        <item x="392"/>
        <item x="271"/>
        <item x="1938"/>
        <item x="2045"/>
        <item x="1863"/>
        <item x="156"/>
        <item x="1478"/>
        <item x="565"/>
        <item x="183"/>
        <item x="1112"/>
        <item x="1326"/>
        <item x="2448"/>
        <item x="711"/>
        <item x="1962"/>
        <item x="16"/>
        <item x="829"/>
        <item x="2677"/>
        <item x="893"/>
        <item x="1977"/>
        <item x="2584"/>
        <item x="1577"/>
        <item x="1643"/>
        <item x="2354"/>
        <item x="2781"/>
        <item x="1599"/>
        <item x="732"/>
        <item x="184"/>
        <item x="2311"/>
        <item x="839"/>
        <item x="1445"/>
        <item x="959"/>
        <item x="2930"/>
        <item x="2783"/>
        <item x="1537"/>
        <item x="1152"/>
        <item x="2811"/>
        <item x="559"/>
        <item x="2035"/>
        <item x="2075"/>
        <item x="2569"/>
        <item x="809"/>
        <item x="2617"/>
        <item x="1767"/>
        <item x="2350"/>
        <item x="517"/>
        <item x="865"/>
        <item x="2524"/>
        <item x="1173"/>
        <item x="2517"/>
        <item x="1765"/>
        <item x="807"/>
        <item x="2414"/>
        <item x="2126"/>
        <item x="2572"/>
        <item x="1371"/>
        <item x="1878"/>
        <item x="2190"/>
        <item x="660"/>
        <item x="176"/>
        <item x="2432"/>
        <item x="1350"/>
        <item x="1608"/>
        <item x="778"/>
        <item x="247"/>
        <item x="1569"/>
        <item x="1124"/>
        <item x="2049"/>
        <item x="2391"/>
        <item x="1721"/>
        <item x="5"/>
        <item x="1308"/>
        <item x="1174"/>
        <item x="349"/>
        <item x="1394"/>
        <item x="2410"/>
        <item x="2870"/>
        <item x="985"/>
        <item x="1344"/>
        <item x="1388"/>
        <item x="1542"/>
        <item x="2357"/>
        <item x="411"/>
        <item x="1240"/>
        <item x="2131"/>
        <item x="1469"/>
        <item x="2278"/>
        <item x="659"/>
        <item x="1915"/>
        <item x="1223"/>
        <item x="1101"/>
        <item x="2011"/>
        <item x="2178"/>
        <item x="708"/>
        <item x="1243"/>
        <item x="1864"/>
        <item x="322"/>
        <item x="1439"/>
        <item x="1208"/>
        <item x="2910"/>
        <item x="515"/>
        <item x="2693"/>
        <item x="148"/>
        <item x="1660"/>
        <item x="1092"/>
        <item x="1058"/>
        <item x="991"/>
        <item x="1913"/>
        <item x="2264"/>
        <item x="414"/>
        <item x="668"/>
        <item x="2321"/>
        <item x="1766"/>
        <item x="189"/>
        <item x="33"/>
        <item x="2139"/>
        <item x="2911"/>
        <item x="167"/>
        <item x="2050"/>
        <item x="2382"/>
        <item x="1802"/>
        <item x="2799"/>
        <item x="248"/>
        <item x="1425"/>
        <item x="2615"/>
        <item x="701"/>
        <item x="2887"/>
        <item x="2509"/>
        <item x="980"/>
        <item x="2090"/>
        <item x="12"/>
        <item x="92"/>
        <item x="2702"/>
        <item x="2360"/>
        <item x="1048"/>
        <item x="1910"/>
        <item x="1918"/>
        <item x="331"/>
        <item x="1420"/>
        <item x="2285"/>
        <item x="269"/>
        <item x="859"/>
        <item x="85"/>
        <item x="974"/>
        <item x="1821"/>
        <item x="1912"/>
        <item x="1586"/>
        <item x="1831"/>
        <item x="654"/>
        <item x="491"/>
        <item x="2540"/>
        <item x="119"/>
        <item x="1178"/>
        <item x="51"/>
        <item x="2929"/>
        <item x="2727"/>
        <item x="1039"/>
        <item x="1052"/>
        <item x="182"/>
        <item x="1306"/>
        <item x="2746"/>
        <item x="1694"/>
        <item x="1286"/>
        <item x="1859"/>
        <item x="612"/>
        <item x="1129"/>
        <item x="64"/>
        <item x="2621"/>
        <item x="862"/>
        <item x="788"/>
        <item x="1154"/>
        <item x="1185"/>
        <item x="488"/>
        <item x="1455"/>
        <item x="2772"/>
        <item x="2462"/>
        <item x="1373"/>
        <item x="1288"/>
        <item x="579"/>
        <item x="2841"/>
        <item x="2743"/>
        <item x="313"/>
        <item x="728"/>
        <item x="481"/>
        <item x="2747"/>
        <item x="2936"/>
        <item x="453"/>
        <item x="1999"/>
        <item x="2614"/>
        <item x="1868"/>
        <item x="1994"/>
        <item x="1737"/>
        <item x="6"/>
        <item x="240"/>
        <item x="57"/>
        <item x="1597"/>
        <item x="497"/>
        <item x="625"/>
        <item x="1961"/>
        <item x="707"/>
        <item x="2676"/>
        <item x="266"/>
        <item x="2103"/>
        <item x="1374"/>
        <item x="200"/>
        <item x="2957"/>
        <item x="2721"/>
        <item x="2667"/>
        <item x="1144"/>
        <item x="2239"/>
        <item x="2916"/>
        <item x="1776"/>
        <item x="122"/>
        <item x="2567"/>
        <item x="1078"/>
        <item x="2108"/>
        <item x="2209"/>
        <item x="633"/>
        <item x="2664"/>
        <item x="345"/>
        <item x="2900"/>
        <item x="2866"/>
        <item x="1316"/>
        <item x="1641"/>
        <item x="1115"/>
        <item x="2317"/>
        <item x="836"/>
        <item x="2699"/>
        <item x="27"/>
        <item x="1990"/>
        <item x="910"/>
        <item x="2297"/>
        <item x="1028"/>
        <item x="441"/>
        <item x="160"/>
        <item x="489"/>
        <item x="1974"/>
        <item x="713"/>
        <item x="672"/>
        <item x="1479"/>
        <item x="650"/>
        <item x="213"/>
        <item x="123"/>
        <item x="2548"/>
        <item x="1076"/>
        <item x="2415"/>
        <item x="270"/>
        <item x="2819"/>
        <item x="1773"/>
        <item x="1960"/>
        <item x="2207"/>
        <item x="54"/>
        <item x="1674"/>
        <item x="2698"/>
        <item x="2467"/>
        <item x="1715"/>
        <item x="1870"/>
        <item x="2755"/>
        <item x="2325"/>
        <item x="537"/>
        <item x="945"/>
        <item x="1131"/>
        <item x="2463"/>
        <item x="29"/>
        <item x="1275"/>
        <item x="143"/>
        <item x="2586"/>
        <item x="2906"/>
        <item x="1377"/>
        <item x="2884"/>
        <item x="1472"/>
        <item x="1950"/>
        <item x="2174"/>
        <item x="1682"/>
        <item x="1268"/>
        <item x="107"/>
        <item x="1424"/>
        <item x="1957"/>
        <item x="36"/>
        <item x="512"/>
        <item x="2219"/>
        <item x="2330"/>
        <item x="447"/>
        <item x="511"/>
        <item x="2076"/>
        <item x="762"/>
        <item x="2786"/>
        <item x="2041"/>
        <item x="1367"/>
        <item x="2516"/>
        <item x="835"/>
        <item x="435"/>
        <item x="1617"/>
        <item x="1370"/>
        <item x="417"/>
        <item x="1935"/>
        <item x="2189"/>
        <item x="2153"/>
        <item x="1453"/>
        <item x="742"/>
        <item x="2769"/>
        <item x="1777"/>
        <item x="754"/>
        <item x="420"/>
        <item x="856"/>
        <item x="2024"/>
        <item x="848"/>
        <item x="1650"/>
        <item x="831"/>
        <item x="548"/>
        <item x="380"/>
        <item x="2474"/>
        <item x="1466"/>
        <item x="2253"/>
        <item x="2684"/>
        <item x="2427"/>
        <item x="1824"/>
        <item x="2307"/>
        <item x="2843"/>
        <item x="2477"/>
        <item x="2456"/>
        <item x="2409"/>
        <item x="1346"/>
        <item x="944"/>
        <item x="2568"/>
        <item x="1130"/>
        <item x="830"/>
        <item x="55"/>
        <item x="2506"/>
        <item x="1385"/>
        <item x="2934"/>
        <item x="1876"/>
        <item x="1204"/>
        <item x="824"/>
        <item x="249"/>
        <item x="2171"/>
        <item x="2868"/>
        <item x="2745"/>
        <item x="536"/>
        <item x="870"/>
        <item x="263"/>
        <item x="2256"/>
        <item x="2051"/>
        <item x="2750"/>
        <item x="2423"/>
        <item x="593"/>
        <item x="44"/>
        <item x="2522"/>
        <item x="2057"/>
        <item x="540"/>
        <item x="377"/>
        <item x="116"/>
        <item x="948"/>
        <item x="196"/>
        <item x="1414"/>
        <item x="1062"/>
        <item x="2598"/>
        <item x="2891"/>
        <item x="1312"/>
        <item x="2761"/>
        <item x="492"/>
        <item x="957"/>
        <item x="2525"/>
        <item x="740"/>
        <item x="1982"/>
        <item x="2480"/>
        <item x="1663"/>
        <item x="1934"/>
        <item x="2537"/>
        <item x="1872"/>
        <item x="100"/>
        <item x="1932"/>
        <item x="1203"/>
        <item x="2071"/>
        <item x="1750"/>
        <item x="1014"/>
        <item x="696"/>
        <item x="1047"/>
        <item x="2928"/>
        <item x="1788"/>
        <item x="1010"/>
        <item x="1451"/>
        <item x="2774"/>
        <item x="1897"/>
        <item x="1553"/>
        <item x="2798"/>
        <item x="1201"/>
        <item x="275"/>
        <item x="288"/>
        <item x="395"/>
        <item x="2886"/>
        <item x="294"/>
        <item x="81"/>
        <item x="2110"/>
        <item x="1277"/>
        <item x="507"/>
        <item x="1866"/>
        <item x="887"/>
        <item x="1125"/>
        <item x="1707"/>
        <item x="1534"/>
        <item x="2958"/>
        <item x="2247"/>
        <item x="2756"/>
        <item x="2069"/>
        <item x="1392"/>
        <item x="834"/>
        <item x="1213"/>
        <item x="118"/>
        <item x="2341"/>
        <item x="2481"/>
        <item x="49"/>
        <item x="2265"/>
        <item x="1719"/>
        <item x="2961"/>
        <item x="2146"/>
        <item x="2305"/>
        <item x="2177"/>
        <item x="367"/>
        <item x="1520"/>
        <item x="1651"/>
        <item x="2897"/>
        <item x="1357"/>
        <item x="1019"/>
        <item x="1544"/>
        <item x="522"/>
        <item x="1056"/>
        <item x="76"/>
        <item x="1576"/>
        <item x="202"/>
        <item x="611"/>
        <item x="459"/>
        <item x="1787"/>
        <item x="229"/>
        <item x="1134"/>
        <item x="1523"/>
        <item x="2773"/>
        <item x="640"/>
        <item x="1166"/>
        <item x="860"/>
        <item x="1838"/>
        <item x="1030"/>
        <item x="1161"/>
        <item x="210"/>
        <item x="2308"/>
        <item x="889"/>
        <item x="1713"/>
        <item x="112"/>
        <item x="1528"/>
        <item x="2495"/>
        <item x="2634"/>
        <item x="988"/>
        <item x="2879"/>
        <item x="2458"/>
        <item x="2025"/>
        <item x="2077"/>
        <item x="2869"/>
        <item x="1620"/>
        <item x="810"/>
        <item x="2785"/>
        <item x="2893"/>
        <item x="1813"/>
        <item x="2820"/>
        <item x="2169"/>
        <item x="1132"/>
        <item x="246"/>
        <item x="2361"/>
        <item x="693"/>
        <item x="1853"/>
        <item x="2834"/>
        <item x="779"/>
        <item x="496"/>
        <item x="333"/>
        <item x="2106"/>
        <item x="1171"/>
        <item x="2436"/>
        <item x="2301"/>
        <item x="2932"/>
        <item x="13"/>
        <item x="2730"/>
        <item x="2151"/>
        <item x="32"/>
        <item x="390"/>
        <item x="1657"/>
        <item x="1066"/>
        <item x="1468"/>
        <item x="28"/>
        <item x="1197"/>
        <item x="2143"/>
        <item x="2493"/>
        <item x="206"/>
        <item x="222"/>
        <item x="2162"/>
        <item x="1972"/>
        <item x="535"/>
        <item x="883"/>
        <item x="1149"/>
        <item x="2552"/>
        <item x="760"/>
        <item x="2212"/>
        <item x="1271"/>
        <item x="1997"/>
        <item x="443"/>
        <item x="2620"/>
        <item x="1043"/>
        <item x="485"/>
        <item x="2346"/>
        <item x="2217"/>
        <item x="452"/>
        <item x="1770"/>
        <item x="1283"/>
        <item x="768"/>
        <item x="1016"/>
        <item x="718"/>
        <item x="702"/>
        <item x="1909"/>
        <item x="1783"/>
        <item x="1117"/>
        <item x="1622"/>
        <item x="2014"/>
        <item x="2709"/>
        <item x="1258"/>
        <item x="2526"/>
        <item x="2242"/>
        <item x="2438"/>
        <item x="1973"/>
        <item x="1"/>
        <item x="1160"/>
        <item x="2505"/>
        <item x="808"/>
        <item x="1079"/>
        <item x="1963"/>
        <item x="631"/>
        <item x="1949"/>
        <item x="1082"/>
        <item x="2032"/>
        <item x="2592"/>
        <item x="2821"/>
        <item x="501"/>
        <item x="607"/>
        <item x="1298"/>
        <item x="2280"/>
        <item x="1251"/>
        <item x="412"/>
        <item x="1441"/>
        <item x="2946"/>
        <item x="9"/>
        <item x="1826"/>
        <item x="1901"/>
        <item x="561"/>
        <item x="2452"/>
        <item x="705"/>
        <item x="1017"/>
        <item x="155"/>
        <item x="1389"/>
        <item x="647"/>
        <item x="478"/>
        <item x="2770"/>
        <item x="639"/>
        <item x="581"/>
        <item x="251"/>
        <item x="1917"/>
        <item x="190"/>
        <item x="1819"/>
        <item x="2740"/>
        <item x="1038"/>
        <item x="454"/>
        <item x="2036"/>
        <item x="2872"/>
        <item x="1803"/>
        <item x="1646"/>
        <item x="1980"/>
        <item x="245"/>
        <item x="1096"/>
        <item x="903"/>
        <item x="1552"/>
        <item x="2390"/>
        <item x="1008"/>
        <item x="475"/>
        <item x="2731"/>
        <item x="1296"/>
        <item x="549"/>
        <item x="584"/>
        <item x="15"/>
        <item x="1195"/>
        <item x="999"/>
        <item x="1940"/>
        <item x="603"/>
        <item x="2376"/>
        <item x="2830"/>
        <item x="1137"/>
        <item x="274"/>
        <item x="609"/>
        <item x="140"/>
        <item x="2508"/>
        <item x="1504"/>
        <item x="750"/>
        <item x="787"/>
        <item x="129"/>
        <item x="1904"/>
        <item x="1266"/>
        <item x="93"/>
        <item x="151"/>
        <item x="2293"/>
        <item x="1955"/>
        <item x="2603"/>
        <item x="2406"/>
        <item x="415"/>
        <item x="2816"/>
        <item x="340"/>
        <item x="2235"/>
        <item x="84"/>
        <item x="1842"/>
        <item x="1449"/>
        <item x="1718"/>
        <item x="448"/>
        <item x="2109"/>
        <item x="1282"/>
        <item x="384"/>
        <item x="1457"/>
        <item x="917"/>
        <item x="430"/>
        <item x="858"/>
        <item x="1985"/>
        <item x="896"/>
        <item x="1566"/>
        <item x="1406"/>
        <item x="97"/>
        <item x="2662"/>
        <item x="1090"/>
        <item x="2138"/>
        <item x="737"/>
        <item x="1602"/>
        <item x="356"/>
        <item x="867"/>
        <item x="146"/>
        <item x="1187"/>
        <item x="166"/>
        <item x="1558"/>
        <item x="1979"/>
        <item x="1610"/>
        <item x="78"/>
        <item x="2581"/>
        <item x="2790"/>
        <item x="1907"/>
        <item x="2147"/>
        <item x="2245"/>
        <item x="1440"/>
        <item x="2326"/>
        <item x="2283"/>
        <item x="1647"/>
        <item x="2812"/>
        <item x="1353"/>
        <item x="2275"/>
        <item x="2386"/>
        <item x="1522"/>
        <item x="1939"/>
        <item x="1311"/>
        <item x="1464"/>
        <item x="284"/>
        <item x="958"/>
        <item x="1431"/>
        <item x="2712"/>
        <item x="921"/>
        <item x="393"/>
        <item x="2852"/>
        <item x="1139"/>
        <item x="2393"/>
        <item x="193"/>
        <item x="938"/>
        <item x="700"/>
        <item x="102"/>
        <item x="1595"/>
        <item x="1975"/>
        <item x="95"/>
        <item x="1278"/>
        <item x="1481"/>
        <item x="770"/>
        <item x="1170"/>
        <item x="1536"/>
        <item x="2404"/>
        <item x="1490"/>
        <item x="1637"/>
        <item x="509"/>
        <item x="480"/>
        <item x="624"/>
        <item x="1042"/>
        <item x="2082"/>
        <item x="964"/>
        <item x="2744"/>
        <item x="77"/>
        <item x="163"/>
        <item x="1127"/>
        <item x="1153"/>
        <item x="2683"/>
        <item x="1570"/>
        <item x="1461"/>
        <item x="316"/>
        <item x="1143"/>
        <item x="542"/>
        <item x="1302"/>
        <item x="2511"/>
        <item x="557"/>
        <item x="1983"/>
        <item x="971"/>
        <item x="812"/>
        <item x="905"/>
        <item x="1157"/>
        <item x="1699"/>
        <item x="43"/>
        <item x="2121"/>
        <item x="147"/>
        <item x="1629"/>
        <item x="629"/>
        <item x="2238"/>
        <item x="1179"/>
        <item x="601"/>
        <item x="878"/>
        <item x="2291"/>
        <item x="1281"/>
        <item x="61"/>
        <item x="1379"/>
        <item x="242"/>
        <item x="1299"/>
        <item x="1860"/>
        <item x="1951"/>
        <item x="1190"/>
        <item x="1126"/>
        <item x="1883"/>
        <item x="873"/>
        <item x="1290"/>
        <item x="2882"/>
        <item x="1655"/>
        <item x="2885"/>
        <item x="1996"/>
        <item x="2871"/>
        <item x="1128"/>
        <item x="692"/>
        <item x="2472"/>
        <item x="2340"/>
        <item x="2157"/>
        <item x="2465"/>
        <item x="2947"/>
        <item x="2904"/>
        <item x="1293"/>
        <item x="1036"/>
        <item x="470"/>
        <item x="1071"/>
        <item x="2105"/>
        <item x="207"/>
        <item x="1510"/>
        <item x="1391"/>
        <item x="869"/>
        <item x="936"/>
        <item x="2523"/>
        <item x="923"/>
        <item x="1782"/>
        <item x="1241"/>
        <item x="2795"/>
        <item x="843"/>
        <item x="1000"/>
        <item x="1927"/>
        <item x="2557"/>
        <item x="1873"/>
        <item x="2600"/>
        <item x="1605"/>
        <item x="2461"/>
        <item x="1253"/>
        <item x="461"/>
        <item x="2792"/>
        <item x="280"/>
        <item x="1380"/>
        <item x="1922"/>
        <item x="1604"/>
        <item x="2814"/>
        <item x="2248"/>
        <item x="2064"/>
        <item x="1020"/>
        <item x="2241"/>
        <item x="2688"/>
        <item x="450"/>
        <item x="465"/>
        <item x="2232"/>
        <item x="2937"/>
        <item x="318"/>
        <item x="2306"/>
        <item x="86"/>
        <item x="197"/>
        <item x="1592"/>
        <item x="1685"/>
        <item x="1508"/>
        <item x="2679"/>
        <item x="1701"/>
        <item x="894"/>
        <item x="154"/>
        <item x="238"/>
        <item x="1677"/>
        <item x="363"/>
        <item x="719"/>
        <item x="1318"/>
        <item x="2229"/>
        <item x="25"/>
        <item x="2428"/>
        <item x="233"/>
        <item x="1015"/>
        <item x="929"/>
        <item x="79"/>
        <item x="295"/>
        <item x="243"/>
        <item x="2476"/>
        <item x="458"/>
        <item x="687"/>
        <item x="2441"/>
        <item x="1841"/>
        <item x="1348"/>
        <item x="298"/>
        <item x="1254"/>
        <item x="928"/>
        <item x="1104"/>
        <item x="1619"/>
        <item x="1733"/>
        <item x="1033"/>
        <item x="972"/>
        <item x="2948"/>
        <item x="366"/>
        <item x="2194"/>
        <item x="2575"/>
        <item x="2135"/>
        <item x="401"/>
        <item x="2608"/>
        <item x="1851"/>
        <item x="2269"/>
        <item x="615"/>
        <item x="361"/>
        <item x="2771"/>
        <item x="783"/>
        <item x="2943"/>
        <item x="689"/>
        <item x="1989"/>
        <item x="1615"/>
        <item x="174"/>
        <item x="462"/>
        <item x="2419"/>
        <item x="476"/>
        <item x="1003"/>
        <item x="694"/>
        <item x="371"/>
        <item x="2037"/>
        <item x="1022"/>
        <item x="168"/>
        <item x="909"/>
        <item x="425"/>
        <item x="1538"/>
        <item x="330"/>
        <item x="1846"/>
        <item x="941"/>
        <item x="1811"/>
        <item x="2762"/>
        <item x="547"/>
        <item x="232"/>
        <item x="1893"/>
        <item x="260"/>
        <item x="434"/>
        <item x="2457"/>
        <item x="2942"/>
        <item x="675"/>
        <item x="1084"/>
        <item x="2101"/>
        <item x="1988"/>
        <item x="2198"/>
        <item x="302"/>
        <item x="2878"/>
        <item x="2170"/>
        <item x="1364"/>
        <item x="1833"/>
        <item x="41"/>
        <item x="98"/>
        <item x="2347"/>
        <item x="58"/>
        <item x="1247"/>
        <item x="804"/>
        <item x="2028"/>
        <item x="583"/>
        <item x="185"/>
        <item x="2250"/>
        <item x="2246"/>
        <item x="832"/>
        <item x="1954"/>
        <item x="2585"/>
        <item x="682"/>
        <item x="635"/>
        <item x="265"/>
        <item x="2029"/>
        <item x="2622"/>
        <item x="931"/>
        <item x="1613"/>
        <item x="2663"/>
        <item x="2004"/>
        <item x="825"/>
        <item x="235"/>
        <item x="2555"/>
        <item x="1202"/>
        <item x="1681"/>
        <item x="2551"/>
        <item x="145"/>
        <item x="138"/>
        <item x="1368"/>
        <item x="2515"/>
        <item x="1233"/>
        <item x="255"/>
        <item x="1567"/>
        <item x="209"/>
        <item x="2013"/>
        <item x="2213"/>
        <item x="2700"/>
        <item x="2860"/>
        <item x="2236"/>
        <item x="188"/>
        <item x="1571"/>
        <item x="2039"/>
        <item x="1616"/>
        <item x="1444"/>
        <item x="2840"/>
        <item x="130"/>
        <item x="1832"/>
        <item x="1689"/>
        <item x="2858"/>
        <item x="714"/>
        <item x="1920"/>
        <item x="1245"/>
        <item x="1463"/>
        <item x="1476"/>
        <item x="2541"/>
        <item x="2861"/>
        <item x="303"/>
        <item x="688"/>
        <item x="1035"/>
        <item x="1796"/>
        <item x="354"/>
        <item x="1946"/>
        <item x="2424"/>
        <item x="172"/>
        <item x="1740"/>
        <item x="2199"/>
        <item x="2027"/>
        <item x="2725"/>
        <item x="2822"/>
        <item x="325"/>
        <item x="1352"/>
        <item x="2096"/>
        <item x="736"/>
        <item x="1705"/>
        <item x="2260"/>
        <item x="2623"/>
        <item x="1180"/>
        <item x="1514"/>
        <item x="223"/>
        <item x="1914"/>
        <item x="797"/>
        <item x="2726"/>
        <item x="1762"/>
        <item x="2353"/>
        <item x="2805"/>
        <item x="2351"/>
        <item x="1041"/>
        <item x="2539"/>
        <item x="2079"/>
        <item x="2434"/>
        <item x="1248"/>
        <item x="1091"/>
        <item x="871"/>
        <item x="1511"/>
        <item x="2611"/>
        <item x="715"/>
        <item x="471"/>
        <item x="2202"/>
        <item x="784"/>
        <item x="1067"/>
        <item x="2363"/>
        <item x="2087"/>
        <item x="2938"/>
        <item x="2262"/>
        <item x="2205"/>
        <item x="1924"/>
        <item x="757"/>
        <item x="1215"/>
        <item x="418"/>
        <item x="2048"/>
        <item x="975"/>
        <item x="669"/>
        <item x="1279"/>
        <item x="1294"/>
        <item x="995"/>
        <item x="253"/>
        <item x="1349"/>
        <item x="2650"/>
        <item x="1159"/>
        <item x="2006"/>
        <item x="2951"/>
        <item x="1393"/>
        <item x="2148"/>
        <item x="1911"/>
        <item x="950"/>
        <item x="2056"/>
        <item x="1264"/>
        <item x="268"/>
        <item x="285"/>
        <item x="117"/>
        <item x="2185"/>
        <item x="789"/>
        <item x="237"/>
        <item x="1757"/>
        <item x="351"/>
        <item x="1823"/>
        <item x="1489"/>
        <item x="2152"/>
        <item x="171"/>
        <item x="157"/>
        <item x="677"/>
        <item x="2924"/>
        <item x="1525"/>
        <item x="706"/>
        <item x="1477"/>
        <item x="2864"/>
        <item x="1417"/>
        <item x="2221"/>
        <item x="780"/>
        <item x="1194"/>
        <item x="1894"/>
        <item x="2365"/>
        <item x="1794"/>
        <item x="2867"/>
        <item x="449"/>
        <item x="935"/>
        <item x="2753"/>
        <item x="68"/>
        <item x="691"/>
        <item x="423"/>
        <item x="1551"/>
        <item x="2817"/>
        <item x="897"/>
        <item x="282"/>
        <item x="173"/>
        <item x="317"/>
        <item x="1218"/>
        <item x="1895"/>
        <item x="766"/>
        <item x="133"/>
        <item x="169"/>
        <item x="1812"/>
        <item x="2902"/>
        <item x="2240"/>
        <item x="277"/>
        <item x="442"/>
        <item x="39"/>
        <item x="922"/>
        <item x="20"/>
        <item x="2195"/>
        <item x="1334"/>
        <item x="799"/>
        <item x="2778"/>
        <item x="641"/>
        <item x="2403"/>
        <item x="510"/>
        <item x="1745"/>
        <item x="2156"/>
        <item x="2933"/>
        <item x="1779"/>
        <item x="440"/>
        <item x="2228"/>
        <item x="620"/>
        <item x="1658"/>
        <item x="2580"/>
        <item x="1443"/>
        <item x="482"/>
        <item x="2446"/>
        <item x="846"/>
        <item x="2670"/>
        <item x="65"/>
        <item x="60"/>
        <item x="2681"/>
        <item x="596"/>
        <item x="1411"/>
        <item x="2150"/>
        <item x="1626"/>
        <item x="306"/>
        <item x="1700"/>
        <item x="2626"/>
        <item x="1669"/>
        <item x="1488"/>
        <item x="2779"/>
        <item x="1004"/>
        <item x="2175"/>
        <item x="1317"/>
        <item t="default"/>
      </items>
    </pivotField>
    <pivotField showAll="0"/>
    <pivotField showAll="0"/>
    <pivotField showAll="0"/>
    <pivotField showAll="0"/>
    <pivotField showAll="0" defaultSubtotal="0"/>
  </pivotFields>
  <rowFields count="1">
    <field x="-2"/>
  </rowFields>
  <rowItems count="4">
    <i>
      <x/>
    </i>
    <i i="1">
      <x v="1"/>
    </i>
    <i i="2">
      <x v="2"/>
    </i>
    <i i="3">
      <x v="3"/>
    </i>
  </rowItems>
  <colItems count="1">
    <i/>
  </colItems>
  <dataFields count="4">
    <dataField name="Count of Order_ID" fld="0" subtotal="count" baseField="0" baseItem="0"/>
    <dataField name="Sum of Revenue" fld="11" baseField="0" baseItem="0" numFmtId="166"/>
    <dataField name="Sum of Quantity" fld="8" baseField="0" baseItem="0" numFmtId="167"/>
    <dataField name="Average of Revenue" fld="11" subtotal="average" baseField="0" baseItem="1" numFmtId="167"/>
  </dataFields>
  <formats count="3">
    <format dxfId="66">
      <pivotArea outline="0" collapsedLevelsAreSubtotals="1" fieldPosition="0">
        <references count="1">
          <reference field="4294967294" count="1" selected="0">
            <x v="3"/>
          </reference>
        </references>
      </pivotArea>
    </format>
    <format dxfId="65">
      <pivotArea outline="0" collapsedLevelsAreSubtotals="1" fieldPosition="0">
        <references count="1">
          <reference field="4294967294" count="1" selected="0">
            <x v="1"/>
          </reference>
        </references>
      </pivotArea>
    </format>
    <format dxfId="64">
      <pivotArea outline="0" collapsedLevelsAreSubtotals="1" fieldPosition="0">
        <references count="1">
          <reference field="4294967294" count="1" selected="0">
            <x v="2"/>
          </reference>
        </references>
      </pivotArea>
    </format>
  </formats>
  <chartFormats count="4">
    <chartFormat chart="0" format="9" series="1">
      <pivotArea type="data" outline="0" fieldPosition="0">
        <references count="1">
          <reference field="4294967294" count="1" selected="0">
            <x v="1"/>
          </reference>
        </references>
      </pivotArea>
    </chartFormat>
    <chartFormat chart="0" format="10" series="1">
      <pivotArea type="data" outline="0" fieldPosition="0">
        <references count="1">
          <reference field="4294967294" count="1" selected="0">
            <x v="2"/>
          </reference>
        </references>
      </pivotArea>
    </chartFormat>
    <chartFormat chart="0" format="11" series="1">
      <pivotArea type="data" outline="0" fieldPosition="0">
        <references count="1">
          <reference field="4294967294" count="1" selected="0">
            <x v="3"/>
          </reference>
        </references>
      </pivotArea>
    </chartFormat>
    <chartFormat chart="0"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0D8AE9-AACE-45C8-BD71-B68E6C053245}" sourceName="Region">
  <pivotTables>
    <pivotTable tabId="11" name="PivotTable1"/>
    <pivotTable tabId="12" name="PivotTable2"/>
    <pivotTable tabId="14" name="PivotTable1"/>
    <pivotTable tabId="7" name="PivotTable3"/>
    <pivotTable tabId="8" name="PivotTable4"/>
    <pivotTable tabId="9" name="PivotTable5"/>
    <pivotTable tabId="10" name="PivotTable6"/>
  </pivotTables>
  <data>
    <tabular pivotCacheId="2140213323">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2BE477C-7C96-4DD8-BAE5-64CAE22FBFC8}" sourceName="Category">
  <pivotTables>
    <pivotTable tabId="11" name="PivotTable1"/>
    <pivotTable tabId="12" name="PivotTable2"/>
    <pivotTable tabId="14" name="PivotTable1"/>
    <pivotTable tabId="7" name="PivotTable3"/>
    <pivotTable tabId="8" name="PivotTable4"/>
    <pivotTable tabId="9" name="PivotTable5"/>
    <pivotTable tabId="10" name="PivotTable6"/>
  </pivotTables>
  <data>
    <tabular pivotCacheId="2140213323">
      <items count="7">
        <i x="6" s="1"/>
        <i x="2" s="1"/>
        <i x="5" s="1"/>
        <i x="3"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7FDDA56-EEB5-4017-B6D0-0FDA21E7ADA5}" sourceName="Channel">
  <pivotTables>
    <pivotTable tabId="11" name="PivotTable1"/>
    <pivotTable tabId="12" name="PivotTable2"/>
    <pivotTable tabId="14" name="PivotTable1"/>
    <pivotTable tabId="7" name="PivotTable3"/>
    <pivotTable tabId="8" name="PivotTable4"/>
    <pivotTable tabId="9" name="PivotTable5"/>
    <pivotTable tabId="10" name="PivotTable6"/>
  </pivotTables>
  <data>
    <tabular pivotCacheId="214021332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2765B3E-3A6C-4BA4-BD30-4FC3F494B550}" cache="Slicer_Region" caption="Region" style="SlicerStyleLight3" rowHeight="241300"/>
  <slicer name="Category" xr10:uid="{21DE8966-26A1-4522-A651-303CFFD0002E}" cache="Slicer_Category" caption="Category" style="SlicerStyleLight4" rowHeight="241300"/>
  <slicer name="Channel" xr10:uid="{E934FA61-3A0D-41E6-B344-A6FDE61EE1F9}" cache="Slicer_Channel" caption="Channel"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5151B3-CF11-4A49-8037-CEE11B1A042B}" name="Table1" displayName="Table1" ref="A1:P3001" totalsRowShown="0">
  <autoFilter ref="A1:P3001" xr:uid="{D65151B3-CF11-4A49-8037-CEE11B1A042B}"/>
  <tableColumns count="16">
    <tableColumn id="1" xr3:uid="{584DC965-2E7C-4B59-9E2E-44564D29D9C4}" name="Order_ID"/>
    <tableColumn id="2" xr3:uid="{4C217E7C-8A31-49A0-B16E-0B96E9491AEB}" name="Order_Date" dataDxfId="67"/>
    <tableColumn id="3" xr3:uid="{B16609EA-7E6E-4B8F-9461-8DB3DBD76D97}" name="City"/>
    <tableColumn id="4" xr3:uid="{328CA1DD-1F88-47E4-9B3C-A9325CFAB3E4}" name="Region"/>
    <tableColumn id="5" xr3:uid="{436DA6D1-75B7-410F-8E61-38530545437E}" name="Category"/>
    <tableColumn id="6" xr3:uid="{09487E4C-48DB-4100-A9DF-2F97A605D098}" name="Product"/>
    <tableColumn id="7" xr3:uid="{9FE367E8-1FD6-407A-9290-6E482FC00EA4}" name="Channel"/>
    <tableColumn id="8" xr3:uid="{856FD4B5-BE68-4A40-AA6F-1BE4DEC50DBC}" name="Customer_Segment"/>
    <tableColumn id="9" xr3:uid="{EEA890AF-2050-4C53-850B-1C02166D6E9A}" name="Quantity"/>
    <tableColumn id="10" xr3:uid="{3E0C8F2C-E27B-4F71-AE78-ED6FDC2428FA}" name="Unit_Price"/>
    <tableColumn id="11" xr3:uid="{9A08DA8A-C8C8-407A-ADF7-E3E5950CBFB8}" name="Discount"/>
    <tableColumn id="12" xr3:uid="{A152FD78-A834-4D8D-B974-9F8A8C89D328}" name="Revenue"/>
    <tableColumn id="13" xr3:uid="{E8AB7C08-0D89-42DA-BDD9-DD727A8E69F5}" name="Cost"/>
    <tableColumn id="14" xr3:uid="{3AB96E33-0AFF-4A1E-B4E8-151FDC08BECB}" name="Profit"/>
    <tableColumn id="15" xr3:uid="{5B6DACD3-D0C0-4E50-8172-DEF9A4C95730}" name="Payment_Method"/>
    <tableColumn id="16" xr3:uid="{74ABB378-E5A9-48AB-A2C6-38BD68A93EFB}" name="Salespers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FBC4DA-8540-49CD-B622-2D9620E4321B}" name="Table2" displayName="Table2" ref="A1:P3001" totalsRowShown="0" headerRowDxfId="63" headerRowBorderDxfId="62" tableBorderDxfId="61">
  <autoFilter ref="A1:P3001" xr:uid="{80FBC4DA-8540-49CD-B622-2D9620E4321B}"/>
  <tableColumns count="16">
    <tableColumn id="1" xr3:uid="{D59E4EF1-B77D-4285-AB3F-F8DA9E2BBE20}" name="Order_ID"/>
    <tableColumn id="2" xr3:uid="{C343D975-8267-4CBD-8639-0847AC003FE4}" name="Order_Date" dataDxfId="60"/>
    <tableColumn id="3" xr3:uid="{194C5425-5C76-4C29-BE20-B55EC99C9BB4}" name="City"/>
    <tableColumn id="4" xr3:uid="{8AF0D1B7-D204-44AC-AD90-394469B4622B}" name="Region"/>
    <tableColumn id="5" xr3:uid="{799C91AE-35A0-4243-91F0-CB4193275A85}" name="Category"/>
    <tableColumn id="6" xr3:uid="{FBEF5566-20CB-4642-96F4-656694412C1F}" name="Product"/>
    <tableColumn id="7" xr3:uid="{6B605E68-34AF-477F-8681-E53DE8284F4F}" name="Channel"/>
    <tableColumn id="8" xr3:uid="{912B7912-3FB6-4E5B-A962-5AAC7FEEB4BA}" name="Customer_Segment"/>
    <tableColumn id="9" xr3:uid="{2D3ED040-4D58-42CD-BFBB-D855C20687E3}" name="Quantity"/>
    <tableColumn id="10" xr3:uid="{8161717A-99AE-458D-A40D-5EBD5680108C}" name="Unit_Price"/>
    <tableColumn id="11" xr3:uid="{44A2C80B-3EA6-4788-B7A8-DE83DB931D45}" name="Discount"/>
    <tableColumn id="12" xr3:uid="{DFCAAB39-80C6-4C49-86F7-82ADF3FD6091}" name="Revenue"/>
    <tableColumn id="13" xr3:uid="{3C3E4F04-CD76-4B90-92DD-8D5A3B113DF8}" name="Cost"/>
    <tableColumn id="14" xr3:uid="{C1E72743-5794-4EF8-8C94-9E7475473330}" name="Profit"/>
    <tableColumn id="15" xr3:uid="{AAFE1B71-1D33-4EE1-A3DA-41485041EB5D}" name="Payment_Method"/>
    <tableColumn id="16" xr3:uid="{E3B34561-F3E3-42E7-90FA-FBBFBD6F156C}" name="Salespers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4E215-CE56-415E-B546-2AAC08A64087}">
  <dimension ref="A1:B9"/>
  <sheetViews>
    <sheetView workbookViewId="0">
      <selection activeCell="B2" sqref="B2"/>
    </sheetView>
  </sheetViews>
  <sheetFormatPr defaultRowHeight="15" x14ac:dyDescent="0.25"/>
  <cols>
    <col min="1" max="1" width="16.5703125" bestFit="1" customWidth="1"/>
    <col min="2" max="2" width="15.5703125" bestFit="1" customWidth="1"/>
  </cols>
  <sheetData>
    <row r="1" spans="1:2" x14ac:dyDescent="0.25">
      <c r="A1" s="4" t="s">
        <v>89</v>
      </c>
      <c r="B1" t="s">
        <v>91</v>
      </c>
    </row>
    <row r="2" spans="1:2" x14ac:dyDescent="0.25">
      <c r="A2" s="5" t="s">
        <v>30</v>
      </c>
      <c r="B2" s="34">
        <v>58541983.649999991</v>
      </c>
    </row>
    <row r="3" spans="1:2" x14ac:dyDescent="0.25">
      <c r="A3" s="5" t="s">
        <v>33</v>
      </c>
      <c r="B3" s="34">
        <v>50032633.300000027</v>
      </c>
    </row>
    <row r="4" spans="1:2" x14ac:dyDescent="0.25">
      <c r="A4" s="5" t="s">
        <v>32</v>
      </c>
      <c r="B4" s="34">
        <v>23764236.599999994</v>
      </c>
    </row>
    <row r="5" spans="1:2" x14ac:dyDescent="0.25">
      <c r="A5" s="5" t="s">
        <v>29</v>
      </c>
      <c r="B5" s="34">
        <v>11242005.449999999</v>
      </c>
    </row>
    <row r="6" spans="1:2" x14ac:dyDescent="0.25">
      <c r="A6" s="5" t="s">
        <v>34</v>
      </c>
      <c r="B6" s="34">
        <v>5728406.6999999974</v>
      </c>
    </row>
    <row r="7" spans="1:2" x14ac:dyDescent="0.25">
      <c r="A7" s="5" t="s">
        <v>28</v>
      </c>
      <c r="B7" s="34">
        <v>2296024.1000000006</v>
      </c>
    </row>
    <row r="8" spans="1:2" x14ac:dyDescent="0.25">
      <c r="A8" s="5" t="s">
        <v>31</v>
      </c>
      <c r="B8" s="34">
        <v>2130446.5499999998</v>
      </c>
    </row>
    <row r="9" spans="1:2" x14ac:dyDescent="0.25">
      <c r="A9" s="5" t="s">
        <v>90</v>
      </c>
      <c r="B9" s="34">
        <v>153735736.34999999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CB0ED-2507-41B3-95F4-CB1B78BBC814}">
  <dimension ref="A3:B8"/>
  <sheetViews>
    <sheetView workbookViewId="0">
      <selection activeCell="Q12" sqref="Q12"/>
    </sheetView>
  </sheetViews>
  <sheetFormatPr defaultRowHeight="15" x14ac:dyDescent="0.25"/>
  <cols>
    <col min="1" max="1" width="13.140625" bestFit="1" customWidth="1"/>
    <col min="2" max="2" width="15.5703125" bestFit="1" customWidth="1"/>
  </cols>
  <sheetData>
    <row r="3" spans="1:2" x14ac:dyDescent="0.25">
      <c r="A3" s="4" t="s">
        <v>89</v>
      </c>
      <c r="B3" t="s">
        <v>91</v>
      </c>
    </row>
    <row r="4" spans="1:2" x14ac:dyDescent="0.25">
      <c r="A4" s="5" t="s">
        <v>25</v>
      </c>
      <c r="B4" s="34">
        <v>11660328.350000003</v>
      </c>
    </row>
    <row r="5" spans="1:2" x14ac:dyDescent="0.25">
      <c r="A5" s="5" t="s">
        <v>27</v>
      </c>
      <c r="B5" s="34">
        <v>23145863.049999997</v>
      </c>
    </row>
    <row r="6" spans="1:2" x14ac:dyDescent="0.25">
      <c r="A6" s="5" t="s">
        <v>24</v>
      </c>
      <c r="B6" s="34">
        <v>53630436.150000013</v>
      </c>
    </row>
    <row r="7" spans="1:2" x14ac:dyDescent="0.25">
      <c r="A7" s="5" t="s">
        <v>26</v>
      </c>
      <c r="B7" s="34">
        <v>65299108.799999967</v>
      </c>
    </row>
    <row r="8" spans="1:2" x14ac:dyDescent="0.25">
      <c r="A8" s="5" t="s">
        <v>90</v>
      </c>
      <c r="B8" s="34">
        <v>153735736.34999996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F66BA-090F-4AE5-9083-1E58FC44B289}">
  <dimension ref="A3:B17"/>
  <sheetViews>
    <sheetView workbookViewId="0">
      <selection activeCell="H37" sqref="H37"/>
    </sheetView>
  </sheetViews>
  <sheetFormatPr defaultRowHeight="15" x14ac:dyDescent="0.25"/>
  <cols>
    <col min="1" max="1" width="13.140625" bestFit="1" customWidth="1"/>
    <col min="2" max="2" width="15.5703125" bestFit="1" customWidth="1"/>
  </cols>
  <sheetData>
    <row r="3" spans="1:2" x14ac:dyDescent="0.25">
      <c r="A3" s="4" t="s">
        <v>89</v>
      </c>
      <c r="B3" t="s">
        <v>91</v>
      </c>
    </row>
    <row r="4" spans="1:2" x14ac:dyDescent="0.25">
      <c r="A4" s="5" t="s">
        <v>109</v>
      </c>
      <c r="B4" s="34">
        <v>153735736.34999999</v>
      </c>
    </row>
    <row r="5" spans="1:2" x14ac:dyDescent="0.25">
      <c r="A5" s="6" t="s">
        <v>97</v>
      </c>
      <c r="B5" s="34">
        <v>13395211.000000002</v>
      </c>
    </row>
    <row r="6" spans="1:2" x14ac:dyDescent="0.25">
      <c r="A6" s="6" t="s">
        <v>98</v>
      </c>
      <c r="B6" s="34">
        <v>13198232.449999996</v>
      </c>
    </row>
    <row r="7" spans="1:2" x14ac:dyDescent="0.25">
      <c r="A7" s="6" t="s">
        <v>99</v>
      </c>
      <c r="B7" s="34">
        <v>11548969.850000003</v>
      </c>
    </row>
    <row r="8" spans="1:2" x14ac:dyDescent="0.25">
      <c r="A8" s="6" t="s">
        <v>100</v>
      </c>
      <c r="B8" s="34">
        <v>15258352.849999998</v>
      </c>
    </row>
    <row r="9" spans="1:2" x14ac:dyDescent="0.25">
      <c r="A9" s="6" t="s">
        <v>101</v>
      </c>
      <c r="B9" s="34">
        <v>13521470.899999995</v>
      </c>
    </row>
    <row r="10" spans="1:2" x14ac:dyDescent="0.25">
      <c r="A10" s="6" t="s">
        <v>102</v>
      </c>
      <c r="B10" s="34">
        <v>9756395.6999999993</v>
      </c>
    </row>
    <row r="11" spans="1:2" x14ac:dyDescent="0.25">
      <c r="A11" s="6" t="s">
        <v>103</v>
      </c>
      <c r="B11" s="34">
        <v>10121022.5</v>
      </c>
    </row>
    <row r="12" spans="1:2" x14ac:dyDescent="0.25">
      <c r="A12" s="6" t="s">
        <v>104</v>
      </c>
      <c r="B12" s="34">
        <v>14487438.149999993</v>
      </c>
    </row>
    <row r="13" spans="1:2" x14ac:dyDescent="0.25">
      <c r="A13" s="6" t="s">
        <v>105</v>
      </c>
      <c r="B13" s="34">
        <v>13640039.799999999</v>
      </c>
    </row>
    <row r="14" spans="1:2" x14ac:dyDescent="0.25">
      <c r="A14" s="6" t="s">
        <v>106</v>
      </c>
      <c r="B14" s="34">
        <v>12957275.200000005</v>
      </c>
    </row>
    <row r="15" spans="1:2" x14ac:dyDescent="0.25">
      <c r="A15" s="6" t="s">
        <v>107</v>
      </c>
      <c r="B15" s="34">
        <v>13446326.050000006</v>
      </c>
    </row>
    <row r="16" spans="1:2" x14ac:dyDescent="0.25">
      <c r="A16" s="6" t="s">
        <v>108</v>
      </c>
      <c r="B16" s="34">
        <v>12405001.899999999</v>
      </c>
    </row>
    <row r="17" spans="1:2" x14ac:dyDescent="0.25">
      <c r="A17" s="5" t="s">
        <v>90</v>
      </c>
      <c r="B17" s="34">
        <v>153735736.34999999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3150A-E038-427D-870C-7643B01A2C78}">
  <dimension ref="A3:B7"/>
  <sheetViews>
    <sheetView workbookViewId="0">
      <selection activeCell="H11" sqref="H11"/>
    </sheetView>
  </sheetViews>
  <sheetFormatPr defaultRowHeight="15" x14ac:dyDescent="0.25"/>
  <cols>
    <col min="1" max="1" width="13.140625" bestFit="1" customWidth="1"/>
    <col min="2" max="2" width="15.5703125" bestFit="1" customWidth="1"/>
  </cols>
  <sheetData>
    <row r="3" spans="1:2" x14ac:dyDescent="0.25">
      <c r="A3" s="4" t="s">
        <v>89</v>
      </c>
      <c r="B3" t="s">
        <v>91</v>
      </c>
    </row>
    <row r="4" spans="1:2" x14ac:dyDescent="0.25">
      <c r="A4" s="5" t="s">
        <v>70</v>
      </c>
      <c r="B4" s="34">
        <v>52418356.299999997</v>
      </c>
    </row>
    <row r="5" spans="1:2" x14ac:dyDescent="0.25">
      <c r="A5" s="5" t="s">
        <v>71</v>
      </c>
      <c r="B5" s="34">
        <v>53269712.100000024</v>
      </c>
    </row>
    <row r="6" spans="1:2" x14ac:dyDescent="0.25">
      <c r="A6" s="5" t="s">
        <v>72</v>
      </c>
      <c r="B6" s="34">
        <v>48047667.949999973</v>
      </c>
    </row>
    <row r="7" spans="1:2" x14ac:dyDescent="0.25">
      <c r="A7" s="5" t="s">
        <v>90</v>
      </c>
      <c r="B7" s="34">
        <v>153735736.34999999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FD436-91A0-4829-9AD1-ED2355E3DF07}">
  <dimension ref="A3:B14"/>
  <sheetViews>
    <sheetView workbookViewId="0">
      <selection activeCell="A4" sqref="A4"/>
    </sheetView>
  </sheetViews>
  <sheetFormatPr defaultRowHeight="15" x14ac:dyDescent="0.25"/>
  <cols>
    <col min="1" max="1" width="13.5703125" bestFit="1" customWidth="1"/>
    <col min="2" max="2" width="15.5703125" bestFit="1" customWidth="1"/>
  </cols>
  <sheetData>
    <row r="3" spans="1:2" x14ac:dyDescent="0.25">
      <c r="A3" s="4" t="s">
        <v>89</v>
      </c>
      <c r="B3" t="s">
        <v>91</v>
      </c>
    </row>
    <row r="4" spans="1:2" x14ac:dyDescent="0.25">
      <c r="A4" s="5" t="s">
        <v>40</v>
      </c>
      <c r="B4" s="34">
        <v>13212426.650000002</v>
      </c>
    </row>
    <row r="5" spans="1:2" x14ac:dyDescent="0.25">
      <c r="A5" s="5" t="s">
        <v>44</v>
      </c>
      <c r="B5" s="34">
        <v>12582412.349999998</v>
      </c>
    </row>
    <row r="6" spans="1:2" x14ac:dyDescent="0.25">
      <c r="A6" s="5" t="s">
        <v>41</v>
      </c>
      <c r="B6" s="34">
        <v>11293785.35</v>
      </c>
    </row>
    <row r="7" spans="1:2" x14ac:dyDescent="0.25">
      <c r="A7" s="5" t="s">
        <v>56</v>
      </c>
      <c r="B7" s="34">
        <v>11004373.349999998</v>
      </c>
    </row>
    <row r="8" spans="1:2" x14ac:dyDescent="0.25">
      <c r="A8" s="5" t="s">
        <v>37</v>
      </c>
      <c r="B8" s="34">
        <v>10931220.549999999</v>
      </c>
    </row>
    <row r="9" spans="1:2" x14ac:dyDescent="0.25">
      <c r="A9" s="5" t="s">
        <v>64</v>
      </c>
      <c r="B9" s="34">
        <v>10811550.750000002</v>
      </c>
    </row>
    <row r="10" spans="1:2" x14ac:dyDescent="0.25">
      <c r="A10" s="5" t="s">
        <v>46</v>
      </c>
      <c r="B10" s="34">
        <v>10657040.6</v>
      </c>
    </row>
    <row r="11" spans="1:2" x14ac:dyDescent="0.25">
      <c r="A11" s="5" t="s">
        <v>59</v>
      </c>
      <c r="B11" s="34">
        <v>9684849.1499999985</v>
      </c>
    </row>
    <row r="12" spans="1:2" x14ac:dyDescent="0.25">
      <c r="A12" s="5" t="s">
        <v>52</v>
      </c>
      <c r="B12" s="34">
        <v>9648062.8499999996</v>
      </c>
    </row>
    <row r="13" spans="1:2" x14ac:dyDescent="0.25">
      <c r="A13" s="5" t="s">
        <v>60</v>
      </c>
      <c r="B13" s="34">
        <v>8748895.3499999978</v>
      </c>
    </row>
    <row r="14" spans="1:2" x14ac:dyDescent="0.25">
      <c r="A14" s="5" t="s">
        <v>90</v>
      </c>
      <c r="B14" s="34">
        <v>108574616.94999999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4250A-1DC9-45DA-B29F-35D761DD7870}">
  <dimension ref="A3:B8"/>
  <sheetViews>
    <sheetView workbookViewId="0">
      <selection activeCell="M11" sqref="M11"/>
    </sheetView>
  </sheetViews>
  <sheetFormatPr defaultRowHeight="15" x14ac:dyDescent="0.25"/>
  <cols>
    <col min="1" max="1" width="13.140625" bestFit="1" customWidth="1"/>
    <col min="2" max="2" width="12.5703125" bestFit="1" customWidth="1"/>
  </cols>
  <sheetData>
    <row r="3" spans="1:2" x14ac:dyDescent="0.25">
      <c r="A3" s="4" t="s">
        <v>89</v>
      </c>
      <c r="B3" t="s">
        <v>110</v>
      </c>
    </row>
    <row r="4" spans="1:2" x14ac:dyDescent="0.25">
      <c r="A4" s="5" t="s">
        <v>26</v>
      </c>
      <c r="B4" s="34">
        <v>18312591.620000008</v>
      </c>
    </row>
    <row r="5" spans="1:2" x14ac:dyDescent="0.25">
      <c r="A5" s="5" t="s">
        <v>24</v>
      </c>
      <c r="B5" s="34">
        <v>15039517.200000001</v>
      </c>
    </row>
    <row r="6" spans="1:2" x14ac:dyDescent="0.25">
      <c r="A6" s="5" t="s">
        <v>27</v>
      </c>
      <c r="B6" s="34">
        <v>6422429.4100000029</v>
      </c>
    </row>
    <row r="7" spans="1:2" x14ac:dyDescent="0.25">
      <c r="A7" s="5" t="s">
        <v>25</v>
      </c>
      <c r="B7" s="34">
        <v>3493320.8000000003</v>
      </c>
    </row>
    <row r="8" spans="1:2" x14ac:dyDescent="0.25">
      <c r="A8" s="5" t="s">
        <v>90</v>
      </c>
      <c r="B8" s="34">
        <v>43267859.030000016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9652-9918-414E-8669-5A4421575313}">
  <dimension ref="A1:P3001"/>
  <sheetViews>
    <sheetView workbookViewId="0">
      <selection activeCell="A4" sqref="A4"/>
    </sheetView>
  </sheetViews>
  <sheetFormatPr defaultRowHeight="15" x14ac:dyDescent="0.25"/>
  <cols>
    <col min="1" max="1" width="11.140625" customWidth="1"/>
    <col min="2" max="2" width="13.42578125" customWidth="1"/>
    <col min="4" max="4" width="9.28515625" customWidth="1"/>
    <col min="5" max="5" width="11" customWidth="1"/>
    <col min="6" max="6" width="10" customWidth="1"/>
    <col min="7" max="7" width="10.42578125" customWidth="1"/>
    <col min="8" max="8" width="20.5703125" customWidth="1"/>
    <col min="9" max="9" width="10.85546875" customWidth="1"/>
    <col min="10" max="10" width="12.42578125" customWidth="1"/>
    <col min="11" max="11" width="10.85546875" customWidth="1"/>
    <col min="12" max="12" width="11" customWidth="1"/>
    <col min="15" max="15" width="19.140625" customWidth="1"/>
    <col min="16" max="16" width="13.855468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s="2">
        <v>45760</v>
      </c>
      <c r="C2" t="s">
        <v>16</v>
      </c>
      <c r="D2" t="s">
        <v>24</v>
      </c>
      <c r="E2" t="s">
        <v>28</v>
      </c>
      <c r="F2" t="s">
        <v>35</v>
      </c>
      <c r="G2" t="s">
        <v>70</v>
      </c>
      <c r="H2" t="s">
        <v>73</v>
      </c>
      <c r="I2">
        <v>8</v>
      </c>
      <c r="J2">
        <v>2215</v>
      </c>
      <c r="K2">
        <v>0.05</v>
      </c>
      <c r="L2">
        <v>16834</v>
      </c>
      <c r="M2">
        <v>10052.36</v>
      </c>
      <c r="N2">
        <v>6781.64</v>
      </c>
      <c r="O2" t="s">
        <v>76</v>
      </c>
      <c r="P2" t="s">
        <v>81</v>
      </c>
    </row>
    <row r="3" spans="1:16" x14ac:dyDescent="0.25">
      <c r="A3">
        <v>2</v>
      </c>
      <c r="B3" s="2">
        <v>45761</v>
      </c>
      <c r="C3" t="s">
        <v>17</v>
      </c>
      <c r="D3" t="s">
        <v>25</v>
      </c>
      <c r="E3" t="s">
        <v>29</v>
      </c>
      <c r="F3" t="s">
        <v>36</v>
      </c>
      <c r="G3" t="s">
        <v>70</v>
      </c>
      <c r="H3" t="s">
        <v>73</v>
      </c>
      <c r="I3">
        <v>8</v>
      </c>
      <c r="J3">
        <v>11496</v>
      </c>
      <c r="K3">
        <v>0.1</v>
      </c>
      <c r="L3">
        <v>82771.199999999997</v>
      </c>
      <c r="M3">
        <v>49334.36</v>
      </c>
      <c r="N3">
        <v>33436.839999999997</v>
      </c>
      <c r="O3" t="s">
        <v>77</v>
      </c>
      <c r="P3" t="s">
        <v>82</v>
      </c>
    </row>
    <row r="4" spans="1:16" x14ac:dyDescent="0.25">
      <c r="A4">
        <v>3</v>
      </c>
      <c r="B4" s="2">
        <v>45762</v>
      </c>
      <c r="C4" t="s">
        <v>18</v>
      </c>
      <c r="D4" t="s">
        <v>26</v>
      </c>
      <c r="E4" t="s">
        <v>30</v>
      </c>
      <c r="F4" t="s">
        <v>37</v>
      </c>
      <c r="G4" t="s">
        <v>71</v>
      </c>
      <c r="H4" t="s">
        <v>73</v>
      </c>
      <c r="I4">
        <v>5</v>
      </c>
      <c r="J4">
        <v>5390</v>
      </c>
      <c r="K4">
        <v>0.2</v>
      </c>
      <c r="L4">
        <v>21560</v>
      </c>
      <c r="M4">
        <v>17609.59</v>
      </c>
      <c r="N4">
        <v>3950.41</v>
      </c>
      <c r="O4" t="s">
        <v>76</v>
      </c>
      <c r="P4" t="s">
        <v>81</v>
      </c>
    </row>
    <row r="5" spans="1:16" x14ac:dyDescent="0.25">
      <c r="A5">
        <v>4</v>
      </c>
      <c r="B5" s="2">
        <v>45763</v>
      </c>
      <c r="C5" t="s">
        <v>19</v>
      </c>
      <c r="D5" t="s">
        <v>26</v>
      </c>
      <c r="E5" t="s">
        <v>31</v>
      </c>
      <c r="F5" t="s">
        <v>38</v>
      </c>
      <c r="G5" t="s">
        <v>72</v>
      </c>
      <c r="H5" t="s">
        <v>73</v>
      </c>
      <c r="I5">
        <v>5</v>
      </c>
      <c r="J5">
        <v>2353</v>
      </c>
      <c r="K5">
        <v>0.1</v>
      </c>
      <c r="L5">
        <v>10588.5</v>
      </c>
      <c r="M5">
        <v>6912.86</v>
      </c>
      <c r="N5">
        <v>3675.64</v>
      </c>
      <c r="O5" t="s">
        <v>78</v>
      </c>
      <c r="P5" t="s">
        <v>82</v>
      </c>
    </row>
    <row r="6" spans="1:16" x14ac:dyDescent="0.25">
      <c r="A6">
        <v>5</v>
      </c>
      <c r="B6" s="2">
        <v>45764</v>
      </c>
      <c r="C6" t="s">
        <v>20</v>
      </c>
      <c r="D6" t="s">
        <v>26</v>
      </c>
      <c r="E6" t="s">
        <v>32</v>
      </c>
      <c r="F6" t="s">
        <v>39</v>
      </c>
      <c r="G6" t="s">
        <v>72</v>
      </c>
      <c r="H6" t="s">
        <v>74</v>
      </c>
      <c r="I6">
        <v>4</v>
      </c>
      <c r="J6">
        <v>5497</v>
      </c>
      <c r="K6">
        <v>0.1</v>
      </c>
      <c r="L6">
        <v>19789.2</v>
      </c>
      <c r="M6">
        <v>14285.33</v>
      </c>
      <c r="N6">
        <v>5503.87</v>
      </c>
      <c r="O6" t="s">
        <v>76</v>
      </c>
      <c r="P6" t="s">
        <v>81</v>
      </c>
    </row>
    <row r="7" spans="1:16" x14ac:dyDescent="0.25">
      <c r="A7">
        <v>6</v>
      </c>
      <c r="B7" s="2">
        <v>45765</v>
      </c>
      <c r="C7" t="s">
        <v>21</v>
      </c>
      <c r="D7" t="s">
        <v>24</v>
      </c>
      <c r="E7" t="s">
        <v>30</v>
      </c>
      <c r="F7" t="s">
        <v>40</v>
      </c>
      <c r="G7" t="s">
        <v>70</v>
      </c>
      <c r="H7" t="s">
        <v>75</v>
      </c>
      <c r="I7">
        <v>4</v>
      </c>
      <c r="J7">
        <v>10071</v>
      </c>
      <c r="K7">
        <v>0.05</v>
      </c>
      <c r="L7">
        <v>38269.800000000003</v>
      </c>
      <c r="M7">
        <v>24754.86</v>
      </c>
      <c r="N7">
        <v>13514.94</v>
      </c>
      <c r="O7" t="s">
        <v>77</v>
      </c>
      <c r="P7" t="s">
        <v>83</v>
      </c>
    </row>
    <row r="8" spans="1:16" x14ac:dyDescent="0.25">
      <c r="A8">
        <v>7</v>
      </c>
      <c r="B8" s="2">
        <v>45766</v>
      </c>
      <c r="C8" t="s">
        <v>16</v>
      </c>
      <c r="D8" t="s">
        <v>24</v>
      </c>
      <c r="E8" t="s">
        <v>33</v>
      </c>
      <c r="F8" t="s">
        <v>41</v>
      </c>
      <c r="G8" t="s">
        <v>70</v>
      </c>
      <c r="H8" t="s">
        <v>73</v>
      </c>
      <c r="I8">
        <v>2</v>
      </c>
      <c r="J8">
        <v>25162</v>
      </c>
      <c r="K8">
        <v>0.05</v>
      </c>
      <c r="L8">
        <v>47807.8</v>
      </c>
      <c r="M8">
        <v>31424.57</v>
      </c>
      <c r="N8">
        <v>16383.23</v>
      </c>
      <c r="O8" t="s">
        <v>77</v>
      </c>
      <c r="P8" t="s">
        <v>84</v>
      </c>
    </row>
    <row r="9" spans="1:16" x14ac:dyDescent="0.25">
      <c r="A9">
        <v>8</v>
      </c>
      <c r="B9" s="2">
        <v>45767</v>
      </c>
      <c r="C9" t="s">
        <v>20</v>
      </c>
      <c r="D9" t="s">
        <v>26</v>
      </c>
      <c r="E9" t="s">
        <v>29</v>
      </c>
      <c r="F9" t="s">
        <v>42</v>
      </c>
      <c r="G9" t="s">
        <v>70</v>
      </c>
      <c r="H9" t="s">
        <v>75</v>
      </c>
      <c r="I9">
        <v>1</v>
      </c>
      <c r="J9">
        <v>5534</v>
      </c>
      <c r="K9">
        <v>0</v>
      </c>
      <c r="L9">
        <v>5534</v>
      </c>
      <c r="M9">
        <v>3240.73</v>
      </c>
      <c r="N9">
        <v>2293.27</v>
      </c>
      <c r="O9" t="s">
        <v>79</v>
      </c>
      <c r="P9" t="s">
        <v>82</v>
      </c>
    </row>
    <row r="10" spans="1:16" x14ac:dyDescent="0.25">
      <c r="A10">
        <v>9</v>
      </c>
      <c r="B10" s="2">
        <v>45768</v>
      </c>
      <c r="C10" t="s">
        <v>22</v>
      </c>
      <c r="D10" t="s">
        <v>24</v>
      </c>
      <c r="E10" t="s">
        <v>34</v>
      </c>
      <c r="F10" t="s">
        <v>43</v>
      </c>
      <c r="G10" t="s">
        <v>71</v>
      </c>
      <c r="H10" t="s">
        <v>74</v>
      </c>
      <c r="I10">
        <v>7</v>
      </c>
      <c r="J10">
        <v>3464</v>
      </c>
      <c r="K10">
        <v>0.15</v>
      </c>
      <c r="L10">
        <v>20610.8</v>
      </c>
      <c r="M10">
        <v>16832.419999999998</v>
      </c>
      <c r="N10">
        <v>3778.38</v>
      </c>
      <c r="O10" t="s">
        <v>80</v>
      </c>
      <c r="P10" t="s">
        <v>82</v>
      </c>
    </row>
    <row r="11" spans="1:16" x14ac:dyDescent="0.25">
      <c r="A11">
        <v>10</v>
      </c>
      <c r="B11" s="2">
        <v>45769</v>
      </c>
      <c r="C11" t="s">
        <v>20</v>
      </c>
      <c r="D11" t="s">
        <v>26</v>
      </c>
      <c r="E11" t="s">
        <v>29</v>
      </c>
      <c r="F11" t="s">
        <v>42</v>
      </c>
      <c r="G11" t="s">
        <v>71</v>
      </c>
      <c r="H11" t="s">
        <v>74</v>
      </c>
      <c r="I11">
        <v>8</v>
      </c>
      <c r="J11">
        <v>10829</v>
      </c>
      <c r="K11">
        <v>0</v>
      </c>
      <c r="L11">
        <v>86632</v>
      </c>
      <c r="M11">
        <v>59858</v>
      </c>
      <c r="N11">
        <v>26774</v>
      </c>
      <c r="O11" t="s">
        <v>77</v>
      </c>
      <c r="P11" t="s">
        <v>85</v>
      </c>
    </row>
    <row r="12" spans="1:16" x14ac:dyDescent="0.25">
      <c r="A12">
        <v>11</v>
      </c>
      <c r="B12" s="2">
        <v>45770</v>
      </c>
      <c r="C12" t="s">
        <v>21</v>
      </c>
      <c r="D12" t="s">
        <v>24</v>
      </c>
      <c r="E12" t="s">
        <v>30</v>
      </c>
      <c r="F12" t="s">
        <v>44</v>
      </c>
      <c r="G12" t="s">
        <v>72</v>
      </c>
      <c r="H12" t="s">
        <v>75</v>
      </c>
      <c r="I12">
        <v>1</v>
      </c>
      <c r="J12">
        <v>15045</v>
      </c>
      <c r="K12">
        <v>0</v>
      </c>
      <c r="L12">
        <v>15045</v>
      </c>
      <c r="M12">
        <v>9535.4</v>
      </c>
      <c r="N12">
        <v>5509.6</v>
      </c>
      <c r="O12" t="s">
        <v>78</v>
      </c>
      <c r="P12" t="s">
        <v>84</v>
      </c>
    </row>
    <row r="13" spans="1:16" x14ac:dyDescent="0.25">
      <c r="A13">
        <v>12</v>
      </c>
      <c r="B13" s="2">
        <v>45771</v>
      </c>
      <c r="C13" t="s">
        <v>20</v>
      </c>
      <c r="D13" t="s">
        <v>26</v>
      </c>
      <c r="E13" t="s">
        <v>30</v>
      </c>
      <c r="F13" t="s">
        <v>37</v>
      </c>
      <c r="G13" t="s">
        <v>70</v>
      </c>
      <c r="H13" t="s">
        <v>75</v>
      </c>
      <c r="I13">
        <v>1</v>
      </c>
      <c r="J13">
        <v>2354</v>
      </c>
      <c r="K13">
        <v>0.05</v>
      </c>
      <c r="L13">
        <v>2236.3000000000002</v>
      </c>
      <c r="M13">
        <v>1637.99</v>
      </c>
      <c r="N13">
        <v>598.30999999999995</v>
      </c>
      <c r="O13" t="s">
        <v>77</v>
      </c>
      <c r="P13" t="s">
        <v>86</v>
      </c>
    </row>
    <row r="14" spans="1:16" x14ac:dyDescent="0.25">
      <c r="A14">
        <v>13</v>
      </c>
      <c r="B14" s="2">
        <v>45772</v>
      </c>
      <c r="C14" t="s">
        <v>19</v>
      </c>
      <c r="D14" t="s">
        <v>26</v>
      </c>
      <c r="E14" t="s">
        <v>29</v>
      </c>
      <c r="F14" t="s">
        <v>45</v>
      </c>
      <c r="G14" t="s">
        <v>70</v>
      </c>
      <c r="H14" t="s">
        <v>75</v>
      </c>
      <c r="I14">
        <v>4</v>
      </c>
      <c r="J14">
        <v>11864</v>
      </c>
      <c r="K14">
        <v>0.1</v>
      </c>
      <c r="L14">
        <v>42710.400000000001</v>
      </c>
      <c r="M14">
        <v>33297.81</v>
      </c>
      <c r="N14">
        <v>9412.59</v>
      </c>
      <c r="O14" t="s">
        <v>80</v>
      </c>
      <c r="P14" t="s">
        <v>84</v>
      </c>
    </row>
    <row r="15" spans="1:16" x14ac:dyDescent="0.25">
      <c r="A15">
        <v>14</v>
      </c>
      <c r="B15" s="2">
        <v>45773</v>
      </c>
      <c r="C15" t="s">
        <v>21</v>
      </c>
      <c r="D15" t="s">
        <v>24</v>
      </c>
      <c r="E15" t="s">
        <v>33</v>
      </c>
      <c r="F15" t="s">
        <v>46</v>
      </c>
      <c r="G15" t="s">
        <v>71</v>
      </c>
      <c r="H15" t="s">
        <v>74</v>
      </c>
      <c r="I15">
        <v>8</v>
      </c>
      <c r="J15">
        <v>11180</v>
      </c>
      <c r="K15">
        <v>0.15</v>
      </c>
      <c r="L15">
        <v>76024</v>
      </c>
      <c r="M15">
        <v>58764.86</v>
      </c>
      <c r="N15">
        <v>17259.14</v>
      </c>
      <c r="O15" t="s">
        <v>78</v>
      </c>
      <c r="P15" t="s">
        <v>85</v>
      </c>
    </row>
    <row r="16" spans="1:16" x14ac:dyDescent="0.25">
      <c r="A16">
        <v>15</v>
      </c>
      <c r="B16" s="2">
        <v>45774</v>
      </c>
      <c r="C16" t="s">
        <v>19</v>
      </c>
      <c r="D16" t="s">
        <v>26</v>
      </c>
      <c r="E16" t="s">
        <v>31</v>
      </c>
      <c r="F16" t="s">
        <v>47</v>
      </c>
      <c r="G16" t="s">
        <v>70</v>
      </c>
      <c r="H16" t="s">
        <v>75</v>
      </c>
      <c r="I16">
        <v>8</v>
      </c>
      <c r="J16">
        <v>2149</v>
      </c>
      <c r="K16">
        <v>0.1</v>
      </c>
      <c r="L16">
        <v>15472.8</v>
      </c>
      <c r="M16">
        <v>10241.129999999999</v>
      </c>
      <c r="N16">
        <v>5231.67</v>
      </c>
      <c r="O16" t="s">
        <v>77</v>
      </c>
      <c r="P16" t="s">
        <v>82</v>
      </c>
    </row>
    <row r="17" spans="1:16" x14ac:dyDescent="0.25">
      <c r="A17">
        <v>16</v>
      </c>
      <c r="B17" s="2">
        <v>45775</v>
      </c>
      <c r="C17" t="s">
        <v>23</v>
      </c>
      <c r="D17" t="s">
        <v>27</v>
      </c>
      <c r="E17" t="s">
        <v>30</v>
      </c>
      <c r="F17" t="s">
        <v>40</v>
      </c>
      <c r="G17" t="s">
        <v>72</v>
      </c>
      <c r="H17" t="s">
        <v>73</v>
      </c>
      <c r="I17">
        <v>3</v>
      </c>
      <c r="J17">
        <v>34211</v>
      </c>
      <c r="K17">
        <v>0.1</v>
      </c>
      <c r="L17">
        <v>92369.7</v>
      </c>
      <c r="M17">
        <v>50957.62</v>
      </c>
      <c r="N17">
        <v>41412.080000000002</v>
      </c>
      <c r="O17" t="s">
        <v>78</v>
      </c>
      <c r="P17" t="s">
        <v>87</v>
      </c>
    </row>
    <row r="18" spans="1:16" x14ac:dyDescent="0.25">
      <c r="A18">
        <v>17</v>
      </c>
      <c r="B18" s="2">
        <v>45776</v>
      </c>
      <c r="C18" t="s">
        <v>22</v>
      </c>
      <c r="D18" t="s">
        <v>24</v>
      </c>
      <c r="E18" t="s">
        <v>30</v>
      </c>
      <c r="F18" t="s">
        <v>40</v>
      </c>
      <c r="G18" t="s">
        <v>71</v>
      </c>
      <c r="H18" t="s">
        <v>75</v>
      </c>
      <c r="I18">
        <v>1</v>
      </c>
      <c r="J18">
        <v>39967</v>
      </c>
      <c r="K18">
        <v>0.1</v>
      </c>
      <c r="L18">
        <v>35970.300000000003</v>
      </c>
      <c r="M18">
        <v>28341.37</v>
      </c>
      <c r="N18">
        <v>7628.93</v>
      </c>
      <c r="O18" t="s">
        <v>77</v>
      </c>
      <c r="P18" t="s">
        <v>87</v>
      </c>
    </row>
    <row r="19" spans="1:16" x14ac:dyDescent="0.25">
      <c r="A19">
        <v>18</v>
      </c>
      <c r="B19" s="2">
        <v>45777</v>
      </c>
      <c r="C19" t="s">
        <v>19</v>
      </c>
      <c r="D19" t="s">
        <v>26</v>
      </c>
      <c r="E19" t="s">
        <v>29</v>
      </c>
      <c r="F19" t="s">
        <v>45</v>
      </c>
      <c r="G19" t="s">
        <v>70</v>
      </c>
      <c r="H19" t="s">
        <v>75</v>
      </c>
      <c r="I19">
        <v>3</v>
      </c>
      <c r="J19">
        <v>7422</v>
      </c>
      <c r="K19">
        <v>0.15</v>
      </c>
      <c r="L19">
        <v>18926.099999999999</v>
      </c>
      <c r="M19">
        <v>11847</v>
      </c>
      <c r="N19">
        <v>7079.1</v>
      </c>
      <c r="O19" t="s">
        <v>79</v>
      </c>
      <c r="P19" t="s">
        <v>86</v>
      </c>
    </row>
    <row r="20" spans="1:16" x14ac:dyDescent="0.25">
      <c r="A20">
        <v>19</v>
      </c>
      <c r="B20" s="2">
        <v>45778</v>
      </c>
      <c r="C20" t="s">
        <v>18</v>
      </c>
      <c r="D20" t="s">
        <v>26</v>
      </c>
      <c r="E20" t="s">
        <v>29</v>
      </c>
      <c r="F20" t="s">
        <v>45</v>
      </c>
      <c r="G20" t="s">
        <v>71</v>
      </c>
      <c r="H20" t="s">
        <v>75</v>
      </c>
      <c r="I20">
        <v>6</v>
      </c>
      <c r="J20">
        <v>2727</v>
      </c>
      <c r="K20">
        <v>0.2</v>
      </c>
      <c r="L20">
        <v>13089.6</v>
      </c>
      <c r="M20">
        <v>11361.7</v>
      </c>
      <c r="N20">
        <v>1727.9</v>
      </c>
      <c r="O20" t="s">
        <v>76</v>
      </c>
      <c r="P20" t="s">
        <v>88</v>
      </c>
    </row>
    <row r="21" spans="1:16" x14ac:dyDescent="0.25">
      <c r="A21">
        <v>20</v>
      </c>
      <c r="B21" s="2">
        <v>45779</v>
      </c>
      <c r="C21" t="s">
        <v>19</v>
      </c>
      <c r="D21" t="s">
        <v>26</v>
      </c>
      <c r="E21" t="s">
        <v>32</v>
      </c>
      <c r="F21" t="s">
        <v>48</v>
      </c>
      <c r="G21" t="s">
        <v>72</v>
      </c>
      <c r="H21" t="s">
        <v>75</v>
      </c>
      <c r="I21">
        <v>2</v>
      </c>
      <c r="J21">
        <v>1769</v>
      </c>
      <c r="K21">
        <v>0.1</v>
      </c>
      <c r="L21">
        <v>3184.2</v>
      </c>
      <c r="M21">
        <v>2791.64</v>
      </c>
      <c r="N21">
        <v>392.56</v>
      </c>
      <c r="O21" t="s">
        <v>77</v>
      </c>
      <c r="P21" t="s">
        <v>81</v>
      </c>
    </row>
    <row r="22" spans="1:16" x14ac:dyDescent="0.25">
      <c r="A22">
        <v>21</v>
      </c>
      <c r="B22" s="2">
        <v>45780</v>
      </c>
      <c r="C22" t="s">
        <v>17</v>
      </c>
      <c r="D22" t="s">
        <v>25</v>
      </c>
      <c r="E22" t="s">
        <v>30</v>
      </c>
      <c r="F22" t="s">
        <v>37</v>
      </c>
      <c r="G22" t="s">
        <v>71</v>
      </c>
      <c r="H22" t="s">
        <v>74</v>
      </c>
      <c r="I22">
        <v>6</v>
      </c>
      <c r="J22">
        <v>56248</v>
      </c>
      <c r="K22">
        <v>0</v>
      </c>
      <c r="L22">
        <v>337488</v>
      </c>
      <c r="M22">
        <v>186195.84</v>
      </c>
      <c r="N22">
        <v>151292.16</v>
      </c>
      <c r="O22" t="s">
        <v>80</v>
      </c>
      <c r="P22" t="s">
        <v>84</v>
      </c>
    </row>
    <row r="23" spans="1:16" x14ac:dyDescent="0.25">
      <c r="A23">
        <v>22</v>
      </c>
      <c r="B23" s="2">
        <v>45781</v>
      </c>
      <c r="C23" t="s">
        <v>23</v>
      </c>
      <c r="D23" t="s">
        <v>27</v>
      </c>
      <c r="E23" t="s">
        <v>32</v>
      </c>
      <c r="F23" t="s">
        <v>49</v>
      </c>
      <c r="G23" t="s">
        <v>71</v>
      </c>
      <c r="H23" t="s">
        <v>74</v>
      </c>
      <c r="I23">
        <v>1</v>
      </c>
      <c r="J23">
        <v>18158</v>
      </c>
      <c r="K23">
        <v>0.05</v>
      </c>
      <c r="L23">
        <v>17250.099999999999</v>
      </c>
      <c r="M23">
        <v>12544.91</v>
      </c>
      <c r="N23">
        <v>4705.1899999999996</v>
      </c>
      <c r="O23" t="s">
        <v>76</v>
      </c>
      <c r="P23" t="s">
        <v>82</v>
      </c>
    </row>
    <row r="24" spans="1:16" x14ac:dyDescent="0.25">
      <c r="A24">
        <v>23</v>
      </c>
      <c r="B24" s="2">
        <v>45782</v>
      </c>
      <c r="C24" t="s">
        <v>22</v>
      </c>
      <c r="D24" t="s">
        <v>24</v>
      </c>
      <c r="E24" t="s">
        <v>31</v>
      </c>
      <c r="F24" t="s">
        <v>50</v>
      </c>
      <c r="G24" t="s">
        <v>70</v>
      </c>
      <c r="H24" t="s">
        <v>75</v>
      </c>
      <c r="I24">
        <v>8</v>
      </c>
      <c r="J24">
        <v>368</v>
      </c>
      <c r="K24">
        <v>0.05</v>
      </c>
      <c r="L24">
        <v>2796.8</v>
      </c>
      <c r="M24">
        <v>2272.15</v>
      </c>
      <c r="N24">
        <v>524.65</v>
      </c>
      <c r="O24" t="s">
        <v>80</v>
      </c>
      <c r="P24" t="s">
        <v>81</v>
      </c>
    </row>
    <row r="25" spans="1:16" x14ac:dyDescent="0.25">
      <c r="A25">
        <v>24</v>
      </c>
      <c r="B25" s="2">
        <v>46003</v>
      </c>
      <c r="C25" t="s">
        <v>20</v>
      </c>
      <c r="D25" t="s">
        <v>26</v>
      </c>
      <c r="E25" t="s">
        <v>34</v>
      </c>
      <c r="F25" t="s">
        <v>51</v>
      </c>
      <c r="G25" t="s">
        <v>71</v>
      </c>
      <c r="H25" t="s">
        <v>75</v>
      </c>
      <c r="I25">
        <v>4</v>
      </c>
      <c r="J25">
        <v>709</v>
      </c>
      <c r="K25">
        <v>0.15</v>
      </c>
      <c r="L25">
        <v>2410.6</v>
      </c>
      <c r="M25">
        <v>1833.57</v>
      </c>
      <c r="N25">
        <v>577.03</v>
      </c>
      <c r="O25" t="s">
        <v>76</v>
      </c>
      <c r="P25" t="s">
        <v>87</v>
      </c>
    </row>
    <row r="26" spans="1:16" x14ac:dyDescent="0.25">
      <c r="A26">
        <v>25</v>
      </c>
      <c r="B26" s="2">
        <v>46006</v>
      </c>
      <c r="C26" t="s">
        <v>23</v>
      </c>
      <c r="D26" t="s">
        <v>27</v>
      </c>
      <c r="E26" t="s">
        <v>31</v>
      </c>
      <c r="F26" t="s">
        <v>47</v>
      </c>
      <c r="G26" t="s">
        <v>71</v>
      </c>
      <c r="H26" t="s">
        <v>73</v>
      </c>
      <c r="I26">
        <v>8</v>
      </c>
      <c r="J26">
        <v>1343</v>
      </c>
      <c r="K26">
        <v>0.05</v>
      </c>
      <c r="L26">
        <v>10206.799999999999</v>
      </c>
      <c r="M26">
        <v>8912.9699999999993</v>
      </c>
      <c r="N26">
        <v>1293.83</v>
      </c>
      <c r="O26" t="s">
        <v>78</v>
      </c>
      <c r="P26" t="s">
        <v>86</v>
      </c>
    </row>
    <row r="27" spans="1:16" x14ac:dyDescent="0.25">
      <c r="A27">
        <v>26</v>
      </c>
      <c r="B27" s="2">
        <v>45998</v>
      </c>
      <c r="C27" t="s">
        <v>23</v>
      </c>
      <c r="D27" t="s">
        <v>27</v>
      </c>
      <c r="E27" t="s">
        <v>30</v>
      </c>
      <c r="F27" t="s">
        <v>44</v>
      </c>
      <c r="G27" t="s">
        <v>70</v>
      </c>
      <c r="H27" t="s">
        <v>73</v>
      </c>
      <c r="I27">
        <v>7</v>
      </c>
      <c r="J27">
        <v>24549</v>
      </c>
      <c r="K27">
        <v>0.1</v>
      </c>
      <c r="L27">
        <v>154658.70000000001</v>
      </c>
      <c r="M27">
        <v>116493.71</v>
      </c>
      <c r="N27">
        <v>38164.99</v>
      </c>
      <c r="O27" t="s">
        <v>79</v>
      </c>
      <c r="P27" t="s">
        <v>82</v>
      </c>
    </row>
    <row r="28" spans="1:16" x14ac:dyDescent="0.25">
      <c r="A28">
        <v>27</v>
      </c>
      <c r="B28" s="2">
        <v>45817</v>
      </c>
      <c r="C28" t="s">
        <v>18</v>
      </c>
      <c r="D28" t="s">
        <v>26</v>
      </c>
      <c r="E28" t="s">
        <v>31</v>
      </c>
      <c r="F28" t="s">
        <v>47</v>
      </c>
      <c r="G28" t="s">
        <v>71</v>
      </c>
      <c r="H28" t="s">
        <v>74</v>
      </c>
      <c r="I28">
        <v>3</v>
      </c>
      <c r="J28">
        <v>1736</v>
      </c>
      <c r="K28">
        <v>0.1</v>
      </c>
      <c r="L28">
        <v>4687.2</v>
      </c>
      <c r="M28">
        <v>2897.65</v>
      </c>
      <c r="N28">
        <v>1789.55</v>
      </c>
      <c r="O28" t="s">
        <v>80</v>
      </c>
      <c r="P28" t="s">
        <v>85</v>
      </c>
    </row>
    <row r="29" spans="1:16" x14ac:dyDescent="0.25">
      <c r="A29">
        <v>28</v>
      </c>
      <c r="B29" s="2">
        <v>45959</v>
      </c>
      <c r="C29" t="s">
        <v>20</v>
      </c>
      <c r="D29" t="s">
        <v>26</v>
      </c>
      <c r="E29" t="s">
        <v>33</v>
      </c>
      <c r="F29" t="s">
        <v>52</v>
      </c>
      <c r="G29" t="s">
        <v>71</v>
      </c>
      <c r="H29" t="s">
        <v>73</v>
      </c>
      <c r="I29">
        <v>3</v>
      </c>
      <c r="J29">
        <v>17805</v>
      </c>
      <c r="K29">
        <v>0.05</v>
      </c>
      <c r="L29">
        <v>50744.25</v>
      </c>
      <c r="M29">
        <v>29888.080000000002</v>
      </c>
      <c r="N29">
        <v>20856.169999999998</v>
      </c>
      <c r="O29" t="s">
        <v>76</v>
      </c>
      <c r="P29" t="s">
        <v>84</v>
      </c>
    </row>
    <row r="30" spans="1:16" x14ac:dyDescent="0.25">
      <c r="A30">
        <v>29</v>
      </c>
      <c r="B30" s="2">
        <v>45874</v>
      </c>
      <c r="C30" t="s">
        <v>16</v>
      </c>
      <c r="D30" t="s">
        <v>24</v>
      </c>
      <c r="E30" t="s">
        <v>30</v>
      </c>
      <c r="F30" t="s">
        <v>40</v>
      </c>
      <c r="G30" t="s">
        <v>70</v>
      </c>
      <c r="H30" t="s">
        <v>73</v>
      </c>
      <c r="I30">
        <v>2</v>
      </c>
      <c r="J30">
        <v>40256</v>
      </c>
      <c r="K30">
        <v>0.05</v>
      </c>
      <c r="L30">
        <v>76486.399999999994</v>
      </c>
      <c r="M30">
        <v>61664.58</v>
      </c>
      <c r="N30">
        <v>14821.82</v>
      </c>
      <c r="O30" t="s">
        <v>76</v>
      </c>
      <c r="P30" t="s">
        <v>82</v>
      </c>
    </row>
    <row r="31" spans="1:16" x14ac:dyDescent="0.25">
      <c r="A31">
        <v>30</v>
      </c>
      <c r="B31" s="2">
        <v>45840</v>
      </c>
      <c r="C31" t="s">
        <v>16</v>
      </c>
      <c r="D31" t="s">
        <v>24</v>
      </c>
      <c r="E31" t="s">
        <v>30</v>
      </c>
      <c r="F31" t="s">
        <v>37</v>
      </c>
      <c r="G31" t="s">
        <v>71</v>
      </c>
      <c r="H31" t="s">
        <v>74</v>
      </c>
      <c r="I31">
        <v>1</v>
      </c>
      <c r="J31">
        <v>56569</v>
      </c>
      <c r="K31">
        <v>0.05</v>
      </c>
      <c r="L31">
        <v>53740.55</v>
      </c>
      <c r="M31">
        <v>31330.47</v>
      </c>
      <c r="N31">
        <v>22410.080000000002</v>
      </c>
      <c r="O31" t="s">
        <v>77</v>
      </c>
      <c r="P31" t="s">
        <v>82</v>
      </c>
    </row>
    <row r="32" spans="1:16" x14ac:dyDescent="0.25">
      <c r="A32">
        <v>31</v>
      </c>
      <c r="B32" s="2">
        <v>45922</v>
      </c>
      <c r="C32" t="s">
        <v>19</v>
      </c>
      <c r="D32" t="s">
        <v>26</v>
      </c>
      <c r="E32" t="s">
        <v>29</v>
      </c>
      <c r="F32" t="s">
        <v>53</v>
      </c>
      <c r="G32" t="s">
        <v>71</v>
      </c>
      <c r="H32" t="s">
        <v>75</v>
      </c>
      <c r="I32">
        <v>3</v>
      </c>
      <c r="J32">
        <v>7666</v>
      </c>
      <c r="K32">
        <v>0.05</v>
      </c>
      <c r="L32">
        <v>21848.1</v>
      </c>
      <c r="M32">
        <v>16865.23</v>
      </c>
      <c r="N32">
        <v>4982.87</v>
      </c>
      <c r="O32" t="s">
        <v>79</v>
      </c>
      <c r="P32" t="s">
        <v>85</v>
      </c>
    </row>
    <row r="33" spans="1:16" x14ac:dyDescent="0.25">
      <c r="A33">
        <v>32</v>
      </c>
      <c r="B33" s="2">
        <v>45766</v>
      </c>
      <c r="C33" t="s">
        <v>18</v>
      </c>
      <c r="D33" t="s">
        <v>26</v>
      </c>
      <c r="E33" t="s">
        <v>32</v>
      </c>
      <c r="F33" t="s">
        <v>39</v>
      </c>
      <c r="G33" t="s">
        <v>70</v>
      </c>
      <c r="H33" t="s">
        <v>73</v>
      </c>
      <c r="I33">
        <v>5</v>
      </c>
      <c r="J33">
        <v>6534</v>
      </c>
      <c r="K33">
        <v>0.1</v>
      </c>
      <c r="L33">
        <v>29403</v>
      </c>
      <c r="M33">
        <v>17152.84</v>
      </c>
      <c r="N33">
        <v>12250.16</v>
      </c>
      <c r="O33" t="s">
        <v>76</v>
      </c>
      <c r="P33" t="s">
        <v>86</v>
      </c>
    </row>
    <row r="34" spans="1:16" x14ac:dyDescent="0.25">
      <c r="A34">
        <v>33</v>
      </c>
      <c r="B34" s="2">
        <v>45827</v>
      </c>
      <c r="C34" t="s">
        <v>23</v>
      </c>
      <c r="D34" t="s">
        <v>27</v>
      </c>
      <c r="E34" t="s">
        <v>33</v>
      </c>
      <c r="F34" t="s">
        <v>52</v>
      </c>
      <c r="G34" t="s">
        <v>72</v>
      </c>
      <c r="H34" t="s">
        <v>75</v>
      </c>
      <c r="I34">
        <v>2</v>
      </c>
      <c r="J34">
        <v>44848</v>
      </c>
      <c r="K34">
        <v>0.15</v>
      </c>
      <c r="L34">
        <v>76241.600000000006</v>
      </c>
      <c r="M34">
        <v>66740.399999999994</v>
      </c>
      <c r="N34">
        <v>9501.2000000000007</v>
      </c>
      <c r="O34" t="s">
        <v>77</v>
      </c>
      <c r="P34" t="s">
        <v>88</v>
      </c>
    </row>
    <row r="35" spans="1:16" x14ac:dyDescent="0.25">
      <c r="A35">
        <v>34</v>
      </c>
      <c r="B35" s="2">
        <v>46021</v>
      </c>
      <c r="C35" t="s">
        <v>21</v>
      </c>
      <c r="D35" t="s">
        <v>24</v>
      </c>
      <c r="E35" t="s">
        <v>33</v>
      </c>
      <c r="F35" t="s">
        <v>52</v>
      </c>
      <c r="G35" t="s">
        <v>70</v>
      </c>
      <c r="H35" t="s">
        <v>74</v>
      </c>
      <c r="I35">
        <v>2</v>
      </c>
      <c r="J35">
        <v>23152</v>
      </c>
      <c r="K35">
        <v>0.1</v>
      </c>
      <c r="L35">
        <v>41673.599999999999</v>
      </c>
      <c r="M35">
        <v>33471.160000000003</v>
      </c>
      <c r="N35">
        <v>8202.44</v>
      </c>
      <c r="O35" t="s">
        <v>79</v>
      </c>
      <c r="P35" t="s">
        <v>84</v>
      </c>
    </row>
    <row r="36" spans="1:16" x14ac:dyDescent="0.25">
      <c r="A36">
        <v>35</v>
      </c>
      <c r="B36" s="2">
        <v>46005</v>
      </c>
      <c r="C36" t="s">
        <v>18</v>
      </c>
      <c r="D36" t="s">
        <v>26</v>
      </c>
      <c r="E36" t="s">
        <v>28</v>
      </c>
      <c r="F36" t="s">
        <v>54</v>
      </c>
      <c r="G36" t="s">
        <v>71</v>
      </c>
      <c r="H36" t="s">
        <v>75</v>
      </c>
      <c r="I36">
        <v>1</v>
      </c>
      <c r="J36">
        <v>2185</v>
      </c>
      <c r="K36">
        <v>0</v>
      </c>
      <c r="L36">
        <v>2185</v>
      </c>
      <c r="M36">
        <v>1901.08</v>
      </c>
      <c r="N36">
        <v>283.92</v>
      </c>
      <c r="O36" t="s">
        <v>76</v>
      </c>
      <c r="P36" t="s">
        <v>86</v>
      </c>
    </row>
    <row r="37" spans="1:16" x14ac:dyDescent="0.25">
      <c r="A37">
        <v>36</v>
      </c>
      <c r="B37" s="2">
        <v>45870</v>
      </c>
      <c r="C37" t="s">
        <v>18</v>
      </c>
      <c r="D37" t="s">
        <v>26</v>
      </c>
      <c r="E37" t="s">
        <v>34</v>
      </c>
      <c r="F37" t="s">
        <v>55</v>
      </c>
      <c r="G37" t="s">
        <v>72</v>
      </c>
      <c r="H37" t="s">
        <v>73</v>
      </c>
      <c r="I37">
        <v>3</v>
      </c>
      <c r="J37">
        <v>1406</v>
      </c>
      <c r="K37">
        <v>0.05</v>
      </c>
      <c r="L37">
        <v>4007.1</v>
      </c>
      <c r="M37">
        <v>3520.74</v>
      </c>
      <c r="N37">
        <v>486.36</v>
      </c>
      <c r="O37" t="s">
        <v>77</v>
      </c>
      <c r="P37" t="s">
        <v>86</v>
      </c>
    </row>
    <row r="38" spans="1:16" x14ac:dyDescent="0.25">
      <c r="A38">
        <v>37</v>
      </c>
      <c r="B38" s="2">
        <v>45669</v>
      </c>
      <c r="C38" t="s">
        <v>18</v>
      </c>
      <c r="D38" t="s">
        <v>26</v>
      </c>
      <c r="E38" t="s">
        <v>29</v>
      </c>
      <c r="F38" t="s">
        <v>53</v>
      </c>
      <c r="G38" t="s">
        <v>71</v>
      </c>
      <c r="H38" t="s">
        <v>74</v>
      </c>
      <c r="I38">
        <v>8</v>
      </c>
      <c r="J38">
        <v>7219</v>
      </c>
      <c r="K38">
        <v>0.05</v>
      </c>
      <c r="L38">
        <v>54864.4</v>
      </c>
      <c r="M38">
        <v>34328.67</v>
      </c>
      <c r="N38">
        <v>20535.73</v>
      </c>
      <c r="O38" t="s">
        <v>80</v>
      </c>
      <c r="P38" t="s">
        <v>86</v>
      </c>
    </row>
    <row r="39" spans="1:16" x14ac:dyDescent="0.25">
      <c r="A39">
        <v>38</v>
      </c>
      <c r="B39" s="2">
        <v>45802</v>
      </c>
      <c r="C39" t="s">
        <v>19</v>
      </c>
      <c r="D39" t="s">
        <v>26</v>
      </c>
      <c r="E39" t="s">
        <v>34</v>
      </c>
      <c r="F39" t="s">
        <v>55</v>
      </c>
      <c r="G39" t="s">
        <v>72</v>
      </c>
      <c r="H39" t="s">
        <v>73</v>
      </c>
      <c r="I39">
        <v>5</v>
      </c>
      <c r="J39">
        <v>3474</v>
      </c>
      <c r="K39">
        <v>0.1</v>
      </c>
      <c r="L39">
        <v>15633</v>
      </c>
      <c r="M39">
        <v>13340.08</v>
      </c>
      <c r="N39">
        <v>2292.92</v>
      </c>
      <c r="O39" t="s">
        <v>78</v>
      </c>
      <c r="P39" t="s">
        <v>84</v>
      </c>
    </row>
    <row r="40" spans="1:16" x14ac:dyDescent="0.25">
      <c r="A40">
        <v>39</v>
      </c>
      <c r="B40" s="2">
        <v>46022</v>
      </c>
      <c r="C40" t="s">
        <v>20</v>
      </c>
      <c r="D40" t="s">
        <v>26</v>
      </c>
      <c r="E40" t="s">
        <v>30</v>
      </c>
      <c r="F40" t="s">
        <v>56</v>
      </c>
      <c r="G40" t="s">
        <v>71</v>
      </c>
      <c r="H40" t="s">
        <v>74</v>
      </c>
      <c r="I40">
        <v>2</v>
      </c>
      <c r="J40">
        <v>9915</v>
      </c>
      <c r="K40">
        <v>0.05</v>
      </c>
      <c r="L40">
        <v>18838.5</v>
      </c>
      <c r="M40">
        <v>15515.84</v>
      </c>
      <c r="N40">
        <v>3322.66</v>
      </c>
      <c r="O40" t="s">
        <v>79</v>
      </c>
      <c r="P40" t="s">
        <v>81</v>
      </c>
    </row>
    <row r="41" spans="1:16" x14ac:dyDescent="0.25">
      <c r="A41">
        <v>40</v>
      </c>
      <c r="B41" s="2">
        <v>45762</v>
      </c>
      <c r="C41" t="s">
        <v>23</v>
      </c>
      <c r="D41" t="s">
        <v>27</v>
      </c>
      <c r="E41" t="s">
        <v>30</v>
      </c>
      <c r="F41" t="s">
        <v>44</v>
      </c>
      <c r="G41" t="s">
        <v>72</v>
      </c>
      <c r="H41" t="s">
        <v>74</v>
      </c>
      <c r="I41">
        <v>8</v>
      </c>
      <c r="J41">
        <v>49426</v>
      </c>
      <c r="K41">
        <v>0.15</v>
      </c>
      <c r="L41">
        <v>336096.8</v>
      </c>
      <c r="M41">
        <v>212287.1</v>
      </c>
      <c r="N41">
        <v>123809.7</v>
      </c>
      <c r="O41" t="s">
        <v>79</v>
      </c>
      <c r="P41" t="s">
        <v>84</v>
      </c>
    </row>
    <row r="42" spans="1:16" x14ac:dyDescent="0.25">
      <c r="A42">
        <v>41</v>
      </c>
      <c r="B42" s="2">
        <v>45830</v>
      </c>
      <c r="C42" t="s">
        <v>21</v>
      </c>
      <c r="D42" t="s">
        <v>24</v>
      </c>
      <c r="E42" t="s">
        <v>29</v>
      </c>
      <c r="F42" t="s">
        <v>57</v>
      </c>
      <c r="G42" t="s">
        <v>72</v>
      </c>
      <c r="H42" t="s">
        <v>74</v>
      </c>
      <c r="I42">
        <v>1</v>
      </c>
      <c r="J42">
        <v>649</v>
      </c>
      <c r="K42">
        <v>0.05</v>
      </c>
      <c r="L42">
        <v>616.54999999999995</v>
      </c>
      <c r="M42">
        <v>508.25</v>
      </c>
      <c r="N42">
        <v>108.3</v>
      </c>
      <c r="O42" t="s">
        <v>80</v>
      </c>
      <c r="P42" t="s">
        <v>88</v>
      </c>
    </row>
    <row r="43" spans="1:16" x14ac:dyDescent="0.25">
      <c r="A43">
        <v>42</v>
      </c>
      <c r="B43" s="2">
        <v>45879</v>
      </c>
      <c r="C43" t="s">
        <v>16</v>
      </c>
      <c r="D43" t="s">
        <v>24</v>
      </c>
      <c r="E43" t="s">
        <v>30</v>
      </c>
      <c r="F43" t="s">
        <v>44</v>
      </c>
      <c r="G43" t="s">
        <v>71</v>
      </c>
      <c r="H43" t="s">
        <v>73</v>
      </c>
      <c r="I43">
        <v>5</v>
      </c>
      <c r="J43">
        <v>38941</v>
      </c>
      <c r="K43">
        <v>0.05</v>
      </c>
      <c r="L43">
        <v>184969.75</v>
      </c>
      <c r="M43">
        <v>156923.23000000001</v>
      </c>
      <c r="N43">
        <v>28046.52</v>
      </c>
      <c r="O43" t="s">
        <v>79</v>
      </c>
      <c r="P43" t="s">
        <v>86</v>
      </c>
    </row>
    <row r="44" spans="1:16" x14ac:dyDescent="0.25">
      <c r="A44">
        <v>43</v>
      </c>
      <c r="B44" s="2">
        <v>45992</v>
      </c>
      <c r="C44" t="s">
        <v>23</v>
      </c>
      <c r="D44" t="s">
        <v>27</v>
      </c>
      <c r="E44" t="s">
        <v>28</v>
      </c>
      <c r="F44" t="s">
        <v>58</v>
      </c>
      <c r="G44" t="s">
        <v>71</v>
      </c>
      <c r="H44" t="s">
        <v>73</v>
      </c>
      <c r="I44">
        <v>3</v>
      </c>
      <c r="J44">
        <v>1955</v>
      </c>
      <c r="K44">
        <v>0.05</v>
      </c>
      <c r="L44">
        <v>5571.75</v>
      </c>
      <c r="M44">
        <v>4866.43</v>
      </c>
      <c r="N44">
        <v>705.32</v>
      </c>
      <c r="O44" t="s">
        <v>76</v>
      </c>
      <c r="P44" t="s">
        <v>87</v>
      </c>
    </row>
    <row r="45" spans="1:16" x14ac:dyDescent="0.25">
      <c r="A45">
        <v>44</v>
      </c>
      <c r="B45" s="2">
        <v>45892</v>
      </c>
      <c r="C45" t="s">
        <v>21</v>
      </c>
      <c r="D45" t="s">
        <v>24</v>
      </c>
      <c r="E45" t="s">
        <v>33</v>
      </c>
      <c r="F45" t="s">
        <v>59</v>
      </c>
      <c r="G45" t="s">
        <v>70</v>
      </c>
      <c r="H45" t="s">
        <v>75</v>
      </c>
      <c r="I45">
        <v>7</v>
      </c>
      <c r="J45">
        <v>17683</v>
      </c>
      <c r="K45">
        <v>0</v>
      </c>
      <c r="L45">
        <v>123781</v>
      </c>
      <c r="M45">
        <v>82199.27</v>
      </c>
      <c r="N45">
        <v>41581.730000000003</v>
      </c>
      <c r="O45" t="s">
        <v>77</v>
      </c>
      <c r="P45" t="s">
        <v>88</v>
      </c>
    </row>
    <row r="46" spans="1:16" x14ac:dyDescent="0.25">
      <c r="A46">
        <v>45</v>
      </c>
      <c r="B46" s="2">
        <v>45817</v>
      </c>
      <c r="C46" t="s">
        <v>20</v>
      </c>
      <c r="D46" t="s">
        <v>26</v>
      </c>
      <c r="E46" t="s">
        <v>32</v>
      </c>
      <c r="F46" t="s">
        <v>49</v>
      </c>
      <c r="G46" t="s">
        <v>72</v>
      </c>
      <c r="H46" t="s">
        <v>73</v>
      </c>
      <c r="I46">
        <v>3</v>
      </c>
      <c r="J46">
        <v>22708</v>
      </c>
      <c r="K46">
        <v>0.1</v>
      </c>
      <c r="L46">
        <v>61311.6</v>
      </c>
      <c r="M46">
        <v>44534.28</v>
      </c>
      <c r="N46">
        <v>16777.32</v>
      </c>
      <c r="O46" t="s">
        <v>78</v>
      </c>
      <c r="P46" t="s">
        <v>83</v>
      </c>
    </row>
    <row r="47" spans="1:16" x14ac:dyDescent="0.25">
      <c r="A47">
        <v>46</v>
      </c>
      <c r="B47" s="2">
        <v>45735</v>
      </c>
      <c r="C47" t="s">
        <v>23</v>
      </c>
      <c r="D47" t="s">
        <v>27</v>
      </c>
      <c r="E47" t="s">
        <v>33</v>
      </c>
      <c r="F47" t="s">
        <v>60</v>
      </c>
      <c r="G47" t="s">
        <v>72</v>
      </c>
      <c r="H47" t="s">
        <v>74</v>
      </c>
      <c r="I47">
        <v>2</v>
      </c>
      <c r="J47">
        <v>7740</v>
      </c>
      <c r="K47">
        <v>0.15</v>
      </c>
      <c r="L47">
        <v>13158</v>
      </c>
      <c r="M47">
        <v>7502.11</v>
      </c>
      <c r="N47">
        <v>5655.89</v>
      </c>
      <c r="O47" t="s">
        <v>79</v>
      </c>
      <c r="P47" t="s">
        <v>84</v>
      </c>
    </row>
    <row r="48" spans="1:16" x14ac:dyDescent="0.25">
      <c r="A48">
        <v>47</v>
      </c>
      <c r="B48" s="2">
        <v>45910</v>
      </c>
      <c r="C48" t="s">
        <v>18</v>
      </c>
      <c r="D48" t="s">
        <v>26</v>
      </c>
      <c r="E48" t="s">
        <v>28</v>
      </c>
      <c r="F48" t="s">
        <v>58</v>
      </c>
      <c r="G48" t="s">
        <v>70</v>
      </c>
      <c r="H48" t="s">
        <v>74</v>
      </c>
      <c r="I48">
        <v>4</v>
      </c>
      <c r="J48">
        <v>1106</v>
      </c>
      <c r="K48">
        <v>0.15</v>
      </c>
      <c r="L48">
        <v>3760.4</v>
      </c>
      <c r="M48">
        <v>2703.18</v>
      </c>
      <c r="N48">
        <v>1057.22</v>
      </c>
      <c r="O48" t="s">
        <v>78</v>
      </c>
      <c r="P48" t="s">
        <v>81</v>
      </c>
    </row>
    <row r="49" spans="1:16" x14ac:dyDescent="0.25">
      <c r="A49">
        <v>48</v>
      </c>
      <c r="B49" s="2">
        <v>45951</v>
      </c>
      <c r="C49" t="s">
        <v>21</v>
      </c>
      <c r="D49" t="s">
        <v>24</v>
      </c>
      <c r="E49" t="s">
        <v>28</v>
      </c>
      <c r="F49" t="s">
        <v>61</v>
      </c>
      <c r="G49" t="s">
        <v>72</v>
      </c>
      <c r="H49" t="s">
        <v>75</v>
      </c>
      <c r="I49">
        <v>7</v>
      </c>
      <c r="J49">
        <v>2272</v>
      </c>
      <c r="K49">
        <v>0.05</v>
      </c>
      <c r="L49">
        <v>15108.8</v>
      </c>
      <c r="M49">
        <v>10673.01</v>
      </c>
      <c r="N49">
        <v>4435.79</v>
      </c>
      <c r="O49" t="s">
        <v>79</v>
      </c>
      <c r="P49" t="s">
        <v>88</v>
      </c>
    </row>
    <row r="50" spans="1:16" x14ac:dyDescent="0.25">
      <c r="A50">
        <v>49</v>
      </c>
      <c r="B50" s="2">
        <v>45803</v>
      </c>
      <c r="C50" t="s">
        <v>20</v>
      </c>
      <c r="D50" t="s">
        <v>26</v>
      </c>
      <c r="E50" t="s">
        <v>28</v>
      </c>
      <c r="F50" t="s">
        <v>58</v>
      </c>
      <c r="G50" t="s">
        <v>72</v>
      </c>
      <c r="H50" t="s">
        <v>74</v>
      </c>
      <c r="I50">
        <v>7</v>
      </c>
      <c r="J50">
        <v>1841</v>
      </c>
      <c r="K50">
        <v>0</v>
      </c>
      <c r="L50">
        <v>12887</v>
      </c>
      <c r="M50">
        <v>9206.75</v>
      </c>
      <c r="N50">
        <v>3680.25</v>
      </c>
      <c r="O50" t="s">
        <v>79</v>
      </c>
      <c r="P50" t="s">
        <v>83</v>
      </c>
    </row>
    <row r="51" spans="1:16" x14ac:dyDescent="0.25">
      <c r="A51">
        <v>50</v>
      </c>
      <c r="B51" s="2">
        <v>45807</v>
      </c>
      <c r="C51" t="s">
        <v>19</v>
      </c>
      <c r="D51" t="s">
        <v>26</v>
      </c>
      <c r="E51" t="s">
        <v>29</v>
      </c>
      <c r="F51" t="s">
        <v>53</v>
      </c>
      <c r="G51" t="s">
        <v>71</v>
      </c>
      <c r="H51" t="s">
        <v>75</v>
      </c>
      <c r="I51">
        <v>6</v>
      </c>
      <c r="J51">
        <v>11462</v>
      </c>
      <c r="K51">
        <v>0</v>
      </c>
      <c r="L51">
        <v>68772</v>
      </c>
      <c r="M51">
        <v>49728.26</v>
      </c>
      <c r="N51">
        <v>19043.740000000002</v>
      </c>
      <c r="O51" t="s">
        <v>78</v>
      </c>
      <c r="P51" t="s">
        <v>82</v>
      </c>
    </row>
    <row r="52" spans="1:16" x14ac:dyDescent="0.25">
      <c r="A52">
        <v>51</v>
      </c>
      <c r="B52" s="2">
        <v>45877</v>
      </c>
      <c r="C52" t="s">
        <v>18</v>
      </c>
      <c r="D52" t="s">
        <v>26</v>
      </c>
      <c r="E52" t="s">
        <v>28</v>
      </c>
      <c r="F52" t="s">
        <v>61</v>
      </c>
      <c r="G52" t="s">
        <v>70</v>
      </c>
      <c r="H52" t="s">
        <v>74</v>
      </c>
      <c r="I52">
        <v>6</v>
      </c>
      <c r="J52">
        <v>1748</v>
      </c>
      <c r="K52">
        <v>0</v>
      </c>
      <c r="L52">
        <v>10488</v>
      </c>
      <c r="M52">
        <v>6888.67</v>
      </c>
      <c r="N52">
        <v>3599.33</v>
      </c>
      <c r="O52" t="s">
        <v>80</v>
      </c>
      <c r="P52" t="s">
        <v>83</v>
      </c>
    </row>
    <row r="53" spans="1:16" x14ac:dyDescent="0.25">
      <c r="A53">
        <v>52</v>
      </c>
      <c r="B53" s="2">
        <v>45797</v>
      </c>
      <c r="C53" t="s">
        <v>20</v>
      </c>
      <c r="D53" t="s">
        <v>26</v>
      </c>
      <c r="E53" t="s">
        <v>32</v>
      </c>
      <c r="F53" t="s">
        <v>62</v>
      </c>
      <c r="G53" t="s">
        <v>72</v>
      </c>
      <c r="H53" t="s">
        <v>74</v>
      </c>
      <c r="I53">
        <v>6</v>
      </c>
      <c r="J53">
        <v>8188</v>
      </c>
      <c r="K53">
        <v>0.1</v>
      </c>
      <c r="L53">
        <v>44215.199999999997</v>
      </c>
      <c r="M53">
        <v>32327.69</v>
      </c>
      <c r="N53">
        <v>11887.51</v>
      </c>
      <c r="O53" t="s">
        <v>78</v>
      </c>
      <c r="P53" t="s">
        <v>82</v>
      </c>
    </row>
    <row r="54" spans="1:16" x14ac:dyDescent="0.25">
      <c r="A54">
        <v>53</v>
      </c>
      <c r="B54" s="2">
        <v>45978</v>
      </c>
      <c r="C54" t="s">
        <v>20</v>
      </c>
      <c r="D54" t="s">
        <v>26</v>
      </c>
      <c r="E54" t="s">
        <v>30</v>
      </c>
      <c r="F54" t="s">
        <v>56</v>
      </c>
      <c r="G54" t="s">
        <v>71</v>
      </c>
      <c r="H54" t="s">
        <v>73</v>
      </c>
      <c r="I54">
        <v>1</v>
      </c>
      <c r="J54">
        <v>28114</v>
      </c>
      <c r="K54">
        <v>0</v>
      </c>
      <c r="L54">
        <v>28114</v>
      </c>
      <c r="M54">
        <v>22243.41</v>
      </c>
      <c r="N54">
        <v>5870.59</v>
      </c>
      <c r="O54" t="s">
        <v>80</v>
      </c>
      <c r="P54" t="s">
        <v>84</v>
      </c>
    </row>
    <row r="55" spans="1:16" x14ac:dyDescent="0.25">
      <c r="A55">
        <v>54</v>
      </c>
      <c r="B55" s="2">
        <v>45692</v>
      </c>
      <c r="C55" t="s">
        <v>18</v>
      </c>
      <c r="D55" t="s">
        <v>26</v>
      </c>
      <c r="E55" t="s">
        <v>29</v>
      </c>
      <c r="F55" t="s">
        <v>53</v>
      </c>
      <c r="G55" t="s">
        <v>71</v>
      </c>
      <c r="H55" t="s">
        <v>73</v>
      </c>
      <c r="I55">
        <v>8</v>
      </c>
      <c r="J55">
        <v>3298</v>
      </c>
      <c r="K55">
        <v>0.1</v>
      </c>
      <c r="L55">
        <v>23745.599999999999</v>
      </c>
      <c r="M55">
        <v>15871.89</v>
      </c>
      <c r="N55">
        <v>7873.71</v>
      </c>
      <c r="O55" t="s">
        <v>79</v>
      </c>
      <c r="P55" t="s">
        <v>81</v>
      </c>
    </row>
    <row r="56" spans="1:16" x14ac:dyDescent="0.25">
      <c r="A56">
        <v>55</v>
      </c>
      <c r="B56" s="2">
        <v>45953</v>
      </c>
      <c r="C56" t="s">
        <v>23</v>
      </c>
      <c r="D56" t="s">
        <v>27</v>
      </c>
      <c r="E56" t="s">
        <v>29</v>
      </c>
      <c r="F56" t="s">
        <v>42</v>
      </c>
      <c r="G56" t="s">
        <v>70</v>
      </c>
      <c r="H56" t="s">
        <v>75</v>
      </c>
      <c r="I56">
        <v>5</v>
      </c>
      <c r="J56">
        <v>11646</v>
      </c>
      <c r="K56">
        <v>0.1</v>
      </c>
      <c r="L56">
        <v>52407</v>
      </c>
      <c r="M56">
        <v>29975.98</v>
      </c>
      <c r="N56">
        <v>22431.02</v>
      </c>
      <c r="O56" t="s">
        <v>77</v>
      </c>
      <c r="P56" t="s">
        <v>87</v>
      </c>
    </row>
    <row r="57" spans="1:16" x14ac:dyDescent="0.25">
      <c r="A57">
        <v>56</v>
      </c>
      <c r="B57" s="2">
        <v>45791</v>
      </c>
      <c r="C57" t="s">
        <v>23</v>
      </c>
      <c r="D57" t="s">
        <v>27</v>
      </c>
      <c r="E57" t="s">
        <v>33</v>
      </c>
      <c r="F57" t="s">
        <v>52</v>
      </c>
      <c r="G57" t="s">
        <v>71</v>
      </c>
      <c r="H57" t="s">
        <v>74</v>
      </c>
      <c r="I57">
        <v>8</v>
      </c>
      <c r="J57">
        <v>8288</v>
      </c>
      <c r="K57">
        <v>0.1</v>
      </c>
      <c r="L57">
        <v>59673.599999999999</v>
      </c>
      <c r="M57">
        <v>52467.33</v>
      </c>
      <c r="N57">
        <v>7206.27</v>
      </c>
      <c r="O57" t="s">
        <v>76</v>
      </c>
      <c r="P57" t="s">
        <v>88</v>
      </c>
    </row>
    <row r="58" spans="1:16" x14ac:dyDescent="0.25">
      <c r="A58">
        <v>57</v>
      </c>
      <c r="B58" s="2">
        <v>45946</v>
      </c>
      <c r="C58" t="s">
        <v>20</v>
      </c>
      <c r="D58" t="s">
        <v>26</v>
      </c>
      <c r="E58" t="s">
        <v>29</v>
      </c>
      <c r="F58" t="s">
        <v>36</v>
      </c>
      <c r="G58" t="s">
        <v>70</v>
      </c>
      <c r="H58" t="s">
        <v>75</v>
      </c>
      <c r="I58">
        <v>2</v>
      </c>
      <c r="J58">
        <v>4119</v>
      </c>
      <c r="K58">
        <v>0.05</v>
      </c>
      <c r="L58">
        <v>7826.1</v>
      </c>
      <c r="M58">
        <v>6297.83</v>
      </c>
      <c r="N58">
        <v>1528.27</v>
      </c>
      <c r="O58" t="s">
        <v>77</v>
      </c>
      <c r="P58" t="s">
        <v>84</v>
      </c>
    </row>
    <row r="59" spans="1:16" x14ac:dyDescent="0.25">
      <c r="A59">
        <v>58</v>
      </c>
      <c r="B59" s="2">
        <v>45949</v>
      </c>
      <c r="C59" t="s">
        <v>22</v>
      </c>
      <c r="D59" t="s">
        <v>24</v>
      </c>
      <c r="E59" t="s">
        <v>33</v>
      </c>
      <c r="F59" t="s">
        <v>41</v>
      </c>
      <c r="G59" t="s">
        <v>72</v>
      </c>
      <c r="H59" t="s">
        <v>73</v>
      </c>
      <c r="I59">
        <v>4</v>
      </c>
      <c r="J59">
        <v>13289</v>
      </c>
      <c r="K59">
        <v>0.1</v>
      </c>
      <c r="L59">
        <v>47840.4</v>
      </c>
      <c r="M59">
        <v>40707.94</v>
      </c>
      <c r="N59">
        <v>7132.46</v>
      </c>
      <c r="O59" t="s">
        <v>79</v>
      </c>
      <c r="P59" t="s">
        <v>83</v>
      </c>
    </row>
    <row r="60" spans="1:16" x14ac:dyDescent="0.25">
      <c r="A60">
        <v>59</v>
      </c>
      <c r="B60" s="2">
        <v>45768</v>
      </c>
      <c r="C60" t="s">
        <v>22</v>
      </c>
      <c r="D60" t="s">
        <v>24</v>
      </c>
      <c r="E60" t="s">
        <v>33</v>
      </c>
      <c r="F60" t="s">
        <v>46</v>
      </c>
      <c r="G60" t="s">
        <v>70</v>
      </c>
      <c r="H60" t="s">
        <v>74</v>
      </c>
      <c r="I60">
        <v>4</v>
      </c>
      <c r="J60">
        <v>48903</v>
      </c>
      <c r="K60">
        <v>0.05</v>
      </c>
      <c r="L60">
        <v>185831.4</v>
      </c>
      <c r="M60">
        <v>106433.84</v>
      </c>
      <c r="N60">
        <v>79397.56</v>
      </c>
      <c r="O60" t="s">
        <v>79</v>
      </c>
      <c r="P60" t="s">
        <v>87</v>
      </c>
    </row>
    <row r="61" spans="1:16" x14ac:dyDescent="0.25">
      <c r="A61">
        <v>60</v>
      </c>
      <c r="B61" s="2">
        <v>45924</v>
      </c>
      <c r="C61" t="s">
        <v>23</v>
      </c>
      <c r="D61" t="s">
        <v>27</v>
      </c>
      <c r="E61" t="s">
        <v>29</v>
      </c>
      <c r="F61" t="s">
        <v>45</v>
      </c>
      <c r="G61" t="s">
        <v>71</v>
      </c>
      <c r="H61" t="s">
        <v>74</v>
      </c>
      <c r="I61">
        <v>5</v>
      </c>
      <c r="J61">
        <v>5062</v>
      </c>
      <c r="K61">
        <v>0.1</v>
      </c>
      <c r="L61">
        <v>22779</v>
      </c>
      <c r="M61">
        <v>15527.78</v>
      </c>
      <c r="N61">
        <v>7251.22</v>
      </c>
      <c r="O61" t="s">
        <v>79</v>
      </c>
      <c r="P61" t="s">
        <v>81</v>
      </c>
    </row>
    <row r="62" spans="1:16" x14ac:dyDescent="0.25">
      <c r="A62">
        <v>61</v>
      </c>
      <c r="B62" s="2">
        <v>45970</v>
      </c>
      <c r="C62" t="s">
        <v>20</v>
      </c>
      <c r="D62" t="s">
        <v>26</v>
      </c>
      <c r="E62" t="s">
        <v>30</v>
      </c>
      <c r="F62" t="s">
        <v>37</v>
      </c>
      <c r="G62" t="s">
        <v>70</v>
      </c>
      <c r="H62" t="s">
        <v>75</v>
      </c>
      <c r="I62">
        <v>7</v>
      </c>
      <c r="J62">
        <v>65231</v>
      </c>
      <c r="K62">
        <v>0.1</v>
      </c>
      <c r="L62">
        <v>410955.3</v>
      </c>
      <c r="M62">
        <v>287353.06</v>
      </c>
      <c r="N62">
        <v>123602.24000000001</v>
      </c>
      <c r="O62" t="s">
        <v>80</v>
      </c>
      <c r="P62" t="s">
        <v>84</v>
      </c>
    </row>
    <row r="63" spans="1:16" x14ac:dyDescent="0.25">
      <c r="A63">
        <v>62</v>
      </c>
      <c r="B63" s="2">
        <v>45836</v>
      </c>
      <c r="C63" t="s">
        <v>19</v>
      </c>
      <c r="D63" t="s">
        <v>26</v>
      </c>
      <c r="E63" t="s">
        <v>30</v>
      </c>
      <c r="F63" t="s">
        <v>40</v>
      </c>
      <c r="G63" t="s">
        <v>71</v>
      </c>
      <c r="H63" t="s">
        <v>74</v>
      </c>
      <c r="I63">
        <v>6</v>
      </c>
      <c r="J63">
        <v>21456</v>
      </c>
      <c r="K63">
        <v>0</v>
      </c>
      <c r="L63">
        <v>128736</v>
      </c>
      <c r="M63">
        <v>92690.86</v>
      </c>
      <c r="N63">
        <v>36045.14</v>
      </c>
      <c r="O63" t="s">
        <v>79</v>
      </c>
      <c r="P63" t="s">
        <v>82</v>
      </c>
    </row>
    <row r="64" spans="1:16" x14ac:dyDescent="0.25">
      <c r="A64">
        <v>63</v>
      </c>
      <c r="B64" s="2">
        <v>45775</v>
      </c>
      <c r="C64" t="s">
        <v>17</v>
      </c>
      <c r="D64" t="s">
        <v>25</v>
      </c>
      <c r="E64" t="s">
        <v>28</v>
      </c>
      <c r="F64" t="s">
        <v>63</v>
      </c>
      <c r="G64" t="s">
        <v>71</v>
      </c>
      <c r="H64" t="s">
        <v>74</v>
      </c>
      <c r="I64">
        <v>8</v>
      </c>
      <c r="J64">
        <v>1031</v>
      </c>
      <c r="K64">
        <v>0.15</v>
      </c>
      <c r="L64">
        <v>7010.8</v>
      </c>
      <c r="M64">
        <v>4330.54</v>
      </c>
      <c r="N64">
        <v>2680.26</v>
      </c>
      <c r="O64" t="s">
        <v>76</v>
      </c>
      <c r="P64" t="s">
        <v>88</v>
      </c>
    </row>
    <row r="65" spans="1:16" x14ac:dyDescent="0.25">
      <c r="A65">
        <v>64</v>
      </c>
      <c r="B65" s="2">
        <v>45943</v>
      </c>
      <c r="C65" t="s">
        <v>17</v>
      </c>
      <c r="D65" t="s">
        <v>25</v>
      </c>
      <c r="E65" t="s">
        <v>33</v>
      </c>
      <c r="F65" t="s">
        <v>52</v>
      </c>
      <c r="G65" t="s">
        <v>71</v>
      </c>
      <c r="H65" t="s">
        <v>75</v>
      </c>
      <c r="I65">
        <v>1</v>
      </c>
      <c r="J65">
        <v>31365</v>
      </c>
      <c r="K65">
        <v>0.1</v>
      </c>
      <c r="L65">
        <v>28228.5</v>
      </c>
      <c r="M65">
        <v>16484.990000000002</v>
      </c>
      <c r="N65">
        <v>11743.51</v>
      </c>
      <c r="O65" t="s">
        <v>77</v>
      </c>
      <c r="P65" t="s">
        <v>86</v>
      </c>
    </row>
    <row r="66" spans="1:16" x14ac:dyDescent="0.25">
      <c r="A66">
        <v>65</v>
      </c>
      <c r="B66" s="2">
        <v>45923</v>
      </c>
      <c r="C66" t="s">
        <v>19</v>
      </c>
      <c r="D66" t="s">
        <v>26</v>
      </c>
      <c r="E66" t="s">
        <v>29</v>
      </c>
      <c r="F66" t="s">
        <v>36</v>
      </c>
      <c r="G66" t="s">
        <v>71</v>
      </c>
      <c r="H66" t="s">
        <v>73</v>
      </c>
      <c r="I66">
        <v>4</v>
      </c>
      <c r="J66">
        <v>11398</v>
      </c>
      <c r="K66">
        <v>0</v>
      </c>
      <c r="L66">
        <v>45592</v>
      </c>
      <c r="M66">
        <v>35184.47</v>
      </c>
      <c r="N66">
        <v>10407.530000000001</v>
      </c>
      <c r="O66" t="s">
        <v>79</v>
      </c>
      <c r="P66" t="s">
        <v>85</v>
      </c>
    </row>
    <row r="67" spans="1:16" x14ac:dyDescent="0.25">
      <c r="A67">
        <v>66</v>
      </c>
      <c r="B67" s="2">
        <v>45886</v>
      </c>
      <c r="C67" t="s">
        <v>20</v>
      </c>
      <c r="D67" t="s">
        <v>26</v>
      </c>
      <c r="E67" t="s">
        <v>30</v>
      </c>
      <c r="F67" t="s">
        <v>40</v>
      </c>
      <c r="G67" t="s">
        <v>72</v>
      </c>
      <c r="H67" t="s">
        <v>75</v>
      </c>
      <c r="I67">
        <v>7</v>
      </c>
      <c r="J67">
        <v>66429</v>
      </c>
      <c r="K67">
        <v>0.15</v>
      </c>
      <c r="L67">
        <v>395252.55</v>
      </c>
      <c r="M67">
        <v>235790.68</v>
      </c>
      <c r="N67">
        <v>159461.87</v>
      </c>
      <c r="O67" t="s">
        <v>78</v>
      </c>
      <c r="P67" t="s">
        <v>85</v>
      </c>
    </row>
    <row r="68" spans="1:16" x14ac:dyDescent="0.25">
      <c r="A68">
        <v>67</v>
      </c>
      <c r="B68" s="2">
        <v>45987</v>
      </c>
      <c r="C68" t="s">
        <v>20</v>
      </c>
      <c r="D68" t="s">
        <v>26</v>
      </c>
      <c r="E68" t="s">
        <v>28</v>
      </c>
      <c r="F68" t="s">
        <v>63</v>
      </c>
      <c r="G68" t="s">
        <v>70</v>
      </c>
      <c r="H68" t="s">
        <v>73</v>
      </c>
      <c r="I68">
        <v>3</v>
      </c>
      <c r="J68">
        <v>593</v>
      </c>
      <c r="K68">
        <v>0.15</v>
      </c>
      <c r="L68">
        <v>1512.15</v>
      </c>
      <c r="M68">
        <v>1143.44</v>
      </c>
      <c r="N68">
        <v>368.71</v>
      </c>
      <c r="O68" t="s">
        <v>78</v>
      </c>
      <c r="P68" t="s">
        <v>84</v>
      </c>
    </row>
    <row r="69" spans="1:16" x14ac:dyDescent="0.25">
      <c r="A69">
        <v>68</v>
      </c>
      <c r="B69" s="2">
        <v>45776</v>
      </c>
      <c r="C69" t="s">
        <v>19</v>
      </c>
      <c r="D69" t="s">
        <v>26</v>
      </c>
      <c r="E69" t="s">
        <v>34</v>
      </c>
      <c r="F69" t="s">
        <v>43</v>
      </c>
      <c r="G69" t="s">
        <v>70</v>
      </c>
      <c r="H69" t="s">
        <v>73</v>
      </c>
      <c r="I69">
        <v>6</v>
      </c>
      <c r="J69">
        <v>5769</v>
      </c>
      <c r="K69">
        <v>0</v>
      </c>
      <c r="L69">
        <v>34614</v>
      </c>
      <c r="M69">
        <v>28957.88</v>
      </c>
      <c r="N69">
        <v>5656.12</v>
      </c>
      <c r="O69" t="s">
        <v>79</v>
      </c>
      <c r="P69" t="s">
        <v>81</v>
      </c>
    </row>
    <row r="70" spans="1:16" x14ac:dyDescent="0.25">
      <c r="A70">
        <v>69</v>
      </c>
      <c r="B70" s="2">
        <v>45772</v>
      </c>
      <c r="C70" t="s">
        <v>21</v>
      </c>
      <c r="D70" t="s">
        <v>24</v>
      </c>
      <c r="E70" t="s">
        <v>30</v>
      </c>
      <c r="F70" t="s">
        <v>64</v>
      </c>
      <c r="G70" t="s">
        <v>71</v>
      </c>
      <c r="H70" t="s">
        <v>73</v>
      </c>
      <c r="I70">
        <v>5</v>
      </c>
      <c r="J70">
        <v>62274</v>
      </c>
      <c r="K70">
        <v>0</v>
      </c>
      <c r="L70">
        <v>311370</v>
      </c>
      <c r="M70">
        <v>265199.62</v>
      </c>
      <c r="N70">
        <v>46170.38</v>
      </c>
      <c r="O70" t="s">
        <v>80</v>
      </c>
      <c r="P70" t="s">
        <v>83</v>
      </c>
    </row>
    <row r="71" spans="1:16" x14ac:dyDescent="0.25">
      <c r="A71">
        <v>70</v>
      </c>
      <c r="B71" s="2">
        <v>45691</v>
      </c>
      <c r="C71" t="s">
        <v>21</v>
      </c>
      <c r="D71" t="s">
        <v>24</v>
      </c>
      <c r="E71" t="s">
        <v>30</v>
      </c>
      <c r="F71" t="s">
        <v>64</v>
      </c>
      <c r="G71" t="s">
        <v>71</v>
      </c>
      <c r="H71" t="s">
        <v>74</v>
      </c>
      <c r="I71">
        <v>4</v>
      </c>
      <c r="J71">
        <v>3122</v>
      </c>
      <c r="K71">
        <v>0.1</v>
      </c>
      <c r="L71">
        <v>11239.2</v>
      </c>
      <c r="M71">
        <v>7111.5</v>
      </c>
      <c r="N71">
        <v>4127.7</v>
      </c>
      <c r="O71" t="s">
        <v>76</v>
      </c>
      <c r="P71" t="s">
        <v>85</v>
      </c>
    </row>
    <row r="72" spans="1:16" x14ac:dyDescent="0.25">
      <c r="A72">
        <v>71</v>
      </c>
      <c r="B72" s="2">
        <v>45830</v>
      </c>
      <c r="C72" t="s">
        <v>17</v>
      </c>
      <c r="D72" t="s">
        <v>25</v>
      </c>
      <c r="E72" t="s">
        <v>34</v>
      </c>
      <c r="F72" t="s">
        <v>55</v>
      </c>
      <c r="G72" t="s">
        <v>71</v>
      </c>
      <c r="H72" t="s">
        <v>75</v>
      </c>
      <c r="I72">
        <v>6</v>
      </c>
      <c r="J72">
        <v>1536</v>
      </c>
      <c r="K72">
        <v>0.1</v>
      </c>
      <c r="L72">
        <v>8294.4</v>
      </c>
      <c r="M72">
        <v>5233.4799999999996</v>
      </c>
      <c r="N72">
        <v>3060.92</v>
      </c>
      <c r="O72" t="s">
        <v>77</v>
      </c>
      <c r="P72" t="s">
        <v>86</v>
      </c>
    </row>
    <row r="73" spans="1:16" x14ac:dyDescent="0.25">
      <c r="A73">
        <v>72</v>
      </c>
      <c r="B73" s="2">
        <v>45821</v>
      </c>
      <c r="C73" t="s">
        <v>22</v>
      </c>
      <c r="D73" t="s">
        <v>24</v>
      </c>
      <c r="E73" t="s">
        <v>28</v>
      </c>
      <c r="F73" t="s">
        <v>35</v>
      </c>
      <c r="G73" t="s">
        <v>70</v>
      </c>
      <c r="H73" t="s">
        <v>75</v>
      </c>
      <c r="I73">
        <v>6</v>
      </c>
      <c r="J73">
        <v>1392</v>
      </c>
      <c r="K73">
        <v>0.05</v>
      </c>
      <c r="L73">
        <v>7934.4</v>
      </c>
      <c r="M73">
        <v>5777.42</v>
      </c>
      <c r="N73">
        <v>2156.98</v>
      </c>
      <c r="O73" t="s">
        <v>80</v>
      </c>
      <c r="P73" t="s">
        <v>84</v>
      </c>
    </row>
    <row r="74" spans="1:16" x14ac:dyDescent="0.25">
      <c r="A74">
        <v>73</v>
      </c>
      <c r="B74" s="2">
        <v>45994</v>
      </c>
      <c r="C74" t="s">
        <v>21</v>
      </c>
      <c r="D74" t="s">
        <v>24</v>
      </c>
      <c r="E74" t="s">
        <v>34</v>
      </c>
      <c r="F74" t="s">
        <v>65</v>
      </c>
      <c r="G74" t="s">
        <v>72</v>
      </c>
      <c r="H74" t="s">
        <v>74</v>
      </c>
      <c r="I74">
        <v>2</v>
      </c>
      <c r="J74">
        <v>2270</v>
      </c>
      <c r="K74">
        <v>0.05</v>
      </c>
      <c r="L74">
        <v>4313</v>
      </c>
      <c r="M74">
        <v>3375.46</v>
      </c>
      <c r="N74">
        <v>937.54</v>
      </c>
      <c r="O74" t="s">
        <v>77</v>
      </c>
      <c r="P74" t="s">
        <v>84</v>
      </c>
    </row>
    <row r="75" spans="1:16" x14ac:dyDescent="0.25">
      <c r="A75">
        <v>74</v>
      </c>
      <c r="B75" s="2">
        <v>45886</v>
      </c>
      <c r="C75" t="s">
        <v>20</v>
      </c>
      <c r="D75" t="s">
        <v>26</v>
      </c>
      <c r="E75" t="s">
        <v>33</v>
      </c>
      <c r="F75" t="s">
        <v>52</v>
      </c>
      <c r="G75" t="s">
        <v>70</v>
      </c>
      <c r="H75" t="s">
        <v>75</v>
      </c>
      <c r="I75">
        <v>4</v>
      </c>
      <c r="J75">
        <v>6590</v>
      </c>
      <c r="K75">
        <v>0</v>
      </c>
      <c r="L75">
        <v>26360</v>
      </c>
      <c r="M75">
        <v>19211.89</v>
      </c>
      <c r="N75">
        <v>7148.11</v>
      </c>
      <c r="O75" t="s">
        <v>76</v>
      </c>
      <c r="P75" t="s">
        <v>83</v>
      </c>
    </row>
    <row r="76" spans="1:16" x14ac:dyDescent="0.25">
      <c r="A76">
        <v>75</v>
      </c>
      <c r="B76" s="2">
        <v>45872</v>
      </c>
      <c r="C76" t="s">
        <v>22</v>
      </c>
      <c r="D76" t="s">
        <v>24</v>
      </c>
      <c r="E76" t="s">
        <v>29</v>
      </c>
      <c r="F76" t="s">
        <v>57</v>
      </c>
      <c r="G76" t="s">
        <v>72</v>
      </c>
      <c r="H76" t="s">
        <v>74</v>
      </c>
      <c r="I76">
        <v>2</v>
      </c>
      <c r="J76">
        <v>8638</v>
      </c>
      <c r="K76">
        <v>0.1</v>
      </c>
      <c r="L76">
        <v>15548.4</v>
      </c>
      <c r="M76">
        <v>13679.27</v>
      </c>
      <c r="N76">
        <v>1869.13</v>
      </c>
      <c r="O76" t="s">
        <v>78</v>
      </c>
      <c r="P76" t="s">
        <v>85</v>
      </c>
    </row>
    <row r="77" spans="1:16" x14ac:dyDescent="0.25">
      <c r="A77">
        <v>76</v>
      </c>
      <c r="B77" s="2">
        <v>45927</v>
      </c>
      <c r="C77" t="s">
        <v>20</v>
      </c>
      <c r="D77" t="s">
        <v>26</v>
      </c>
      <c r="E77" t="s">
        <v>28</v>
      </c>
      <c r="F77" t="s">
        <v>61</v>
      </c>
      <c r="G77" t="s">
        <v>72</v>
      </c>
      <c r="H77" t="s">
        <v>75</v>
      </c>
      <c r="I77">
        <v>3</v>
      </c>
      <c r="J77">
        <v>481</v>
      </c>
      <c r="K77">
        <v>0.1</v>
      </c>
      <c r="L77">
        <v>1298.7</v>
      </c>
      <c r="M77">
        <v>990.52</v>
      </c>
      <c r="N77">
        <v>308.18</v>
      </c>
      <c r="O77" t="s">
        <v>77</v>
      </c>
      <c r="P77" t="s">
        <v>82</v>
      </c>
    </row>
    <row r="78" spans="1:16" x14ac:dyDescent="0.25">
      <c r="A78">
        <v>77</v>
      </c>
      <c r="B78" s="2">
        <v>45845</v>
      </c>
      <c r="C78" t="s">
        <v>21</v>
      </c>
      <c r="D78" t="s">
        <v>24</v>
      </c>
      <c r="E78" t="s">
        <v>33</v>
      </c>
      <c r="F78" t="s">
        <v>41</v>
      </c>
      <c r="G78" t="s">
        <v>71</v>
      </c>
      <c r="H78" t="s">
        <v>74</v>
      </c>
      <c r="I78">
        <v>3</v>
      </c>
      <c r="J78">
        <v>26010</v>
      </c>
      <c r="K78">
        <v>0.1</v>
      </c>
      <c r="L78">
        <v>70227</v>
      </c>
      <c r="M78">
        <v>55724.59</v>
      </c>
      <c r="N78">
        <v>14502.41</v>
      </c>
      <c r="O78" t="s">
        <v>78</v>
      </c>
      <c r="P78" t="s">
        <v>82</v>
      </c>
    </row>
    <row r="79" spans="1:16" x14ac:dyDescent="0.25">
      <c r="A79">
        <v>78</v>
      </c>
      <c r="B79" s="2">
        <v>45968</v>
      </c>
      <c r="C79" t="s">
        <v>23</v>
      </c>
      <c r="D79" t="s">
        <v>27</v>
      </c>
      <c r="E79" t="s">
        <v>32</v>
      </c>
      <c r="F79" t="s">
        <v>49</v>
      </c>
      <c r="G79" t="s">
        <v>70</v>
      </c>
      <c r="H79" t="s">
        <v>74</v>
      </c>
      <c r="I79">
        <v>7</v>
      </c>
      <c r="J79">
        <v>16975</v>
      </c>
      <c r="K79">
        <v>0</v>
      </c>
      <c r="L79">
        <v>118825</v>
      </c>
      <c r="M79">
        <v>84167.06</v>
      </c>
      <c r="N79">
        <v>34657.94</v>
      </c>
      <c r="O79" t="s">
        <v>78</v>
      </c>
      <c r="P79" t="s">
        <v>87</v>
      </c>
    </row>
    <row r="80" spans="1:16" x14ac:dyDescent="0.25">
      <c r="A80">
        <v>79</v>
      </c>
      <c r="B80" s="2">
        <v>46016</v>
      </c>
      <c r="C80" t="s">
        <v>21</v>
      </c>
      <c r="D80" t="s">
        <v>24</v>
      </c>
      <c r="E80" t="s">
        <v>30</v>
      </c>
      <c r="F80" t="s">
        <v>56</v>
      </c>
      <c r="G80" t="s">
        <v>71</v>
      </c>
      <c r="H80" t="s">
        <v>75</v>
      </c>
      <c r="I80">
        <v>3</v>
      </c>
      <c r="J80">
        <v>35433</v>
      </c>
      <c r="K80">
        <v>0</v>
      </c>
      <c r="L80">
        <v>106299</v>
      </c>
      <c r="M80">
        <v>93112.44</v>
      </c>
      <c r="N80">
        <v>13186.56</v>
      </c>
      <c r="O80" t="s">
        <v>79</v>
      </c>
      <c r="P80" t="s">
        <v>83</v>
      </c>
    </row>
    <row r="81" spans="1:16" x14ac:dyDescent="0.25">
      <c r="A81">
        <v>80</v>
      </c>
      <c r="B81" s="2">
        <v>46001</v>
      </c>
      <c r="C81" t="s">
        <v>20</v>
      </c>
      <c r="D81" t="s">
        <v>26</v>
      </c>
      <c r="E81" t="s">
        <v>33</v>
      </c>
      <c r="F81" t="s">
        <v>52</v>
      </c>
      <c r="G81" t="s">
        <v>72</v>
      </c>
      <c r="H81" t="s">
        <v>74</v>
      </c>
      <c r="I81">
        <v>5</v>
      </c>
      <c r="J81">
        <v>34623</v>
      </c>
      <c r="K81">
        <v>0.1</v>
      </c>
      <c r="L81">
        <v>155803.5</v>
      </c>
      <c r="M81">
        <v>132157.03</v>
      </c>
      <c r="N81">
        <v>23646.47</v>
      </c>
      <c r="O81" t="s">
        <v>80</v>
      </c>
      <c r="P81" t="s">
        <v>82</v>
      </c>
    </row>
    <row r="82" spans="1:16" x14ac:dyDescent="0.25">
      <c r="A82">
        <v>81</v>
      </c>
      <c r="B82" s="2">
        <v>45716</v>
      </c>
      <c r="C82" t="s">
        <v>23</v>
      </c>
      <c r="D82" t="s">
        <v>27</v>
      </c>
      <c r="E82" t="s">
        <v>34</v>
      </c>
      <c r="F82" t="s">
        <v>43</v>
      </c>
      <c r="G82" t="s">
        <v>72</v>
      </c>
      <c r="H82" t="s">
        <v>74</v>
      </c>
      <c r="I82">
        <v>3</v>
      </c>
      <c r="J82">
        <v>974</v>
      </c>
      <c r="K82">
        <v>0</v>
      </c>
      <c r="L82">
        <v>2922</v>
      </c>
      <c r="M82">
        <v>2358.8200000000002</v>
      </c>
      <c r="N82">
        <v>563.17999999999995</v>
      </c>
      <c r="O82" t="s">
        <v>76</v>
      </c>
      <c r="P82" t="s">
        <v>87</v>
      </c>
    </row>
    <row r="83" spans="1:16" x14ac:dyDescent="0.25">
      <c r="A83">
        <v>82</v>
      </c>
      <c r="B83" s="2">
        <v>45704</v>
      </c>
      <c r="C83" t="s">
        <v>20</v>
      </c>
      <c r="D83" t="s">
        <v>26</v>
      </c>
      <c r="E83" t="s">
        <v>30</v>
      </c>
      <c r="F83" t="s">
        <v>37</v>
      </c>
      <c r="G83" t="s">
        <v>71</v>
      </c>
      <c r="H83" t="s">
        <v>74</v>
      </c>
      <c r="I83">
        <v>4</v>
      </c>
      <c r="J83">
        <v>19797</v>
      </c>
      <c r="K83">
        <v>0.15</v>
      </c>
      <c r="L83">
        <v>67309.8</v>
      </c>
      <c r="M83">
        <v>47313.11</v>
      </c>
      <c r="N83">
        <v>19996.689999999999</v>
      </c>
      <c r="O83" t="s">
        <v>79</v>
      </c>
      <c r="P83" t="s">
        <v>83</v>
      </c>
    </row>
    <row r="84" spans="1:16" x14ac:dyDescent="0.25">
      <c r="A84">
        <v>83</v>
      </c>
      <c r="B84" s="2">
        <v>45725</v>
      </c>
      <c r="C84" t="s">
        <v>21</v>
      </c>
      <c r="D84" t="s">
        <v>24</v>
      </c>
      <c r="E84" t="s">
        <v>32</v>
      </c>
      <c r="F84" t="s">
        <v>49</v>
      </c>
      <c r="G84" t="s">
        <v>71</v>
      </c>
      <c r="H84" t="s">
        <v>74</v>
      </c>
      <c r="I84">
        <v>1</v>
      </c>
      <c r="J84">
        <v>12074</v>
      </c>
      <c r="K84">
        <v>0</v>
      </c>
      <c r="L84">
        <v>12074</v>
      </c>
      <c r="M84">
        <v>7951.78</v>
      </c>
      <c r="N84">
        <v>4122.22</v>
      </c>
      <c r="O84" t="s">
        <v>77</v>
      </c>
      <c r="P84" t="s">
        <v>84</v>
      </c>
    </row>
    <row r="85" spans="1:16" x14ac:dyDescent="0.25">
      <c r="A85">
        <v>84</v>
      </c>
      <c r="B85" s="2">
        <v>45883</v>
      </c>
      <c r="C85" t="s">
        <v>23</v>
      </c>
      <c r="D85" t="s">
        <v>27</v>
      </c>
      <c r="E85" t="s">
        <v>28</v>
      </c>
      <c r="F85" t="s">
        <v>35</v>
      </c>
      <c r="G85" t="s">
        <v>72</v>
      </c>
      <c r="H85" t="s">
        <v>74</v>
      </c>
      <c r="I85">
        <v>5</v>
      </c>
      <c r="J85">
        <v>672</v>
      </c>
      <c r="K85">
        <v>0</v>
      </c>
      <c r="L85">
        <v>3360</v>
      </c>
      <c r="M85">
        <v>2826.97</v>
      </c>
      <c r="N85">
        <v>533.03</v>
      </c>
      <c r="O85" t="s">
        <v>77</v>
      </c>
      <c r="P85" t="s">
        <v>81</v>
      </c>
    </row>
    <row r="86" spans="1:16" x14ac:dyDescent="0.25">
      <c r="A86">
        <v>85</v>
      </c>
      <c r="B86" s="2">
        <v>45980</v>
      </c>
      <c r="C86" t="s">
        <v>23</v>
      </c>
      <c r="D86" t="s">
        <v>27</v>
      </c>
      <c r="E86" t="s">
        <v>32</v>
      </c>
      <c r="F86" t="s">
        <v>49</v>
      </c>
      <c r="G86" t="s">
        <v>70</v>
      </c>
      <c r="H86" t="s">
        <v>75</v>
      </c>
      <c r="I86">
        <v>5</v>
      </c>
      <c r="J86">
        <v>19967</v>
      </c>
      <c r="K86">
        <v>0</v>
      </c>
      <c r="L86">
        <v>99835</v>
      </c>
      <c r="M86">
        <v>85551.59</v>
      </c>
      <c r="N86">
        <v>14283.41</v>
      </c>
      <c r="O86" t="s">
        <v>80</v>
      </c>
      <c r="P86" t="s">
        <v>85</v>
      </c>
    </row>
    <row r="87" spans="1:16" x14ac:dyDescent="0.25">
      <c r="A87">
        <v>86</v>
      </c>
      <c r="B87" s="2">
        <v>45790</v>
      </c>
      <c r="C87" t="s">
        <v>17</v>
      </c>
      <c r="D87" t="s">
        <v>25</v>
      </c>
      <c r="E87" t="s">
        <v>32</v>
      </c>
      <c r="F87" t="s">
        <v>48</v>
      </c>
      <c r="G87" t="s">
        <v>70</v>
      </c>
      <c r="H87" t="s">
        <v>73</v>
      </c>
      <c r="I87">
        <v>3</v>
      </c>
      <c r="J87">
        <v>16070</v>
      </c>
      <c r="K87">
        <v>0.1</v>
      </c>
      <c r="L87">
        <v>43389</v>
      </c>
      <c r="M87">
        <v>34697.74</v>
      </c>
      <c r="N87">
        <v>8691.26</v>
      </c>
      <c r="O87" t="s">
        <v>76</v>
      </c>
      <c r="P87" t="s">
        <v>87</v>
      </c>
    </row>
    <row r="88" spans="1:16" x14ac:dyDescent="0.25">
      <c r="A88">
        <v>87</v>
      </c>
      <c r="B88" s="2">
        <v>45812</v>
      </c>
      <c r="C88" t="s">
        <v>18</v>
      </c>
      <c r="D88" t="s">
        <v>26</v>
      </c>
      <c r="E88" t="s">
        <v>30</v>
      </c>
      <c r="F88" t="s">
        <v>64</v>
      </c>
      <c r="G88" t="s">
        <v>72</v>
      </c>
      <c r="H88" t="s">
        <v>74</v>
      </c>
      <c r="I88">
        <v>4</v>
      </c>
      <c r="J88">
        <v>38811</v>
      </c>
      <c r="K88">
        <v>0.05</v>
      </c>
      <c r="L88">
        <v>147481.79999999999</v>
      </c>
      <c r="M88">
        <v>111904.06</v>
      </c>
      <c r="N88">
        <v>35577.74</v>
      </c>
      <c r="O88" t="s">
        <v>76</v>
      </c>
      <c r="P88" t="s">
        <v>87</v>
      </c>
    </row>
    <row r="89" spans="1:16" x14ac:dyDescent="0.25">
      <c r="A89">
        <v>88</v>
      </c>
      <c r="B89" s="2">
        <v>45853</v>
      </c>
      <c r="C89" t="s">
        <v>20</v>
      </c>
      <c r="D89" t="s">
        <v>26</v>
      </c>
      <c r="E89" t="s">
        <v>31</v>
      </c>
      <c r="F89" t="s">
        <v>47</v>
      </c>
      <c r="G89" t="s">
        <v>72</v>
      </c>
      <c r="H89" t="s">
        <v>75</v>
      </c>
      <c r="I89">
        <v>4</v>
      </c>
      <c r="J89">
        <v>985</v>
      </c>
      <c r="K89">
        <v>0</v>
      </c>
      <c r="L89">
        <v>3940</v>
      </c>
      <c r="M89">
        <v>3275.31</v>
      </c>
      <c r="N89">
        <v>664.69</v>
      </c>
      <c r="O89" t="s">
        <v>76</v>
      </c>
      <c r="P89" t="s">
        <v>82</v>
      </c>
    </row>
    <row r="90" spans="1:16" x14ac:dyDescent="0.25">
      <c r="A90">
        <v>89</v>
      </c>
      <c r="B90" s="2">
        <v>45821</v>
      </c>
      <c r="C90" t="s">
        <v>22</v>
      </c>
      <c r="D90" t="s">
        <v>24</v>
      </c>
      <c r="E90" t="s">
        <v>31</v>
      </c>
      <c r="F90" t="s">
        <v>50</v>
      </c>
      <c r="G90" t="s">
        <v>72</v>
      </c>
      <c r="H90" t="s">
        <v>74</v>
      </c>
      <c r="I90">
        <v>4</v>
      </c>
      <c r="J90">
        <v>2226</v>
      </c>
      <c r="K90">
        <v>0</v>
      </c>
      <c r="L90">
        <v>8904</v>
      </c>
      <c r="M90">
        <v>5364.21</v>
      </c>
      <c r="N90">
        <v>3539.79</v>
      </c>
      <c r="O90" t="s">
        <v>80</v>
      </c>
      <c r="P90" t="s">
        <v>83</v>
      </c>
    </row>
    <row r="91" spans="1:16" x14ac:dyDescent="0.25">
      <c r="A91">
        <v>90</v>
      </c>
      <c r="B91" s="2">
        <v>45756</v>
      </c>
      <c r="C91" t="s">
        <v>23</v>
      </c>
      <c r="D91" t="s">
        <v>27</v>
      </c>
      <c r="E91" t="s">
        <v>28</v>
      </c>
      <c r="F91" t="s">
        <v>63</v>
      </c>
      <c r="G91" t="s">
        <v>71</v>
      </c>
      <c r="H91" t="s">
        <v>74</v>
      </c>
      <c r="I91">
        <v>5</v>
      </c>
      <c r="J91">
        <v>1642</v>
      </c>
      <c r="K91">
        <v>0.15</v>
      </c>
      <c r="L91">
        <v>6978.5</v>
      </c>
      <c r="M91">
        <v>6056.42</v>
      </c>
      <c r="N91">
        <v>922.08</v>
      </c>
      <c r="O91" t="s">
        <v>76</v>
      </c>
      <c r="P91" t="s">
        <v>84</v>
      </c>
    </row>
    <row r="92" spans="1:16" x14ac:dyDescent="0.25">
      <c r="A92">
        <v>91</v>
      </c>
      <c r="B92" s="2">
        <v>45741</v>
      </c>
      <c r="C92" t="s">
        <v>23</v>
      </c>
      <c r="D92" t="s">
        <v>27</v>
      </c>
      <c r="E92" t="s">
        <v>30</v>
      </c>
      <c r="F92" t="s">
        <v>44</v>
      </c>
      <c r="G92" t="s">
        <v>72</v>
      </c>
      <c r="H92" t="s">
        <v>75</v>
      </c>
      <c r="I92">
        <v>3</v>
      </c>
      <c r="J92">
        <v>7126</v>
      </c>
      <c r="K92">
        <v>0</v>
      </c>
      <c r="L92">
        <v>21378</v>
      </c>
      <c r="M92">
        <v>17882.28</v>
      </c>
      <c r="N92">
        <v>3495.72</v>
      </c>
      <c r="O92" t="s">
        <v>80</v>
      </c>
      <c r="P92" t="s">
        <v>86</v>
      </c>
    </row>
    <row r="93" spans="1:16" x14ac:dyDescent="0.25">
      <c r="A93">
        <v>92</v>
      </c>
      <c r="B93" s="2">
        <v>45684</v>
      </c>
      <c r="C93" t="s">
        <v>18</v>
      </c>
      <c r="D93" t="s">
        <v>26</v>
      </c>
      <c r="E93" t="s">
        <v>29</v>
      </c>
      <c r="F93" t="s">
        <v>57</v>
      </c>
      <c r="G93" t="s">
        <v>71</v>
      </c>
      <c r="H93" t="s">
        <v>73</v>
      </c>
      <c r="I93">
        <v>1</v>
      </c>
      <c r="J93">
        <v>4033</v>
      </c>
      <c r="K93">
        <v>0</v>
      </c>
      <c r="L93">
        <v>4033</v>
      </c>
      <c r="M93">
        <v>3278.6</v>
      </c>
      <c r="N93">
        <v>754.4</v>
      </c>
      <c r="O93" t="s">
        <v>77</v>
      </c>
      <c r="P93" t="s">
        <v>82</v>
      </c>
    </row>
    <row r="94" spans="1:16" x14ac:dyDescent="0.25">
      <c r="A94">
        <v>93</v>
      </c>
      <c r="B94" s="2">
        <v>45703</v>
      </c>
      <c r="C94" t="s">
        <v>23</v>
      </c>
      <c r="D94" t="s">
        <v>27</v>
      </c>
      <c r="E94" t="s">
        <v>29</v>
      </c>
      <c r="F94" t="s">
        <v>57</v>
      </c>
      <c r="G94" t="s">
        <v>70</v>
      </c>
      <c r="H94" t="s">
        <v>74</v>
      </c>
      <c r="I94">
        <v>6</v>
      </c>
      <c r="J94">
        <v>7499</v>
      </c>
      <c r="K94">
        <v>0.05</v>
      </c>
      <c r="L94">
        <v>42744.3</v>
      </c>
      <c r="M94">
        <v>31835.4</v>
      </c>
      <c r="N94">
        <v>10908.9</v>
      </c>
      <c r="O94" t="s">
        <v>79</v>
      </c>
      <c r="P94" t="s">
        <v>86</v>
      </c>
    </row>
    <row r="95" spans="1:16" x14ac:dyDescent="0.25">
      <c r="A95">
        <v>94</v>
      </c>
      <c r="B95" s="2">
        <v>45934</v>
      </c>
      <c r="C95" t="s">
        <v>20</v>
      </c>
      <c r="D95" t="s">
        <v>26</v>
      </c>
      <c r="E95" t="s">
        <v>32</v>
      </c>
      <c r="F95" t="s">
        <v>49</v>
      </c>
      <c r="G95" t="s">
        <v>72</v>
      </c>
      <c r="H95" t="s">
        <v>75</v>
      </c>
      <c r="I95">
        <v>5</v>
      </c>
      <c r="J95">
        <v>19627</v>
      </c>
      <c r="K95">
        <v>0</v>
      </c>
      <c r="L95">
        <v>98135</v>
      </c>
      <c r="M95">
        <v>57303.14</v>
      </c>
      <c r="N95">
        <v>40831.86</v>
      </c>
      <c r="O95" t="s">
        <v>80</v>
      </c>
      <c r="P95" t="s">
        <v>82</v>
      </c>
    </row>
    <row r="96" spans="1:16" x14ac:dyDescent="0.25">
      <c r="A96">
        <v>95</v>
      </c>
      <c r="B96" s="2">
        <v>45818</v>
      </c>
      <c r="C96" t="s">
        <v>21</v>
      </c>
      <c r="D96" t="s">
        <v>24</v>
      </c>
      <c r="E96" t="s">
        <v>32</v>
      </c>
      <c r="F96" t="s">
        <v>66</v>
      </c>
      <c r="G96" t="s">
        <v>72</v>
      </c>
      <c r="H96" t="s">
        <v>75</v>
      </c>
      <c r="I96">
        <v>1</v>
      </c>
      <c r="J96">
        <v>7568</v>
      </c>
      <c r="K96">
        <v>0.05</v>
      </c>
      <c r="L96">
        <v>7189.6</v>
      </c>
      <c r="M96">
        <v>4718.47</v>
      </c>
      <c r="N96">
        <v>2471.13</v>
      </c>
      <c r="O96" t="s">
        <v>78</v>
      </c>
      <c r="P96" t="s">
        <v>87</v>
      </c>
    </row>
    <row r="97" spans="1:16" x14ac:dyDescent="0.25">
      <c r="A97">
        <v>96</v>
      </c>
      <c r="B97" s="2">
        <v>45779</v>
      </c>
      <c r="C97" t="s">
        <v>16</v>
      </c>
      <c r="D97" t="s">
        <v>24</v>
      </c>
      <c r="E97" t="s">
        <v>32</v>
      </c>
      <c r="F97" t="s">
        <v>39</v>
      </c>
      <c r="G97" t="s">
        <v>71</v>
      </c>
      <c r="H97" t="s">
        <v>73</v>
      </c>
      <c r="I97">
        <v>7</v>
      </c>
      <c r="J97">
        <v>19479</v>
      </c>
      <c r="K97">
        <v>0.15</v>
      </c>
      <c r="L97">
        <v>115900.05</v>
      </c>
      <c r="M97">
        <v>65732.77</v>
      </c>
      <c r="N97">
        <v>50167.28</v>
      </c>
      <c r="O97" t="s">
        <v>80</v>
      </c>
      <c r="P97" t="s">
        <v>86</v>
      </c>
    </row>
    <row r="98" spans="1:16" x14ac:dyDescent="0.25">
      <c r="A98">
        <v>97</v>
      </c>
      <c r="B98" s="2">
        <v>45985</v>
      </c>
      <c r="C98" t="s">
        <v>22</v>
      </c>
      <c r="D98" t="s">
        <v>24</v>
      </c>
      <c r="E98" t="s">
        <v>29</v>
      </c>
      <c r="F98" t="s">
        <v>53</v>
      </c>
      <c r="G98" t="s">
        <v>70</v>
      </c>
      <c r="H98" t="s">
        <v>75</v>
      </c>
      <c r="I98">
        <v>6</v>
      </c>
      <c r="J98">
        <v>607</v>
      </c>
      <c r="K98">
        <v>0.1</v>
      </c>
      <c r="L98">
        <v>3277.8</v>
      </c>
      <c r="M98">
        <v>2650.64</v>
      </c>
      <c r="N98">
        <v>627.16</v>
      </c>
      <c r="O98" t="s">
        <v>79</v>
      </c>
      <c r="P98" t="s">
        <v>82</v>
      </c>
    </row>
    <row r="99" spans="1:16" x14ac:dyDescent="0.25">
      <c r="A99">
        <v>98</v>
      </c>
      <c r="B99" s="2">
        <v>46019</v>
      </c>
      <c r="C99" t="s">
        <v>23</v>
      </c>
      <c r="D99" t="s">
        <v>27</v>
      </c>
      <c r="E99" t="s">
        <v>32</v>
      </c>
      <c r="F99" t="s">
        <v>66</v>
      </c>
      <c r="G99" t="s">
        <v>70</v>
      </c>
      <c r="H99" t="s">
        <v>75</v>
      </c>
      <c r="I99">
        <v>7</v>
      </c>
      <c r="J99">
        <v>14812</v>
      </c>
      <c r="K99">
        <v>0</v>
      </c>
      <c r="L99">
        <v>103684</v>
      </c>
      <c r="M99">
        <v>84046.3</v>
      </c>
      <c r="N99">
        <v>19637.7</v>
      </c>
      <c r="O99" t="s">
        <v>80</v>
      </c>
      <c r="P99" t="s">
        <v>81</v>
      </c>
    </row>
    <row r="100" spans="1:16" x14ac:dyDescent="0.25">
      <c r="A100">
        <v>99</v>
      </c>
      <c r="B100" s="2">
        <v>45868</v>
      </c>
      <c r="C100" t="s">
        <v>19</v>
      </c>
      <c r="D100" t="s">
        <v>26</v>
      </c>
      <c r="E100" t="s">
        <v>30</v>
      </c>
      <c r="F100" t="s">
        <v>37</v>
      </c>
      <c r="G100" t="s">
        <v>71</v>
      </c>
      <c r="H100" t="s">
        <v>73</v>
      </c>
      <c r="I100">
        <v>3</v>
      </c>
      <c r="J100">
        <v>61815</v>
      </c>
      <c r="K100">
        <v>0</v>
      </c>
      <c r="L100">
        <v>185445</v>
      </c>
      <c r="M100">
        <v>153427.79</v>
      </c>
      <c r="N100">
        <v>32017.21</v>
      </c>
      <c r="O100" t="s">
        <v>76</v>
      </c>
      <c r="P100" t="s">
        <v>85</v>
      </c>
    </row>
    <row r="101" spans="1:16" x14ac:dyDescent="0.25">
      <c r="A101">
        <v>100</v>
      </c>
      <c r="B101" s="2">
        <v>45681</v>
      </c>
      <c r="C101" t="s">
        <v>23</v>
      </c>
      <c r="D101" t="s">
        <v>27</v>
      </c>
      <c r="E101" t="s">
        <v>31</v>
      </c>
      <c r="F101" t="s">
        <v>38</v>
      </c>
      <c r="G101" t="s">
        <v>72</v>
      </c>
      <c r="H101" t="s">
        <v>75</v>
      </c>
      <c r="I101">
        <v>4</v>
      </c>
      <c r="J101">
        <v>1812</v>
      </c>
      <c r="K101">
        <v>0.1</v>
      </c>
      <c r="L101">
        <v>6523.2</v>
      </c>
      <c r="M101">
        <v>4635.3900000000003</v>
      </c>
      <c r="N101">
        <v>1887.81</v>
      </c>
      <c r="O101" t="s">
        <v>78</v>
      </c>
      <c r="P101" t="s">
        <v>82</v>
      </c>
    </row>
    <row r="102" spans="1:16" x14ac:dyDescent="0.25">
      <c r="A102">
        <v>101</v>
      </c>
      <c r="B102" s="2">
        <v>45919</v>
      </c>
      <c r="C102" t="s">
        <v>22</v>
      </c>
      <c r="D102" t="s">
        <v>24</v>
      </c>
      <c r="E102" t="s">
        <v>33</v>
      </c>
      <c r="F102" t="s">
        <v>59</v>
      </c>
      <c r="G102" t="s">
        <v>70</v>
      </c>
      <c r="H102" t="s">
        <v>73</v>
      </c>
      <c r="I102">
        <v>2</v>
      </c>
      <c r="J102">
        <v>35797</v>
      </c>
      <c r="K102">
        <v>0.1</v>
      </c>
      <c r="L102">
        <v>64434.6</v>
      </c>
      <c r="M102">
        <v>54768.17</v>
      </c>
      <c r="N102">
        <v>9666.43</v>
      </c>
      <c r="O102" t="s">
        <v>80</v>
      </c>
      <c r="P102" t="s">
        <v>87</v>
      </c>
    </row>
    <row r="103" spans="1:16" x14ac:dyDescent="0.25">
      <c r="A103">
        <v>102</v>
      </c>
      <c r="B103" s="2">
        <v>45991</v>
      </c>
      <c r="C103" t="s">
        <v>21</v>
      </c>
      <c r="D103" t="s">
        <v>24</v>
      </c>
      <c r="E103" t="s">
        <v>34</v>
      </c>
      <c r="F103" t="s">
        <v>43</v>
      </c>
      <c r="G103" t="s">
        <v>70</v>
      </c>
      <c r="H103" t="s">
        <v>73</v>
      </c>
      <c r="I103">
        <v>6</v>
      </c>
      <c r="J103">
        <v>1796</v>
      </c>
      <c r="K103">
        <v>0.1</v>
      </c>
      <c r="L103">
        <v>9698.4</v>
      </c>
      <c r="M103">
        <v>7454.82</v>
      </c>
      <c r="N103">
        <v>2243.58</v>
      </c>
      <c r="O103" t="s">
        <v>79</v>
      </c>
      <c r="P103" t="s">
        <v>84</v>
      </c>
    </row>
    <row r="104" spans="1:16" x14ac:dyDescent="0.25">
      <c r="A104">
        <v>103</v>
      </c>
      <c r="B104" s="2">
        <v>46002</v>
      </c>
      <c r="C104" t="s">
        <v>18</v>
      </c>
      <c r="D104" t="s">
        <v>26</v>
      </c>
      <c r="E104" t="s">
        <v>32</v>
      </c>
      <c r="F104" t="s">
        <v>49</v>
      </c>
      <c r="G104" t="s">
        <v>72</v>
      </c>
      <c r="H104" t="s">
        <v>73</v>
      </c>
      <c r="I104">
        <v>5</v>
      </c>
      <c r="J104">
        <v>23127</v>
      </c>
      <c r="K104">
        <v>0</v>
      </c>
      <c r="L104">
        <v>115635</v>
      </c>
      <c r="M104">
        <v>83433.59</v>
      </c>
      <c r="N104">
        <v>32201.41</v>
      </c>
      <c r="O104" t="s">
        <v>79</v>
      </c>
      <c r="P104" t="s">
        <v>83</v>
      </c>
    </row>
    <row r="105" spans="1:16" x14ac:dyDescent="0.25">
      <c r="A105">
        <v>104</v>
      </c>
      <c r="B105" s="2">
        <v>45790</v>
      </c>
      <c r="C105" t="s">
        <v>19</v>
      </c>
      <c r="D105" t="s">
        <v>26</v>
      </c>
      <c r="E105" t="s">
        <v>33</v>
      </c>
      <c r="F105" t="s">
        <v>46</v>
      </c>
      <c r="G105" t="s">
        <v>70</v>
      </c>
      <c r="H105" t="s">
        <v>73</v>
      </c>
      <c r="I105">
        <v>1</v>
      </c>
      <c r="J105">
        <v>8616</v>
      </c>
      <c r="K105">
        <v>0.15</v>
      </c>
      <c r="L105">
        <v>7323.6</v>
      </c>
      <c r="M105">
        <v>5442.66</v>
      </c>
      <c r="N105">
        <v>1880.94</v>
      </c>
      <c r="O105" t="s">
        <v>80</v>
      </c>
      <c r="P105" t="s">
        <v>84</v>
      </c>
    </row>
    <row r="106" spans="1:16" x14ac:dyDescent="0.25">
      <c r="A106">
        <v>105</v>
      </c>
      <c r="B106" s="2">
        <v>45991</v>
      </c>
      <c r="C106" t="s">
        <v>20</v>
      </c>
      <c r="D106" t="s">
        <v>26</v>
      </c>
      <c r="E106" t="s">
        <v>28</v>
      </c>
      <c r="F106" t="s">
        <v>63</v>
      </c>
      <c r="G106" t="s">
        <v>72</v>
      </c>
      <c r="H106" t="s">
        <v>73</v>
      </c>
      <c r="I106">
        <v>4</v>
      </c>
      <c r="J106">
        <v>1162</v>
      </c>
      <c r="K106">
        <v>0.05</v>
      </c>
      <c r="L106">
        <v>4415.6000000000004</v>
      </c>
      <c r="M106">
        <v>3167.7</v>
      </c>
      <c r="N106">
        <v>1247.9000000000001</v>
      </c>
      <c r="O106" t="s">
        <v>80</v>
      </c>
      <c r="P106" t="s">
        <v>88</v>
      </c>
    </row>
    <row r="107" spans="1:16" x14ac:dyDescent="0.25">
      <c r="A107">
        <v>106</v>
      </c>
      <c r="B107" s="2">
        <v>45899</v>
      </c>
      <c r="C107" t="s">
        <v>18</v>
      </c>
      <c r="D107" t="s">
        <v>26</v>
      </c>
      <c r="E107" t="s">
        <v>33</v>
      </c>
      <c r="F107" t="s">
        <v>52</v>
      </c>
      <c r="G107" t="s">
        <v>72</v>
      </c>
      <c r="H107" t="s">
        <v>75</v>
      </c>
      <c r="I107">
        <v>1</v>
      </c>
      <c r="J107">
        <v>9138</v>
      </c>
      <c r="K107">
        <v>0.05</v>
      </c>
      <c r="L107">
        <v>8681.1</v>
      </c>
      <c r="M107">
        <v>6793.35</v>
      </c>
      <c r="N107">
        <v>1887.75</v>
      </c>
      <c r="O107" t="s">
        <v>78</v>
      </c>
      <c r="P107" t="s">
        <v>88</v>
      </c>
    </row>
    <row r="108" spans="1:16" x14ac:dyDescent="0.25">
      <c r="A108">
        <v>107</v>
      </c>
      <c r="B108" s="2">
        <v>45786</v>
      </c>
      <c r="C108" t="s">
        <v>16</v>
      </c>
      <c r="D108" t="s">
        <v>24</v>
      </c>
      <c r="E108" t="s">
        <v>34</v>
      </c>
      <c r="F108" t="s">
        <v>43</v>
      </c>
      <c r="G108" t="s">
        <v>71</v>
      </c>
      <c r="H108" t="s">
        <v>73</v>
      </c>
      <c r="I108">
        <v>7</v>
      </c>
      <c r="J108">
        <v>3635</v>
      </c>
      <c r="K108">
        <v>0.1</v>
      </c>
      <c r="L108">
        <v>22900.5</v>
      </c>
      <c r="M108">
        <v>12824.92</v>
      </c>
      <c r="N108">
        <v>10075.58</v>
      </c>
      <c r="O108" t="s">
        <v>80</v>
      </c>
      <c r="P108" t="s">
        <v>83</v>
      </c>
    </row>
    <row r="109" spans="1:16" x14ac:dyDescent="0.25">
      <c r="A109">
        <v>108</v>
      </c>
      <c r="B109" s="2">
        <v>45658</v>
      </c>
      <c r="C109" t="s">
        <v>20</v>
      </c>
      <c r="D109" t="s">
        <v>26</v>
      </c>
      <c r="E109" t="s">
        <v>29</v>
      </c>
      <c r="F109" t="s">
        <v>45</v>
      </c>
      <c r="G109" t="s">
        <v>71</v>
      </c>
      <c r="H109" t="s">
        <v>74</v>
      </c>
      <c r="I109">
        <v>8</v>
      </c>
      <c r="J109">
        <v>8533</v>
      </c>
      <c r="K109">
        <v>0.2</v>
      </c>
      <c r="L109">
        <v>54611.199999999997</v>
      </c>
      <c r="M109">
        <v>37369.33</v>
      </c>
      <c r="N109">
        <v>17241.87</v>
      </c>
      <c r="O109" t="s">
        <v>76</v>
      </c>
      <c r="P109" t="s">
        <v>88</v>
      </c>
    </row>
    <row r="110" spans="1:16" x14ac:dyDescent="0.25">
      <c r="A110">
        <v>109</v>
      </c>
      <c r="B110" s="2">
        <v>45816</v>
      </c>
      <c r="C110" t="s">
        <v>16</v>
      </c>
      <c r="D110" t="s">
        <v>24</v>
      </c>
      <c r="E110" t="s">
        <v>31</v>
      </c>
      <c r="F110" t="s">
        <v>47</v>
      </c>
      <c r="G110" t="s">
        <v>71</v>
      </c>
      <c r="H110" t="s">
        <v>73</v>
      </c>
      <c r="I110">
        <v>5</v>
      </c>
      <c r="J110">
        <v>118</v>
      </c>
      <c r="K110">
        <v>0.05</v>
      </c>
      <c r="L110">
        <v>560.5</v>
      </c>
      <c r="M110">
        <v>468.99</v>
      </c>
      <c r="N110">
        <v>91.51</v>
      </c>
      <c r="O110" t="s">
        <v>79</v>
      </c>
      <c r="P110" t="s">
        <v>88</v>
      </c>
    </row>
    <row r="111" spans="1:16" x14ac:dyDescent="0.25">
      <c r="A111">
        <v>110</v>
      </c>
      <c r="B111" s="2">
        <v>45800</v>
      </c>
      <c r="C111" t="s">
        <v>22</v>
      </c>
      <c r="D111" t="s">
        <v>24</v>
      </c>
      <c r="E111" t="s">
        <v>32</v>
      </c>
      <c r="F111" t="s">
        <v>62</v>
      </c>
      <c r="G111" t="s">
        <v>72</v>
      </c>
      <c r="H111" t="s">
        <v>73</v>
      </c>
      <c r="I111">
        <v>3</v>
      </c>
      <c r="J111">
        <v>6792</v>
      </c>
      <c r="K111">
        <v>0</v>
      </c>
      <c r="L111">
        <v>20376</v>
      </c>
      <c r="M111">
        <v>15264.44</v>
      </c>
      <c r="N111">
        <v>5111.5600000000004</v>
      </c>
      <c r="O111" t="s">
        <v>78</v>
      </c>
      <c r="P111" t="s">
        <v>81</v>
      </c>
    </row>
    <row r="112" spans="1:16" x14ac:dyDescent="0.25">
      <c r="A112">
        <v>111</v>
      </c>
      <c r="B112" s="2">
        <v>45922</v>
      </c>
      <c r="C112" t="s">
        <v>23</v>
      </c>
      <c r="D112" t="s">
        <v>27</v>
      </c>
      <c r="E112" t="s">
        <v>32</v>
      </c>
      <c r="F112" t="s">
        <v>39</v>
      </c>
      <c r="G112" t="s">
        <v>72</v>
      </c>
      <c r="H112" t="s">
        <v>73</v>
      </c>
      <c r="I112">
        <v>6</v>
      </c>
      <c r="J112">
        <v>2377</v>
      </c>
      <c r="K112">
        <v>0.1</v>
      </c>
      <c r="L112">
        <v>12835.8</v>
      </c>
      <c r="M112">
        <v>10299.59</v>
      </c>
      <c r="N112">
        <v>2536.21</v>
      </c>
      <c r="O112" t="s">
        <v>78</v>
      </c>
      <c r="P112" t="s">
        <v>82</v>
      </c>
    </row>
    <row r="113" spans="1:16" x14ac:dyDescent="0.25">
      <c r="A113">
        <v>112</v>
      </c>
      <c r="B113" s="2">
        <v>45678</v>
      </c>
      <c r="C113" t="s">
        <v>20</v>
      </c>
      <c r="D113" t="s">
        <v>26</v>
      </c>
      <c r="E113" t="s">
        <v>28</v>
      </c>
      <c r="F113" t="s">
        <v>63</v>
      </c>
      <c r="G113" t="s">
        <v>71</v>
      </c>
      <c r="H113" t="s">
        <v>73</v>
      </c>
      <c r="I113">
        <v>4</v>
      </c>
      <c r="J113">
        <v>549</v>
      </c>
      <c r="K113">
        <v>0</v>
      </c>
      <c r="L113">
        <v>2196</v>
      </c>
      <c r="M113">
        <v>1328.34</v>
      </c>
      <c r="N113">
        <v>867.66</v>
      </c>
      <c r="O113" t="s">
        <v>77</v>
      </c>
      <c r="P113" t="s">
        <v>88</v>
      </c>
    </row>
    <row r="114" spans="1:16" x14ac:dyDescent="0.25">
      <c r="A114">
        <v>113</v>
      </c>
      <c r="B114" s="2">
        <v>45896</v>
      </c>
      <c r="C114" t="s">
        <v>21</v>
      </c>
      <c r="D114" t="s">
        <v>24</v>
      </c>
      <c r="E114" t="s">
        <v>32</v>
      </c>
      <c r="F114" t="s">
        <v>66</v>
      </c>
      <c r="G114" t="s">
        <v>71</v>
      </c>
      <c r="H114" t="s">
        <v>75</v>
      </c>
      <c r="I114">
        <v>6</v>
      </c>
      <c r="J114">
        <v>13408</v>
      </c>
      <c r="K114">
        <v>0.1</v>
      </c>
      <c r="L114">
        <v>72403.199999999997</v>
      </c>
      <c r="M114">
        <v>44156.88</v>
      </c>
      <c r="N114">
        <v>28246.32</v>
      </c>
      <c r="O114" t="s">
        <v>79</v>
      </c>
      <c r="P114" t="s">
        <v>81</v>
      </c>
    </row>
    <row r="115" spans="1:16" x14ac:dyDescent="0.25">
      <c r="A115">
        <v>114</v>
      </c>
      <c r="B115" s="2">
        <v>45955</v>
      </c>
      <c r="C115" t="s">
        <v>18</v>
      </c>
      <c r="D115" t="s">
        <v>26</v>
      </c>
      <c r="E115" t="s">
        <v>31</v>
      </c>
      <c r="F115" t="s">
        <v>38</v>
      </c>
      <c r="G115" t="s">
        <v>72</v>
      </c>
      <c r="H115" t="s">
        <v>74</v>
      </c>
      <c r="I115">
        <v>6</v>
      </c>
      <c r="J115">
        <v>1499</v>
      </c>
      <c r="K115">
        <v>0.1</v>
      </c>
      <c r="L115">
        <v>8094.6</v>
      </c>
      <c r="M115">
        <v>6640.26</v>
      </c>
      <c r="N115">
        <v>1454.34</v>
      </c>
      <c r="O115" t="s">
        <v>78</v>
      </c>
      <c r="P115" t="s">
        <v>83</v>
      </c>
    </row>
    <row r="116" spans="1:16" x14ac:dyDescent="0.25">
      <c r="A116">
        <v>115</v>
      </c>
      <c r="B116" s="2">
        <v>45928</v>
      </c>
      <c r="C116" t="s">
        <v>21</v>
      </c>
      <c r="D116" t="s">
        <v>24</v>
      </c>
      <c r="E116" t="s">
        <v>32</v>
      </c>
      <c r="F116" t="s">
        <v>48</v>
      </c>
      <c r="G116" t="s">
        <v>70</v>
      </c>
      <c r="H116" t="s">
        <v>73</v>
      </c>
      <c r="I116">
        <v>5</v>
      </c>
      <c r="J116">
        <v>7495</v>
      </c>
      <c r="K116">
        <v>0.1</v>
      </c>
      <c r="L116">
        <v>33727.5</v>
      </c>
      <c r="M116">
        <v>28023.759999999998</v>
      </c>
      <c r="N116">
        <v>5703.74</v>
      </c>
      <c r="O116" t="s">
        <v>79</v>
      </c>
      <c r="P116" t="s">
        <v>81</v>
      </c>
    </row>
    <row r="117" spans="1:16" x14ac:dyDescent="0.25">
      <c r="A117">
        <v>116</v>
      </c>
      <c r="B117" s="2">
        <v>45821</v>
      </c>
      <c r="C117" t="s">
        <v>20</v>
      </c>
      <c r="D117" t="s">
        <v>26</v>
      </c>
      <c r="E117" t="s">
        <v>28</v>
      </c>
      <c r="F117" t="s">
        <v>58</v>
      </c>
      <c r="G117" t="s">
        <v>71</v>
      </c>
      <c r="H117" t="s">
        <v>73</v>
      </c>
      <c r="I117">
        <v>5</v>
      </c>
      <c r="J117">
        <v>1067</v>
      </c>
      <c r="K117">
        <v>0</v>
      </c>
      <c r="L117">
        <v>5335</v>
      </c>
      <c r="M117">
        <v>4057.41</v>
      </c>
      <c r="N117">
        <v>1277.5899999999999</v>
      </c>
      <c r="O117" t="s">
        <v>76</v>
      </c>
      <c r="P117" t="s">
        <v>88</v>
      </c>
    </row>
    <row r="118" spans="1:16" x14ac:dyDescent="0.25">
      <c r="A118">
        <v>117</v>
      </c>
      <c r="B118" s="2">
        <v>45911</v>
      </c>
      <c r="C118" t="s">
        <v>20</v>
      </c>
      <c r="D118" t="s">
        <v>26</v>
      </c>
      <c r="E118" t="s">
        <v>33</v>
      </c>
      <c r="F118" t="s">
        <v>41</v>
      </c>
      <c r="G118" t="s">
        <v>70</v>
      </c>
      <c r="H118" t="s">
        <v>74</v>
      </c>
      <c r="I118">
        <v>2</v>
      </c>
      <c r="J118">
        <v>34410</v>
      </c>
      <c r="K118">
        <v>0.1</v>
      </c>
      <c r="L118">
        <v>61938</v>
      </c>
      <c r="M118">
        <v>45887.86</v>
      </c>
      <c r="N118">
        <v>16050.14</v>
      </c>
      <c r="O118" t="s">
        <v>80</v>
      </c>
      <c r="P118" t="s">
        <v>86</v>
      </c>
    </row>
    <row r="119" spans="1:16" x14ac:dyDescent="0.25">
      <c r="A119">
        <v>118</v>
      </c>
      <c r="B119" s="2">
        <v>45886</v>
      </c>
      <c r="C119" t="s">
        <v>17</v>
      </c>
      <c r="D119" t="s">
        <v>25</v>
      </c>
      <c r="E119" t="s">
        <v>33</v>
      </c>
      <c r="F119" t="s">
        <v>60</v>
      </c>
      <c r="G119" t="s">
        <v>71</v>
      </c>
      <c r="H119" t="s">
        <v>73</v>
      </c>
      <c r="I119">
        <v>8</v>
      </c>
      <c r="J119">
        <v>40457</v>
      </c>
      <c r="K119">
        <v>0.15</v>
      </c>
      <c r="L119">
        <v>275107.59999999998</v>
      </c>
      <c r="M119">
        <v>172526.85</v>
      </c>
      <c r="N119">
        <v>102580.75</v>
      </c>
      <c r="O119" t="s">
        <v>78</v>
      </c>
      <c r="P119" t="s">
        <v>84</v>
      </c>
    </row>
    <row r="120" spans="1:16" x14ac:dyDescent="0.25">
      <c r="A120">
        <v>119</v>
      </c>
      <c r="B120" s="2">
        <v>45957</v>
      </c>
      <c r="C120" t="s">
        <v>23</v>
      </c>
      <c r="D120" t="s">
        <v>27</v>
      </c>
      <c r="E120" t="s">
        <v>33</v>
      </c>
      <c r="F120" t="s">
        <v>52</v>
      </c>
      <c r="G120" t="s">
        <v>70</v>
      </c>
      <c r="H120" t="s">
        <v>75</v>
      </c>
      <c r="I120">
        <v>7</v>
      </c>
      <c r="J120">
        <v>12186</v>
      </c>
      <c r="K120">
        <v>0.2</v>
      </c>
      <c r="L120">
        <v>68241.600000000006</v>
      </c>
      <c r="M120">
        <v>41480.65</v>
      </c>
      <c r="N120">
        <v>26760.95</v>
      </c>
      <c r="O120" t="s">
        <v>79</v>
      </c>
      <c r="P120" t="s">
        <v>85</v>
      </c>
    </row>
    <row r="121" spans="1:16" x14ac:dyDescent="0.25">
      <c r="A121">
        <v>120</v>
      </c>
      <c r="B121" s="2">
        <v>45865</v>
      </c>
      <c r="C121" t="s">
        <v>23</v>
      </c>
      <c r="D121" t="s">
        <v>27</v>
      </c>
      <c r="E121" t="s">
        <v>29</v>
      </c>
      <c r="F121" t="s">
        <v>57</v>
      </c>
      <c r="G121" t="s">
        <v>71</v>
      </c>
      <c r="H121" t="s">
        <v>74</v>
      </c>
      <c r="I121">
        <v>7</v>
      </c>
      <c r="J121">
        <v>7846</v>
      </c>
      <c r="K121">
        <v>0.2</v>
      </c>
      <c r="L121">
        <v>43937.599999999999</v>
      </c>
      <c r="M121">
        <v>24456.05</v>
      </c>
      <c r="N121">
        <v>19481.55</v>
      </c>
      <c r="O121" t="s">
        <v>76</v>
      </c>
      <c r="P121" t="s">
        <v>82</v>
      </c>
    </row>
    <row r="122" spans="1:16" x14ac:dyDescent="0.25">
      <c r="A122">
        <v>121</v>
      </c>
      <c r="B122" s="2">
        <v>45888</v>
      </c>
      <c r="C122" t="s">
        <v>17</v>
      </c>
      <c r="D122" t="s">
        <v>25</v>
      </c>
      <c r="E122" t="s">
        <v>34</v>
      </c>
      <c r="F122" t="s">
        <v>55</v>
      </c>
      <c r="G122" t="s">
        <v>71</v>
      </c>
      <c r="H122" t="s">
        <v>74</v>
      </c>
      <c r="I122">
        <v>6</v>
      </c>
      <c r="J122">
        <v>5932</v>
      </c>
      <c r="K122">
        <v>0.05</v>
      </c>
      <c r="L122">
        <v>33812.400000000001</v>
      </c>
      <c r="M122">
        <v>22461.11</v>
      </c>
      <c r="N122">
        <v>11351.29</v>
      </c>
      <c r="O122" t="s">
        <v>79</v>
      </c>
      <c r="P122" t="s">
        <v>84</v>
      </c>
    </row>
    <row r="123" spans="1:16" x14ac:dyDescent="0.25">
      <c r="A123">
        <v>122</v>
      </c>
      <c r="B123" s="2">
        <v>45980</v>
      </c>
      <c r="C123" t="s">
        <v>23</v>
      </c>
      <c r="D123" t="s">
        <v>27</v>
      </c>
      <c r="E123" t="s">
        <v>28</v>
      </c>
      <c r="F123" t="s">
        <v>58</v>
      </c>
      <c r="G123" t="s">
        <v>70</v>
      </c>
      <c r="H123" t="s">
        <v>74</v>
      </c>
      <c r="I123">
        <v>4</v>
      </c>
      <c r="J123">
        <v>421</v>
      </c>
      <c r="K123">
        <v>0.1</v>
      </c>
      <c r="L123">
        <v>1515.6</v>
      </c>
      <c r="M123">
        <v>1029.1600000000001</v>
      </c>
      <c r="N123">
        <v>486.44</v>
      </c>
      <c r="O123" t="s">
        <v>78</v>
      </c>
      <c r="P123" t="s">
        <v>87</v>
      </c>
    </row>
    <row r="124" spans="1:16" x14ac:dyDescent="0.25">
      <c r="A124">
        <v>123</v>
      </c>
      <c r="B124" s="2">
        <v>45739</v>
      </c>
      <c r="C124" t="s">
        <v>22</v>
      </c>
      <c r="D124" t="s">
        <v>24</v>
      </c>
      <c r="E124" t="s">
        <v>29</v>
      </c>
      <c r="F124" t="s">
        <v>36</v>
      </c>
      <c r="G124" t="s">
        <v>72</v>
      </c>
      <c r="H124" t="s">
        <v>73</v>
      </c>
      <c r="I124">
        <v>6</v>
      </c>
      <c r="J124">
        <v>8242</v>
      </c>
      <c r="K124">
        <v>0</v>
      </c>
      <c r="L124">
        <v>49452</v>
      </c>
      <c r="M124">
        <v>42821.31</v>
      </c>
      <c r="N124">
        <v>6630.69</v>
      </c>
      <c r="O124" t="s">
        <v>79</v>
      </c>
      <c r="P124" t="s">
        <v>81</v>
      </c>
    </row>
    <row r="125" spans="1:16" x14ac:dyDescent="0.25">
      <c r="A125">
        <v>124</v>
      </c>
      <c r="B125" s="2">
        <v>45938</v>
      </c>
      <c r="C125" t="s">
        <v>23</v>
      </c>
      <c r="D125" t="s">
        <v>27</v>
      </c>
      <c r="E125" t="s">
        <v>30</v>
      </c>
      <c r="F125" t="s">
        <v>40</v>
      </c>
      <c r="G125" t="s">
        <v>71</v>
      </c>
      <c r="H125" t="s">
        <v>75</v>
      </c>
      <c r="I125">
        <v>7</v>
      </c>
      <c r="J125">
        <v>7401</v>
      </c>
      <c r="K125">
        <v>0</v>
      </c>
      <c r="L125">
        <v>51807</v>
      </c>
      <c r="M125">
        <v>44959.56</v>
      </c>
      <c r="N125">
        <v>6847.44</v>
      </c>
      <c r="O125" t="s">
        <v>80</v>
      </c>
      <c r="P125" t="s">
        <v>81</v>
      </c>
    </row>
    <row r="126" spans="1:16" x14ac:dyDescent="0.25">
      <c r="A126">
        <v>125</v>
      </c>
      <c r="B126" s="2">
        <v>45973</v>
      </c>
      <c r="C126" t="s">
        <v>17</v>
      </c>
      <c r="D126" t="s">
        <v>25</v>
      </c>
      <c r="E126" t="s">
        <v>34</v>
      </c>
      <c r="F126" t="s">
        <v>65</v>
      </c>
      <c r="G126" t="s">
        <v>71</v>
      </c>
      <c r="H126" t="s">
        <v>75</v>
      </c>
      <c r="I126">
        <v>6</v>
      </c>
      <c r="J126">
        <v>5786</v>
      </c>
      <c r="K126">
        <v>0</v>
      </c>
      <c r="L126">
        <v>34716</v>
      </c>
      <c r="M126">
        <v>30491.27</v>
      </c>
      <c r="N126">
        <v>4224.7299999999996</v>
      </c>
      <c r="O126" t="s">
        <v>79</v>
      </c>
      <c r="P126" t="s">
        <v>85</v>
      </c>
    </row>
    <row r="127" spans="1:16" x14ac:dyDescent="0.25">
      <c r="A127">
        <v>126</v>
      </c>
      <c r="B127" s="2">
        <v>45740</v>
      </c>
      <c r="C127" t="s">
        <v>20</v>
      </c>
      <c r="D127" t="s">
        <v>26</v>
      </c>
      <c r="E127" t="s">
        <v>34</v>
      </c>
      <c r="F127" t="s">
        <v>51</v>
      </c>
      <c r="G127" t="s">
        <v>71</v>
      </c>
      <c r="H127" t="s">
        <v>73</v>
      </c>
      <c r="I127">
        <v>4</v>
      </c>
      <c r="J127">
        <v>758</v>
      </c>
      <c r="K127">
        <v>0.15</v>
      </c>
      <c r="L127">
        <v>2577.1999999999998</v>
      </c>
      <c r="M127">
        <v>1940.69</v>
      </c>
      <c r="N127">
        <v>636.51</v>
      </c>
      <c r="O127" t="s">
        <v>78</v>
      </c>
      <c r="P127" t="s">
        <v>85</v>
      </c>
    </row>
    <row r="128" spans="1:16" x14ac:dyDescent="0.25">
      <c r="A128">
        <v>127</v>
      </c>
      <c r="B128" s="2">
        <v>45773</v>
      </c>
      <c r="C128" t="s">
        <v>23</v>
      </c>
      <c r="D128" t="s">
        <v>27</v>
      </c>
      <c r="E128" t="s">
        <v>34</v>
      </c>
      <c r="F128" t="s">
        <v>65</v>
      </c>
      <c r="G128" t="s">
        <v>71</v>
      </c>
      <c r="H128" t="s">
        <v>73</v>
      </c>
      <c r="I128">
        <v>7</v>
      </c>
      <c r="J128">
        <v>2795</v>
      </c>
      <c r="K128">
        <v>0</v>
      </c>
      <c r="L128">
        <v>19565</v>
      </c>
      <c r="M128">
        <v>11624.65</v>
      </c>
      <c r="N128">
        <v>7940.35</v>
      </c>
      <c r="O128" t="s">
        <v>76</v>
      </c>
      <c r="P128" t="s">
        <v>81</v>
      </c>
    </row>
    <row r="129" spans="1:16" x14ac:dyDescent="0.25">
      <c r="A129">
        <v>128</v>
      </c>
      <c r="B129" s="2">
        <v>45971</v>
      </c>
      <c r="C129" t="s">
        <v>20</v>
      </c>
      <c r="D129" t="s">
        <v>26</v>
      </c>
      <c r="E129" t="s">
        <v>34</v>
      </c>
      <c r="F129" t="s">
        <v>51</v>
      </c>
      <c r="G129" t="s">
        <v>70</v>
      </c>
      <c r="H129" t="s">
        <v>75</v>
      </c>
      <c r="I129">
        <v>5</v>
      </c>
      <c r="J129">
        <v>4418</v>
      </c>
      <c r="K129">
        <v>0.05</v>
      </c>
      <c r="L129">
        <v>20985.5</v>
      </c>
      <c r="M129">
        <v>13383.1</v>
      </c>
      <c r="N129">
        <v>7602.4</v>
      </c>
      <c r="O129" t="s">
        <v>76</v>
      </c>
      <c r="P129" t="s">
        <v>82</v>
      </c>
    </row>
    <row r="130" spans="1:16" x14ac:dyDescent="0.25">
      <c r="A130">
        <v>129</v>
      </c>
      <c r="B130" s="2">
        <v>45913</v>
      </c>
      <c r="C130" t="s">
        <v>20</v>
      </c>
      <c r="D130" t="s">
        <v>26</v>
      </c>
      <c r="E130" t="s">
        <v>32</v>
      </c>
      <c r="F130" t="s">
        <v>66</v>
      </c>
      <c r="G130" t="s">
        <v>71</v>
      </c>
      <c r="H130" t="s">
        <v>74</v>
      </c>
      <c r="I130">
        <v>2</v>
      </c>
      <c r="J130">
        <v>1793</v>
      </c>
      <c r="K130">
        <v>0.05</v>
      </c>
      <c r="L130">
        <v>3406.7</v>
      </c>
      <c r="M130">
        <v>2756.21</v>
      </c>
      <c r="N130">
        <v>650.49</v>
      </c>
      <c r="O130" t="s">
        <v>79</v>
      </c>
      <c r="P130" t="s">
        <v>86</v>
      </c>
    </row>
    <row r="131" spans="1:16" x14ac:dyDescent="0.25">
      <c r="A131">
        <v>130</v>
      </c>
      <c r="B131" s="2">
        <v>45674</v>
      </c>
      <c r="C131" t="s">
        <v>22</v>
      </c>
      <c r="D131" t="s">
        <v>24</v>
      </c>
      <c r="E131" t="s">
        <v>30</v>
      </c>
      <c r="F131" t="s">
        <v>56</v>
      </c>
      <c r="G131" t="s">
        <v>72</v>
      </c>
      <c r="H131" t="s">
        <v>75</v>
      </c>
      <c r="I131">
        <v>2</v>
      </c>
      <c r="J131">
        <v>51223</v>
      </c>
      <c r="K131">
        <v>0.05</v>
      </c>
      <c r="L131">
        <v>97323.7</v>
      </c>
      <c r="M131">
        <v>73992.92</v>
      </c>
      <c r="N131">
        <v>23330.78</v>
      </c>
      <c r="O131" t="s">
        <v>79</v>
      </c>
      <c r="P131" t="s">
        <v>85</v>
      </c>
    </row>
    <row r="132" spans="1:16" x14ac:dyDescent="0.25">
      <c r="A132">
        <v>131</v>
      </c>
      <c r="B132" s="2">
        <v>46000</v>
      </c>
      <c r="C132" t="s">
        <v>21</v>
      </c>
      <c r="D132" t="s">
        <v>24</v>
      </c>
      <c r="E132" t="s">
        <v>33</v>
      </c>
      <c r="F132" t="s">
        <v>41</v>
      </c>
      <c r="G132" t="s">
        <v>70</v>
      </c>
      <c r="H132" t="s">
        <v>74</v>
      </c>
      <c r="I132">
        <v>8</v>
      </c>
      <c r="J132">
        <v>29224</v>
      </c>
      <c r="K132">
        <v>0.1</v>
      </c>
      <c r="L132">
        <v>210412.79999999999</v>
      </c>
      <c r="M132">
        <v>120732.3</v>
      </c>
      <c r="N132">
        <v>89680.5</v>
      </c>
      <c r="O132" t="s">
        <v>76</v>
      </c>
      <c r="P132" t="s">
        <v>82</v>
      </c>
    </row>
    <row r="133" spans="1:16" x14ac:dyDescent="0.25">
      <c r="A133">
        <v>132</v>
      </c>
      <c r="B133" s="2">
        <v>45934</v>
      </c>
      <c r="C133" t="s">
        <v>23</v>
      </c>
      <c r="D133" t="s">
        <v>27</v>
      </c>
      <c r="E133" t="s">
        <v>28</v>
      </c>
      <c r="F133" t="s">
        <v>54</v>
      </c>
      <c r="G133" t="s">
        <v>71</v>
      </c>
      <c r="H133" t="s">
        <v>75</v>
      </c>
      <c r="I133">
        <v>3</v>
      </c>
      <c r="J133">
        <v>1423</v>
      </c>
      <c r="K133">
        <v>0.05</v>
      </c>
      <c r="L133">
        <v>4055.55</v>
      </c>
      <c r="M133">
        <v>2341.12</v>
      </c>
      <c r="N133">
        <v>1714.43</v>
      </c>
      <c r="O133" t="s">
        <v>79</v>
      </c>
      <c r="P133" t="s">
        <v>83</v>
      </c>
    </row>
    <row r="134" spans="1:16" x14ac:dyDescent="0.25">
      <c r="A134">
        <v>133</v>
      </c>
      <c r="B134" s="2">
        <v>45706</v>
      </c>
      <c r="C134" t="s">
        <v>19</v>
      </c>
      <c r="D134" t="s">
        <v>26</v>
      </c>
      <c r="E134" t="s">
        <v>31</v>
      </c>
      <c r="F134" t="s">
        <v>67</v>
      </c>
      <c r="G134" t="s">
        <v>71</v>
      </c>
      <c r="H134" t="s">
        <v>74</v>
      </c>
      <c r="I134">
        <v>1</v>
      </c>
      <c r="J134">
        <v>469</v>
      </c>
      <c r="K134">
        <v>0.05</v>
      </c>
      <c r="L134">
        <v>445.55</v>
      </c>
      <c r="M134">
        <v>261.81</v>
      </c>
      <c r="N134">
        <v>183.74</v>
      </c>
      <c r="O134" t="s">
        <v>80</v>
      </c>
      <c r="P134" t="s">
        <v>81</v>
      </c>
    </row>
    <row r="135" spans="1:16" x14ac:dyDescent="0.25">
      <c r="A135">
        <v>134</v>
      </c>
      <c r="B135" s="2">
        <v>45668</v>
      </c>
      <c r="C135" t="s">
        <v>20</v>
      </c>
      <c r="D135" t="s">
        <v>26</v>
      </c>
      <c r="E135" t="s">
        <v>30</v>
      </c>
      <c r="F135" t="s">
        <v>64</v>
      </c>
      <c r="G135" t="s">
        <v>72</v>
      </c>
      <c r="H135" t="s">
        <v>74</v>
      </c>
      <c r="I135">
        <v>7</v>
      </c>
      <c r="J135">
        <v>46500</v>
      </c>
      <c r="K135">
        <v>0</v>
      </c>
      <c r="L135">
        <v>325500</v>
      </c>
      <c r="M135">
        <v>200236.29</v>
      </c>
      <c r="N135">
        <v>125263.71</v>
      </c>
      <c r="O135" t="s">
        <v>76</v>
      </c>
      <c r="P135" t="s">
        <v>84</v>
      </c>
    </row>
    <row r="136" spans="1:16" x14ac:dyDescent="0.25">
      <c r="A136">
        <v>135</v>
      </c>
      <c r="B136" s="2">
        <v>45779</v>
      </c>
      <c r="C136" t="s">
        <v>16</v>
      </c>
      <c r="D136" t="s">
        <v>24</v>
      </c>
      <c r="E136" t="s">
        <v>28</v>
      </c>
      <c r="F136" t="s">
        <v>61</v>
      </c>
      <c r="G136" t="s">
        <v>70</v>
      </c>
      <c r="H136" t="s">
        <v>73</v>
      </c>
      <c r="I136">
        <v>4</v>
      </c>
      <c r="J136">
        <v>2365</v>
      </c>
      <c r="K136">
        <v>0.1</v>
      </c>
      <c r="L136">
        <v>8514</v>
      </c>
      <c r="M136">
        <v>6526.27</v>
      </c>
      <c r="N136">
        <v>1987.73</v>
      </c>
      <c r="O136" t="s">
        <v>77</v>
      </c>
      <c r="P136" t="s">
        <v>83</v>
      </c>
    </row>
    <row r="137" spans="1:16" x14ac:dyDescent="0.25">
      <c r="A137">
        <v>136</v>
      </c>
      <c r="B137" s="2">
        <v>45679</v>
      </c>
      <c r="C137" t="s">
        <v>21</v>
      </c>
      <c r="D137" t="s">
        <v>24</v>
      </c>
      <c r="E137" t="s">
        <v>34</v>
      </c>
      <c r="F137" t="s">
        <v>68</v>
      </c>
      <c r="G137" t="s">
        <v>71</v>
      </c>
      <c r="H137" t="s">
        <v>74</v>
      </c>
      <c r="I137">
        <v>2</v>
      </c>
      <c r="J137">
        <v>4232</v>
      </c>
      <c r="K137">
        <v>0.1</v>
      </c>
      <c r="L137">
        <v>7617.6</v>
      </c>
      <c r="M137">
        <v>5552.76</v>
      </c>
      <c r="N137">
        <v>2064.84</v>
      </c>
      <c r="O137" t="s">
        <v>77</v>
      </c>
      <c r="P137" t="s">
        <v>85</v>
      </c>
    </row>
    <row r="138" spans="1:16" x14ac:dyDescent="0.25">
      <c r="A138">
        <v>137</v>
      </c>
      <c r="B138" s="2">
        <v>45775</v>
      </c>
      <c r="C138" t="s">
        <v>21</v>
      </c>
      <c r="D138" t="s">
        <v>24</v>
      </c>
      <c r="E138" t="s">
        <v>34</v>
      </c>
      <c r="F138" t="s">
        <v>55</v>
      </c>
      <c r="G138" t="s">
        <v>70</v>
      </c>
      <c r="H138" t="s">
        <v>73</v>
      </c>
      <c r="I138">
        <v>7</v>
      </c>
      <c r="J138">
        <v>511</v>
      </c>
      <c r="K138">
        <v>0.1</v>
      </c>
      <c r="L138">
        <v>3219.3</v>
      </c>
      <c r="M138">
        <v>2707.04</v>
      </c>
      <c r="N138">
        <v>512.26</v>
      </c>
      <c r="O138" t="s">
        <v>78</v>
      </c>
      <c r="P138" t="s">
        <v>84</v>
      </c>
    </row>
    <row r="139" spans="1:16" x14ac:dyDescent="0.25">
      <c r="A139">
        <v>138</v>
      </c>
      <c r="B139" s="2">
        <v>45667</v>
      </c>
      <c r="C139" t="s">
        <v>16</v>
      </c>
      <c r="D139" t="s">
        <v>24</v>
      </c>
      <c r="E139" t="s">
        <v>29</v>
      </c>
      <c r="F139" t="s">
        <v>42</v>
      </c>
      <c r="G139" t="s">
        <v>71</v>
      </c>
      <c r="H139" t="s">
        <v>73</v>
      </c>
      <c r="I139">
        <v>3</v>
      </c>
      <c r="J139">
        <v>3379</v>
      </c>
      <c r="K139">
        <v>0.1</v>
      </c>
      <c r="L139">
        <v>9123.2999999999993</v>
      </c>
      <c r="M139">
        <v>5124.13</v>
      </c>
      <c r="N139">
        <v>3999.17</v>
      </c>
      <c r="O139" t="s">
        <v>79</v>
      </c>
      <c r="P139" t="s">
        <v>81</v>
      </c>
    </row>
    <row r="140" spans="1:16" x14ac:dyDescent="0.25">
      <c r="A140">
        <v>139</v>
      </c>
      <c r="B140" s="2">
        <v>45677</v>
      </c>
      <c r="C140" t="s">
        <v>23</v>
      </c>
      <c r="D140" t="s">
        <v>27</v>
      </c>
      <c r="E140" t="s">
        <v>33</v>
      </c>
      <c r="F140" t="s">
        <v>59</v>
      </c>
      <c r="G140" t="s">
        <v>70</v>
      </c>
      <c r="H140" t="s">
        <v>74</v>
      </c>
      <c r="I140">
        <v>5</v>
      </c>
      <c r="J140">
        <v>44503</v>
      </c>
      <c r="K140">
        <v>0.1</v>
      </c>
      <c r="L140">
        <v>200263.5</v>
      </c>
      <c r="M140">
        <v>110269.16</v>
      </c>
      <c r="N140">
        <v>89994.34</v>
      </c>
      <c r="O140" t="s">
        <v>78</v>
      </c>
      <c r="P140" t="s">
        <v>87</v>
      </c>
    </row>
    <row r="141" spans="1:16" x14ac:dyDescent="0.25">
      <c r="A141">
        <v>140</v>
      </c>
      <c r="B141" s="2">
        <v>45917</v>
      </c>
      <c r="C141" t="s">
        <v>20</v>
      </c>
      <c r="D141" t="s">
        <v>26</v>
      </c>
      <c r="E141" t="s">
        <v>34</v>
      </c>
      <c r="F141" t="s">
        <v>55</v>
      </c>
      <c r="G141" t="s">
        <v>72</v>
      </c>
      <c r="H141" t="s">
        <v>73</v>
      </c>
      <c r="I141">
        <v>1</v>
      </c>
      <c r="J141">
        <v>3736</v>
      </c>
      <c r="K141">
        <v>0.1</v>
      </c>
      <c r="L141">
        <v>3362.4</v>
      </c>
      <c r="M141">
        <v>1907.91</v>
      </c>
      <c r="N141">
        <v>1454.49</v>
      </c>
      <c r="O141" t="s">
        <v>78</v>
      </c>
      <c r="P141" t="s">
        <v>84</v>
      </c>
    </row>
    <row r="142" spans="1:16" x14ac:dyDescent="0.25">
      <c r="A142">
        <v>141</v>
      </c>
      <c r="B142" s="2">
        <v>45816</v>
      </c>
      <c r="C142" t="s">
        <v>20</v>
      </c>
      <c r="D142" t="s">
        <v>26</v>
      </c>
      <c r="E142" t="s">
        <v>33</v>
      </c>
      <c r="F142" t="s">
        <v>60</v>
      </c>
      <c r="G142" t="s">
        <v>70</v>
      </c>
      <c r="H142" t="s">
        <v>74</v>
      </c>
      <c r="I142">
        <v>7</v>
      </c>
      <c r="J142">
        <v>15193</v>
      </c>
      <c r="K142">
        <v>0.1</v>
      </c>
      <c r="L142">
        <v>95715.9</v>
      </c>
      <c r="M142">
        <v>77553.13</v>
      </c>
      <c r="N142">
        <v>18162.77</v>
      </c>
      <c r="O142" t="s">
        <v>80</v>
      </c>
      <c r="P142" t="s">
        <v>87</v>
      </c>
    </row>
    <row r="143" spans="1:16" x14ac:dyDescent="0.25">
      <c r="A143">
        <v>142</v>
      </c>
      <c r="B143" s="2">
        <v>45840</v>
      </c>
      <c r="C143" t="s">
        <v>16</v>
      </c>
      <c r="D143" t="s">
        <v>24</v>
      </c>
      <c r="E143" t="s">
        <v>30</v>
      </c>
      <c r="F143" t="s">
        <v>64</v>
      </c>
      <c r="G143" t="s">
        <v>71</v>
      </c>
      <c r="H143" t="s">
        <v>74</v>
      </c>
      <c r="I143">
        <v>7</v>
      </c>
      <c r="J143">
        <v>3151</v>
      </c>
      <c r="K143">
        <v>0.1</v>
      </c>
      <c r="L143">
        <v>19851.3</v>
      </c>
      <c r="M143">
        <v>12879.85</v>
      </c>
      <c r="N143">
        <v>6971.45</v>
      </c>
      <c r="O143" t="s">
        <v>80</v>
      </c>
      <c r="P143" t="s">
        <v>82</v>
      </c>
    </row>
    <row r="144" spans="1:16" x14ac:dyDescent="0.25">
      <c r="A144">
        <v>143</v>
      </c>
      <c r="B144" s="2">
        <v>45897</v>
      </c>
      <c r="C144" t="s">
        <v>20</v>
      </c>
      <c r="D144" t="s">
        <v>26</v>
      </c>
      <c r="E144" t="s">
        <v>28</v>
      </c>
      <c r="F144" t="s">
        <v>54</v>
      </c>
      <c r="G144" t="s">
        <v>70</v>
      </c>
      <c r="H144" t="s">
        <v>74</v>
      </c>
      <c r="I144">
        <v>3</v>
      </c>
      <c r="J144">
        <v>1676</v>
      </c>
      <c r="K144">
        <v>0.2</v>
      </c>
      <c r="L144">
        <v>4022.4</v>
      </c>
      <c r="M144">
        <v>2431.73</v>
      </c>
      <c r="N144">
        <v>1590.67</v>
      </c>
      <c r="O144" t="s">
        <v>76</v>
      </c>
      <c r="P144" t="s">
        <v>87</v>
      </c>
    </row>
    <row r="145" spans="1:16" x14ac:dyDescent="0.25">
      <c r="A145">
        <v>144</v>
      </c>
      <c r="B145" s="2">
        <v>45994</v>
      </c>
      <c r="C145" t="s">
        <v>18</v>
      </c>
      <c r="D145" t="s">
        <v>26</v>
      </c>
      <c r="E145" t="s">
        <v>33</v>
      </c>
      <c r="F145" t="s">
        <v>41</v>
      </c>
      <c r="G145" t="s">
        <v>71</v>
      </c>
      <c r="H145" t="s">
        <v>73</v>
      </c>
      <c r="I145">
        <v>3</v>
      </c>
      <c r="J145">
        <v>18870</v>
      </c>
      <c r="K145">
        <v>0.05</v>
      </c>
      <c r="L145">
        <v>53779.5</v>
      </c>
      <c r="M145">
        <v>37301.97</v>
      </c>
      <c r="N145">
        <v>16477.53</v>
      </c>
      <c r="O145" t="s">
        <v>78</v>
      </c>
      <c r="P145" t="s">
        <v>82</v>
      </c>
    </row>
    <row r="146" spans="1:16" x14ac:dyDescent="0.25">
      <c r="A146">
        <v>145</v>
      </c>
      <c r="B146" s="2">
        <v>45783</v>
      </c>
      <c r="C146" t="s">
        <v>22</v>
      </c>
      <c r="D146" t="s">
        <v>24</v>
      </c>
      <c r="E146" t="s">
        <v>32</v>
      </c>
      <c r="F146" t="s">
        <v>49</v>
      </c>
      <c r="G146" t="s">
        <v>71</v>
      </c>
      <c r="H146" t="s">
        <v>74</v>
      </c>
      <c r="I146">
        <v>1</v>
      </c>
      <c r="J146">
        <v>4584</v>
      </c>
      <c r="K146">
        <v>0</v>
      </c>
      <c r="L146">
        <v>4584</v>
      </c>
      <c r="M146">
        <v>3124.53</v>
      </c>
      <c r="N146">
        <v>1459.47</v>
      </c>
      <c r="O146" t="s">
        <v>80</v>
      </c>
      <c r="P146" t="s">
        <v>81</v>
      </c>
    </row>
    <row r="147" spans="1:16" x14ac:dyDescent="0.25">
      <c r="A147">
        <v>146</v>
      </c>
      <c r="B147" s="2">
        <v>45999</v>
      </c>
      <c r="C147" t="s">
        <v>19</v>
      </c>
      <c r="D147" t="s">
        <v>26</v>
      </c>
      <c r="E147" t="s">
        <v>33</v>
      </c>
      <c r="F147" t="s">
        <v>46</v>
      </c>
      <c r="G147" t="s">
        <v>70</v>
      </c>
      <c r="H147" t="s">
        <v>73</v>
      </c>
      <c r="I147">
        <v>6</v>
      </c>
      <c r="J147">
        <v>35091</v>
      </c>
      <c r="K147">
        <v>0.05</v>
      </c>
      <c r="L147">
        <v>200018.7</v>
      </c>
      <c r="M147">
        <v>120332.45</v>
      </c>
      <c r="N147">
        <v>79686.25</v>
      </c>
      <c r="O147" t="s">
        <v>78</v>
      </c>
      <c r="P147" t="s">
        <v>84</v>
      </c>
    </row>
    <row r="148" spans="1:16" x14ac:dyDescent="0.25">
      <c r="A148">
        <v>147</v>
      </c>
      <c r="B148" s="2">
        <v>45678</v>
      </c>
      <c r="C148" t="s">
        <v>21</v>
      </c>
      <c r="D148" t="s">
        <v>24</v>
      </c>
      <c r="E148" t="s">
        <v>30</v>
      </c>
      <c r="F148" t="s">
        <v>37</v>
      </c>
      <c r="G148" t="s">
        <v>72</v>
      </c>
      <c r="H148" t="s">
        <v>74</v>
      </c>
      <c r="I148">
        <v>7</v>
      </c>
      <c r="J148">
        <v>15789</v>
      </c>
      <c r="K148">
        <v>0.05</v>
      </c>
      <c r="L148">
        <v>104996.85</v>
      </c>
      <c r="M148">
        <v>86433.05</v>
      </c>
      <c r="N148">
        <v>18563.8</v>
      </c>
      <c r="O148" t="s">
        <v>76</v>
      </c>
      <c r="P148" t="s">
        <v>81</v>
      </c>
    </row>
    <row r="149" spans="1:16" x14ac:dyDescent="0.25">
      <c r="A149">
        <v>148</v>
      </c>
      <c r="B149" s="2">
        <v>45678</v>
      </c>
      <c r="C149" t="s">
        <v>19</v>
      </c>
      <c r="D149" t="s">
        <v>26</v>
      </c>
      <c r="E149" t="s">
        <v>33</v>
      </c>
      <c r="F149" t="s">
        <v>52</v>
      </c>
      <c r="G149" t="s">
        <v>70</v>
      </c>
      <c r="H149" t="s">
        <v>73</v>
      </c>
      <c r="I149">
        <v>5</v>
      </c>
      <c r="J149">
        <v>24860</v>
      </c>
      <c r="K149">
        <v>0</v>
      </c>
      <c r="L149">
        <v>124300</v>
      </c>
      <c r="M149">
        <v>97899.01</v>
      </c>
      <c r="N149">
        <v>26400.99</v>
      </c>
      <c r="O149" t="s">
        <v>79</v>
      </c>
      <c r="P149" t="s">
        <v>85</v>
      </c>
    </row>
    <row r="150" spans="1:16" x14ac:dyDescent="0.25">
      <c r="A150">
        <v>149</v>
      </c>
      <c r="B150" s="2">
        <v>45743</v>
      </c>
      <c r="C150" t="s">
        <v>21</v>
      </c>
      <c r="D150" t="s">
        <v>24</v>
      </c>
      <c r="E150" t="s">
        <v>30</v>
      </c>
      <c r="F150" t="s">
        <v>44</v>
      </c>
      <c r="G150" t="s">
        <v>72</v>
      </c>
      <c r="H150" t="s">
        <v>73</v>
      </c>
      <c r="I150">
        <v>5</v>
      </c>
      <c r="J150">
        <v>9021</v>
      </c>
      <c r="K150">
        <v>0.1</v>
      </c>
      <c r="L150">
        <v>40594.5</v>
      </c>
      <c r="M150">
        <v>23421.78</v>
      </c>
      <c r="N150">
        <v>17172.72</v>
      </c>
      <c r="O150" t="s">
        <v>79</v>
      </c>
      <c r="P150" t="s">
        <v>81</v>
      </c>
    </row>
    <row r="151" spans="1:16" x14ac:dyDescent="0.25">
      <c r="A151">
        <v>150</v>
      </c>
      <c r="B151" s="2">
        <v>45998</v>
      </c>
      <c r="C151" t="s">
        <v>20</v>
      </c>
      <c r="D151" t="s">
        <v>26</v>
      </c>
      <c r="E151" t="s">
        <v>29</v>
      </c>
      <c r="F151" t="s">
        <v>57</v>
      </c>
      <c r="G151" t="s">
        <v>70</v>
      </c>
      <c r="H151" t="s">
        <v>73</v>
      </c>
      <c r="I151">
        <v>2</v>
      </c>
      <c r="J151">
        <v>4150</v>
      </c>
      <c r="K151">
        <v>0</v>
      </c>
      <c r="L151">
        <v>8300</v>
      </c>
      <c r="M151">
        <v>5968.74</v>
      </c>
      <c r="N151">
        <v>2331.2600000000002</v>
      </c>
      <c r="O151" t="s">
        <v>77</v>
      </c>
      <c r="P151" t="s">
        <v>86</v>
      </c>
    </row>
    <row r="152" spans="1:16" x14ac:dyDescent="0.25">
      <c r="A152">
        <v>151</v>
      </c>
      <c r="B152" s="2">
        <v>45900</v>
      </c>
      <c r="C152" t="s">
        <v>16</v>
      </c>
      <c r="D152" t="s">
        <v>24</v>
      </c>
      <c r="E152" t="s">
        <v>28</v>
      </c>
      <c r="F152" t="s">
        <v>63</v>
      </c>
      <c r="G152" t="s">
        <v>72</v>
      </c>
      <c r="H152" t="s">
        <v>75</v>
      </c>
      <c r="I152">
        <v>4</v>
      </c>
      <c r="J152">
        <v>2340</v>
      </c>
      <c r="K152">
        <v>0.1</v>
      </c>
      <c r="L152">
        <v>8424</v>
      </c>
      <c r="M152">
        <v>5082.49</v>
      </c>
      <c r="N152">
        <v>3341.51</v>
      </c>
      <c r="O152" t="s">
        <v>76</v>
      </c>
      <c r="P152" t="s">
        <v>83</v>
      </c>
    </row>
    <row r="153" spans="1:16" x14ac:dyDescent="0.25">
      <c r="A153">
        <v>152</v>
      </c>
      <c r="B153" s="2">
        <v>45825</v>
      </c>
      <c r="C153" t="s">
        <v>18</v>
      </c>
      <c r="D153" t="s">
        <v>26</v>
      </c>
      <c r="E153" t="s">
        <v>32</v>
      </c>
      <c r="F153" t="s">
        <v>48</v>
      </c>
      <c r="G153" t="s">
        <v>70</v>
      </c>
      <c r="H153" t="s">
        <v>74</v>
      </c>
      <c r="I153">
        <v>7</v>
      </c>
      <c r="J153">
        <v>14765</v>
      </c>
      <c r="K153">
        <v>0.05</v>
      </c>
      <c r="L153">
        <v>98187.25</v>
      </c>
      <c r="M153">
        <v>57420.52</v>
      </c>
      <c r="N153">
        <v>40766.730000000003</v>
      </c>
      <c r="O153" t="s">
        <v>77</v>
      </c>
      <c r="P153" t="s">
        <v>81</v>
      </c>
    </row>
    <row r="154" spans="1:16" x14ac:dyDescent="0.25">
      <c r="A154">
        <v>153</v>
      </c>
      <c r="B154" s="2">
        <v>45854</v>
      </c>
      <c r="C154" t="s">
        <v>18</v>
      </c>
      <c r="D154" t="s">
        <v>26</v>
      </c>
      <c r="E154" t="s">
        <v>31</v>
      </c>
      <c r="F154" t="s">
        <v>47</v>
      </c>
      <c r="G154" t="s">
        <v>72</v>
      </c>
      <c r="H154" t="s">
        <v>73</v>
      </c>
      <c r="I154">
        <v>8</v>
      </c>
      <c r="J154">
        <v>2311</v>
      </c>
      <c r="K154">
        <v>0.05</v>
      </c>
      <c r="L154">
        <v>17563.599999999999</v>
      </c>
      <c r="M154">
        <v>14963.83</v>
      </c>
      <c r="N154">
        <v>2599.77</v>
      </c>
      <c r="O154" t="s">
        <v>80</v>
      </c>
      <c r="P154" t="s">
        <v>82</v>
      </c>
    </row>
    <row r="155" spans="1:16" x14ac:dyDescent="0.25">
      <c r="A155">
        <v>154</v>
      </c>
      <c r="B155" s="2">
        <v>45925</v>
      </c>
      <c r="C155" t="s">
        <v>20</v>
      </c>
      <c r="D155" t="s">
        <v>26</v>
      </c>
      <c r="E155" t="s">
        <v>33</v>
      </c>
      <c r="F155" t="s">
        <v>41</v>
      </c>
      <c r="G155" t="s">
        <v>70</v>
      </c>
      <c r="H155" t="s">
        <v>74</v>
      </c>
      <c r="I155">
        <v>3</v>
      </c>
      <c r="J155">
        <v>4398</v>
      </c>
      <c r="K155">
        <v>0</v>
      </c>
      <c r="L155">
        <v>13194</v>
      </c>
      <c r="M155">
        <v>11149.15</v>
      </c>
      <c r="N155">
        <v>2044.85</v>
      </c>
      <c r="O155" t="s">
        <v>80</v>
      </c>
      <c r="P155" t="s">
        <v>87</v>
      </c>
    </row>
    <row r="156" spans="1:16" x14ac:dyDescent="0.25">
      <c r="A156">
        <v>155</v>
      </c>
      <c r="B156" s="2">
        <v>45903</v>
      </c>
      <c r="C156" t="s">
        <v>17</v>
      </c>
      <c r="D156" t="s">
        <v>25</v>
      </c>
      <c r="E156" t="s">
        <v>30</v>
      </c>
      <c r="F156" t="s">
        <v>40</v>
      </c>
      <c r="G156" t="s">
        <v>71</v>
      </c>
      <c r="H156" t="s">
        <v>74</v>
      </c>
      <c r="I156">
        <v>3</v>
      </c>
      <c r="J156">
        <v>55900</v>
      </c>
      <c r="K156">
        <v>0.1</v>
      </c>
      <c r="L156">
        <v>150930</v>
      </c>
      <c r="M156">
        <v>89477.75</v>
      </c>
      <c r="N156">
        <v>61452.25</v>
      </c>
      <c r="O156" t="s">
        <v>77</v>
      </c>
      <c r="P156" t="s">
        <v>83</v>
      </c>
    </row>
    <row r="157" spans="1:16" x14ac:dyDescent="0.25">
      <c r="A157">
        <v>156</v>
      </c>
      <c r="B157" s="2">
        <v>45853</v>
      </c>
      <c r="C157" t="s">
        <v>22</v>
      </c>
      <c r="D157" t="s">
        <v>24</v>
      </c>
      <c r="E157" t="s">
        <v>32</v>
      </c>
      <c r="F157" t="s">
        <v>39</v>
      </c>
      <c r="G157" t="s">
        <v>72</v>
      </c>
      <c r="H157" t="s">
        <v>75</v>
      </c>
      <c r="I157">
        <v>6</v>
      </c>
      <c r="J157">
        <v>16236</v>
      </c>
      <c r="K157">
        <v>0.1</v>
      </c>
      <c r="L157">
        <v>87674.4</v>
      </c>
      <c r="M157">
        <v>76808.179999999993</v>
      </c>
      <c r="N157">
        <v>10866.22</v>
      </c>
      <c r="O157" t="s">
        <v>80</v>
      </c>
      <c r="P157" t="s">
        <v>82</v>
      </c>
    </row>
    <row r="158" spans="1:16" x14ac:dyDescent="0.25">
      <c r="A158">
        <v>157</v>
      </c>
      <c r="B158" s="2">
        <v>45870</v>
      </c>
      <c r="C158" t="s">
        <v>19</v>
      </c>
      <c r="D158" t="s">
        <v>26</v>
      </c>
      <c r="E158" t="s">
        <v>29</v>
      </c>
      <c r="F158" t="s">
        <v>42</v>
      </c>
      <c r="G158" t="s">
        <v>72</v>
      </c>
      <c r="H158" t="s">
        <v>74</v>
      </c>
      <c r="I158">
        <v>4</v>
      </c>
      <c r="J158">
        <v>9833</v>
      </c>
      <c r="K158">
        <v>0.1</v>
      </c>
      <c r="L158">
        <v>35398.800000000003</v>
      </c>
      <c r="M158">
        <v>24377</v>
      </c>
      <c r="N158">
        <v>11021.8</v>
      </c>
      <c r="O158" t="s">
        <v>77</v>
      </c>
      <c r="P158" t="s">
        <v>85</v>
      </c>
    </row>
    <row r="159" spans="1:16" x14ac:dyDescent="0.25">
      <c r="A159">
        <v>158</v>
      </c>
      <c r="B159" s="2">
        <v>45995</v>
      </c>
      <c r="C159" t="s">
        <v>16</v>
      </c>
      <c r="D159" t="s">
        <v>24</v>
      </c>
      <c r="E159" t="s">
        <v>30</v>
      </c>
      <c r="F159" t="s">
        <v>56</v>
      </c>
      <c r="G159" t="s">
        <v>70</v>
      </c>
      <c r="H159" t="s">
        <v>75</v>
      </c>
      <c r="I159">
        <v>5</v>
      </c>
      <c r="J159">
        <v>57415</v>
      </c>
      <c r="K159">
        <v>0</v>
      </c>
      <c r="L159">
        <v>287075</v>
      </c>
      <c r="M159">
        <v>187725.08</v>
      </c>
      <c r="N159">
        <v>99349.92</v>
      </c>
      <c r="O159" t="s">
        <v>79</v>
      </c>
      <c r="P159" t="s">
        <v>82</v>
      </c>
    </row>
    <row r="160" spans="1:16" x14ac:dyDescent="0.25">
      <c r="A160">
        <v>159</v>
      </c>
      <c r="B160" s="2">
        <v>45781</v>
      </c>
      <c r="C160" t="s">
        <v>18</v>
      </c>
      <c r="D160" t="s">
        <v>26</v>
      </c>
      <c r="E160" t="s">
        <v>28</v>
      </c>
      <c r="F160" t="s">
        <v>35</v>
      </c>
      <c r="G160" t="s">
        <v>70</v>
      </c>
      <c r="H160" t="s">
        <v>74</v>
      </c>
      <c r="I160">
        <v>4</v>
      </c>
      <c r="J160">
        <v>2099</v>
      </c>
      <c r="K160">
        <v>0.15</v>
      </c>
      <c r="L160">
        <v>7136.6</v>
      </c>
      <c r="M160">
        <v>5729.27</v>
      </c>
      <c r="N160">
        <v>1407.33</v>
      </c>
      <c r="O160" t="s">
        <v>78</v>
      </c>
      <c r="P160" t="s">
        <v>84</v>
      </c>
    </row>
    <row r="161" spans="1:16" x14ac:dyDescent="0.25">
      <c r="A161">
        <v>160</v>
      </c>
      <c r="B161" s="2">
        <v>45882</v>
      </c>
      <c r="C161" t="s">
        <v>17</v>
      </c>
      <c r="D161" t="s">
        <v>25</v>
      </c>
      <c r="E161" t="s">
        <v>33</v>
      </c>
      <c r="F161" t="s">
        <v>59</v>
      </c>
      <c r="G161" t="s">
        <v>70</v>
      </c>
      <c r="H161" t="s">
        <v>73</v>
      </c>
      <c r="I161">
        <v>3</v>
      </c>
      <c r="J161">
        <v>5097</v>
      </c>
      <c r="K161">
        <v>0</v>
      </c>
      <c r="L161">
        <v>15291</v>
      </c>
      <c r="M161">
        <v>10492.86</v>
      </c>
      <c r="N161">
        <v>4798.1400000000003</v>
      </c>
      <c r="O161" t="s">
        <v>77</v>
      </c>
      <c r="P161" t="s">
        <v>82</v>
      </c>
    </row>
    <row r="162" spans="1:16" x14ac:dyDescent="0.25">
      <c r="A162">
        <v>161</v>
      </c>
      <c r="B162" s="2">
        <v>45938</v>
      </c>
      <c r="C162" t="s">
        <v>23</v>
      </c>
      <c r="D162" t="s">
        <v>27</v>
      </c>
      <c r="E162" t="s">
        <v>29</v>
      </c>
      <c r="F162" t="s">
        <v>36</v>
      </c>
      <c r="G162" t="s">
        <v>70</v>
      </c>
      <c r="H162" t="s">
        <v>73</v>
      </c>
      <c r="I162">
        <v>6</v>
      </c>
      <c r="J162">
        <v>10041</v>
      </c>
      <c r="K162">
        <v>0.15</v>
      </c>
      <c r="L162">
        <v>51209.1</v>
      </c>
      <c r="M162">
        <v>28469.3</v>
      </c>
      <c r="N162">
        <v>22739.8</v>
      </c>
      <c r="O162" t="s">
        <v>79</v>
      </c>
      <c r="P162" t="s">
        <v>84</v>
      </c>
    </row>
    <row r="163" spans="1:16" x14ac:dyDescent="0.25">
      <c r="A163">
        <v>162</v>
      </c>
      <c r="B163" s="2">
        <v>45781</v>
      </c>
      <c r="C163" t="s">
        <v>16</v>
      </c>
      <c r="D163" t="s">
        <v>24</v>
      </c>
      <c r="E163" t="s">
        <v>31</v>
      </c>
      <c r="F163" t="s">
        <v>69</v>
      </c>
      <c r="G163" t="s">
        <v>71</v>
      </c>
      <c r="H163" t="s">
        <v>73</v>
      </c>
      <c r="I163">
        <v>7</v>
      </c>
      <c r="J163">
        <v>1952</v>
      </c>
      <c r="K163">
        <v>0</v>
      </c>
      <c r="L163">
        <v>13664</v>
      </c>
      <c r="M163">
        <v>10072.64</v>
      </c>
      <c r="N163">
        <v>3591.36</v>
      </c>
      <c r="O163" t="s">
        <v>77</v>
      </c>
      <c r="P163" t="s">
        <v>88</v>
      </c>
    </row>
    <row r="164" spans="1:16" x14ac:dyDescent="0.25">
      <c r="A164">
        <v>163</v>
      </c>
      <c r="B164" s="2">
        <v>45884</v>
      </c>
      <c r="C164" t="s">
        <v>19</v>
      </c>
      <c r="D164" t="s">
        <v>26</v>
      </c>
      <c r="E164" t="s">
        <v>29</v>
      </c>
      <c r="F164" t="s">
        <v>57</v>
      </c>
      <c r="G164" t="s">
        <v>71</v>
      </c>
      <c r="H164" t="s">
        <v>73</v>
      </c>
      <c r="I164">
        <v>4</v>
      </c>
      <c r="J164">
        <v>3598</v>
      </c>
      <c r="K164">
        <v>0</v>
      </c>
      <c r="L164">
        <v>14392</v>
      </c>
      <c r="M164">
        <v>9053.1200000000008</v>
      </c>
      <c r="N164">
        <v>5338.88</v>
      </c>
      <c r="O164" t="s">
        <v>80</v>
      </c>
      <c r="P164" t="s">
        <v>84</v>
      </c>
    </row>
    <row r="165" spans="1:16" x14ac:dyDescent="0.25">
      <c r="A165">
        <v>164</v>
      </c>
      <c r="B165" s="2">
        <v>45924</v>
      </c>
      <c r="C165" t="s">
        <v>18</v>
      </c>
      <c r="D165" t="s">
        <v>26</v>
      </c>
      <c r="E165" t="s">
        <v>32</v>
      </c>
      <c r="F165" t="s">
        <v>62</v>
      </c>
      <c r="G165" t="s">
        <v>70</v>
      </c>
      <c r="H165" t="s">
        <v>74</v>
      </c>
      <c r="I165">
        <v>7</v>
      </c>
      <c r="J165">
        <v>18932</v>
      </c>
      <c r="K165">
        <v>0.1</v>
      </c>
      <c r="L165">
        <v>119271.6</v>
      </c>
      <c r="M165">
        <v>66884.3</v>
      </c>
      <c r="N165">
        <v>52387.3</v>
      </c>
      <c r="O165" t="s">
        <v>78</v>
      </c>
      <c r="P165" t="s">
        <v>86</v>
      </c>
    </row>
    <row r="166" spans="1:16" x14ac:dyDescent="0.25">
      <c r="A166">
        <v>165</v>
      </c>
      <c r="B166" s="2">
        <v>45722</v>
      </c>
      <c r="C166" t="s">
        <v>20</v>
      </c>
      <c r="D166" t="s">
        <v>26</v>
      </c>
      <c r="E166" t="s">
        <v>28</v>
      </c>
      <c r="F166" t="s">
        <v>54</v>
      </c>
      <c r="G166" t="s">
        <v>71</v>
      </c>
      <c r="H166" t="s">
        <v>74</v>
      </c>
      <c r="I166">
        <v>6</v>
      </c>
      <c r="J166">
        <v>485</v>
      </c>
      <c r="K166">
        <v>0.1</v>
      </c>
      <c r="L166">
        <v>2619</v>
      </c>
      <c r="M166">
        <v>1986.07</v>
      </c>
      <c r="N166">
        <v>632.92999999999995</v>
      </c>
      <c r="O166" t="s">
        <v>77</v>
      </c>
      <c r="P166" t="s">
        <v>82</v>
      </c>
    </row>
    <row r="167" spans="1:16" x14ac:dyDescent="0.25">
      <c r="A167">
        <v>166</v>
      </c>
      <c r="B167" s="2">
        <v>45968</v>
      </c>
      <c r="C167" t="s">
        <v>21</v>
      </c>
      <c r="D167" t="s">
        <v>24</v>
      </c>
      <c r="E167" t="s">
        <v>31</v>
      </c>
      <c r="F167" t="s">
        <v>38</v>
      </c>
      <c r="G167" t="s">
        <v>70</v>
      </c>
      <c r="H167" t="s">
        <v>73</v>
      </c>
      <c r="I167">
        <v>6</v>
      </c>
      <c r="J167">
        <v>1615</v>
      </c>
      <c r="K167">
        <v>0.05</v>
      </c>
      <c r="L167">
        <v>9205.5</v>
      </c>
      <c r="M167">
        <v>8051.75</v>
      </c>
      <c r="N167">
        <v>1153.75</v>
      </c>
      <c r="O167" t="s">
        <v>79</v>
      </c>
      <c r="P167" t="s">
        <v>81</v>
      </c>
    </row>
    <row r="168" spans="1:16" x14ac:dyDescent="0.25">
      <c r="A168">
        <v>167</v>
      </c>
      <c r="B168" s="2">
        <v>45718</v>
      </c>
      <c r="C168" t="s">
        <v>23</v>
      </c>
      <c r="D168" t="s">
        <v>27</v>
      </c>
      <c r="E168" t="s">
        <v>32</v>
      </c>
      <c r="F168" t="s">
        <v>49</v>
      </c>
      <c r="G168" t="s">
        <v>71</v>
      </c>
      <c r="H168" t="s">
        <v>74</v>
      </c>
      <c r="I168">
        <v>8</v>
      </c>
      <c r="J168">
        <v>13928</v>
      </c>
      <c r="K168">
        <v>0.05</v>
      </c>
      <c r="L168">
        <v>105852.8</v>
      </c>
      <c r="M168">
        <v>74786.61</v>
      </c>
      <c r="N168">
        <v>31066.19</v>
      </c>
      <c r="O168" t="s">
        <v>76</v>
      </c>
      <c r="P168" t="s">
        <v>87</v>
      </c>
    </row>
    <row r="169" spans="1:16" x14ac:dyDescent="0.25">
      <c r="A169">
        <v>168</v>
      </c>
      <c r="B169" s="2">
        <v>45706</v>
      </c>
      <c r="C169" t="s">
        <v>20</v>
      </c>
      <c r="D169" t="s">
        <v>26</v>
      </c>
      <c r="E169" t="s">
        <v>29</v>
      </c>
      <c r="F169" t="s">
        <v>42</v>
      </c>
      <c r="G169" t="s">
        <v>71</v>
      </c>
      <c r="H169" t="s">
        <v>74</v>
      </c>
      <c r="I169">
        <v>4</v>
      </c>
      <c r="J169">
        <v>11021</v>
      </c>
      <c r="K169">
        <v>0.05</v>
      </c>
      <c r="L169">
        <v>41879.800000000003</v>
      </c>
      <c r="M169">
        <v>24237.54</v>
      </c>
      <c r="N169">
        <v>17642.259999999998</v>
      </c>
      <c r="O169" t="s">
        <v>76</v>
      </c>
      <c r="P169" t="s">
        <v>84</v>
      </c>
    </row>
    <row r="170" spans="1:16" x14ac:dyDescent="0.25">
      <c r="A170">
        <v>169</v>
      </c>
      <c r="B170" s="2">
        <v>45716</v>
      </c>
      <c r="C170" t="s">
        <v>21</v>
      </c>
      <c r="D170" t="s">
        <v>24</v>
      </c>
      <c r="E170" t="s">
        <v>30</v>
      </c>
      <c r="F170" t="s">
        <v>44</v>
      </c>
      <c r="G170" t="s">
        <v>71</v>
      </c>
      <c r="H170" t="s">
        <v>74</v>
      </c>
      <c r="I170">
        <v>8</v>
      </c>
      <c r="J170">
        <v>22886</v>
      </c>
      <c r="K170">
        <v>0.05</v>
      </c>
      <c r="L170">
        <v>173933.6</v>
      </c>
      <c r="M170">
        <v>134384.68</v>
      </c>
      <c r="N170">
        <v>39548.92</v>
      </c>
      <c r="O170" t="s">
        <v>78</v>
      </c>
      <c r="P170" t="s">
        <v>85</v>
      </c>
    </row>
    <row r="171" spans="1:16" x14ac:dyDescent="0.25">
      <c r="A171">
        <v>170</v>
      </c>
      <c r="B171" s="2">
        <v>45907</v>
      </c>
      <c r="C171" t="s">
        <v>22</v>
      </c>
      <c r="D171" t="s">
        <v>24</v>
      </c>
      <c r="E171" t="s">
        <v>30</v>
      </c>
      <c r="F171" t="s">
        <v>37</v>
      </c>
      <c r="G171" t="s">
        <v>70</v>
      </c>
      <c r="H171" t="s">
        <v>73</v>
      </c>
      <c r="I171">
        <v>6</v>
      </c>
      <c r="J171">
        <v>54393</v>
      </c>
      <c r="K171">
        <v>0</v>
      </c>
      <c r="L171">
        <v>326358</v>
      </c>
      <c r="M171">
        <v>220835.63</v>
      </c>
      <c r="N171">
        <v>105522.37</v>
      </c>
      <c r="O171" t="s">
        <v>76</v>
      </c>
      <c r="P171" t="s">
        <v>84</v>
      </c>
    </row>
    <row r="172" spans="1:16" x14ac:dyDescent="0.25">
      <c r="A172">
        <v>171</v>
      </c>
      <c r="B172" s="2">
        <v>45896</v>
      </c>
      <c r="C172" t="s">
        <v>23</v>
      </c>
      <c r="D172" t="s">
        <v>27</v>
      </c>
      <c r="E172" t="s">
        <v>31</v>
      </c>
      <c r="F172" t="s">
        <v>67</v>
      </c>
      <c r="G172" t="s">
        <v>70</v>
      </c>
      <c r="H172" t="s">
        <v>75</v>
      </c>
      <c r="I172">
        <v>1</v>
      </c>
      <c r="J172">
        <v>2188</v>
      </c>
      <c r="K172">
        <v>0.1</v>
      </c>
      <c r="L172">
        <v>1969.2</v>
      </c>
      <c r="M172">
        <v>1503.15</v>
      </c>
      <c r="N172">
        <v>466.05</v>
      </c>
      <c r="O172" t="s">
        <v>76</v>
      </c>
      <c r="P172" t="s">
        <v>81</v>
      </c>
    </row>
    <row r="173" spans="1:16" x14ac:dyDescent="0.25">
      <c r="A173">
        <v>172</v>
      </c>
      <c r="B173" s="2">
        <v>45867</v>
      </c>
      <c r="C173" t="s">
        <v>20</v>
      </c>
      <c r="D173" t="s">
        <v>26</v>
      </c>
      <c r="E173" t="s">
        <v>30</v>
      </c>
      <c r="F173" t="s">
        <v>56</v>
      </c>
      <c r="G173" t="s">
        <v>72</v>
      </c>
      <c r="H173" t="s">
        <v>74</v>
      </c>
      <c r="I173">
        <v>7</v>
      </c>
      <c r="J173">
        <v>48119</v>
      </c>
      <c r="K173">
        <v>0.15</v>
      </c>
      <c r="L173">
        <v>286308.05</v>
      </c>
      <c r="M173">
        <v>251125.62</v>
      </c>
      <c r="N173">
        <v>35182.43</v>
      </c>
      <c r="O173" t="s">
        <v>79</v>
      </c>
      <c r="P173" t="s">
        <v>87</v>
      </c>
    </row>
    <row r="174" spans="1:16" x14ac:dyDescent="0.25">
      <c r="A174">
        <v>173</v>
      </c>
      <c r="B174" s="2">
        <v>45925</v>
      </c>
      <c r="C174" t="s">
        <v>19</v>
      </c>
      <c r="D174" t="s">
        <v>26</v>
      </c>
      <c r="E174" t="s">
        <v>30</v>
      </c>
      <c r="F174" t="s">
        <v>44</v>
      </c>
      <c r="G174" t="s">
        <v>72</v>
      </c>
      <c r="H174" t="s">
        <v>74</v>
      </c>
      <c r="I174">
        <v>7</v>
      </c>
      <c r="J174">
        <v>33205</v>
      </c>
      <c r="K174">
        <v>0.05</v>
      </c>
      <c r="L174">
        <v>220813.25</v>
      </c>
      <c r="M174">
        <v>180960.58</v>
      </c>
      <c r="N174">
        <v>39852.67</v>
      </c>
      <c r="O174" t="s">
        <v>77</v>
      </c>
      <c r="P174" t="s">
        <v>81</v>
      </c>
    </row>
    <row r="175" spans="1:16" x14ac:dyDescent="0.25">
      <c r="A175">
        <v>174</v>
      </c>
      <c r="B175" s="2">
        <v>45756</v>
      </c>
      <c r="C175" t="s">
        <v>20</v>
      </c>
      <c r="D175" t="s">
        <v>26</v>
      </c>
      <c r="E175" t="s">
        <v>30</v>
      </c>
      <c r="F175" t="s">
        <v>44</v>
      </c>
      <c r="G175" t="s">
        <v>70</v>
      </c>
      <c r="H175" t="s">
        <v>75</v>
      </c>
      <c r="I175">
        <v>6</v>
      </c>
      <c r="J175">
        <v>62549</v>
      </c>
      <c r="K175">
        <v>0.15</v>
      </c>
      <c r="L175">
        <v>318999.90000000002</v>
      </c>
      <c r="M175">
        <v>271944.11</v>
      </c>
      <c r="N175">
        <v>47055.79</v>
      </c>
      <c r="O175" t="s">
        <v>77</v>
      </c>
      <c r="P175" t="s">
        <v>86</v>
      </c>
    </row>
    <row r="176" spans="1:16" x14ac:dyDescent="0.25">
      <c r="A176">
        <v>175</v>
      </c>
      <c r="B176" s="2">
        <v>45817</v>
      </c>
      <c r="C176" t="s">
        <v>23</v>
      </c>
      <c r="D176" t="s">
        <v>27</v>
      </c>
      <c r="E176" t="s">
        <v>30</v>
      </c>
      <c r="F176" t="s">
        <v>40</v>
      </c>
      <c r="G176" t="s">
        <v>70</v>
      </c>
      <c r="H176" t="s">
        <v>74</v>
      </c>
      <c r="I176">
        <v>4</v>
      </c>
      <c r="J176">
        <v>47234</v>
      </c>
      <c r="K176">
        <v>0.1</v>
      </c>
      <c r="L176">
        <v>170042.4</v>
      </c>
      <c r="M176">
        <v>146643.32</v>
      </c>
      <c r="N176">
        <v>23399.08</v>
      </c>
      <c r="O176" t="s">
        <v>78</v>
      </c>
      <c r="P176" t="s">
        <v>82</v>
      </c>
    </row>
    <row r="177" spans="1:16" x14ac:dyDescent="0.25">
      <c r="A177">
        <v>176</v>
      </c>
      <c r="B177" s="2">
        <v>45783</v>
      </c>
      <c r="C177" t="s">
        <v>21</v>
      </c>
      <c r="D177" t="s">
        <v>24</v>
      </c>
      <c r="E177" t="s">
        <v>30</v>
      </c>
      <c r="F177" t="s">
        <v>44</v>
      </c>
      <c r="G177" t="s">
        <v>70</v>
      </c>
      <c r="H177" t="s">
        <v>75</v>
      </c>
      <c r="I177">
        <v>8</v>
      </c>
      <c r="J177">
        <v>2429</v>
      </c>
      <c r="K177">
        <v>0.2</v>
      </c>
      <c r="L177">
        <v>15545.6</v>
      </c>
      <c r="M177">
        <v>9722.23</v>
      </c>
      <c r="N177">
        <v>5823.37</v>
      </c>
      <c r="O177" t="s">
        <v>77</v>
      </c>
      <c r="P177" t="s">
        <v>88</v>
      </c>
    </row>
    <row r="178" spans="1:16" x14ac:dyDescent="0.25">
      <c r="A178">
        <v>177</v>
      </c>
      <c r="B178" s="2">
        <v>45917</v>
      </c>
      <c r="C178" t="s">
        <v>20</v>
      </c>
      <c r="D178" t="s">
        <v>26</v>
      </c>
      <c r="E178" t="s">
        <v>29</v>
      </c>
      <c r="F178" t="s">
        <v>42</v>
      </c>
      <c r="G178" t="s">
        <v>71</v>
      </c>
      <c r="H178" t="s">
        <v>73</v>
      </c>
      <c r="I178">
        <v>8</v>
      </c>
      <c r="J178">
        <v>4740</v>
      </c>
      <c r="K178">
        <v>0</v>
      </c>
      <c r="L178">
        <v>37920</v>
      </c>
      <c r="M178">
        <v>31310.87</v>
      </c>
      <c r="N178">
        <v>6609.13</v>
      </c>
      <c r="O178" t="s">
        <v>80</v>
      </c>
      <c r="P178" t="s">
        <v>88</v>
      </c>
    </row>
    <row r="179" spans="1:16" x14ac:dyDescent="0.25">
      <c r="A179">
        <v>178</v>
      </c>
      <c r="B179" s="2">
        <v>45692</v>
      </c>
      <c r="C179" t="s">
        <v>17</v>
      </c>
      <c r="D179" t="s">
        <v>25</v>
      </c>
      <c r="E179" t="s">
        <v>31</v>
      </c>
      <c r="F179" t="s">
        <v>47</v>
      </c>
      <c r="G179" t="s">
        <v>71</v>
      </c>
      <c r="H179" t="s">
        <v>74</v>
      </c>
      <c r="I179">
        <v>4</v>
      </c>
      <c r="J179">
        <v>176</v>
      </c>
      <c r="K179">
        <v>0.05</v>
      </c>
      <c r="L179">
        <v>668.8</v>
      </c>
      <c r="M179">
        <v>442.96</v>
      </c>
      <c r="N179">
        <v>225.84</v>
      </c>
      <c r="O179" t="s">
        <v>79</v>
      </c>
      <c r="P179" t="s">
        <v>83</v>
      </c>
    </row>
    <row r="180" spans="1:16" x14ac:dyDescent="0.25">
      <c r="A180">
        <v>179</v>
      </c>
      <c r="B180" s="2">
        <v>45819</v>
      </c>
      <c r="C180" t="s">
        <v>20</v>
      </c>
      <c r="D180" t="s">
        <v>26</v>
      </c>
      <c r="E180" t="s">
        <v>34</v>
      </c>
      <c r="F180" t="s">
        <v>65</v>
      </c>
      <c r="G180" t="s">
        <v>71</v>
      </c>
      <c r="H180" t="s">
        <v>75</v>
      </c>
      <c r="I180">
        <v>7</v>
      </c>
      <c r="J180">
        <v>3330</v>
      </c>
      <c r="K180">
        <v>0</v>
      </c>
      <c r="L180">
        <v>23310</v>
      </c>
      <c r="M180">
        <v>15454.71</v>
      </c>
      <c r="N180">
        <v>7855.29</v>
      </c>
      <c r="O180" t="s">
        <v>80</v>
      </c>
      <c r="P180" t="s">
        <v>84</v>
      </c>
    </row>
    <row r="181" spans="1:16" x14ac:dyDescent="0.25">
      <c r="A181">
        <v>180</v>
      </c>
      <c r="B181" s="2">
        <v>45749</v>
      </c>
      <c r="C181" t="s">
        <v>21</v>
      </c>
      <c r="D181" t="s">
        <v>24</v>
      </c>
      <c r="E181" t="s">
        <v>34</v>
      </c>
      <c r="F181" t="s">
        <v>65</v>
      </c>
      <c r="G181" t="s">
        <v>70</v>
      </c>
      <c r="H181" t="s">
        <v>74</v>
      </c>
      <c r="I181">
        <v>5</v>
      </c>
      <c r="J181">
        <v>3320</v>
      </c>
      <c r="K181">
        <v>0.05</v>
      </c>
      <c r="L181">
        <v>15770</v>
      </c>
      <c r="M181">
        <v>12797.86</v>
      </c>
      <c r="N181">
        <v>2972.14</v>
      </c>
      <c r="O181" t="s">
        <v>76</v>
      </c>
      <c r="P181" t="s">
        <v>86</v>
      </c>
    </row>
    <row r="182" spans="1:16" x14ac:dyDescent="0.25">
      <c r="A182">
        <v>181</v>
      </c>
      <c r="B182" s="2">
        <v>45941</v>
      </c>
      <c r="C182" t="s">
        <v>17</v>
      </c>
      <c r="D182" t="s">
        <v>25</v>
      </c>
      <c r="E182" t="s">
        <v>34</v>
      </c>
      <c r="F182" t="s">
        <v>55</v>
      </c>
      <c r="G182" t="s">
        <v>72</v>
      </c>
      <c r="H182" t="s">
        <v>75</v>
      </c>
      <c r="I182">
        <v>6</v>
      </c>
      <c r="J182">
        <v>416</v>
      </c>
      <c r="K182">
        <v>0.05</v>
      </c>
      <c r="L182">
        <v>2371.1999999999998</v>
      </c>
      <c r="M182">
        <v>1333.88</v>
      </c>
      <c r="N182">
        <v>1037.32</v>
      </c>
      <c r="O182" t="s">
        <v>80</v>
      </c>
      <c r="P182" t="s">
        <v>88</v>
      </c>
    </row>
    <row r="183" spans="1:16" x14ac:dyDescent="0.25">
      <c r="A183">
        <v>182</v>
      </c>
      <c r="B183" s="2">
        <v>45841</v>
      </c>
      <c r="C183" t="s">
        <v>19</v>
      </c>
      <c r="D183" t="s">
        <v>26</v>
      </c>
      <c r="E183" t="s">
        <v>29</v>
      </c>
      <c r="F183" t="s">
        <v>36</v>
      </c>
      <c r="G183" t="s">
        <v>71</v>
      </c>
      <c r="H183" t="s">
        <v>73</v>
      </c>
      <c r="I183">
        <v>4</v>
      </c>
      <c r="J183">
        <v>7566</v>
      </c>
      <c r="K183">
        <v>0.05</v>
      </c>
      <c r="L183">
        <v>28750.799999999999</v>
      </c>
      <c r="M183">
        <v>18524.39</v>
      </c>
      <c r="N183">
        <v>10226.41</v>
      </c>
      <c r="O183" t="s">
        <v>77</v>
      </c>
      <c r="P183" t="s">
        <v>84</v>
      </c>
    </row>
    <row r="184" spans="1:16" x14ac:dyDescent="0.25">
      <c r="A184">
        <v>183</v>
      </c>
      <c r="B184" s="2">
        <v>45849</v>
      </c>
      <c r="C184" t="s">
        <v>21</v>
      </c>
      <c r="D184" t="s">
        <v>24</v>
      </c>
      <c r="E184" t="s">
        <v>32</v>
      </c>
      <c r="F184" t="s">
        <v>48</v>
      </c>
      <c r="G184" t="s">
        <v>71</v>
      </c>
      <c r="H184" t="s">
        <v>75</v>
      </c>
      <c r="I184">
        <v>3</v>
      </c>
      <c r="J184">
        <v>16509</v>
      </c>
      <c r="K184">
        <v>0.1</v>
      </c>
      <c r="L184">
        <v>44574.3</v>
      </c>
      <c r="M184">
        <v>32952.199999999997</v>
      </c>
      <c r="N184">
        <v>11622.1</v>
      </c>
      <c r="O184" t="s">
        <v>79</v>
      </c>
      <c r="P184" t="s">
        <v>86</v>
      </c>
    </row>
    <row r="185" spans="1:16" x14ac:dyDescent="0.25">
      <c r="A185">
        <v>184</v>
      </c>
      <c r="B185" s="2">
        <v>45773</v>
      </c>
      <c r="C185" t="s">
        <v>20</v>
      </c>
      <c r="D185" t="s">
        <v>26</v>
      </c>
      <c r="E185" t="s">
        <v>30</v>
      </c>
      <c r="F185" t="s">
        <v>56</v>
      </c>
      <c r="G185" t="s">
        <v>72</v>
      </c>
      <c r="H185" t="s">
        <v>74</v>
      </c>
      <c r="I185">
        <v>1</v>
      </c>
      <c r="J185">
        <v>42010</v>
      </c>
      <c r="K185">
        <v>0.15</v>
      </c>
      <c r="L185">
        <v>35708.5</v>
      </c>
      <c r="M185">
        <v>19864.939999999999</v>
      </c>
      <c r="N185">
        <v>15843.56</v>
      </c>
      <c r="O185" t="s">
        <v>77</v>
      </c>
      <c r="P185" t="s">
        <v>84</v>
      </c>
    </row>
    <row r="186" spans="1:16" x14ac:dyDescent="0.25">
      <c r="A186">
        <v>185</v>
      </c>
      <c r="B186" s="2">
        <v>45711</v>
      </c>
      <c r="C186" t="s">
        <v>21</v>
      </c>
      <c r="D186" t="s">
        <v>24</v>
      </c>
      <c r="E186" t="s">
        <v>29</v>
      </c>
      <c r="F186" t="s">
        <v>45</v>
      </c>
      <c r="G186" t="s">
        <v>70</v>
      </c>
      <c r="H186" t="s">
        <v>73</v>
      </c>
      <c r="I186">
        <v>8</v>
      </c>
      <c r="J186">
        <v>4552</v>
      </c>
      <c r="K186">
        <v>0</v>
      </c>
      <c r="L186">
        <v>36416</v>
      </c>
      <c r="M186">
        <v>31981.77</v>
      </c>
      <c r="N186">
        <v>4434.2299999999996</v>
      </c>
      <c r="O186" t="s">
        <v>77</v>
      </c>
      <c r="P186" t="s">
        <v>83</v>
      </c>
    </row>
    <row r="187" spans="1:16" x14ac:dyDescent="0.25">
      <c r="A187">
        <v>186</v>
      </c>
      <c r="B187" s="2">
        <v>45949</v>
      </c>
      <c r="C187" t="s">
        <v>17</v>
      </c>
      <c r="D187" t="s">
        <v>25</v>
      </c>
      <c r="E187" t="s">
        <v>30</v>
      </c>
      <c r="F187" t="s">
        <v>44</v>
      </c>
      <c r="G187" t="s">
        <v>70</v>
      </c>
      <c r="H187" t="s">
        <v>74</v>
      </c>
      <c r="I187">
        <v>5</v>
      </c>
      <c r="J187">
        <v>44227</v>
      </c>
      <c r="K187">
        <v>0.15</v>
      </c>
      <c r="L187">
        <v>187964.75</v>
      </c>
      <c r="M187">
        <v>141441.47</v>
      </c>
      <c r="N187">
        <v>46523.28</v>
      </c>
      <c r="O187" t="s">
        <v>78</v>
      </c>
      <c r="P187" t="s">
        <v>87</v>
      </c>
    </row>
    <row r="188" spans="1:16" x14ac:dyDescent="0.25">
      <c r="A188">
        <v>187</v>
      </c>
      <c r="B188" s="2">
        <v>45917</v>
      </c>
      <c r="C188" t="s">
        <v>23</v>
      </c>
      <c r="D188" t="s">
        <v>27</v>
      </c>
      <c r="E188" t="s">
        <v>29</v>
      </c>
      <c r="F188" t="s">
        <v>42</v>
      </c>
      <c r="G188" t="s">
        <v>71</v>
      </c>
      <c r="H188" t="s">
        <v>75</v>
      </c>
      <c r="I188">
        <v>3</v>
      </c>
      <c r="J188">
        <v>2492</v>
      </c>
      <c r="K188">
        <v>0.1</v>
      </c>
      <c r="L188">
        <v>6728.4</v>
      </c>
      <c r="M188">
        <v>4365.7700000000004</v>
      </c>
      <c r="N188">
        <v>2362.63</v>
      </c>
      <c r="O188" t="s">
        <v>78</v>
      </c>
      <c r="P188" t="s">
        <v>81</v>
      </c>
    </row>
    <row r="189" spans="1:16" x14ac:dyDescent="0.25">
      <c r="A189">
        <v>188</v>
      </c>
      <c r="B189" s="2">
        <v>45801</v>
      </c>
      <c r="C189" t="s">
        <v>23</v>
      </c>
      <c r="D189" t="s">
        <v>27</v>
      </c>
      <c r="E189" t="s">
        <v>32</v>
      </c>
      <c r="F189" t="s">
        <v>39</v>
      </c>
      <c r="G189" t="s">
        <v>70</v>
      </c>
      <c r="H189" t="s">
        <v>73</v>
      </c>
      <c r="I189">
        <v>2</v>
      </c>
      <c r="J189">
        <v>11550</v>
      </c>
      <c r="K189">
        <v>0.15</v>
      </c>
      <c r="L189">
        <v>19635</v>
      </c>
      <c r="M189">
        <v>13424.13</v>
      </c>
      <c r="N189">
        <v>6210.87</v>
      </c>
      <c r="O189" t="s">
        <v>76</v>
      </c>
      <c r="P189" t="s">
        <v>85</v>
      </c>
    </row>
    <row r="190" spans="1:16" x14ac:dyDescent="0.25">
      <c r="A190">
        <v>189</v>
      </c>
      <c r="B190" s="2">
        <v>45710</v>
      </c>
      <c r="C190" t="s">
        <v>17</v>
      </c>
      <c r="D190" t="s">
        <v>25</v>
      </c>
      <c r="E190" t="s">
        <v>30</v>
      </c>
      <c r="F190" t="s">
        <v>56</v>
      </c>
      <c r="G190" t="s">
        <v>70</v>
      </c>
      <c r="H190" t="s">
        <v>73</v>
      </c>
      <c r="I190">
        <v>6</v>
      </c>
      <c r="J190">
        <v>34704</v>
      </c>
      <c r="K190">
        <v>0</v>
      </c>
      <c r="L190">
        <v>208224</v>
      </c>
      <c r="M190">
        <v>175586.45</v>
      </c>
      <c r="N190">
        <v>32637.55</v>
      </c>
      <c r="O190" t="s">
        <v>78</v>
      </c>
      <c r="P190" t="s">
        <v>81</v>
      </c>
    </row>
    <row r="191" spans="1:16" x14ac:dyDescent="0.25">
      <c r="A191">
        <v>190</v>
      </c>
      <c r="B191" s="2">
        <v>45711</v>
      </c>
      <c r="C191" t="s">
        <v>20</v>
      </c>
      <c r="D191" t="s">
        <v>26</v>
      </c>
      <c r="E191" t="s">
        <v>32</v>
      </c>
      <c r="F191" t="s">
        <v>39</v>
      </c>
      <c r="G191" t="s">
        <v>72</v>
      </c>
      <c r="H191" t="s">
        <v>75</v>
      </c>
      <c r="I191">
        <v>4</v>
      </c>
      <c r="J191">
        <v>10403</v>
      </c>
      <c r="K191">
        <v>0</v>
      </c>
      <c r="L191">
        <v>41612</v>
      </c>
      <c r="M191">
        <v>33533.620000000003</v>
      </c>
      <c r="N191">
        <v>8078.38</v>
      </c>
      <c r="O191" t="s">
        <v>78</v>
      </c>
      <c r="P191" t="s">
        <v>81</v>
      </c>
    </row>
    <row r="192" spans="1:16" x14ac:dyDescent="0.25">
      <c r="A192">
        <v>191</v>
      </c>
      <c r="B192" s="2">
        <v>45905</v>
      </c>
      <c r="C192" t="s">
        <v>22</v>
      </c>
      <c r="D192" t="s">
        <v>24</v>
      </c>
      <c r="E192" t="s">
        <v>33</v>
      </c>
      <c r="F192" t="s">
        <v>60</v>
      </c>
      <c r="G192" t="s">
        <v>71</v>
      </c>
      <c r="H192" t="s">
        <v>73</v>
      </c>
      <c r="I192">
        <v>4</v>
      </c>
      <c r="J192">
        <v>26045</v>
      </c>
      <c r="K192">
        <v>0.15</v>
      </c>
      <c r="L192">
        <v>88553</v>
      </c>
      <c r="M192">
        <v>65748.649999999994</v>
      </c>
      <c r="N192">
        <v>22804.35</v>
      </c>
      <c r="O192" t="s">
        <v>76</v>
      </c>
      <c r="P192" t="s">
        <v>82</v>
      </c>
    </row>
    <row r="193" spans="1:16" x14ac:dyDescent="0.25">
      <c r="A193">
        <v>192</v>
      </c>
      <c r="B193" s="2">
        <v>45977</v>
      </c>
      <c r="C193" t="s">
        <v>19</v>
      </c>
      <c r="D193" t="s">
        <v>26</v>
      </c>
      <c r="E193" t="s">
        <v>33</v>
      </c>
      <c r="F193" t="s">
        <v>60</v>
      </c>
      <c r="G193" t="s">
        <v>70</v>
      </c>
      <c r="H193" t="s">
        <v>74</v>
      </c>
      <c r="I193">
        <v>1</v>
      </c>
      <c r="J193">
        <v>8293</v>
      </c>
      <c r="K193">
        <v>0.05</v>
      </c>
      <c r="L193">
        <v>7878.35</v>
      </c>
      <c r="M193">
        <v>5314.05</v>
      </c>
      <c r="N193">
        <v>2564.3000000000002</v>
      </c>
      <c r="O193" t="s">
        <v>79</v>
      </c>
      <c r="P193" t="s">
        <v>81</v>
      </c>
    </row>
    <row r="194" spans="1:16" x14ac:dyDescent="0.25">
      <c r="A194">
        <v>193</v>
      </c>
      <c r="B194" s="2">
        <v>45875</v>
      </c>
      <c r="C194" t="s">
        <v>21</v>
      </c>
      <c r="D194" t="s">
        <v>24</v>
      </c>
      <c r="E194" t="s">
        <v>31</v>
      </c>
      <c r="F194" t="s">
        <v>69</v>
      </c>
      <c r="G194" t="s">
        <v>72</v>
      </c>
      <c r="H194" t="s">
        <v>74</v>
      </c>
      <c r="I194">
        <v>1</v>
      </c>
      <c r="J194">
        <v>334</v>
      </c>
      <c r="K194">
        <v>0.2</v>
      </c>
      <c r="L194">
        <v>267.2</v>
      </c>
      <c r="M194">
        <v>208.91</v>
      </c>
      <c r="N194">
        <v>58.29</v>
      </c>
      <c r="O194" t="s">
        <v>76</v>
      </c>
      <c r="P194" t="s">
        <v>82</v>
      </c>
    </row>
    <row r="195" spans="1:16" x14ac:dyDescent="0.25">
      <c r="A195">
        <v>194</v>
      </c>
      <c r="B195" s="2">
        <v>45868</v>
      </c>
      <c r="C195" t="s">
        <v>22</v>
      </c>
      <c r="D195" t="s">
        <v>24</v>
      </c>
      <c r="E195" t="s">
        <v>32</v>
      </c>
      <c r="F195" t="s">
        <v>48</v>
      </c>
      <c r="G195" t="s">
        <v>71</v>
      </c>
      <c r="H195" t="s">
        <v>75</v>
      </c>
      <c r="I195">
        <v>5</v>
      </c>
      <c r="J195">
        <v>23007</v>
      </c>
      <c r="K195">
        <v>0</v>
      </c>
      <c r="L195">
        <v>115035</v>
      </c>
      <c r="M195">
        <v>77265.95</v>
      </c>
      <c r="N195">
        <v>37769.050000000003</v>
      </c>
      <c r="O195" t="s">
        <v>79</v>
      </c>
      <c r="P195" t="s">
        <v>88</v>
      </c>
    </row>
    <row r="196" spans="1:16" x14ac:dyDescent="0.25">
      <c r="A196">
        <v>195</v>
      </c>
      <c r="B196" s="2">
        <v>45867</v>
      </c>
      <c r="C196" t="s">
        <v>21</v>
      </c>
      <c r="D196" t="s">
        <v>24</v>
      </c>
      <c r="E196" t="s">
        <v>31</v>
      </c>
      <c r="F196" t="s">
        <v>47</v>
      </c>
      <c r="G196" t="s">
        <v>70</v>
      </c>
      <c r="H196" t="s">
        <v>73</v>
      </c>
      <c r="I196">
        <v>8</v>
      </c>
      <c r="J196">
        <v>1051</v>
      </c>
      <c r="K196">
        <v>0.1</v>
      </c>
      <c r="L196">
        <v>7567.2</v>
      </c>
      <c r="M196">
        <v>4899.38</v>
      </c>
      <c r="N196">
        <v>2667.82</v>
      </c>
      <c r="O196" t="s">
        <v>77</v>
      </c>
      <c r="P196" t="s">
        <v>82</v>
      </c>
    </row>
    <row r="197" spans="1:16" x14ac:dyDescent="0.25">
      <c r="A197">
        <v>196</v>
      </c>
      <c r="B197" s="2">
        <v>45983</v>
      </c>
      <c r="C197" t="s">
        <v>22</v>
      </c>
      <c r="D197" t="s">
        <v>24</v>
      </c>
      <c r="E197" t="s">
        <v>34</v>
      </c>
      <c r="F197" t="s">
        <v>55</v>
      </c>
      <c r="G197" t="s">
        <v>70</v>
      </c>
      <c r="H197" t="s">
        <v>74</v>
      </c>
      <c r="I197">
        <v>8</v>
      </c>
      <c r="J197">
        <v>1698</v>
      </c>
      <c r="K197">
        <v>0</v>
      </c>
      <c r="L197">
        <v>13584</v>
      </c>
      <c r="M197">
        <v>9783.66</v>
      </c>
      <c r="N197">
        <v>3800.34</v>
      </c>
      <c r="O197" t="s">
        <v>78</v>
      </c>
      <c r="P197" t="s">
        <v>87</v>
      </c>
    </row>
    <row r="198" spans="1:16" x14ac:dyDescent="0.25">
      <c r="A198">
        <v>197</v>
      </c>
      <c r="B198" s="2">
        <v>45670</v>
      </c>
      <c r="C198" t="s">
        <v>23</v>
      </c>
      <c r="D198" t="s">
        <v>27</v>
      </c>
      <c r="E198" t="s">
        <v>32</v>
      </c>
      <c r="F198" t="s">
        <v>48</v>
      </c>
      <c r="G198" t="s">
        <v>71</v>
      </c>
      <c r="H198" t="s">
        <v>75</v>
      </c>
      <c r="I198">
        <v>4</v>
      </c>
      <c r="J198">
        <v>18258</v>
      </c>
      <c r="K198">
        <v>0.15</v>
      </c>
      <c r="L198">
        <v>62077.2</v>
      </c>
      <c r="M198">
        <v>39605.43</v>
      </c>
      <c r="N198">
        <v>22471.77</v>
      </c>
      <c r="O198" t="s">
        <v>79</v>
      </c>
      <c r="P198" t="s">
        <v>82</v>
      </c>
    </row>
    <row r="199" spans="1:16" x14ac:dyDescent="0.25">
      <c r="A199">
        <v>198</v>
      </c>
      <c r="B199" s="2">
        <v>45845</v>
      </c>
      <c r="C199" t="s">
        <v>23</v>
      </c>
      <c r="D199" t="s">
        <v>27</v>
      </c>
      <c r="E199" t="s">
        <v>30</v>
      </c>
      <c r="F199" t="s">
        <v>40</v>
      </c>
      <c r="G199" t="s">
        <v>70</v>
      </c>
      <c r="H199" t="s">
        <v>75</v>
      </c>
      <c r="I199">
        <v>7</v>
      </c>
      <c r="J199">
        <v>21111</v>
      </c>
      <c r="K199">
        <v>0</v>
      </c>
      <c r="L199">
        <v>147777</v>
      </c>
      <c r="M199">
        <v>82103.83</v>
      </c>
      <c r="N199">
        <v>65673.17</v>
      </c>
      <c r="O199" t="s">
        <v>79</v>
      </c>
      <c r="P199" t="s">
        <v>81</v>
      </c>
    </row>
    <row r="200" spans="1:16" x14ac:dyDescent="0.25">
      <c r="A200">
        <v>199</v>
      </c>
      <c r="B200" s="2">
        <v>45791</v>
      </c>
      <c r="C200" t="s">
        <v>23</v>
      </c>
      <c r="D200" t="s">
        <v>27</v>
      </c>
      <c r="E200" t="s">
        <v>34</v>
      </c>
      <c r="F200" t="s">
        <v>51</v>
      </c>
      <c r="G200" t="s">
        <v>70</v>
      </c>
      <c r="H200" t="s">
        <v>74</v>
      </c>
      <c r="I200">
        <v>1</v>
      </c>
      <c r="J200">
        <v>5797</v>
      </c>
      <c r="K200">
        <v>0.1</v>
      </c>
      <c r="L200">
        <v>5217.3</v>
      </c>
      <c r="M200">
        <v>4383.34</v>
      </c>
      <c r="N200">
        <v>833.96</v>
      </c>
      <c r="O200" t="s">
        <v>77</v>
      </c>
      <c r="P200" t="s">
        <v>86</v>
      </c>
    </row>
    <row r="201" spans="1:16" x14ac:dyDescent="0.25">
      <c r="A201">
        <v>200</v>
      </c>
      <c r="B201" s="2">
        <v>45882</v>
      </c>
      <c r="C201" t="s">
        <v>21</v>
      </c>
      <c r="D201" t="s">
        <v>24</v>
      </c>
      <c r="E201" t="s">
        <v>34</v>
      </c>
      <c r="F201" t="s">
        <v>65</v>
      </c>
      <c r="G201" t="s">
        <v>72</v>
      </c>
      <c r="H201" t="s">
        <v>74</v>
      </c>
      <c r="I201">
        <v>4</v>
      </c>
      <c r="J201">
        <v>3426</v>
      </c>
      <c r="K201">
        <v>0.05</v>
      </c>
      <c r="L201">
        <v>13018.8</v>
      </c>
      <c r="M201">
        <v>7408.85</v>
      </c>
      <c r="N201">
        <v>5609.95</v>
      </c>
      <c r="O201" t="s">
        <v>76</v>
      </c>
      <c r="P201" t="s">
        <v>86</v>
      </c>
    </row>
    <row r="202" spans="1:16" x14ac:dyDescent="0.25">
      <c r="A202">
        <v>201</v>
      </c>
      <c r="B202" s="2">
        <v>45753</v>
      </c>
      <c r="C202" t="s">
        <v>22</v>
      </c>
      <c r="D202" t="s">
        <v>24</v>
      </c>
      <c r="E202" t="s">
        <v>33</v>
      </c>
      <c r="F202" t="s">
        <v>46</v>
      </c>
      <c r="G202" t="s">
        <v>70</v>
      </c>
      <c r="H202" t="s">
        <v>75</v>
      </c>
      <c r="I202">
        <v>6</v>
      </c>
      <c r="J202">
        <v>10159</v>
      </c>
      <c r="K202">
        <v>0.2</v>
      </c>
      <c r="L202">
        <v>48763.199999999997</v>
      </c>
      <c r="M202">
        <v>35304.44</v>
      </c>
      <c r="N202">
        <v>13458.76</v>
      </c>
      <c r="O202" t="s">
        <v>80</v>
      </c>
      <c r="P202" t="s">
        <v>84</v>
      </c>
    </row>
    <row r="203" spans="1:16" x14ac:dyDescent="0.25">
      <c r="A203">
        <v>202</v>
      </c>
      <c r="B203" s="2">
        <v>45978</v>
      </c>
      <c r="C203" t="s">
        <v>23</v>
      </c>
      <c r="D203" t="s">
        <v>27</v>
      </c>
      <c r="E203" t="s">
        <v>31</v>
      </c>
      <c r="F203" t="s">
        <v>38</v>
      </c>
      <c r="G203" t="s">
        <v>71</v>
      </c>
      <c r="H203" t="s">
        <v>73</v>
      </c>
      <c r="I203">
        <v>1</v>
      </c>
      <c r="J203">
        <v>1876</v>
      </c>
      <c r="K203">
        <v>0</v>
      </c>
      <c r="L203">
        <v>1876</v>
      </c>
      <c r="M203">
        <v>1059.3900000000001</v>
      </c>
      <c r="N203">
        <v>816.61</v>
      </c>
      <c r="O203" t="s">
        <v>77</v>
      </c>
      <c r="P203" t="s">
        <v>81</v>
      </c>
    </row>
    <row r="204" spans="1:16" x14ac:dyDescent="0.25">
      <c r="A204">
        <v>203</v>
      </c>
      <c r="B204" s="2">
        <v>45672</v>
      </c>
      <c r="C204" t="s">
        <v>23</v>
      </c>
      <c r="D204" t="s">
        <v>27</v>
      </c>
      <c r="E204" t="s">
        <v>32</v>
      </c>
      <c r="F204" t="s">
        <v>62</v>
      </c>
      <c r="G204" t="s">
        <v>71</v>
      </c>
      <c r="H204" t="s">
        <v>75</v>
      </c>
      <c r="I204">
        <v>6</v>
      </c>
      <c r="J204">
        <v>13037</v>
      </c>
      <c r="K204">
        <v>0.1</v>
      </c>
      <c r="L204">
        <v>70399.8</v>
      </c>
      <c r="M204">
        <v>58791.39</v>
      </c>
      <c r="N204">
        <v>11608.41</v>
      </c>
      <c r="O204" t="s">
        <v>80</v>
      </c>
      <c r="P204" t="s">
        <v>83</v>
      </c>
    </row>
    <row r="205" spans="1:16" x14ac:dyDescent="0.25">
      <c r="A205">
        <v>204</v>
      </c>
      <c r="B205" s="2">
        <v>45866</v>
      </c>
      <c r="C205" t="s">
        <v>18</v>
      </c>
      <c r="D205" t="s">
        <v>26</v>
      </c>
      <c r="E205" t="s">
        <v>34</v>
      </c>
      <c r="F205" t="s">
        <v>68</v>
      </c>
      <c r="G205" t="s">
        <v>72</v>
      </c>
      <c r="H205" t="s">
        <v>73</v>
      </c>
      <c r="I205">
        <v>3</v>
      </c>
      <c r="J205">
        <v>3902</v>
      </c>
      <c r="K205">
        <v>0.2</v>
      </c>
      <c r="L205">
        <v>9364.7999999999993</v>
      </c>
      <c r="M205">
        <v>7350.14</v>
      </c>
      <c r="N205">
        <v>2014.66</v>
      </c>
      <c r="O205" t="s">
        <v>79</v>
      </c>
      <c r="P205" t="s">
        <v>82</v>
      </c>
    </row>
    <row r="206" spans="1:16" x14ac:dyDescent="0.25">
      <c r="A206">
        <v>205</v>
      </c>
      <c r="B206" s="2">
        <v>45796</v>
      </c>
      <c r="C206" t="s">
        <v>23</v>
      </c>
      <c r="D206" t="s">
        <v>27</v>
      </c>
      <c r="E206" t="s">
        <v>32</v>
      </c>
      <c r="F206" t="s">
        <v>49</v>
      </c>
      <c r="G206" t="s">
        <v>72</v>
      </c>
      <c r="H206" t="s">
        <v>75</v>
      </c>
      <c r="I206">
        <v>7</v>
      </c>
      <c r="J206">
        <v>1819</v>
      </c>
      <c r="K206">
        <v>0.05</v>
      </c>
      <c r="L206">
        <v>12096.35</v>
      </c>
      <c r="M206">
        <v>10456.76</v>
      </c>
      <c r="N206">
        <v>1639.59</v>
      </c>
      <c r="O206" t="s">
        <v>76</v>
      </c>
      <c r="P206" t="s">
        <v>81</v>
      </c>
    </row>
    <row r="207" spans="1:16" x14ac:dyDescent="0.25">
      <c r="A207">
        <v>206</v>
      </c>
      <c r="B207" s="2">
        <v>45665</v>
      </c>
      <c r="C207" t="s">
        <v>16</v>
      </c>
      <c r="D207" t="s">
        <v>24</v>
      </c>
      <c r="E207" t="s">
        <v>31</v>
      </c>
      <c r="F207" t="s">
        <v>67</v>
      </c>
      <c r="G207" t="s">
        <v>72</v>
      </c>
      <c r="H207" t="s">
        <v>75</v>
      </c>
      <c r="I207">
        <v>3</v>
      </c>
      <c r="J207">
        <v>1977</v>
      </c>
      <c r="K207">
        <v>0.15</v>
      </c>
      <c r="L207">
        <v>5041.3500000000004</v>
      </c>
      <c r="M207">
        <v>4077.74</v>
      </c>
      <c r="N207">
        <v>963.61</v>
      </c>
      <c r="O207" t="s">
        <v>77</v>
      </c>
      <c r="P207" t="s">
        <v>88</v>
      </c>
    </row>
    <row r="208" spans="1:16" x14ac:dyDescent="0.25">
      <c r="A208">
        <v>207</v>
      </c>
      <c r="B208" s="2">
        <v>45873</v>
      </c>
      <c r="C208" t="s">
        <v>16</v>
      </c>
      <c r="D208" t="s">
        <v>24</v>
      </c>
      <c r="E208" t="s">
        <v>32</v>
      </c>
      <c r="F208" t="s">
        <v>49</v>
      </c>
      <c r="G208" t="s">
        <v>70</v>
      </c>
      <c r="H208" t="s">
        <v>74</v>
      </c>
      <c r="I208">
        <v>6</v>
      </c>
      <c r="J208">
        <v>13497</v>
      </c>
      <c r="K208">
        <v>0.05</v>
      </c>
      <c r="L208">
        <v>76932.899999999994</v>
      </c>
      <c r="M208">
        <v>55329.96</v>
      </c>
      <c r="N208">
        <v>21602.94</v>
      </c>
      <c r="O208" t="s">
        <v>77</v>
      </c>
      <c r="P208" t="s">
        <v>82</v>
      </c>
    </row>
    <row r="209" spans="1:16" x14ac:dyDescent="0.25">
      <c r="A209">
        <v>208</v>
      </c>
      <c r="B209" s="2">
        <v>45774</v>
      </c>
      <c r="C209" t="s">
        <v>20</v>
      </c>
      <c r="D209" t="s">
        <v>26</v>
      </c>
      <c r="E209" t="s">
        <v>33</v>
      </c>
      <c r="F209" t="s">
        <v>60</v>
      </c>
      <c r="G209" t="s">
        <v>71</v>
      </c>
      <c r="H209" t="s">
        <v>73</v>
      </c>
      <c r="I209">
        <v>7</v>
      </c>
      <c r="J209">
        <v>21649</v>
      </c>
      <c r="K209">
        <v>0.1</v>
      </c>
      <c r="L209">
        <v>136388.70000000001</v>
      </c>
      <c r="M209">
        <v>91152.78</v>
      </c>
      <c r="N209">
        <v>45235.92</v>
      </c>
      <c r="O209" t="s">
        <v>79</v>
      </c>
      <c r="P209" t="s">
        <v>81</v>
      </c>
    </row>
    <row r="210" spans="1:16" x14ac:dyDescent="0.25">
      <c r="A210">
        <v>209</v>
      </c>
      <c r="B210" s="2">
        <v>45811</v>
      </c>
      <c r="C210" t="s">
        <v>18</v>
      </c>
      <c r="D210" t="s">
        <v>26</v>
      </c>
      <c r="E210" t="s">
        <v>31</v>
      </c>
      <c r="F210" t="s">
        <v>47</v>
      </c>
      <c r="G210" t="s">
        <v>71</v>
      </c>
      <c r="H210" t="s">
        <v>75</v>
      </c>
      <c r="I210">
        <v>3</v>
      </c>
      <c r="J210">
        <v>2013</v>
      </c>
      <c r="K210">
        <v>0.1</v>
      </c>
      <c r="L210">
        <v>5435.1</v>
      </c>
      <c r="M210">
        <v>3392.66</v>
      </c>
      <c r="N210">
        <v>2042.44</v>
      </c>
      <c r="O210" t="s">
        <v>77</v>
      </c>
      <c r="P210" t="s">
        <v>88</v>
      </c>
    </row>
    <row r="211" spans="1:16" x14ac:dyDescent="0.25">
      <c r="A211">
        <v>210</v>
      </c>
      <c r="B211" s="2">
        <v>45756</v>
      </c>
      <c r="C211" t="s">
        <v>23</v>
      </c>
      <c r="D211" t="s">
        <v>27</v>
      </c>
      <c r="E211" t="s">
        <v>33</v>
      </c>
      <c r="F211" t="s">
        <v>59</v>
      </c>
      <c r="G211" t="s">
        <v>71</v>
      </c>
      <c r="H211" t="s">
        <v>74</v>
      </c>
      <c r="I211">
        <v>5</v>
      </c>
      <c r="J211">
        <v>48107</v>
      </c>
      <c r="K211">
        <v>0.15</v>
      </c>
      <c r="L211">
        <v>204454.75</v>
      </c>
      <c r="M211">
        <v>149187.95000000001</v>
      </c>
      <c r="N211">
        <v>55266.8</v>
      </c>
      <c r="O211" t="s">
        <v>79</v>
      </c>
      <c r="P211" t="s">
        <v>86</v>
      </c>
    </row>
    <row r="212" spans="1:16" x14ac:dyDescent="0.25">
      <c r="A212">
        <v>211</v>
      </c>
      <c r="B212" s="2">
        <v>45804</v>
      </c>
      <c r="C212" t="s">
        <v>21</v>
      </c>
      <c r="D212" t="s">
        <v>24</v>
      </c>
      <c r="E212" t="s">
        <v>29</v>
      </c>
      <c r="F212" t="s">
        <v>53</v>
      </c>
      <c r="G212" t="s">
        <v>71</v>
      </c>
      <c r="H212" t="s">
        <v>73</v>
      </c>
      <c r="I212">
        <v>6</v>
      </c>
      <c r="J212">
        <v>11946</v>
      </c>
      <c r="K212">
        <v>0</v>
      </c>
      <c r="L212">
        <v>71676</v>
      </c>
      <c r="M212">
        <v>56611.66</v>
      </c>
      <c r="N212">
        <v>15064.34</v>
      </c>
      <c r="O212" t="s">
        <v>80</v>
      </c>
      <c r="P212" t="s">
        <v>84</v>
      </c>
    </row>
    <row r="213" spans="1:16" x14ac:dyDescent="0.25">
      <c r="A213">
        <v>212</v>
      </c>
      <c r="B213" s="2">
        <v>45947</v>
      </c>
      <c r="C213" t="s">
        <v>17</v>
      </c>
      <c r="D213" t="s">
        <v>25</v>
      </c>
      <c r="E213" t="s">
        <v>28</v>
      </c>
      <c r="F213" t="s">
        <v>63</v>
      </c>
      <c r="G213" t="s">
        <v>72</v>
      </c>
      <c r="H213" t="s">
        <v>73</v>
      </c>
      <c r="I213">
        <v>8</v>
      </c>
      <c r="J213">
        <v>760</v>
      </c>
      <c r="K213">
        <v>0</v>
      </c>
      <c r="L213">
        <v>6080</v>
      </c>
      <c r="M213">
        <v>4179.8</v>
      </c>
      <c r="N213">
        <v>1900.2</v>
      </c>
      <c r="O213" t="s">
        <v>76</v>
      </c>
      <c r="P213" t="s">
        <v>83</v>
      </c>
    </row>
    <row r="214" spans="1:16" x14ac:dyDescent="0.25">
      <c r="A214">
        <v>213</v>
      </c>
      <c r="B214" s="2">
        <v>45795</v>
      </c>
      <c r="C214" t="s">
        <v>20</v>
      </c>
      <c r="D214" t="s">
        <v>26</v>
      </c>
      <c r="E214" t="s">
        <v>28</v>
      </c>
      <c r="F214" t="s">
        <v>63</v>
      </c>
      <c r="G214" t="s">
        <v>71</v>
      </c>
      <c r="H214" t="s">
        <v>75</v>
      </c>
      <c r="I214">
        <v>5</v>
      </c>
      <c r="J214">
        <v>1614</v>
      </c>
      <c r="K214">
        <v>0.1</v>
      </c>
      <c r="L214">
        <v>7263</v>
      </c>
      <c r="M214">
        <v>4991.58</v>
      </c>
      <c r="N214">
        <v>2271.42</v>
      </c>
      <c r="O214" t="s">
        <v>78</v>
      </c>
      <c r="P214" t="s">
        <v>81</v>
      </c>
    </row>
    <row r="215" spans="1:16" x14ac:dyDescent="0.25">
      <c r="A215">
        <v>214</v>
      </c>
      <c r="B215" s="2">
        <v>45687</v>
      </c>
      <c r="C215" t="s">
        <v>23</v>
      </c>
      <c r="D215" t="s">
        <v>27</v>
      </c>
      <c r="E215" t="s">
        <v>30</v>
      </c>
      <c r="F215" t="s">
        <v>37</v>
      </c>
      <c r="G215" t="s">
        <v>71</v>
      </c>
      <c r="H215" t="s">
        <v>75</v>
      </c>
      <c r="I215">
        <v>3</v>
      </c>
      <c r="J215">
        <v>18089</v>
      </c>
      <c r="K215">
        <v>0.05</v>
      </c>
      <c r="L215">
        <v>51553.65</v>
      </c>
      <c r="M215">
        <v>38402.85</v>
      </c>
      <c r="N215">
        <v>13150.8</v>
      </c>
      <c r="O215" t="s">
        <v>78</v>
      </c>
      <c r="P215" t="s">
        <v>81</v>
      </c>
    </row>
    <row r="216" spans="1:16" x14ac:dyDescent="0.25">
      <c r="A216">
        <v>215</v>
      </c>
      <c r="B216" s="2">
        <v>45689</v>
      </c>
      <c r="C216" t="s">
        <v>20</v>
      </c>
      <c r="D216" t="s">
        <v>26</v>
      </c>
      <c r="E216" t="s">
        <v>28</v>
      </c>
      <c r="F216" t="s">
        <v>61</v>
      </c>
      <c r="G216" t="s">
        <v>71</v>
      </c>
      <c r="H216" t="s">
        <v>75</v>
      </c>
      <c r="I216">
        <v>1</v>
      </c>
      <c r="J216">
        <v>1738</v>
      </c>
      <c r="K216">
        <v>0.1</v>
      </c>
      <c r="L216">
        <v>1564.2</v>
      </c>
      <c r="M216">
        <v>913.23</v>
      </c>
      <c r="N216">
        <v>650.97</v>
      </c>
      <c r="O216" t="s">
        <v>79</v>
      </c>
      <c r="P216" t="s">
        <v>84</v>
      </c>
    </row>
    <row r="217" spans="1:16" x14ac:dyDescent="0.25">
      <c r="A217">
        <v>216</v>
      </c>
      <c r="B217" s="2">
        <v>45949</v>
      </c>
      <c r="C217" t="s">
        <v>18</v>
      </c>
      <c r="D217" t="s">
        <v>26</v>
      </c>
      <c r="E217" t="s">
        <v>28</v>
      </c>
      <c r="F217" t="s">
        <v>58</v>
      </c>
      <c r="G217" t="s">
        <v>70</v>
      </c>
      <c r="H217" t="s">
        <v>74</v>
      </c>
      <c r="I217">
        <v>8</v>
      </c>
      <c r="J217">
        <v>588</v>
      </c>
      <c r="K217">
        <v>0.15</v>
      </c>
      <c r="L217">
        <v>3998.4</v>
      </c>
      <c r="M217">
        <v>2560.75</v>
      </c>
      <c r="N217">
        <v>1437.65</v>
      </c>
      <c r="O217" t="s">
        <v>76</v>
      </c>
      <c r="P217" t="s">
        <v>83</v>
      </c>
    </row>
    <row r="218" spans="1:16" x14ac:dyDescent="0.25">
      <c r="A218">
        <v>217</v>
      </c>
      <c r="B218" s="2">
        <v>45798</v>
      </c>
      <c r="C218" t="s">
        <v>20</v>
      </c>
      <c r="D218" t="s">
        <v>26</v>
      </c>
      <c r="E218" t="s">
        <v>31</v>
      </c>
      <c r="F218" t="s">
        <v>38</v>
      </c>
      <c r="G218" t="s">
        <v>70</v>
      </c>
      <c r="H218" t="s">
        <v>73</v>
      </c>
      <c r="I218">
        <v>5</v>
      </c>
      <c r="J218">
        <v>1199</v>
      </c>
      <c r="K218">
        <v>0.15</v>
      </c>
      <c r="L218">
        <v>5095.75</v>
      </c>
      <c r="M218">
        <v>3637.17</v>
      </c>
      <c r="N218">
        <v>1458.58</v>
      </c>
      <c r="O218" t="s">
        <v>80</v>
      </c>
      <c r="P218" t="s">
        <v>86</v>
      </c>
    </row>
    <row r="219" spans="1:16" x14ac:dyDescent="0.25">
      <c r="A219">
        <v>218</v>
      </c>
      <c r="B219" s="2">
        <v>46009</v>
      </c>
      <c r="C219" t="s">
        <v>16</v>
      </c>
      <c r="D219" t="s">
        <v>24</v>
      </c>
      <c r="E219" t="s">
        <v>32</v>
      </c>
      <c r="F219" t="s">
        <v>48</v>
      </c>
      <c r="G219" t="s">
        <v>70</v>
      </c>
      <c r="H219" t="s">
        <v>74</v>
      </c>
      <c r="I219">
        <v>3</v>
      </c>
      <c r="J219">
        <v>3107</v>
      </c>
      <c r="K219">
        <v>0.15</v>
      </c>
      <c r="L219">
        <v>7922.85</v>
      </c>
      <c r="M219">
        <v>4612.5200000000004</v>
      </c>
      <c r="N219">
        <v>3310.33</v>
      </c>
      <c r="O219" t="s">
        <v>77</v>
      </c>
      <c r="P219" t="s">
        <v>87</v>
      </c>
    </row>
    <row r="220" spans="1:16" x14ac:dyDescent="0.25">
      <c r="A220">
        <v>219</v>
      </c>
      <c r="B220" s="2">
        <v>45825</v>
      </c>
      <c r="C220" t="s">
        <v>20</v>
      </c>
      <c r="D220" t="s">
        <v>26</v>
      </c>
      <c r="E220" t="s">
        <v>30</v>
      </c>
      <c r="F220" t="s">
        <v>44</v>
      </c>
      <c r="G220" t="s">
        <v>70</v>
      </c>
      <c r="H220" t="s">
        <v>75</v>
      </c>
      <c r="I220">
        <v>3</v>
      </c>
      <c r="J220">
        <v>1889</v>
      </c>
      <c r="K220">
        <v>0.15</v>
      </c>
      <c r="L220">
        <v>4816.95</v>
      </c>
      <c r="M220">
        <v>3934.97</v>
      </c>
      <c r="N220">
        <v>881.98</v>
      </c>
      <c r="O220" t="s">
        <v>78</v>
      </c>
      <c r="P220" t="s">
        <v>86</v>
      </c>
    </row>
    <row r="221" spans="1:16" x14ac:dyDescent="0.25">
      <c r="A221">
        <v>220</v>
      </c>
      <c r="B221" s="2">
        <v>45679</v>
      </c>
      <c r="C221" t="s">
        <v>22</v>
      </c>
      <c r="D221" t="s">
        <v>24</v>
      </c>
      <c r="E221" t="s">
        <v>34</v>
      </c>
      <c r="F221" t="s">
        <v>65</v>
      </c>
      <c r="G221" t="s">
        <v>71</v>
      </c>
      <c r="H221" t="s">
        <v>75</v>
      </c>
      <c r="I221">
        <v>2</v>
      </c>
      <c r="J221">
        <v>4745</v>
      </c>
      <c r="K221">
        <v>0</v>
      </c>
      <c r="L221">
        <v>9490</v>
      </c>
      <c r="M221">
        <v>6443</v>
      </c>
      <c r="N221">
        <v>3047</v>
      </c>
      <c r="O221" t="s">
        <v>80</v>
      </c>
      <c r="P221" t="s">
        <v>83</v>
      </c>
    </row>
    <row r="222" spans="1:16" x14ac:dyDescent="0.25">
      <c r="A222">
        <v>221</v>
      </c>
      <c r="B222" s="2">
        <v>45754</v>
      </c>
      <c r="C222" t="s">
        <v>23</v>
      </c>
      <c r="D222" t="s">
        <v>27</v>
      </c>
      <c r="E222" t="s">
        <v>31</v>
      </c>
      <c r="F222" t="s">
        <v>50</v>
      </c>
      <c r="G222" t="s">
        <v>72</v>
      </c>
      <c r="H222" t="s">
        <v>75</v>
      </c>
      <c r="I222">
        <v>6</v>
      </c>
      <c r="J222">
        <v>149</v>
      </c>
      <c r="K222">
        <v>0.1</v>
      </c>
      <c r="L222">
        <v>804.6</v>
      </c>
      <c r="M222">
        <v>461.68</v>
      </c>
      <c r="N222">
        <v>342.92</v>
      </c>
      <c r="O222" t="s">
        <v>80</v>
      </c>
      <c r="P222" t="s">
        <v>83</v>
      </c>
    </row>
    <row r="223" spans="1:16" x14ac:dyDescent="0.25">
      <c r="A223">
        <v>222</v>
      </c>
      <c r="B223" s="2">
        <v>45798</v>
      </c>
      <c r="C223" t="s">
        <v>16</v>
      </c>
      <c r="D223" t="s">
        <v>24</v>
      </c>
      <c r="E223" t="s">
        <v>28</v>
      </c>
      <c r="F223" t="s">
        <v>35</v>
      </c>
      <c r="G223" t="s">
        <v>72</v>
      </c>
      <c r="H223" t="s">
        <v>73</v>
      </c>
      <c r="I223">
        <v>8</v>
      </c>
      <c r="J223">
        <v>2345</v>
      </c>
      <c r="K223">
        <v>0.05</v>
      </c>
      <c r="L223">
        <v>17822</v>
      </c>
      <c r="M223">
        <v>15548.7</v>
      </c>
      <c r="N223">
        <v>2273.3000000000002</v>
      </c>
      <c r="O223" t="s">
        <v>78</v>
      </c>
      <c r="P223" t="s">
        <v>88</v>
      </c>
    </row>
    <row r="224" spans="1:16" x14ac:dyDescent="0.25">
      <c r="A224">
        <v>223</v>
      </c>
      <c r="B224" s="2">
        <v>45975</v>
      </c>
      <c r="C224" t="s">
        <v>21</v>
      </c>
      <c r="D224" t="s">
        <v>24</v>
      </c>
      <c r="E224" t="s">
        <v>32</v>
      </c>
      <c r="F224" t="s">
        <v>39</v>
      </c>
      <c r="G224" t="s">
        <v>72</v>
      </c>
      <c r="H224" t="s">
        <v>75</v>
      </c>
      <c r="I224">
        <v>4</v>
      </c>
      <c r="J224">
        <v>21386</v>
      </c>
      <c r="K224">
        <v>0.1</v>
      </c>
      <c r="L224">
        <v>76989.600000000006</v>
      </c>
      <c r="M224">
        <v>59869.19</v>
      </c>
      <c r="N224">
        <v>17120.41</v>
      </c>
      <c r="O224" t="s">
        <v>77</v>
      </c>
      <c r="P224" t="s">
        <v>88</v>
      </c>
    </row>
    <row r="225" spans="1:16" x14ac:dyDescent="0.25">
      <c r="A225">
        <v>224</v>
      </c>
      <c r="B225" s="2">
        <v>45887</v>
      </c>
      <c r="C225" t="s">
        <v>20</v>
      </c>
      <c r="D225" t="s">
        <v>26</v>
      </c>
      <c r="E225" t="s">
        <v>30</v>
      </c>
      <c r="F225" t="s">
        <v>40</v>
      </c>
      <c r="G225" t="s">
        <v>72</v>
      </c>
      <c r="H225" t="s">
        <v>74</v>
      </c>
      <c r="I225">
        <v>4</v>
      </c>
      <c r="J225">
        <v>63342</v>
      </c>
      <c r="K225">
        <v>0.1</v>
      </c>
      <c r="L225">
        <v>228031.2</v>
      </c>
      <c r="M225">
        <v>178591.27</v>
      </c>
      <c r="N225">
        <v>49439.93</v>
      </c>
      <c r="O225" t="s">
        <v>77</v>
      </c>
      <c r="P225" t="s">
        <v>82</v>
      </c>
    </row>
    <row r="226" spans="1:16" x14ac:dyDescent="0.25">
      <c r="A226">
        <v>225</v>
      </c>
      <c r="B226" s="2">
        <v>45716</v>
      </c>
      <c r="C226" t="s">
        <v>21</v>
      </c>
      <c r="D226" t="s">
        <v>24</v>
      </c>
      <c r="E226" t="s">
        <v>34</v>
      </c>
      <c r="F226" t="s">
        <v>55</v>
      </c>
      <c r="G226" t="s">
        <v>72</v>
      </c>
      <c r="H226" t="s">
        <v>73</v>
      </c>
      <c r="I226">
        <v>1</v>
      </c>
      <c r="J226">
        <v>5066</v>
      </c>
      <c r="K226">
        <v>0</v>
      </c>
      <c r="L226">
        <v>5066</v>
      </c>
      <c r="M226">
        <v>4077.42</v>
      </c>
      <c r="N226">
        <v>988.58</v>
      </c>
      <c r="O226" t="s">
        <v>79</v>
      </c>
      <c r="P226" t="s">
        <v>88</v>
      </c>
    </row>
    <row r="227" spans="1:16" x14ac:dyDescent="0.25">
      <c r="A227">
        <v>226</v>
      </c>
      <c r="B227" s="2">
        <v>45941</v>
      </c>
      <c r="C227" t="s">
        <v>22</v>
      </c>
      <c r="D227" t="s">
        <v>24</v>
      </c>
      <c r="E227" t="s">
        <v>34</v>
      </c>
      <c r="F227" t="s">
        <v>55</v>
      </c>
      <c r="G227" t="s">
        <v>72</v>
      </c>
      <c r="H227" t="s">
        <v>75</v>
      </c>
      <c r="I227">
        <v>7</v>
      </c>
      <c r="J227">
        <v>4863</v>
      </c>
      <c r="K227">
        <v>0.2</v>
      </c>
      <c r="L227">
        <v>27232.799999999999</v>
      </c>
      <c r="M227">
        <v>15893.74</v>
      </c>
      <c r="N227">
        <v>11339.06</v>
      </c>
      <c r="O227" t="s">
        <v>78</v>
      </c>
      <c r="P227" t="s">
        <v>84</v>
      </c>
    </row>
    <row r="228" spans="1:16" x14ac:dyDescent="0.25">
      <c r="A228">
        <v>227</v>
      </c>
      <c r="B228" s="2">
        <v>45901</v>
      </c>
      <c r="C228" t="s">
        <v>16</v>
      </c>
      <c r="D228" t="s">
        <v>24</v>
      </c>
      <c r="E228" t="s">
        <v>28</v>
      </c>
      <c r="F228" t="s">
        <v>61</v>
      </c>
      <c r="G228" t="s">
        <v>71</v>
      </c>
      <c r="H228" t="s">
        <v>75</v>
      </c>
      <c r="I228">
        <v>4</v>
      </c>
      <c r="J228">
        <v>122</v>
      </c>
      <c r="K228">
        <v>0.1</v>
      </c>
      <c r="L228">
        <v>439.2</v>
      </c>
      <c r="M228">
        <v>276.64</v>
      </c>
      <c r="N228">
        <v>162.56</v>
      </c>
      <c r="O228" t="s">
        <v>79</v>
      </c>
      <c r="P228" t="s">
        <v>88</v>
      </c>
    </row>
    <row r="229" spans="1:16" x14ac:dyDescent="0.25">
      <c r="A229">
        <v>228</v>
      </c>
      <c r="B229" s="2">
        <v>45808</v>
      </c>
      <c r="C229" t="s">
        <v>20</v>
      </c>
      <c r="D229" t="s">
        <v>26</v>
      </c>
      <c r="E229" t="s">
        <v>31</v>
      </c>
      <c r="F229" t="s">
        <v>67</v>
      </c>
      <c r="G229" t="s">
        <v>70</v>
      </c>
      <c r="H229" t="s">
        <v>73</v>
      </c>
      <c r="I229">
        <v>1</v>
      </c>
      <c r="J229">
        <v>901</v>
      </c>
      <c r="K229">
        <v>0.1</v>
      </c>
      <c r="L229">
        <v>810.9</v>
      </c>
      <c r="M229">
        <v>608.35</v>
      </c>
      <c r="N229">
        <v>202.55</v>
      </c>
      <c r="O229" t="s">
        <v>78</v>
      </c>
      <c r="P229" t="s">
        <v>81</v>
      </c>
    </row>
    <row r="230" spans="1:16" x14ac:dyDescent="0.25">
      <c r="A230">
        <v>229</v>
      </c>
      <c r="B230" s="2">
        <v>45695</v>
      </c>
      <c r="C230" t="s">
        <v>23</v>
      </c>
      <c r="D230" t="s">
        <v>27</v>
      </c>
      <c r="E230" t="s">
        <v>31</v>
      </c>
      <c r="F230" t="s">
        <v>69</v>
      </c>
      <c r="G230" t="s">
        <v>72</v>
      </c>
      <c r="H230" t="s">
        <v>73</v>
      </c>
      <c r="I230">
        <v>7</v>
      </c>
      <c r="J230">
        <v>2093</v>
      </c>
      <c r="K230">
        <v>0.2</v>
      </c>
      <c r="L230">
        <v>11720.8</v>
      </c>
      <c r="M230">
        <v>7573.91</v>
      </c>
      <c r="N230">
        <v>4146.8900000000003</v>
      </c>
      <c r="O230" t="s">
        <v>79</v>
      </c>
      <c r="P230" t="s">
        <v>83</v>
      </c>
    </row>
    <row r="231" spans="1:16" x14ac:dyDescent="0.25">
      <c r="A231">
        <v>230</v>
      </c>
      <c r="B231" s="2">
        <v>45764</v>
      </c>
      <c r="C231" t="s">
        <v>21</v>
      </c>
      <c r="D231" t="s">
        <v>24</v>
      </c>
      <c r="E231" t="s">
        <v>30</v>
      </c>
      <c r="F231" t="s">
        <v>40</v>
      </c>
      <c r="G231" t="s">
        <v>72</v>
      </c>
      <c r="H231" t="s">
        <v>73</v>
      </c>
      <c r="I231">
        <v>4</v>
      </c>
      <c r="J231">
        <v>20796</v>
      </c>
      <c r="K231">
        <v>0.15</v>
      </c>
      <c r="L231">
        <v>70706.399999999994</v>
      </c>
      <c r="M231">
        <v>53773.98</v>
      </c>
      <c r="N231">
        <v>16932.419999999998</v>
      </c>
      <c r="O231" t="s">
        <v>80</v>
      </c>
      <c r="P231" t="s">
        <v>81</v>
      </c>
    </row>
    <row r="232" spans="1:16" x14ac:dyDescent="0.25">
      <c r="A232">
        <v>231</v>
      </c>
      <c r="B232" s="2">
        <v>45909</v>
      </c>
      <c r="C232" t="s">
        <v>20</v>
      </c>
      <c r="D232" t="s">
        <v>26</v>
      </c>
      <c r="E232" t="s">
        <v>28</v>
      </c>
      <c r="F232" t="s">
        <v>54</v>
      </c>
      <c r="G232" t="s">
        <v>71</v>
      </c>
      <c r="H232" t="s">
        <v>75</v>
      </c>
      <c r="I232">
        <v>2</v>
      </c>
      <c r="J232">
        <v>1308</v>
      </c>
      <c r="K232">
        <v>0.05</v>
      </c>
      <c r="L232">
        <v>2485.1999999999998</v>
      </c>
      <c r="M232">
        <v>1779.08</v>
      </c>
      <c r="N232">
        <v>706.12</v>
      </c>
      <c r="O232" t="s">
        <v>80</v>
      </c>
      <c r="P232" t="s">
        <v>82</v>
      </c>
    </row>
    <row r="233" spans="1:16" x14ac:dyDescent="0.25">
      <c r="A233">
        <v>232</v>
      </c>
      <c r="B233" s="2">
        <v>45864</v>
      </c>
      <c r="C233" t="s">
        <v>19</v>
      </c>
      <c r="D233" t="s">
        <v>26</v>
      </c>
      <c r="E233" t="s">
        <v>33</v>
      </c>
      <c r="F233" t="s">
        <v>52</v>
      </c>
      <c r="G233" t="s">
        <v>72</v>
      </c>
      <c r="H233" t="s">
        <v>75</v>
      </c>
      <c r="I233">
        <v>1</v>
      </c>
      <c r="J233">
        <v>34281</v>
      </c>
      <c r="K233">
        <v>0.1</v>
      </c>
      <c r="L233">
        <v>30852.9</v>
      </c>
      <c r="M233">
        <v>26565.439999999999</v>
      </c>
      <c r="N233">
        <v>4287.46</v>
      </c>
      <c r="O233" t="s">
        <v>77</v>
      </c>
      <c r="P233" t="s">
        <v>88</v>
      </c>
    </row>
    <row r="234" spans="1:16" x14ac:dyDescent="0.25">
      <c r="A234">
        <v>233</v>
      </c>
      <c r="B234" s="2">
        <v>45960</v>
      </c>
      <c r="C234" t="s">
        <v>22</v>
      </c>
      <c r="D234" t="s">
        <v>24</v>
      </c>
      <c r="E234" t="s">
        <v>33</v>
      </c>
      <c r="F234" t="s">
        <v>46</v>
      </c>
      <c r="G234" t="s">
        <v>71</v>
      </c>
      <c r="H234" t="s">
        <v>74</v>
      </c>
      <c r="I234">
        <v>5</v>
      </c>
      <c r="J234">
        <v>37598</v>
      </c>
      <c r="K234">
        <v>0.05</v>
      </c>
      <c r="L234">
        <v>178590.5</v>
      </c>
      <c r="M234">
        <v>119075.29</v>
      </c>
      <c r="N234">
        <v>59515.21</v>
      </c>
      <c r="O234" t="s">
        <v>76</v>
      </c>
      <c r="P234" t="s">
        <v>82</v>
      </c>
    </row>
    <row r="235" spans="1:16" x14ac:dyDescent="0.25">
      <c r="A235">
        <v>234</v>
      </c>
      <c r="B235" s="2">
        <v>45767</v>
      </c>
      <c r="C235" t="s">
        <v>23</v>
      </c>
      <c r="D235" t="s">
        <v>27</v>
      </c>
      <c r="E235" t="s">
        <v>32</v>
      </c>
      <c r="F235" t="s">
        <v>39</v>
      </c>
      <c r="G235" t="s">
        <v>70</v>
      </c>
      <c r="H235" t="s">
        <v>74</v>
      </c>
      <c r="I235">
        <v>7</v>
      </c>
      <c r="J235">
        <v>24608</v>
      </c>
      <c r="K235">
        <v>0.1</v>
      </c>
      <c r="L235">
        <v>155030.39999999999</v>
      </c>
      <c r="M235">
        <v>125912.63</v>
      </c>
      <c r="N235">
        <v>29117.77</v>
      </c>
      <c r="O235" t="s">
        <v>80</v>
      </c>
      <c r="P235" t="s">
        <v>85</v>
      </c>
    </row>
    <row r="236" spans="1:16" x14ac:dyDescent="0.25">
      <c r="A236">
        <v>235</v>
      </c>
      <c r="B236" s="2">
        <v>45970</v>
      </c>
      <c r="C236" t="s">
        <v>20</v>
      </c>
      <c r="D236" t="s">
        <v>26</v>
      </c>
      <c r="E236" t="s">
        <v>30</v>
      </c>
      <c r="F236" t="s">
        <v>44</v>
      </c>
      <c r="G236" t="s">
        <v>72</v>
      </c>
      <c r="H236" t="s">
        <v>74</v>
      </c>
      <c r="I236">
        <v>7</v>
      </c>
      <c r="J236">
        <v>3200</v>
      </c>
      <c r="K236">
        <v>0</v>
      </c>
      <c r="L236">
        <v>22400</v>
      </c>
      <c r="M236">
        <v>12334.73</v>
      </c>
      <c r="N236">
        <v>10065.27</v>
      </c>
      <c r="O236" t="s">
        <v>80</v>
      </c>
      <c r="P236" t="s">
        <v>81</v>
      </c>
    </row>
    <row r="237" spans="1:16" x14ac:dyDescent="0.25">
      <c r="A237">
        <v>236</v>
      </c>
      <c r="B237" s="2">
        <v>45751</v>
      </c>
      <c r="C237" t="s">
        <v>20</v>
      </c>
      <c r="D237" t="s">
        <v>26</v>
      </c>
      <c r="E237" t="s">
        <v>30</v>
      </c>
      <c r="F237" t="s">
        <v>56</v>
      </c>
      <c r="G237" t="s">
        <v>70</v>
      </c>
      <c r="H237" t="s">
        <v>73</v>
      </c>
      <c r="I237">
        <v>6</v>
      </c>
      <c r="J237">
        <v>32454</v>
      </c>
      <c r="K237">
        <v>0</v>
      </c>
      <c r="L237">
        <v>194724</v>
      </c>
      <c r="M237">
        <v>140463.01</v>
      </c>
      <c r="N237">
        <v>54260.99</v>
      </c>
      <c r="O237" t="s">
        <v>77</v>
      </c>
      <c r="P237" t="s">
        <v>87</v>
      </c>
    </row>
    <row r="238" spans="1:16" x14ac:dyDescent="0.25">
      <c r="A238">
        <v>237</v>
      </c>
      <c r="B238" s="2">
        <v>45809</v>
      </c>
      <c r="C238" t="s">
        <v>21</v>
      </c>
      <c r="D238" t="s">
        <v>24</v>
      </c>
      <c r="E238" t="s">
        <v>34</v>
      </c>
      <c r="F238" t="s">
        <v>51</v>
      </c>
      <c r="G238" t="s">
        <v>72</v>
      </c>
      <c r="H238" t="s">
        <v>74</v>
      </c>
      <c r="I238">
        <v>7</v>
      </c>
      <c r="J238">
        <v>5247</v>
      </c>
      <c r="K238">
        <v>0.1</v>
      </c>
      <c r="L238">
        <v>33056.1</v>
      </c>
      <c r="M238">
        <v>22674.71</v>
      </c>
      <c r="N238">
        <v>10381.39</v>
      </c>
      <c r="O238" t="s">
        <v>78</v>
      </c>
      <c r="P238" t="s">
        <v>88</v>
      </c>
    </row>
    <row r="239" spans="1:16" x14ac:dyDescent="0.25">
      <c r="A239">
        <v>238</v>
      </c>
      <c r="B239" s="2">
        <v>45896</v>
      </c>
      <c r="C239" t="s">
        <v>20</v>
      </c>
      <c r="D239" t="s">
        <v>26</v>
      </c>
      <c r="E239" t="s">
        <v>30</v>
      </c>
      <c r="F239" t="s">
        <v>44</v>
      </c>
      <c r="G239" t="s">
        <v>70</v>
      </c>
      <c r="H239" t="s">
        <v>74</v>
      </c>
      <c r="I239">
        <v>8</v>
      </c>
      <c r="J239">
        <v>38658</v>
      </c>
      <c r="K239">
        <v>0.1</v>
      </c>
      <c r="L239">
        <v>278337.59999999998</v>
      </c>
      <c r="M239">
        <v>224085.6</v>
      </c>
      <c r="N239">
        <v>54252</v>
      </c>
      <c r="O239" t="s">
        <v>79</v>
      </c>
      <c r="P239" t="s">
        <v>83</v>
      </c>
    </row>
    <row r="240" spans="1:16" x14ac:dyDescent="0.25">
      <c r="A240">
        <v>239</v>
      </c>
      <c r="B240" s="2">
        <v>45719</v>
      </c>
      <c r="C240" t="s">
        <v>16</v>
      </c>
      <c r="D240" t="s">
        <v>24</v>
      </c>
      <c r="E240" t="s">
        <v>30</v>
      </c>
      <c r="F240" t="s">
        <v>37</v>
      </c>
      <c r="G240" t="s">
        <v>71</v>
      </c>
      <c r="H240" t="s">
        <v>74</v>
      </c>
      <c r="I240">
        <v>5</v>
      </c>
      <c r="J240">
        <v>33630</v>
      </c>
      <c r="K240">
        <v>0.1</v>
      </c>
      <c r="L240">
        <v>151335</v>
      </c>
      <c r="M240">
        <v>118056.57</v>
      </c>
      <c r="N240">
        <v>33278.43</v>
      </c>
      <c r="O240" t="s">
        <v>79</v>
      </c>
      <c r="P240" t="s">
        <v>87</v>
      </c>
    </row>
    <row r="241" spans="1:16" x14ac:dyDescent="0.25">
      <c r="A241">
        <v>240</v>
      </c>
      <c r="B241" s="2">
        <v>45993</v>
      </c>
      <c r="C241" t="s">
        <v>20</v>
      </c>
      <c r="D241" t="s">
        <v>26</v>
      </c>
      <c r="E241" t="s">
        <v>31</v>
      </c>
      <c r="F241" t="s">
        <v>69</v>
      </c>
      <c r="G241" t="s">
        <v>72</v>
      </c>
      <c r="H241" t="s">
        <v>73</v>
      </c>
      <c r="I241">
        <v>6</v>
      </c>
      <c r="J241">
        <v>758</v>
      </c>
      <c r="K241">
        <v>0.05</v>
      </c>
      <c r="L241">
        <v>4320.6000000000004</v>
      </c>
      <c r="M241">
        <v>2395.39</v>
      </c>
      <c r="N241">
        <v>1925.21</v>
      </c>
      <c r="O241" t="s">
        <v>79</v>
      </c>
      <c r="P241" t="s">
        <v>86</v>
      </c>
    </row>
    <row r="242" spans="1:16" x14ac:dyDescent="0.25">
      <c r="A242">
        <v>241</v>
      </c>
      <c r="B242" s="2">
        <v>45803</v>
      </c>
      <c r="C242" t="s">
        <v>17</v>
      </c>
      <c r="D242" t="s">
        <v>25</v>
      </c>
      <c r="E242" t="s">
        <v>32</v>
      </c>
      <c r="F242" t="s">
        <v>66</v>
      </c>
      <c r="G242" t="s">
        <v>72</v>
      </c>
      <c r="H242" t="s">
        <v>75</v>
      </c>
      <c r="I242">
        <v>7</v>
      </c>
      <c r="J242">
        <v>7191</v>
      </c>
      <c r="K242">
        <v>0.05</v>
      </c>
      <c r="L242">
        <v>47820.15</v>
      </c>
      <c r="M242">
        <v>34402.370000000003</v>
      </c>
      <c r="N242">
        <v>13417.78</v>
      </c>
      <c r="O242" t="s">
        <v>80</v>
      </c>
      <c r="P242" t="s">
        <v>86</v>
      </c>
    </row>
    <row r="243" spans="1:16" x14ac:dyDescent="0.25">
      <c r="A243">
        <v>242</v>
      </c>
      <c r="B243" s="2">
        <v>45878</v>
      </c>
      <c r="C243" t="s">
        <v>21</v>
      </c>
      <c r="D243" t="s">
        <v>24</v>
      </c>
      <c r="E243" t="s">
        <v>34</v>
      </c>
      <c r="F243" t="s">
        <v>65</v>
      </c>
      <c r="G243" t="s">
        <v>70</v>
      </c>
      <c r="H243" t="s">
        <v>73</v>
      </c>
      <c r="I243">
        <v>3</v>
      </c>
      <c r="J243">
        <v>5776</v>
      </c>
      <c r="K243">
        <v>0</v>
      </c>
      <c r="L243">
        <v>17328</v>
      </c>
      <c r="M243">
        <v>11531.47</v>
      </c>
      <c r="N243">
        <v>5796.53</v>
      </c>
      <c r="O243" t="s">
        <v>77</v>
      </c>
      <c r="P243" t="s">
        <v>81</v>
      </c>
    </row>
    <row r="244" spans="1:16" x14ac:dyDescent="0.25">
      <c r="A244">
        <v>243</v>
      </c>
      <c r="B244" s="2">
        <v>45719</v>
      </c>
      <c r="C244" t="s">
        <v>17</v>
      </c>
      <c r="D244" t="s">
        <v>25</v>
      </c>
      <c r="E244" t="s">
        <v>30</v>
      </c>
      <c r="F244" t="s">
        <v>40</v>
      </c>
      <c r="G244" t="s">
        <v>71</v>
      </c>
      <c r="H244" t="s">
        <v>73</v>
      </c>
      <c r="I244">
        <v>7</v>
      </c>
      <c r="J244">
        <v>19389</v>
      </c>
      <c r="K244">
        <v>0.05</v>
      </c>
      <c r="L244">
        <v>128936.85</v>
      </c>
      <c r="M244">
        <v>94233.58</v>
      </c>
      <c r="N244">
        <v>34703.269999999997</v>
      </c>
      <c r="O244" t="s">
        <v>78</v>
      </c>
      <c r="P244" t="s">
        <v>82</v>
      </c>
    </row>
    <row r="245" spans="1:16" x14ac:dyDescent="0.25">
      <c r="A245">
        <v>244</v>
      </c>
      <c r="B245" s="2">
        <v>45866</v>
      </c>
      <c r="C245" t="s">
        <v>20</v>
      </c>
      <c r="D245" t="s">
        <v>26</v>
      </c>
      <c r="E245" t="s">
        <v>33</v>
      </c>
      <c r="F245" t="s">
        <v>46</v>
      </c>
      <c r="G245" t="s">
        <v>72</v>
      </c>
      <c r="H245" t="s">
        <v>73</v>
      </c>
      <c r="I245">
        <v>5</v>
      </c>
      <c r="J245">
        <v>37193</v>
      </c>
      <c r="K245">
        <v>0.15</v>
      </c>
      <c r="L245">
        <v>158070.25</v>
      </c>
      <c r="M245">
        <v>117131.04</v>
      </c>
      <c r="N245">
        <v>40939.21</v>
      </c>
      <c r="O245" t="s">
        <v>78</v>
      </c>
      <c r="P245" t="s">
        <v>82</v>
      </c>
    </row>
    <row r="246" spans="1:16" x14ac:dyDescent="0.25">
      <c r="A246">
        <v>245</v>
      </c>
      <c r="B246" s="2">
        <v>45827</v>
      </c>
      <c r="C246" t="s">
        <v>23</v>
      </c>
      <c r="D246" t="s">
        <v>27</v>
      </c>
      <c r="E246" t="s">
        <v>33</v>
      </c>
      <c r="F246" t="s">
        <v>59</v>
      </c>
      <c r="G246" t="s">
        <v>71</v>
      </c>
      <c r="H246" t="s">
        <v>73</v>
      </c>
      <c r="I246">
        <v>1</v>
      </c>
      <c r="J246">
        <v>36222</v>
      </c>
      <c r="K246">
        <v>0.1</v>
      </c>
      <c r="L246">
        <v>32599.8</v>
      </c>
      <c r="M246">
        <v>19951.53</v>
      </c>
      <c r="N246">
        <v>12648.27</v>
      </c>
      <c r="O246" t="s">
        <v>78</v>
      </c>
      <c r="P246" t="s">
        <v>81</v>
      </c>
    </row>
    <row r="247" spans="1:16" x14ac:dyDescent="0.25">
      <c r="A247">
        <v>246</v>
      </c>
      <c r="B247" s="2">
        <v>46003</v>
      </c>
      <c r="C247" t="s">
        <v>23</v>
      </c>
      <c r="D247" t="s">
        <v>27</v>
      </c>
      <c r="E247" t="s">
        <v>29</v>
      </c>
      <c r="F247" t="s">
        <v>57</v>
      </c>
      <c r="G247" t="s">
        <v>71</v>
      </c>
      <c r="H247" t="s">
        <v>73</v>
      </c>
      <c r="I247">
        <v>8</v>
      </c>
      <c r="J247">
        <v>11885</v>
      </c>
      <c r="K247">
        <v>0.05</v>
      </c>
      <c r="L247">
        <v>90326</v>
      </c>
      <c r="M247">
        <v>57712.800000000003</v>
      </c>
      <c r="N247">
        <v>32613.200000000001</v>
      </c>
      <c r="O247" t="s">
        <v>76</v>
      </c>
      <c r="P247" t="s">
        <v>84</v>
      </c>
    </row>
    <row r="248" spans="1:16" x14ac:dyDescent="0.25">
      <c r="A248">
        <v>247</v>
      </c>
      <c r="B248" s="2">
        <v>46013</v>
      </c>
      <c r="C248" t="s">
        <v>16</v>
      </c>
      <c r="D248" t="s">
        <v>24</v>
      </c>
      <c r="E248" t="s">
        <v>32</v>
      </c>
      <c r="F248" t="s">
        <v>62</v>
      </c>
      <c r="G248" t="s">
        <v>71</v>
      </c>
      <c r="H248" t="s">
        <v>74</v>
      </c>
      <c r="I248">
        <v>7</v>
      </c>
      <c r="J248">
        <v>11206</v>
      </c>
      <c r="K248">
        <v>0.05</v>
      </c>
      <c r="L248">
        <v>74519.899999999994</v>
      </c>
      <c r="M248">
        <v>51618.02</v>
      </c>
      <c r="N248">
        <v>22901.88</v>
      </c>
      <c r="O248" t="s">
        <v>76</v>
      </c>
      <c r="P248" t="s">
        <v>88</v>
      </c>
    </row>
    <row r="249" spans="1:16" x14ac:dyDescent="0.25">
      <c r="A249">
        <v>248</v>
      </c>
      <c r="B249" s="2">
        <v>45753</v>
      </c>
      <c r="C249" t="s">
        <v>19</v>
      </c>
      <c r="D249" t="s">
        <v>26</v>
      </c>
      <c r="E249" t="s">
        <v>34</v>
      </c>
      <c r="F249" t="s">
        <v>55</v>
      </c>
      <c r="G249" t="s">
        <v>72</v>
      </c>
      <c r="H249" t="s">
        <v>75</v>
      </c>
      <c r="I249">
        <v>8</v>
      </c>
      <c r="J249">
        <v>5968</v>
      </c>
      <c r="K249">
        <v>0.2</v>
      </c>
      <c r="L249">
        <v>38195.199999999997</v>
      </c>
      <c r="M249">
        <v>31411.24</v>
      </c>
      <c r="N249">
        <v>6783.96</v>
      </c>
      <c r="O249" t="s">
        <v>79</v>
      </c>
      <c r="P249" t="s">
        <v>87</v>
      </c>
    </row>
    <row r="250" spans="1:16" x14ac:dyDescent="0.25">
      <c r="A250">
        <v>249</v>
      </c>
      <c r="B250" s="2">
        <v>45913</v>
      </c>
      <c r="C250" t="s">
        <v>18</v>
      </c>
      <c r="D250" t="s">
        <v>26</v>
      </c>
      <c r="E250" t="s">
        <v>33</v>
      </c>
      <c r="F250" t="s">
        <v>46</v>
      </c>
      <c r="G250" t="s">
        <v>71</v>
      </c>
      <c r="H250" t="s">
        <v>74</v>
      </c>
      <c r="I250">
        <v>4</v>
      </c>
      <c r="J250">
        <v>11806</v>
      </c>
      <c r="K250">
        <v>0.1</v>
      </c>
      <c r="L250">
        <v>42501.599999999999</v>
      </c>
      <c r="M250">
        <v>27640.07</v>
      </c>
      <c r="N250">
        <v>14861.53</v>
      </c>
      <c r="O250" t="s">
        <v>77</v>
      </c>
      <c r="P250" t="s">
        <v>82</v>
      </c>
    </row>
    <row r="251" spans="1:16" x14ac:dyDescent="0.25">
      <c r="A251">
        <v>250</v>
      </c>
      <c r="B251" s="2">
        <v>45844</v>
      </c>
      <c r="C251" t="s">
        <v>17</v>
      </c>
      <c r="D251" t="s">
        <v>25</v>
      </c>
      <c r="E251" t="s">
        <v>29</v>
      </c>
      <c r="F251" t="s">
        <v>42</v>
      </c>
      <c r="G251" t="s">
        <v>70</v>
      </c>
      <c r="H251" t="s">
        <v>75</v>
      </c>
      <c r="I251">
        <v>6</v>
      </c>
      <c r="J251">
        <v>11101</v>
      </c>
      <c r="K251">
        <v>0.1</v>
      </c>
      <c r="L251">
        <v>59945.4</v>
      </c>
      <c r="M251">
        <v>48049.83</v>
      </c>
      <c r="N251">
        <v>11895.57</v>
      </c>
      <c r="O251" t="s">
        <v>77</v>
      </c>
      <c r="P251" t="s">
        <v>81</v>
      </c>
    </row>
    <row r="252" spans="1:16" x14ac:dyDescent="0.25">
      <c r="A252">
        <v>251</v>
      </c>
      <c r="B252" s="2">
        <v>46012</v>
      </c>
      <c r="C252" t="s">
        <v>18</v>
      </c>
      <c r="D252" t="s">
        <v>26</v>
      </c>
      <c r="E252" t="s">
        <v>34</v>
      </c>
      <c r="F252" t="s">
        <v>43</v>
      </c>
      <c r="G252" t="s">
        <v>70</v>
      </c>
      <c r="H252" t="s">
        <v>73</v>
      </c>
      <c r="I252">
        <v>5</v>
      </c>
      <c r="J252">
        <v>722</v>
      </c>
      <c r="K252">
        <v>0.1</v>
      </c>
      <c r="L252">
        <v>3249</v>
      </c>
      <c r="M252">
        <v>2718.03</v>
      </c>
      <c r="N252">
        <v>530.97</v>
      </c>
      <c r="O252" t="s">
        <v>78</v>
      </c>
      <c r="P252" t="s">
        <v>85</v>
      </c>
    </row>
    <row r="253" spans="1:16" x14ac:dyDescent="0.25">
      <c r="A253">
        <v>252</v>
      </c>
      <c r="B253" s="2">
        <v>45685</v>
      </c>
      <c r="C253" t="s">
        <v>21</v>
      </c>
      <c r="D253" t="s">
        <v>24</v>
      </c>
      <c r="E253" t="s">
        <v>33</v>
      </c>
      <c r="F253" t="s">
        <v>41</v>
      </c>
      <c r="G253" t="s">
        <v>71</v>
      </c>
      <c r="H253" t="s">
        <v>73</v>
      </c>
      <c r="I253">
        <v>3</v>
      </c>
      <c r="J253">
        <v>32757</v>
      </c>
      <c r="K253">
        <v>0.1</v>
      </c>
      <c r="L253">
        <v>88443.9</v>
      </c>
      <c r="M253">
        <v>76347.98</v>
      </c>
      <c r="N253">
        <v>12095.92</v>
      </c>
      <c r="O253" t="s">
        <v>77</v>
      </c>
      <c r="P253" t="s">
        <v>85</v>
      </c>
    </row>
    <row r="254" spans="1:16" x14ac:dyDescent="0.25">
      <c r="A254">
        <v>253</v>
      </c>
      <c r="B254" s="2">
        <v>45839</v>
      </c>
      <c r="C254" t="s">
        <v>23</v>
      </c>
      <c r="D254" t="s">
        <v>27</v>
      </c>
      <c r="E254" t="s">
        <v>28</v>
      </c>
      <c r="F254" t="s">
        <v>35</v>
      </c>
      <c r="G254" t="s">
        <v>71</v>
      </c>
      <c r="H254" t="s">
        <v>75</v>
      </c>
      <c r="I254">
        <v>5</v>
      </c>
      <c r="J254">
        <v>997</v>
      </c>
      <c r="K254">
        <v>0</v>
      </c>
      <c r="L254">
        <v>4985</v>
      </c>
      <c r="M254">
        <v>3787.9</v>
      </c>
      <c r="N254">
        <v>1197.0999999999999</v>
      </c>
      <c r="O254" t="s">
        <v>80</v>
      </c>
      <c r="P254" t="s">
        <v>87</v>
      </c>
    </row>
    <row r="255" spans="1:16" x14ac:dyDescent="0.25">
      <c r="A255">
        <v>254</v>
      </c>
      <c r="B255" s="2">
        <v>45871</v>
      </c>
      <c r="C255" t="s">
        <v>21</v>
      </c>
      <c r="D255" t="s">
        <v>24</v>
      </c>
      <c r="E255" t="s">
        <v>30</v>
      </c>
      <c r="F255" t="s">
        <v>44</v>
      </c>
      <c r="G255" t="s">
        <v>72</v>
      </c>
      <c r="H255" t="s">
        <v>75</v>
      </c>
      <c r="I255">
        <v>6</v>
      </c>
      <c r="J255">
        <v>45935</v>
      </c>
      <c r="K255">
        <v>0.05</v>
      </c>
      <c r="L255">
        <v>261829.5</v>
      </c>
      <c r="M255">
        <v>203253.31</v>
      </c>
      <c r="N255">
        <v>58576.19</v>
      </c>
      <c r="O255" t="s">
        <v>80</v>
      </c>
      <c r="P255" t="s">
        <v>86</v>
      </c>
    </row>
    <row r="256" spans="1:16" x14ac:dyDescent="0.25">
      <c r="A256">
        <v>255</v>
      </c>
      <c r="B256" s="2">
        <v>45747</v>
      </c>
      <c r="C256" t="s">
        <v>23</v>
      </c>
      <c r="D256" t="s">
        <v>27</v>
      </c>
      <c r="E256" t="s">
        <v>34</v>
      </c>
      <c r="F256" t="s">
        <v>68</v>
      </c>
      <c r="G256" t="s">
        <v>70</v>
      </c>
      <c r="H256" t="s">
        <v>73</v>
      </c>
      <c r="I256">
        <v>5</v>
      </c>
      <c r="J256">
        <v>3073</v>
      </c>
      <c r="K256">
        <v>0.05</v>
      </c>
      <c r="L256">
        <v>14596.75</v>
      </c>
      <c r="M256">
        <v>8435.56</v>
      </c>
      <c r="N256">
        <v>6161.19</v>
      </c>
      <c r="O256" t="s">
        <v>77</v>
      </c>
      <c r="P256" t="s">
        <v>85</v>
      </c>
    </row>
    <row r="257" spans="1:16" x14ac:dyDescent="0.25">
      <c r="A257">
        <v>256</v>
      </c>
      <c r="B257" s="2">
        <v>45702</v>
      </c>
      <c r="C257" t="s">
        <v>18</v>
      </c>
      <c r="D257" t="s">
        <v>26</v>
      </c>
      <c r="E257" t="s">
        <v>33</v>
      </c>
      <c r="F257" t="s">
        <v>41</v>
      </c>
      <c r="G257" t="s">
        <v>71</v>
      </c>
      <c r="H257" t="s">
        <v>75</v>
      </c>
      <c r="I257">
        <v>7</v>
      </c>
      <c r="J257">
        <v>32268</v>
      </c>
      <c r="K257">
        <v>0.1</v>
      </c>
      <c r="L257">
        <v>203288.4</v>
      </c>
      <c r="M257">
        <v>152263.63</v>
      </c>
      <c r="N257">
        <v>51024.77</v>
      </c>
      <c r="O257" t="s">
        <v>76</v>
      </c>
      <c r="P257" t="s">
        <v>87</v>
      </c>
    </row>
    <row r="258" spans="1:16" x14ac:dyDescent="0.25">
      <c r="A258">
        <v>257</v>
      </c>
      <c r="B258" s="2">
        <v>45933</v>
      </c>
      <c r="C258" t="s">
        <v>23</v>
      </c>
      <c r="D258" t="s">
        <v>27</v>
      </c>
      <c r="E258" t="s">
        <v>34</v>
      </c>
      <c r="F258" t="s">
        <v>55</v>
      </c>
      <c r="G258" t="s">
        <v>70</v>
      </c>
      <c r="H258" t="s">
        <v>73</v>
      </c>
      <c r="I258">
        <v>1</v>
      </c>
      <c r="J258">
        <v>4739</v>
      </c>
      <c r="K258">
        <v>0.05</v>
      </c>
      <c r="L258">
        <v>4502.05</v>
      </c>
      <c r="M258">
        <v>2725.9</v>
      </c>
      <c r="N258">
        <v>1776.15</v>
      </c>
      <c r="O258" t="s">
        <v>78</v>
      </c>
      <c r="P258" t="s">
        <v>86</v>
      </c>
    </row>
    <row r="259" spans="1:16" x14ac:dyDescent="0.25">
      <c r="A259">
        <v>258</v>
      </c>
      <c r="B259" s="2">
        <v>45709</v>
      </c>
      <c r="C259" t="s">
        <v>23</v>
      </c>
      <c r="D259" t="s">
        <v>27</v>
      </c>
      <c r="E259" t="s">
        <v>31</v>
      </c>
      <c r="F259" t="s">
        <v>69</v>
      </c>
      <c r="G259" t="s">
        <v>71</v>
      </c>
      <c r="H259" t="s">
        <v>73</v>
      </c>
      <c r="I259">
        <v>5</v>
      </c>
      <c r="J259">
        <v>1419</v>
      </c>
      <c r="K259">
        <v>0.1</v>
      </c>
      <c r="L259">
        <v>6385.5</v>
      </c>
      <c r="M259">
        <v>4199.51</v>
      </c>
      <c r="N259">
        <v>2185.9899999999998</v>
      </c>
      <c r="O259" t="s">
        <v>80</v>
      </c>
      <c r="P259" t="s">
        <v>81</v>
      </c>
    </row>
    <row r="260" spans="1:16" x14ac:dyDescent="0.25">
      <c r="A260">
        <v>259</v>
      </c>
      <c r="B260" s="2">
        <v>45696</v>
      </c>
      <c r="C260" t="s">
        <v>23</v>
      </c>
      <c r="D260" t="s">
        <v>27</v>
      </c>
      <c r="E260" t="s">
        <v>31</v>
      </c>
      <c r="F260" t="s">
        <v>50</v>
      </c>
      <c r="G260" t="s">
        <v>72</v>
      </c>
      <c r="H260" t="s">
        <v>75</v>
      </c>
      <c r="I260">
        <v>5</v>
      </c>
      <c r="J260">
        <v>1461</v>
      </c>
      <c r="K260">
        <v>0</v>
      </c>
      <c r="L260">
        <v>7305</v>
      </c>
      <c r="M260">
        <v>4217.2</v>
      </c>
      <c r="N260">
        <v>3087.8</v>
      </c>
      <c r="O260" t="s">
        <v>77</v>
      </c>
      <c r="P260" t="s">
        <v>82</v>
      </c>
    </row>
    <row r="261" spans="1:16" x14ac:dyDescent="0.25">
      <c r="A261">
        <v>260</v>
      </c>
      <c r="B261" s="2">
        <v>45959</v>
      </c>
      <c r="C261" t="s">
        <v>16</v>
      </c>
      <c r="D261" t="s">
        <v>24</v>
      </c>
      <c r="E261" t="s">
        <v>34</v>
      </c>
      <c r="F261" t="s">
        <v>68</v>
      </c>
      <c r="G261" t="s">
        <v>71</v>
      </c>
      <c r="H261" t="s">
        <v>73</v>
      </c>
      <c r="I261">
        <v>8</v>
      </c>
      <c r="J261">
        <v>3333</v>
      </c>
      <c r="K261">
        <v>0.05</v>
      </c>
      <c r="L261">
        <v>25330.799999999999</v>
      </c>
      <c r="M261">
        <v>19910.3</v>
      </c>
      <c r="N261">
        <v>5420.5</v>
      </c>
      <c r="O261" t="s">
        <v>79</v>
      </c>
      <c r="P261" t="s">
        <v>87</v>
      </c>
    </row>
    <row r="262" spans="1:16" x14ac:dyDescent="0.25">
      <c r="A262">
        <v>261</v>
      </c>
      <c r="B262" s="2">
        <v>45746</v>
      </c>
      <c r="C262" t="s">
        <v>21</v>
      </c>
      <c r="D262" t="s">
        <v>24</v>
      </c>
      <c r="E262" t="s">
        <v>33</v>
      </c>
      <c r="F262" t="s">
        <v>46</v>
      </c>
      <c r="G262" t="s">
        <v>72</v>
      </c>
      <c r="H262" t="s">
        <v>75</v>
      </c>
      <c r="I262">
        <v>8</v>
      </c>
      <c r="J262">
        <v>23658</v>
      </c>
      <c r="K262">
        <v>0.05</v>
      </c>
      <c r="L262">
        <v>179800.8</v>
      </c>
      <c r="M262">
        <v>137816.98000000001</v>
      </c>
      <c r="N262">
        <v>41983.82</v>
      </c>
      <c r="O262" t="s">
        <v>80</v>
      </c>
      <c r="P262" t="s">
        <v>85</v>
      </c>
    </row>
    <row r="263" spans="1:16" x14ac:dyDescent="0.25">
      <c r="A263">
        <v>262</v>
      </c>
      <c r="B263" s="2">
        <v>45906</v>
      </c>
      <c r="C263" t="s">
        <v>17</v>
      </c>
      <c r="D263" t="s">
        <v>25</v>
      </c>
      <c r="E263" t="s">
        <v>32</v>
      </c>
      <c r="F263" t="s">
        <v>66</v>
      </c>
      <c r="G263" t="s">
        <v>72</v>
      </c>
      <c r="H263" t="s">
        <v>73</v>
      </c>
      <c r="I263">
        <v>3</v>
      </c>
      <c r="J263">
        <v>3132</v>
      </c>
      <c r="K263">
        <v>0.1</v>
      </c>
      <c r="L263">
        <v>8456.4</v>
      </c>
      <c r="M263">
        <v>6267.66</v>
      </c>
      <c r="N263">
        <v>2188.7399999999998</v>
      </c>
      <c r="O263" t="s">
        <v>80</v>
      </c>
      <c r="P263" t="s">
        <v>82</v>
      </c>
    </row>
    <row r="264" spans="1:16" x14ac:dyDescent="0.25">
      <c r="A264">
        <v>263</v>
      </c>
      <c r="B264" s="2">
        <v>45696</v>
      </c>
      <c r="C264" t="s">
        <v>18</v>
      </c>
      <c r="D264" t="s">
        <v>26</v>
      </c>
      <c r="E264" t="s">
        <v>34</v>
      </c>
      <c r="F264" t="s">
        <v>65</v>
      </c>
      <c r="G264" t="s">
        <v>72</v>
      </c>
      <c r="H264" t="s">
        <v>74</v>
      </c>
      <c r="I264">
        <v>6</v>
      </c>
      <c r="J264">
        <v>5720</v>
      </c>
      <c r="K264">
        <v>0</v>
      </c>
      <c r="L264">
        <v>34320</v>
      </c>
      <c r="M264">
        <v>28227.67</v>
      </c>
      <c r="N264">
        <v>6092.33</v>
      </c>
      <c r="O264" t="s">
        <v>79</v>
      </c>
      <c r="P264" t="s">
        <v>87</v>
      </c>
    </row>
    <row r="265" spans="1:16" x14ac:dyDescent="0.25">
      <c r="A265">
        <v>264</v>
      </c>
      <c r="B265" s="2">
        <v>45863</v>
      </c>
      <c r="C265" t="s">
        <v>19</v>
      </c>
      <c r="D265" t="s">
        <v>26</v>
      </c>
      <c r="E265" t="s">
        <v>32</v>
      </c>
      <c r="F265" t="s">
        <v>49</v>
      </c>
      <c r="G265" t="s">
        <v>72</v>
      </c>
      <c r="H265" t="s">
        <v>74</v>
      </c>
      <c r="I265">
        <v>8</v>
      </c>
      <c r="J265">
        <v>8443</v>
      </c>
      <c r="K265">
        <v>0.1</v>
      </c>
      <c r="L265">
        <v>60789.599999999999</v>
      </c>
      <c r="M265">
        <v>37857.72</v>
      </c>
      <c r="N265">
        <v>22931.88</v>
      </c>
      <c r="O265" t="s">
        <v>78</v>
      </c>
      <c r="P265" t="s">
        <v>82</v>
      </c>
    </row>
    <row r="266" spans="1:16" x14ac:dyDescent="0.25">
      <c r="A266">
        <v>265</v>
      </c>
      <c r="B266" s="2">
        <v>45670</v>
      </c>
      <c r="C266" t="s">
        <v>22</v>
      </c>
      <c r="D266" t="s">
        <v>24</v>
      </c>
      <c r="E266" t="s">
        <v>32</v>
      </c>
      <c r="F266" t="s">
        <v>39</v>
      </c>
      <c r="G266" t="s">
        <v>72</v>
      </c>
      <c r="H266" t="s">
        <v>73</v>
      </c>
      <c r="I266">
        <v>1</v>
      </c>
      <c r="J266">
        <v>20131</v>
      </c>
      <c r="K266">
        <v>0.1</v>
      </c>
      <c r="L266">
        <v>18117.900000000001</v>
      </c>
      <c r="M266">
        <v>11157.67</v>
      </c>
      <c r="N266">
        <v>6960.23</v>
      </c>
      <c r="O266" t="s">
        <v>77</v>
      </c>
      <c r="P266" t="s">
        <v>88</v>
      </c>
    </row>
    <row r="267" spans="1:16" x14ac:dyDescent="0.25">
      <c r="A267">
        <v>266</v>
      </c>
      <c r="B267" s="2">
        <v>45936</v>
      </c>
      <c r="C267" t="s">
        <v>19</v>
      </c>
      <c r="D267" t="s">
        <v>26</v>
      </c>
      <c r="E267" t="s">
        <v>33</v>
      </c>
      <c r="F267" t="s">
        <v>52</v>
      </c>
      <c r="G267" t="s">
        <v>71</v>
      </c>
      <c r="H267" t="s">
        <v>73</v>
      </c>
      <c r="I267">
        <v>7</v>
      </c>
      <c r="J267">
        <v>28596</v>
      </c>
      <c r="K267">
        <v>0.05</v>
      </c>
      <c r="L267">
        <v>190163.4</v>
      </c>
      <c r="M267">
        <v>131573.13</v>
      </c>
      <c r="N267">
        <v>58590.27</v>
      </c>
      <c r="O267" t="s">
        <v>76</v>
      </c>
      <c r="P267" t="s">
        <v>86</v>
      </c>
    </row>
    <row r="268" spans="1:16" x14ac:dyDescent="0.25">
      <c r="A268">
        <v>267</v>
      </c>
      <c r="B268" s="2">
        <v>45878</v>
      </c>
      <c r="C268" t="s">
        <v>22</v>
      </c>
      <c r="D268" t="s">
        <v>24</v>
      </c>
      <c r="E268" t="s">
        <v>32</v>
      </c>
      <c r="F268" t="s">
        <v>62</v>
      </c>
      <c r="G268" t="s">
        <v>71</v>
      </c>
      <c r="H268" t="s">
        <v>74</v>
      </c>
      <c r="I268">
        <v>3</v>
      </c>
      <c r="J268">
        <v>16196</v>
      </c>
      <c r="K268">
        <v>0</v>
      </c>
      <c r="L268">
        <v>48588</v>
      </c>
      <c r="M268">
        <v>27283.17</v>
      </c>
      <c r="N268">
        <v>21304.83</v>
      </c>
      <c r="O268" t="s">
        <v>80</v>
      </c>
      <c r="P268" t="s">
        <v>83</v>
      </c>
    </row>
    <row r="269" spans="1:16" x14ac:dyDescent="0.25">
      <c r="A269">
        <v>268</v>
      </c>
      <c r="B269" s="2">
        <v>45839</v>
      </c>
      <c r="C269" t="s">
        <v>18</v>
      </c>
      <c r="D269" t="s">
        <v>26</v>
      </c>
      <c r="E269" t="s">
        <v>31</v>
      </c>
      <c r="F269" t="s">
        <v>69</v>
      </c>
      <c r="G269" t="s">
        <v>72</v>
      </c>
      <c r="H269" t="s">
        <v>74</v>
      </c>
      <c r="I269">
        <v>3</v>
      </c>
      <c r="J269">
        <v>1906</v>
      </c>
      <c r="K269">
        <v>0.1</v>
      </c>
      <c r="L269">
        <v>5146.2</v>
      </c>
      <c r="M269">
        <v>3307.7</v>
      </c>
      <c r="N269">
        <v>1838.5</v>
      </c>
      <c r="O269" t="s">
        <v>77</v>
      </c>
      <c r="P269" t="s">
        <v>86</v>
      </c>
    </row>
    <row r="270" spans="1:16" x14ac:dyDescent="0.25">
      <c r="A270">
        <v>269</v>
      </c>
      <c r="B270" s="2">
        <v>45699</v>
      </c>
      <c r="C270" t="s">
        <v>23</v>
      </c>
      <c r="D270" t="s">
        <v>27</v>
      </c>
      <c r="E270" t="s">
        <v>33</v>
      </c>
      <c r="F270" t="s">
        <v>59</v>
      </c>
      <c r="G270" t="s">
        <v>72</v>
      </c>
      <c r="H270" t="s">
        <v>73</v>
      </c>
      <c r="I270">
        <v>7</v>
      </c>
      <c r="J270">
        <v>45923</v>
      </c>
      <c r="K270">
        <v>0.15</v>
      </c>
      <c r="L270">
        <v>273241.84999999998</v>
      </c>
      <c r="M270">
        <v>185207.82</v>
      </c>
      <c r="N270">
        <v>88034.03</v>
      </c>
      <c r="O270" t="s">
        <v>76</v>
      </c>
      <c r="P270" t="s">
        <v>88</v>
      </c>
    </row>
    <row r="271" spans="1:16" x14ac:dyDescent="0.25">
      <c r="A271">
        <v>270</v>
      </c>
      <c r="B271" s="2">
        <v>45849</v>
      </c>
      <c r="C271" t="s">
        <v>23</v>
      </c>
      <c r="D271" t="s">
        <v>27</v>
      </c>
      <c r="E271" t="s">
        <v>30</v>
      </c>
      <c r="F271" t="s">
        <v>56</v>
      </c>
      <c r="G271" t="s">
        <v>70</v>
      </c>
      <c r="H271" t="s">
        <v>73</v>
      </c>
      <c r="I271">
        <v>3</v>
      </c>
      <c r="J271">
        <v>15182</v>
      </c>
      <c r="K271">
        <v>0.05</v>
      </c>
      <c r="L271">
        <v>43268.7</v>
      </c>
      <c r="M271">
        <v>32528.67</v>
      </c>
      <c r="N271">
        <v>10740.03</v>
      </c>
      <c r="O271" t="s">
        <v>80</v>
      </c>
      <c r="P271" t="s">
        <v>81</v>
      </c>
    </row>
    <row r="272" spans="1:16" x14ac:dyDescent="0.25">
      <c r="A272">
        <v>271</v>
      </c>
      <c r="B272" s="2">
        <v>45695</v>
      </c>
      <c r="C272" t="s">
        <v>18</v>
      </c>
      <c r="D272" t="s">
        <v>26</v>
      </c>
      <c r="E272" t="s">
        <v>33</v>
      </c>
      <c r="F272" t="s">
        <v>46</v>
      </c>
      <c r="G272" t="s">
        <v>72</v>
      </c>
      <c r="H272" t="s">
        <v>75</v>
      </c>
      <c r="I272">
        <v>4</v>
      </c>
      <c r="J272">
        <v>14439</v>
      </c>
      <c r="K272">
        <v>0.1</v>
      </c>
      <c r="L272">
        <v>51980.4</v>
      </c>
      <c r="M272">
        <v>39270.54</v>
      </c>
      <c r="N272">
        <v>12709.86</v>
      </c>
      <c r="O272" t="s">
        <v>78</v>
      </c>
      <c r="P272" t="s">
        <v>82</v>
      </c>
    </row>
    <row r="273" spans="1:16" x14ac:dyDescent="0.25">
      <c r="A273">
        <v>272</v>
      </c>
      <c r="B273" s="2">
        <v>46012</v>
      </c>
      <c r="C273" t="s">
        <v>20</v>
      </c>
      <c r="D273" t="s">
        <v>26</v>
      </c>
      <c r="E273" t="s">
        <v>33</v>
      </c>
      <c r="F273" t="s">
        <v>46</v>
      </c>
      <c r="G273" t="s">
        <v>70</v>
      </c>
      <c r="H273" t="s">
        <v>75</v>
      </c>
      <c r="I273">
        <v>1</v>
      </c>
      <c r="J273">
        <v>35051</v>
      </c>
      <c r="K273">
        <v>0</v>
      </c>
      <c r="L273">
        <v>35051</v>
      </c>
      <c r="M273">
        <v>21161.03</v>
      </c>
      <c r="N273">
        <v>13889.97</v>
      </c>
      <c r="O273" t="s">
        <v>76</v>
      </c>
      <c r="P273" t="s">
        <v>83</v>
      </c>
    </row>
    <row r="274" spans="1:16" x14ac:dyDescent="0.25">
      <c r="A274">
        <v>273</v>
      </c>
      <c r="B274" s="2">
        <v>45947</v>
      </c>
      <c r="C274" t="s">
        <v>20</v>
      </c>
      <c r="D274" t="s">
        <v>26</v>
      </c>
      <c r="E274" t="s">
        <v>29</v>
      </c>
      <c r="F274" t="s">
        <v>36</v>
      </c>
      <c r="G274" t="s">
        <v>72</v>
      </c>
      <c r="H274" t="s">
        <v>75</v>
      </c>
      <c r="I274">
        <v>1</v>
      </c>
      <c r="J274">
        <v>10569</v>
      </c>
      <c r="K274">
        <v>0.05</v>
      </c>
      <c r="L274">
        <v>10040.549999999999</v>
      </c>
      <c r="M274">
        <v>8388.25</v>
      </c>
      <c r="N274">
        <v>1652.3</v>
      </c>
      <c r="O274" t="s">
        <v>78</v>
      </c>
      <c r="P274" t="s">
        <v>85</v>
      </c>
    </row>
    <row r="275" spans="1:16" x14ac:dyDescent="0.25">
      <c r="A275">
        <v>274</v>
      </c>
      <c r="B275" s="2">
        <v>46008</v>
      </c>
      <c r="C275" t="s">
        <v>23</v>
      </c>
      <c r="D275" t="s">
        <v>27</v>
      </c>
      <c r="E275" t="s">
        <v>31</v>
      </c>
      <c r="F275" t="s">
        <v>38</v>
      </c>
      <c r="G275" t="s">
        <v>72</v>
      </c>
      <c r="H275" t="s">
        <v>74</v>
      </c>
      <c r="I275">
        <v>7</v>
      </c>
      <c r="J275">
        <v>1701</v>
      </c>
      <c r="K275">
        <v>0.05</v>
      </c>
      <c r="L275">
        <v>11311.65</v>
      </c>
      <c r="M275">
        <v>9323.2099999999991</v>
      </c>
      <c r="N275">
        <v>1988.44</v>
      </c>
      <c r="O275" t="s">
        <v>76</v>
      </c>
      <c r="P275" t="s">
        <v>83</v>
      </c>
    </row>
    <row r="276" spans="1:16" x14ac:dyDescent="0.25">
      <c r="A276">
        <v>275</v>
      </c>
      <c r="B276" s="2">
        <v>45951</v>
      </c>
      <c r="C276" t="s">
        <v>22</v>
      </c>
      <c r="D276" t="s">
        <v>24</v>
      </c>
      <c r="E276" t="s">
        <v>32</v>
      </c>
      <c r="F276" t="s">
        <v>39</v>
      </c>
      <c r="G276" t="s">
        <v>70</v>
      </c>
      <c r="H276" t="s">
        <v>75</v>
      </c>
      <c r="I276">
        <v>6</v>
      </c>
      <c r="J276">
        <v>18558</v>
      </c>
      <c r="K276">
        <v>0.15</v>
      </c>
      <c r="L276">
        <v>94645.8</v>
      </c>
      <c r="M276">
        <v>62798.06</v>
      </c>
      <c r="N276">
        <v>31847.74</v>
      </c>
      <c r="O276" t="s">
        <v>80</v>
      </c>
      <c r="P276" t="s">
        <v>84</v>
      </c>
    </row>
    <row r="277" spans="1:16" x14ac:dyDescent="0.25">
      <c r="A277">
        <v>276</v>
      </c>
      <c r="B277" s="2">
        <v>45675</v>
      </c>
      <c r="C277" t="s">
        <v>20</v>
      </c>
      <c r="D277" t="s">
        <v>26</v>
      </c>
      <c r="E277" t="s">
        <v>33</v>
      </c>
      <c r="F277" t="s">
        <v>59</v>
      </c>
      <c r="G277" t="s">
        <v>71</v>
      </c>
      <c r="H277" t="s">
        <v>74</v>
      </c>
      <c r="I277">
        <v>8</v>
      </c>
      <c r="J277">
        <v>9847</v>
      </c>
      <c r="K277">
        <v>0.15</v>
      </c>
      <c r="L277">
        <v>66959.600000000006</v>
      </c>
      <c r="M277">
        <v>39135.879999999997</v>
      </c>
      <c r="N277">
        <v>27823.72</v>
      </c>
      <c r="O277" t="s">
        <v>76</v>
      </c>
      <c r="P277" t="s">
        <v>86</v>
      </c>
    </row>
    <row r="278" spans="1:16" x14ac:dyDescent="0.25">
      <c r="A278">
        <v>277</v>
      </c>
      <c r="B278" s="2">
        <v>45894</v>
      </c>
      <c r="C278" t="s">
        <v>21</v>
      </c>
      <c r="D278" t="s">
        <v>24</v>
      </c>
      <c r="E278" t="s">
        <v>34</v>
      </c>
      <c r="F278" t="s">
        <v>51</v>
      </c>
      <c r="G278" t="s">
        <v>70</v>
      </c>
      <c r="H278" t="s">
        <v>74</v>
      </c>
      <c r="I278">
        <v>3</v>
      </c>
      <c r="J278">
        <v>2161</v>
      </c>
      <c r="K278">
        <v>0.15</v>
      </c>
      <c r="L278">
        <v>5510.55</v>
      </c>
      <c r="M278">
        <v>4466.4799999999996</v>
      </c>
      <c r="N278">
        <v>1044.07</v>
      </c>
      <c r="O278" t="s">
        <v>76</v>
      </c>
      <c r="P278" t="s">
        <v>87</v>
      </c>
    </row>
    <row r="279" spans="1:16" x14ac:dyDescent="0.25">
      <c r="A279">
        <v>278</v>
      </c>
      <c r="B279" s="2">
        <v>45877</v>
      </c>
      <c r="C279" t="s">
        <v>18</v>
      </c>
      <c r="D279" t="s">
        <v>26</v>
      </c>
      <c r="E279" t="s">
        <v>30</v>
      </c>
      <c r="F279" t="s">
        <v>64</v>
      </c>
      <c r="G279" t="s">
        <v>71</v>
      </c>
      <c r="H279" t="s">
        <v>74</v>
      </c>
      <c r="I279">
        <v>5</v>
      </c>
      <c r="J279">
        <v>66506</v>
      </c>
      <c r="K279">
        <v>0</v>
      </c>
      <c r="L279">
        <v>332530</v>
      </c>
      <c r="M279">
        <v>291466.7</v>
      </c>
      <c r="N279">
        <v>41063.300000000003</v>
      </c>
      <c r="O279" t="s">
        <v>79</v>
      </c>
      <c r="P279" t="s">
        <v>85</v>
      </c>
    </row>
    <row r="280" spans="1:16" x14ac:dyDescent="0.25">
      <c r="A280">
        <v>279</v>
      </c>
      <c r="B280" s="2">
        <v>45839</v>
      </c>
      <c r="C280" t="s">
        <v>17</v>
      </c>
      <c r="D280" t="s">
        <v>25</v>
      </c>
      <c r="E280" t="s">
        <v>28</v>
      </c>
      <c r="F280" t="s">
        <v>61</v>
      </c>
      <c r="G280" t="s">
        <v>72</v>
      </c>
      <c r="H280" t="s">
        <v>74</v>
      </c>
      <c r="I280">
        <v>6</v>
      </c>
      <c r="J280">
        <v>1756</v>
      </c>
      <c r="K280">
        <v>0</v>
      </c>
      <c r="L280">
        <v>10536</v>
      </c>
      <c r="M280">
        <v>7417.44</v>
      </c>
      <c r="N280">
        <v>3118.56</v>
      </c>
      <c r="O280" t="s">
        <v>77</v>
      </c>
      <c r="P280" t="s">
        <v>87</v>
      </c>
    </row>
    <row r="281" spans="1:16" x14ac:dyDescent="0.25">
      <c r="A281">
        <v>280</v>
      </c>
      <c r="B281" s="2">
        <v>45671</v>
      </c>
      <c r="C281" t="s">
        <v>23</v>
      </c>
      <c r="D281" t="s">
        <v>27</v>
      </c>
      <c r="E281" t="s">
        <v>34</v>
      </c>
      <c r="F281" t="s">
        <v>43</v>
      </c>
      <c r="G281" t="s">
        <v>71</v>
      </c>
      <c r="H281" t="s">
        <v>75</v>
      </c>
      <c r="I281">
        <v>3</v>
      </c>
      <c r="J281">
        <v>1165</v>
      </c>
      <c r="K281">
        <v>0</v>
      </c>
      <c r="L281">
        <v>3495</v>
      </c>
      <c r="M281">
        <v>2999.19</v>
      </c>
      <c r="N281">
        <v>495.81</v>
      </c>
      <c r="O281" t="s">
        <v>79</v>
      </c>
      <c r="P281" t="s">
        <v>81</v>
      </c>
    </row>
    <row r="282" spans="1:16" x14ac:dyDescent="0.25">
      <c r="A282">
        <v>281</v>
      </c>
      <c r="B282" s="2">
        <v>45683</v>
      </c>
      <c r="C282" t="s">
        <v>18</v>
      </c>
      <c r="D282" t="s">
        <v>26</v>
      </c>
      <c r="E282" t="s">
        <v>32</v>
      </c>
      <c r="F282" t="s">
        <v>66</v>
      </c>
      <c r="G282" t="s">
        <v>70</v>
      </c>
      <c r="H282" t="s">
        <v>75</v>
      </c>
      <c r="I282">
        <v>6</v>
      </c>
      <c r="J282">
        <v>23873</v>
      </c>
      <c r="K282">
        <v>0</v>
      </c>
      <c r="L282">
        <v>143238</v>
      </c>
      <c r="M282">
        <v>90084.82</v>
      </c>
      <c r="N282">
        <v>53153.18</v>
      </c>
      <c r="O282" t="s">
        <v>77</v>
      </c>
      <c r="P282" t="s">
        <v>85</v>
      </c>
    </row>
    <row r="283" spans="1:16" x14ac:dyDescent="0.25">
      <c r="A283">
        <v>282</v>
      </c>
      <c r="B283" s="2">
        <v>45994</v>
      </c>
      <c r="C283" t="s">
        <v>22</v>
      </c>
      <c r="D283" t="s">
        <v>24</v>
      </c>
      <c r="E283" t="s">
        <v>31</v>
      </c>
      <c r="F283" t="s">
        <v>38</v>
      </c>
      <c r="G283" t="s">
        <v>70</v>
      </c>
      <c r="H283" t="s">
        <v>74</v>
      </c>
      <c r="I283">
        <v>3</v>
      </c>
      <c r="J283">
        <v>2191</v>
      </c>
      <c r="K283">
        <v>0.15</v>
      </c>
      <c r="L283">
        <v>5587.05</v>
      </c>
      <c r="M283">
        <v>4847.0200000000004</v>
      </c>
      <c r="N283">
        <v>740.03</v>
      </c>
      <c r="O283" t="s">
        <v>78</v>
      </c>
      <c r="P283" t="s">
        <v>86</v>
      </c>
    </row>
    <row r="284" spans="1:16" x14ac:dyDescent="0.25">
      <c r="A284">
        <v>283</v>
      </c>
      <c r="B284" s="2">
        <v>45896</v>
      </c>
      <c r="C284" t="s">
        <v>19</v>
      </c>
      <c r="D284" t="s">
        <v>26</v>
      </c>
      <c r="E284" t="s">
        <v>33</v>
      </c>
      <c r="F284" t="s">
        <v>46</v>
      </c>
      <c r="G284" t="s">
        <v>70</v>
      </c>
      <c r="H284" t="s">
        <v>75</v>
      </c>
      <c r="I284">
        <v>8</v>
      </c>
      <c r="J284">
        <v>39792</v>
      </c>
      <c r="K284">
        <v>0</v>
      </c>
      <c r="L284">
        <v>318336</v>
      </c>
      <c r="M284">
        <v>208458.91</v>
      </c>
      <c r="N284">
        <v>109877.09</v>
      </c>
      <c r="O284" t="s">
        <v>79</v>
      </c>
      <c r="P284" t="s">
        <v>85</v>
      </c>
    </row>
    <row r="285" spans="1:16" x14ac:dyDescent="0.25">
      <c r="A285">
        <v>284</v>
      </c>
      <c r="B285" s="2">
        <v>45702</v>
      </c>
      <c r="C285" t="s">
        <v>17</v>
      </c>
      <c r="D285" t="s">
        <v>25</v>
      </c>
      <c r="E285" t="s">
        <v>28</v>
      </c>
      <c r="F285" t="s">
        <v>54</v>
      </c>
      <c r="G285" t="s">
        <v>72</v>
      </c>
      <c r="H285" t="s">
        <v>75</v>
      </c>
      <c r="I285">
        <v>3</v>
      </c>
      <c r="J285">
        <v>1300</v>
      </c>
      <c r="K285">
        <v>0.1</v>
      </c>
      <c r="L285">
        <v>3510</v>
      </c>
      <c r="M285">
        <v>2391.77</v>
      </c>
      <c r="N285">
        <v>1118.23</v>
      </c>
      <c r="O285" t="s">
        <v>76</v>
      </c>
      <c r="P285" t="s">
        <v>85</v>
      </c>
    </row>
    <row r="286" spans="1:16" x14ac:dyDescent="0.25">
      <c r="A286">
        <v>285</v>
      </c>
      <c r="B286" s="2">
        <v>46007</v>
      </c>
      <c r="C286" t="s">
        <v>21</v>
      </c>
      <c r="D286" t="s">
        <v>24</v>
      </c>
      <c r="E286" t="s">
        <v>32</v>
      </c>
      <c r="F286" t="s">
        <v>62</v>
      </c>
      <c r="G286" t="s">
        <v>72</v>
      </c>
      <c r="H286" t="s">
        <v>73</v>
      </c>
      <c r="I286">
        <v>6</v>
      </c>
      <c r="J286">
        <v>20659</v>
      </c>
      <c r="K286">
        <v>0.1</v>
      </c>
      <c r="L286">
        <v>111558.6</v>
      </c>
      <c r="M286">
        <v>71458.52</v>
      </c>
      <c r="N286">
        <v>40100.080000000002</v>
      </c>
      <c r="O286" t="s">
        <v>77</v>
      </c>
      <c r="P286" t="s">
        <v>85</v>
      </c>
    </row>
    <row r="287" spans="1:16" x14ac:dyDescent="0.25">
      <c r="A287">
        <v>286</v>
      </c>
      <c r="B287" s="2">
        <v>45980</v>
      </c>
      <c r="C287" t="s">
        <v>16</v>
      </c>
      <c r="D287" t="s">
        <v>24</v>
      </c>
      <c r="E287" t="s">
        <v>33</v>
      </c>
      <c r="F287" t="s">
        <v>60</v>
      </c>
      <c r="G287" t="s">
        <v>70</v>
      </c>
      <c r="H287" t="s">
        <v>74</v>
      </c>
      <c r="I287">
        <v>8</v>
      </c>
      <c r="J287">
        <v>36076</v>
      </c>
      <c r="K287">
        <v>0.05</v>
      </c>
      <c r="L287">
        <v>274177.59999999998</v>
      </c>
      <c r="M287">
        <v>221669.39</v>
      </c>
      <c r="N287">
        <v>52508.21</v>
      </c>
      <c r="O287" t="s">
        <v>77</v>
      </c>
      <c r="P287" t="s">
        <v>81</v>
      </c>
    </row>
    <row r="288" spans="1:16" x14ac:dyDescent="0.25">
      <c r="A288">
        <v>287</v>
      </c>
      <c r="B288" s="2">
        <v>45660</v>
      </c>
      <c r="C288" t="s">
        <v>18</v>
      </c>
      <c r="D288" t="s">
        <v>26</v>
      </c>
      <c r="E288" t="s">
        <v>31</v>
      </c>
      <c r="F288" t="s">
        <v>67</v>
      </c>
      <c r="G288" t="s">
        <v>72</v>
      </c>
      <c r="H288" t="s">
        <v>74</v>
      </c>
      <c r="I288">
        <v>2</v>
      </c>
      <c r="J288">
        <v>1206</v>
      </c>
      <c r="K288">
        <v>0.05</v>
      </c>
      <c r="L288">
        <v>2291.4</v>
      </c>
      <c r="M288">
        <v>1673.48</v>
      </c>
      <c r="N288">
        <v>617.91999999999996</v>
      </c>
      <c r="O288" t="s">
        <v>80</v>
      </c>
      <c r="P288" t="s">
        <v>81</v>
      </c>
    </row>
    <row r="289" spans="1:16" x14ac:dyDescent="0.25">
      <c r="A289">
        <v>288</v>
      </c>
      <c r="B289" s="2">
        <v>45894</v>
      </c>
      <c r="C289" t="s">
        <v>21</v>
      </c>
      <c r="D289" t="s">
        <v>24</v>
      </c>
      <c r="E289" t="s">
        <v>28</v>
      </c>
      <c r="F289" t="s">
        <v>61</v>
      </c>
      <c r="G289" t="s">
        <v>72</v>
      </c>
      <c r="H289" t="s">
        <v>73</v>
      </c>
      <c r="I289">
        <v>2</v>
      </c>
      <c r="J289">
        <v>2040</v>
      </c>
      <c r="K289">
        <v>0</v>
      </c>
      <c r="L289">
        <v>4080</v>
      </c>
      <c r="M289">
        <v>2458.92</v>
      </c>
      <c r="N289">
        <v>1621.08</v>
      </c>
      <c r="O289" t="s">
        <v>77</v>
      </c>
      <c r="P289" t="s">
        <v>84</v>
      </c>
    </row>
    <row r="290" spans="1:16" x14ac:dyDescent="0.25">
      <c r="A290">
        <v>289</v>
      </c>
      <c r="B290" s="2">
        <v>45668</v>
      </c>
      <c r="C290" t="s">
        <v>17</v>
      </c>
      <c r="D290" t="s">
        <v>25</v>
      </c>
      <c r="E290" t="s">
        <v>29</v>
      </c>
      <c r="F290" t="s">
        <v>45</v>
      </c>
      <c r="G290" t="s">
        <v>70</v>
      </c>
      <c r="H290" t="s">
        <v>73</v>
      </c>
      <c r="I290">
        <v>7</v>
      </c>
      <c r="J290">
        <v>9569</v>
      </c>
      <c r="K290">
        <v>0</v>
      </c>
      <c r="L290">
        <v>66983</v>
      </c>
      <c r="M290">
        <v>46124.58</v>
      </c>
      <c r="N290">
        <v>20858.419999999998</v>
      </c>
      <c r="O290" t="s">
        <v>77</v>
      </c>
      <c r="P290" t="s">
        <v>88</v>
      </c>
    </row>
    <row r="291" spans="1:16" x14ac:dyDescent="0.25">
      <c r="A291">
        <v>290</v>
      </c>
      <c r="B291" s="2">
        <v>45844</v>
      </c>
      <c r="C291" t="s">
        <v>21</v>
      </c>
      <c r="D291" t="s">
        <v>24</v>
      </c>
      <c r="E291" t="s">
        <v>29</v>
      </c>
      <c r="F291" t="s">
        <v>57</v>
      </c>
      <c r="G291" t="s">
        <v>70</v>
      </c>
      <c r="H291" t="s">
        <v>75</v>
      </c>
      <c r="I291">
        <v>4</v>
      </c>
      <c r="J291">
        <v>9948</v>
      </c>
      <c r="K291">
        <v>0.2</v>
      </c>
      <c r="L291">
        <v>31833.599999999999</v>
      </c>
      <c r="M291">
        <v>23225.33</v>
      </c>
      <c r="N291">
        <v>8608.27</v>
      </c>
      <c r="O291" t="s">
        <v>77</v>
      </c>
      <c r="P291" t="s">
        <v>85</v>
      </c>
    </row>
    <row r="292" spans="1:16" x14ac:dyDescent="0.25">
      <c r="A292">
        <v>291</v>
      </c>
      <c r="B292" s="2">
        <v>45729</v>
      </c>
      <c r="C292" t="s">
        <v>17</v>
      </c>
      <c r="D292" t="s">
        <v>25</v>
      </c>
      <c r="E292" t="s">
        <v>28</v>
      </c>
      <c r="F292" t="s">
        <v>54</v>
      </c>
      <c r="G292" t="s">
        <v>72</v>
      </c>
      <c r="H292" t="s">
        <v>73</v>
      </c>
      <c r="I292">
        <v>4</v>
      </c>
      <c r="J292">
        <v>455</v>
      </c>
      <c r="K292">
        <v>0.05</v>
      </c>
      <c r="L292">
        <v>1729</v>
      </c>
      <c r="M292">
        <v>1000.93</v>
      </c>
      <c r="N292">
        <v>728.07</v>
      </c>
      <c r="O292" t="s">
        <v>76</v>
      </c>
      <c r="P292" t="s">
        <v>85</v>
      </c>
    </row>
    <row r="293" spans="1:16" x14ac:dyDescent="0.25">
      <c r="A293">
        <v>292</v>
      </c>
      <c r="B293" s="2">
        <v>45733</v>
      </c>
      <c r="C293" t="s">
        <v>19</v>
      </c>
      <c r="D293" t="s">
        <v>26</v>
      </c>
      <c r="E293" t="s">
        <v>28</v>
      </c>
      <c r="F293" t="s">
        <v>58</v>
      </c>
      <c r="G293" t="s">
        <v>70</v>
      </c>
      <c r="H293" t="s">
        <v>75</v>
      </c>
      <c r="I293">
        <v>7</v>
      </c>
      <c r="J293">
        <v>540</v>
      </c>
      <c r="K293">
        <v>0.1</v>
      </c>
      <c r="L293">
        <v>3402</v>
      </c>
      <c r="M293">
        <v>2775.33</v>
      </c>
      <c r="N293">
        <v>626.66999999999996</v>
      </c>
      <c r="O293" t="s">
        <v>80</v>
      </c>
      <c r="P293" t="s">
        <v>88</v>
      </c>
    </row>
    <row r="294" spans="1:16" x14ac:dyDescent="0.25">
      <c r="A294">
        <v>293</v>
      </c>
      <c r="B294" s="2">
        <v>45805</v>
      </c>
      <c r="C294" t="s">
        <v>16</v>
      </c>
      <c r="D294" t="s">
        <v>24</v>
      </c>
      <c r="E294" t="s">
        <v>28</v>
      </c>
      <c r="F294" t="s">
        <v>54</v>
      </c>
      <c r="G294" t="s">
        <v>72</v>
      </c>
      <c r="H294" t="s">
        <v>73</v>
      </c>
      <c r="I294">
        <v>2</v>
      </c>
      <c r="J294">
        <v>1890</v>
      </c>
      <c r="K294">
        <v>0.1</v>
      </c>
      <c r="L294">
        <v>3402</v>
      </c>
      <c r="M294">
        <v>2088.2600000000002</v>
      </c>
      <c r="N294">
        <v>1313.74</v>
      </c>
      <c r="O294" t="s">
        <v>76</v>
      </c>
      <c r="P294" t="s">
        <v>82</v>
      </c>
    </row>
    <row r="295" spans="1:16" x14ac:dyDescent="0.25">
      <c r="A295">
        <v>294</v>
      </c>
      <c r="B295" s="2">
        <v>45679</v>
      </c>
      <c r="C295" t="s">
        <v>23</v>
      </c>
      <c r="D295" t="s">
        <v>27</v>
      </c>
      <c r="E295" t="s">
        <v>28</v>
      </c>
      <c r="F295" t="s">
        <v>54</v>
      </c>
      <c r="G295" t="s">
        <v>71</v>
      </c>
      <c r="H295" t="s">
        <v>75</v>
      </c>
      <c r="I295">
        <v>1</v>
      </c>
      <c r="J295">
        <v>1112</v>
      </c>
      <c r="K295">
        <v>0.1</v>
      </c>
      <c r="L295">
        <v>1000.8</v>
      </c>
      <c r="M295">
        <v>585.30999999999995</v>
      </c>
      <c r="N295">
        <v>415.49</v>
      </c>
      <c r="O295" t="s">
        <v>77</v>
      </c>
      <c r="P295" t="s">
        <v>88</v>
      </c>
    </row>
    <row r="296" spans="1:16" x14ac:dyDescent="0.25">
      <c r="A296">
        <v>295</v>
      </c>
      <c r="B296" s="2">
        <v>45935</v>
      </c>
      <c r="C296" t="s">
        <v>22</v>
      </c>
      <c r="D296" t="s">
        <v>24</v>
      </c>
      <c r="E296" t="s">
        <v>34</v>
      </c>
      <c r="F296" t="s">
        <v>55</v>
      </c>
      <c r="G296" t="s">
        <v>71</v>
      </c>
      <c r="H296" t="s">
        <v>74</v>
      </c>
      <c r="I296">
        <v>2</v>
      </c>
      <c r="J296">
        <v>4825</v>
      </c>
      <c r="K296">
        <v>0.1</v>
      </c>
      <c r="L296">
        <v>8685</v>
      </c>
      <c r="M296">
        <v>6666.69</v>
      </c>
      <c r="N296">
        <v>2018.31</v>
      </c>
      <c r="O296" t="s">
        <v>76</v>
      </c>
      <c r="P296" t="s">
        <v>85</v>
      </c>
    </row>
    <row r="297" spans="1:16" x14ac:dyDescent="0.25">
      <c r="A297">
        <v>296</v>
      </c>
      <c r="B297" s="2">
        <v>45996</v>
      </c>
      <c r="C297" t="s">
        <v>18</v>
      </c>
      <c r="D297" t="s">
        <v>26</v>
      </c>
      <c r="E297" t="s">
        <v>32</v>
      </c>
      <c r="F297" t="s">
        <v>49</v>
      </c>
      <c r="G297" t="s">
        <v>70</v>
      </c>
      <c r="H297" t="s">
        <v>75</v>
      </c>
      <c r="I297">
        <v>4</v>
      </c>
      <c r="J297">
        <v>17713</v>
      </c>
      <c r="K297">
        <v>0.05</v>
      </c>
      <c r="L297">
        <v>67309.399999999994</v>
      </c>
      <c r="M297">
        <v>43215.97</v>
      </c>
      <c r="N297">
        <v>24093.43</v>
      </c>
      <c r="O297" t="s">
        <v>76</v>
      </c>
      <c r="P297" t="s">
        <v>82</v>
      </c>
    </row>
    <row r="298" spans="1:16" x14ac:dyDescent="0.25">
      <c r="A298">
        <v>297</v>
      </c>
      <c r="B298" s="2">
        <v>45984</v>
      </c>
      <c r="C298" t="s">
        <v>20</v>
      </c>
      <c r="D298" t="s">
        <v>26</v>
      </c>
      <c r="E298" t="s">
        <v>32</v>
      </c>
      <c r="F298" t="s">
        <v>66</v>
      </c>
      <c r="G298" t="s">
        <v>70</v>
      </c>
      <c r="H298" t="s">
        <v>73</v>
      </c>
      <c r="I298">
        <v>7</v>
      </c>
      <c r="J298">
        <v>24976</v>
      </c>
      <c r="K298">
        <v>0.1</v>
      </c>
      <c r="L298">
        <v>157348.79999999999</v>
      </c>
      <c r="M298">
        <v>113108.73</v>
      </c>
      <c r="N298">
        <v>44240.07</v>
      </c>
      <c r="O298" t="s">
        <v>77</v>
      </c>
      <c r="P298" t="s">
        <v>86</v>
      </c>
    </row>
    <row r="299" spans="1:16" x14ac:dyDescent="0.25">
      <c r="A299">
        <v>298</v>
      </c>
      <c r="B299" s="2">
        <v>45963</v>
      </c>
      <c r="C299" t="s">
        <v>22</v>
      </c>
      <c r="D299" t="s">
        <v>24</v>
      </c>
      <c r="E299" t="s">
        <v>34</v>
      </c>
      <c r="F299" t="s">
        <v>65</v>
      </c>
      <c r="G299" t="s">
        <v>72</v>
      </c>
      <c r="H299" t="s">
        <v>74</v>
      </c>
      <c r="I299">
        <v>4</v>
      </c>
      <c r="J299">
        <v>3159</v>
      </c>
      <c r="K299">
        <v>0</v>
      </c>
      <c r="L299">
        <v>12636</v>
      </c>
      <c r="M299">
        <v>6955.41</v>
      </c>
      <c r="N299">
        <v>5680.59</v>
      </c>
      <c r="O299" t="s">
        <v>76</v>
      </c>
      <c r="P299" t="s">
        <v>81</v>
      </c>
    </row>
    <row r="300" spans="1:16" x14ac:dyDescent="0.25">
      <c r="A300">
        <v>299</v>
      </c>
      <c r="B300" s="2">
        <v>45955</v>
      </c>
      <c r="C300" t="s">
        <v>19</v>
      </c>
      <c r="D300" t="s">
        <v>26</v>
      </c>
      <c r="E300" t="s">
        <v>34</v>
      </c>
      <c r="F300" t="s">
        <v>51</v>
      </c>
      <c r="G300" t="s">
        <v>72</v>
      </c>
      <c r="H300" t="s">
        <v>74</v>
      </c>
      <c r="I300">
        <v>6</v>
      </c>
      <c r="J300">
        <v>334</v>
      </c>
      <c r="K300">
        <v>0</v>
      </c>
      <c r="L300">
        <v>2004</v>
      </c>
      <c r="M300">
        <v>1761.48</v>
      </c>
      <c r="N300">
        <v>242.52</v>
      </c>
      <c r="O300" t="s">
        <v>78</v>
      </c>
      <c r="P300" t="s">
        <v>82</v>
      </c>
    </row>
    <row r="301" spans="1:16" x14ac:dyDescent="0.25">
      <c r="A301">
        <v>300</v>
      </c>
      <c r="B301" s="2">
        <v>45730</v>
      </c>
      <c r="C301" t="s">
        <v>23</v>
      </c>
      <c r="D301" t="s">
        <v>27</v>
      </c>
      <c r="E301" t="s">
        <v>30</v>
      </c>
      <c r="F301" t="s">
        <v>64</v>
      </c>
      <c r="G301" t="s">
        <v>70</v>
      </c>
      <c r="H301" t="s">
        <v>74</v>
      </c>
      <c r="I301">
        <v>8</v>
      </c>
      <c r="J301">
        <v>23691</v>
      </c>
      <c r="K301">
        <v>0.15</v>
      </c>
      <c r="L301">
        <v>161098.79999999999</v>
      </c>
      <c r="M301">
        <v>109756.9</v>
      </c>
      <c r="N301">
        <v>51341.9</v>
      </c>
      <c r="O301" t="s">
        <v>80</v>
      </c>
      <c r="P301" t="s">
        <v>82</v>
      </c>
    </row>
    <row r="302" spans="1:16" x14ac:dyDescent="0.25">
      <c r="A302">
        <v>301</v>
      </c>
      <c r="B302" s="2">
        <v>45782</v>
      </c>
      <c r="C302" t="s">
        <v>20</v>
      </c>
      <c r="D302" t="s">
        <v>26</v>
      </c>
      <c r="E302" t="s">
        <v>34</v>
      </c>
      <c r="F302" t="s">
        <v>68</v>
      </c>
      <c r="G302" t="s">
        <v>72</v>
      </c>
      <c r="H302" t="s">
        <v>73</v>
      </c>
      <c r="I302">
        <v>6</v>
      </c>
      <c r="J302">
        <v>2511</v>
      </c>
      <c r="K302">
        <v>0</v>
      </c>
      <c r="L302">
        <v>15066</v>
      </c>
      <c r="M302">
        <v>11839.72</v>
      </c>
      <c r="N302">
        <v>3226.28</v>
      </c>
      <c r="O302" t="s">
        <v>76</v>
      </c>
      <c r="P302" t="s">
        <v>82</v>
      </c>
    </row>
    <row r="303" spans="1:16" x14ac:dyDescent="0.25">
      <c r="A303">
        <v>302</v>
      </c>
      <c r="B303" s="2">
        <v>45874</v>
      </c>
      <c r="C303" t="s">
        <v>19</v>
      </c>
      <c r="D303" t="s">
        <v>26</v>
      </c>
      <c r="E303" t="s">
        <v>34</v>
      </c>
      <c r="F303" t="s">
        <v>55</v>
      </c>
      <c r="G303" t="s">
        <v>71</v>
      </c>
      <c r="H303" t="s">
        <v>75</v>
      </c>
      <c r="I303">
        <v>4</v>
      </c>
      <c r="J303">
        <v>629</v>
      </c>
      <c r="K303">
        <v>0</v>
      </c>
      <c r="L303">
        <v>2516</v>
      </c>
      <c r="M303">
        <v>2151.2199999999998</v>
      </c>
      <c r="N303">
        <v>364.78</v>
      </c>
      <c r="O303" t="s">
        <v>80</v>
      </c>
      <c r="P303" t="s">
        <v>86</v>
      </c>
    </row>
    <row r="304" spans="1:16" x14ac:dyDescent="0.25">
      <c r="A304">
        <v>303</v>
      </c>
      <c r="B304" s="2">
        <v>45994</v>
      </c>
      <c r="C304" t="s">
        <v>22</v>
      </c>
      <c r="D304" t="s">
        <v>24</v>
      </c>
      <c r="E304" t="s">
        <v>29</v>
      </c>
      <c r="F304" t="s">
        <v>45</v>
      </c>
      <c r="G304" t="s">
        <v>72</v>
      </c>
      <c r="H304" t="s">
        <v>75</v>
      </c>
      <c r="I304">
        <v>7</v>
      </c>
      <c r="J304">
        <v>4266</v>
      </c>
      <c r="K304">
        <v>0.1</v>
      </c>
      <c r="L304">
        <v>26875.8</v>
      </c>
      <c r="M304">
        <v>17338.2</v>
      </c>
      <c r="N304">
        <v>9537.6</v>
      </c>
      <c r="O304" t="s">
        <v>77</v>
      </c>
      <c r="P304" t="s">
        <v>83</v>
      </c>
    </row>
    <row r="305" spans="1:16" x14ac:dyDescent="0.25">
      <c r="A305">
        <v>304</v>
      </c>
      <c r="B305" s="2">
        <v>45902</v>
      </c>
      <c r="C305" t="s">
        <v>22</v>
      </c>
      <c r="D305" t="s">
        <v>24</v>
      </c>
      <c r="E305" t="s">
        <v>30</v>
      </c>
      <c r="F305" t="s">
        <v>40</v>
      </c>
      <c r="G305" t="s">
        <v>71</v>
      </c>
      <c r="H305" t="s">
        <v>74</v>
      </c>
      <c r="I305">
        <v>3</v>
      </c>
      <c r="J305">
        <v>67971</v>
      </c>
      <c r="K305">
        <v>0.1</v>
      </c>
      <c r="L305">
        <v>183521.7</v>
      </c>
      <c r="M305">
        <v>123949.29</v>
      </c>
      <c r="N305">
        <v>59572.41</v>
      </c>
      <c r="O305" t="s">
        <v>80</v>
      </c>
      <c r="P305" t="s">
        <v>84</v>
      </c>
    </row>
    <row r="306" spans="1:16" x14ac:dyDescent="0.25">
      <c r="A306">
        <v>305</v>
      </c>
      <c r="B306" s="2">
        <v>45746</v>
      </c>
      <c r="C306" t="s">
        <v>23</v>
      </c>
      <c r="D306" t="s">
        <v>27</v>
      </c>
      <c r="E306" t="s">
        <v>30</v>
      </c>
      <c r="F306" t="s">
        <v>40</v>
      </c>
      <c r="G306" t="s">
        <v>72</v>
      </c>
      <c r="H306" t="s">
        <v>75</v>
      </c>
      <c r="I306">
        <v>4</v>
      </c>
      <c r="J306">
        <v>63547</v>
      </c>
      <c r="K306">
        <v>0.15</v>
      </c>
      <c r="L306">
        <v>216059.8</v>
      </c>
      <c r="M306">
        <v>189816.69</v>
      </c>
      <c r="N306">
        <v>26243.11</v>
      </c>
      <c r="O306" t="s">
        <v>79</v>
      </c>
      <c r="P306" t="s">
        <v>85</v>
      </c>
    </row>
    <row r="307" spans="1:16" x14ac:dyDescent="0.25">
      <c r="A307">
        <v>306</v>
      </c>
      <c r="B307" s="2">
        <v>45715</v>
      </c>
      <c r="C307" t="s">
        <v>23</v>
      </c>
      <c r="D307" t="s">
        <v>27</v>
      </c>
      <c r="E307" t="s">
        <v>30</v>
      </c>
      <c r="F307" t="s">
        <v>56</v>
      </c>
      <c r="G307" t="s">
        <v>71</v>
      </c>
      <c r="H307" t="s">
        <v>74</v>
      </c>
      <c r="I307">
        <v>2</v>
      </c>
      <c r="J307">
        <v>8993</v>
      </c>
      <c r="K307">
        <v>0.1</v>
      </c>
      <c r="L307">
        <v>16187.4</v>
      </c>
      <c r="M307">
        <v>12464.03</v>
      </c>
      <c r="N307">
        <v>3723.37</v>
      </c>
      <c r="O307" t="s">
        <v>80</v>
      </c>
      <c r="P307" t="s">
        <v>84</v>
      </c>
    </row>
    <row r="308" spans="1:16" x14ac:dyDescent="0.25">
      <c r="A308">
        <v>307</v>
      </c>
      <c r="B308" s="2">
        <v>45932</v>
      </c>
      <c r="C308" t="s">
        <v>16</v>
      </c>
      <c r="D308" t="s">
        <v>24</v>
      </c>
      <c r="E308" t="s">
        <v>34</v>
      </c>
      <c r="F308" t="s">
        <v>65</v>
      </c>
      <c r="G308" t="s">
        <v>72</v>
      </c>
      <c r="H308" t="s">
        <v>73</v>
      </c>
      <c r="I308">
        <v>5</v>
      </c>
      <c r="J308">
        <v>2308</v>
      </c>
      <c r="K308">
        <v>0</v>
      </c>
      <c r="L308">
        <v>11540</v>
      </c>
      <c r="M308">
        <v>6825.12</v>
      </c>
      <c r="N308">
        <v>4714.88</v>
      </c>
      <c r="O308" t="s">
        <v>77</v>
      </c>
      <c r="P308" t="s">
        <v>81</v>
      </c>
    </row>
    <row r="309" spans="1:16" x14ac:dyDescent="0.25">
      <c r="A309">
        <v>308</v>
      </c>
      <c r="B309" s="2">
        <v>45956</v>
      </c>
      <c r="C309" t="s">
        <v>19</v>
      </c>
      <c r="D309" t="s">
        <v>26</v>
      </c>
      <c r="E309" t="s">
        <v>30</v>
      </c>
      <c r="F309" t="s">
        <v>40</v>
      </c>
      <c r="G309" t="s">
        <v>72</v>
      </c>
      <c r="H309" t="s">
        <v>73</v>
      </c>
      <c r="I309">
        <v>8</v>
      </c>
      <c r="J309">
        <v>64514</v>
      </c>
      <c r="K309">
        <v>0.1</v>
      </c>
      <c r="L309">
        <v>464500.8</v>
      </c>
      <c r="M309">
        <v>381179.7</v>
      </c>
      <c r="N309">
        <v>83321.100000000006</v>
      </c>
      <c r="O309" t="s">
        <v>77</v>
      </c>
      <c r="P309" t="s">
        <v>84</v>
      </c>
    </row>
    <row r="310" spans="1:16" x14ac:dyDescent="0.25">
      <c r="A310">
        <v>309</v>
      </c>
      <c r="B310" s="2">
        <v>45887</v>
      </c>
      <c r="C310" t="s">
        <v>22</v>
      </c>
      <c r="D310" t="s">
        <v>24</v>
      </c>
      <c r="E310" t="s">
        <v>31</v>
      </c>
      <c r="F310" t="s">
        <v>67</v>
      </c>
      <c r="G310" t="s">
        <v>72</v>
      </c>
      <c r="H310" t="s">
        <v>73</v>
      </c>
      <c r="I310">
        <v>3</v>
      </c>
      <c r="J310">
        <v>2066</v>
      </c>
      <c r="K310">
        <v>0.15</v>
      </c>
      <c r="L310">
        <v>5268.3</v>
      </c>
      <c r="M310">
        <v>4630.13</v>
      </c>
      <c r="N310">
        <v>638.16999999999996</v>
      </c>
      <c r="O310" t="s">
        <v>80</v>
      </c>
      <c r="P310" t="s">
        <v>84</v>
      </c>
    </row>
    <row r="311" spans="1:16" x14ac:dyDescent="0.25">
      <c r="A311">
        <v>310</v>
      </c>
      <c r="B311" s="2">
        <v>45708</v>
      </c>
      <c r="C311" t="s">
        <v>18</v>
      </c>
      <c r="D311" t="s">
        <v>26</v>
      </c>
      <c r="E311" t="s">
        <v>29</v>
      </c>
      <c r="F311" t="s">
        <v>45</v>
      </c>
      <c r="G311" t="s">
        <v>71</v>
      </c>
      <c r="H311" t="s">
        <v>75</v>
      </c>
      <c r="I311">
        <v>8</v>
      </c>
      <c r="J311">
        <v>4613</v>
      </c>
      <c r="K311">
        <v>0.1</v>
      </c>
      <c r="L311">
        <v>33213.599999999999</v>
      </c>
      <c r="M311">
        <v>22607.15</v>
      </c>
      <c r="N311">
        <v>10606.45</v>
      </c>
      <c r="O311" t="s">
        <v>78</v>
      </c>
      <c r="P311" t="s">
        <v>84</v>
      </c>
    </row>
    <row r="312" spans="1:16" x14ac:dyDescent="0.25">
      <c r="A312">
        <v>311</v>
      </c>
      <c r="B312" s="2">
        <v>46005</v>
      </c>
      <c r="C312" t="s">
        <v>18</v>
      </c>
      <c r="D312" t="s">
        <v>26</v>
      </c>
      <c r="E312" t="s">
        <v>28</v>
      </c>
      <c r="F312" t="s">
        <v>63</v>
      </c>
      <c r="G312" t="s">
        <v>72</v>
      </c>
      <c r="H312" t="s">
        <v>73</v>
      </c>
      <c r="I312">
        <v>7</v>
      </c>
      <c r="J312">
        <v>1157</v>
      </c>
      <c r="K312">
        <v>0.05</v>
      </c>
      <c r="L312">
        <v>7694.05</v>
      </c>
      <c r="M312">
        <v>4426.53</v>
      </c>
      <c r="N312">
        <v>3267.52</v>
      </c>
      <c r="O312" t="s">
        <v>77</v>
      </c>
      <c r="P312" t="s">
        <v>87</v>
      </c>
    </row>
    <row r="313" spans="1:16" x14ac:dyDescent="0.25">
      <c r="A313">
        <v>312</v>
      </c>
      <c r="B313" s="2">
        <v>46005</v>
      </c>
      <c r="C313" t="s">
        <v>18</v>
      </c>
      <c r="D313" t="s">
        <v>26</v>
      </c>
      <c r="E313" t="s">
        <v>29</v>
      </c>
      <c r="F313" t="s">
        <v>53</v>
      </c>
      <c r="G313" t="s">
        <v>72</v>
      </c>
      <c r="H313" t="s">
        <v>73</v>
      </c>
      <c r="I313">
        <v>5</v>
      </c>
      <c r="J313">
        <v>906</v>
      </c>
      <c r="K313">
        <v>0.1</v>
      </c>
      <c r="L313">
        <v>4077</v>
      </c>
      <c r="M313">
        <v>2857.8</v>
      </c>
      <c r="N313">
        <v>1219.2</v>
      </c>
      <c r="O313" t="s">
        <v>79</v>
      </c>
      <c r="P313" t="s">
        <v>81</v>
      </c>
    </row>
    <row r="314" spans="1:16" x14ac:dyDescent="0.25">
      <c r="A314">
        <v>313</v>
      </c>
      <c r="B314" s="2">
        <v>45664</v>
      </c>
      <c r="C314" t="s">
        <v>22</v>
      </c>
      <c r="D314" t="s">
        <v>24</v>
      </c>
      <c r="E314" t="s">
        <v>32</v>
      </c>
      <c r="F314" t="s">
        <v>48</v>
      </c>
      <c r="G314" t="s">
        <v>71</v>
      </c>
      <c r="H314" t="s">
        <v>73</v>
      </c>
      <c r="I314">
        <v>1</v>
      </c>
      <c r="J314">
        <v>19048</v>
      </c>
      <c r="K314">
        <v>0.15</v>
      </c>
      <c r="L314">
        <v>16190.8</v>
      </c>
      <c r="M314">
        <v>10493.73</v>
      </c>
      <c r="N314">
        <v>5697.07</v>
      </c>
      <c r="O314" t="s">
        <v>80</v>
      </c>
      <c r="P314" t="s">
        <v>83</v>
      </c>
    </row>
    <row r="315" spans="1:16" x14ac:dyDescent="0.25">
      <c r="A315">
        <v>314</v>
      </c>
      <c r="B315" s="2">
        <v>45789</v>
      </c>
      <c r="C315" t="s">
        <v>20</v>
      </c>
      <c r="D315" t="s">
        <v>26</v>
      </c>
      <c r="E315" t="s">
        <v>32</v>
      </c>
      <c r="F315" t="s">
        <v>66</v>
      </c>
      <c r="G315" t="s">
        <v>70</v>
      </c>
      <c r="H315" t="s">
        <v>73</v>
      </c>
      <c r="I315">
        <v>1</v>
      </c>
      <c r="J315">
        <v>24929</v>
      </c>
      <c r="K315">
        <v>0.1</v>
      </c>
      <c r="L315">
        <v>22436.1</v>
      </c>
      <c r="M315">
        <v>12926.84</v>
      </c>
      <c r="N315">
        <v>9509.26</v>
      </c>
      <c r="O315" t="s">
        <v>79</v>
      </c>
      <c r="P315" t="s">
        <v>81</v>
      </c>
    </row>
    <row r="316" spans="1:16" x14ac:dyDescent="0.25">
      <c r="A316">
        <v>315</v>
      </c>
      <c r="B316" s="2">
        <v>45813</v>
      </c>
      <c r="C316" t="s">
        <v>19</v>
      </c>
      <c r="D316" t="s">
        <v>26</v>
      </c>
      <c r="E316" t="s">
        <v>33</v>
      </c>
      <c r="F316" t="s">
        <v>59</v>
      </c>
      <c r="G316" t="s">
        <v>72</v>
      </c>
      <c r="H316" t="s">
        <v>73</v>
      </c>
      <c r="I316">
        <v>3</v>
      </c>
      <c r="J316">
        <v>16340</v>
      </c>
      <c r="K316">
        <v>0.05</v>
      </c>
      <c r="L316">
        <v>46569</v>
      </c>
      <c r="M316">
        <v>35296.080000000002</v>
      </c>
      <c r="N316">
        <v>11272.92</v>
      </c>
      <c r="O316" t="s">
        <v>78</v>
      </c>
      <c r="P316" t="s">
        <v>88</v>
      </c>
    </row>
    <row r="317" spans="1:16" x14ac:dyDescent="0.25">
      <c r="A317">
        <v>316</v>
      </c>
      <c r="B317" s="2">
        <v>45912</v>
      </c>
      <c r="C317" t="s">
        <v>18</v>
      </c>
      <c r="D317" t="s">
        <v>26</v>
      </c>
      <c r="E317" t="s">
        <v>30</v>
      </c>
      <c r="F317" t="s">
        <v>64</v>
      </c>
      <c r="G317" t="s">
        <v>71</v>
      </c>
      <c r="H317" t="s">
        <v>73</v>
      </c>
      <c r="I317">
        <v>2</v>
      </c>
      <c r="J317">
        <v>6709</v>
      </c>
      <c r="K317">
        <v>0.1</v>
      </c>
      <c r="L317">
        <v>12076.2</v>
      </c>
      <c r="M317">
        <v>8955.8700000000008</v>
      </c>
      <c r="N317">
        <v>3120.33</v>
      </c>
      <c r="O317" t="s">
        <v>79</v>
      </c>
      <c r="P317" t="s">
        <v>81</v>
      </c>
    </row>
    <row r="318" spans="1:16" x14ac:dyDescent="0.25">
      <c r="A318">
        <v>317</v>
      </c>
      <c r="B318" s="2">
        <v>45690</v>
      </c>
      <c r="C318" t="s">
        <v>20</v>
      </c>
      <c r="D318" t="s">
        <v>26</v>
      </c>
      <c r="E318" t="s">
        <v>31</v>
      </c>
      <c r="F318" t="s">
        <v>69</v>
      </c>
      <c r="G318" t="s">
        <v>70</v>
      </c>
      <c r="H318" t="s">
        <v>74</v>
      </c>
      <c r="I318">
        <v>7</v>
      </c>
      <c r="J318">
        <v>1664</v>
      </c>
      <c r="K318">
        <v>0.05</v>
      </c>
      <c r="L318">
        <v>11065.6</v>
      </c>
      <c r="M318">
        <v>8314.9599999999991</v>
      </c>
      <c r="N318">
        <v>2750.64</v>
      </c>
      <c r="O318" t="s">
        <v>80</v>
      </c>
      <c r="P318" t="s">
        <v>87</v>
      </c>
    </row>
    <row r="319" spans="1:16" x14ac:dyDescent="0.25">
      <c r="A319">
        <v>318</v>
      </c>
      <c r="B319" s="2">
        <v>45931</v>
      </c>
      <c r="C319" t="s">
        <v>21</v>
      </c>
      <c r="D319" t="s">
        <v>24</v>
      </c>
      <c r="E319" t="s">
        <v>33</v>
      </c>
      <c r="F319" t="s">
        <v>52</v>
      </c>
      <c r="G319" t="s">
        <v>72</v>
      </c>
      <c r="H319" t="s">
        <v>75</v>
      </c>
      <c r="I319">
        <v>4</v>
      </c>
      <c r="J319">
        <v>33597</v>
      </c>
      <c r="K319">
        <v>0.1</v>
      </c>
      <c r="L319">
        <v>120949.2</v>
      </c>
      <c r="M319">
        <v>69240.509999999995</v>
      </c>
      <c r="N319">
        <v>51708.69</v>
      </c>
      <c r="O319" t="s">
        <v>78</v>
      </c>
      <c r="P319" t="s">
        <v>83</v>
      </c>
    </row>
    <row r="320" spans="1:16" x14ac:dyDescent="0.25">
      <c r="A320">
        <v>319</v>
      </c>
      <c r="B320" s="2">
        <v>45842</v>
      </c>
      <c r="C320" t="s">
        <v>20</v>
      </c>
      <c r="D320" t="s">
        <v>26</v>
      </c>
      <c r="E320" t="s">
        <v>33</v>
      </c>
      <c r="F320" t="s">
        <v>46</v>
      </c>
      <c r="G320" t="s">
        <v>72</v>
      </c>
      <c r="H320" t="s">
        <v>75</v>
      </c>
      <c r="I320">
        <v>8</v>
      </c>
      <c r="J320">
        <v>44413</v>
      </c>
      <c r="K320">
        <v>0.1</v>
      </c>
      <c r="L320">
        <v>319773.59999999998</v>
      </c>
      <c r="M320">
        <v>231107.56</v>
      </c>
      <c r="N320">
        <v>88666.04</v>
      </c>
      <c r="O320" t="s">
        <v>78</v>
      </c>
      <c r="P320" t="s">
        <v>85</v>
      </c>
    </row>
    <row r="321" spans="1:16" x14ac:dyDescent="0.25">
      <c r="A321">
        <v>320</v>
      </c>
      <c r="B321" s="2">
        <v>45780</v>
      </c>
      <c r="C321" t="s">
        <v>20</v>
      </c>
      <c r="D321" t="s">
        <v>26</v>
      </c>
      <c r="E321" t="s">
        <v>33</v>
      </c>
      <c r="F321" t="s">
        <v>52</v>
      </c>
      <c r="G321" t="s">
        <v>70</v>
      </c>
      <c r="H321" t="s">
        <v>75</v>
      </c>
      <c r="I321">
        <v>4</v>
      </c>
      <c r="J321">
        <v>38633</v>
      </c>
      <c r="K321">
        <v>0.05</v>
      </c>
      <c r="L321">
        <v>146805.4</v>
      </c>
      <c r="M321">
        <v>90149.34</v>
      </c>
      <c r="N321">
        <v>56656.06</v>
      </c>
      <c r="O321" t="s">
        <v>76</v>
      </c>
      <c r="P321" t="s">
        <v>84</v>
      </c>
    </row>
    <row r="322" spans="1:16" x14ac:dyDescent="0.25">
      <c r="A322">
        <v>321</v>
      </c>
      <c r="B322" s="2">
        <v>45702</v>
      </c>
      <c r="C322" t="s">
        <v>21</v>
      </c>
      <c r="D322" t="s">
        <v>24</v>
      </c>
      <c r="E322" t="s">
        <v>34</v>
      </c>
      <c r="F322" t="s">
        <v>65</v>
      </c>
      <c r="G322" t="s">
        <v>71</v>
      </c>
      <c r="H322" t="s">
        <v>74</v>
      </c>
      <c r="I322">
        <v>8</v>
      </c>
      <c r="J322">
        <v>2212</v>
      </c>
      <c r="K322">
        <v>0.15</v>
      </c>
      <c r="L322">
        <v>15041.6</v>
      </c>
      <c r="M322">
        <v>12753.95</v>
      </c>
      <c r="N322">
        <v>2287.65</v>
      </c>
      <c r="O322" t="s">
        <v>80</v>
      </c>
      <c r="P322" t="s">
        <v>83</v>
      </c>
    </row>
    <row r="323" spans="1:16" x14ac:dyDescent="0.25">
      <c r="A323">
        <v>322</v>
      </c>
      <c r="B323" s="2">
        <v>45923</v>
      </c>
      <c r="C323" t="s">
        <v>18</v>
      </c>
      <c r="D323" t="s">
        <v>26</v>
      </c>
      <c r="E323" t="s">
        <v>29</v>
      </c>
      <c r="F323" t="s">
        <v>57</v>
      </c>
      <c r="G323" t="s">
        <v>70</v>
      </c>
      <c r="H323" t="s">
        <v>75</v>
      </c>
      <c r="I323">
        <v>1</v>
      </c>
      <c r="J323">
        <v>10109</v>
      </c>
      <c r="K323">
        <v>0.1</v>
      </c>
      <c r="L323">
        <v>9098.1</v>
      </c>
      <c r="M323">
        <v>5502.57</v>
      </c>
      <c r="N323">
        <v>3595.53</v>
      </c>
      <c r="O323" t="s">
        <v>76</v>
      </c>
      <c r="P323" t="s">
        <v>84</v>
      </c>
    </row>
    <row r="324" spans="1:16" x14ac:dyDescent="0.25">
      <c r="A324">
        <v>323</v>
      </c>
      <c r="B324" s="2">
        <v>45682</v>
      </c>
      <c r="C324" t="s">
        <v>20</v>
      </c>
      <c r="D324" t="s">
        <v>26</v>
      </c>
      <c r="E324" t="s">
        <v>34</v>
      </c>
      <c r="F324" t="s">
        <v>65</v>
      </c>
      <c r="G324" t="s">
        <v>71</v>
      </c>
      <c r="H324" t="s">
        <v>73</v>
      </c>
      <c r="I324">
        <v>6</v>
      </c>
      <c r="J324">
        <v>5710</v>
      </c>
      <c r="K324">
        <v>0.05</v>
      </c>
      <c r="L324">
        <v>32547</v>
      </c>
      <c r="M324">
        <v>23159.88</v>
      </c>
      <c r="N324">
        <v>9387.1200000000008</v>
      </c>
      <c r="O324" t="s">
        <v>79</v>
      </c>
      <c r="P324" t="s">
        <v>81</v>
      </c>
    </row>
    <row r="325" spans="1:16" x14ac:dyDescent="0.25">
      <c r="A325">
        <v>324</v>
      </c>
      <c r="B325" s="2">
        <v>45980</v>
      </c>
      <c r="C325" t="s">
        <v>18</v>
      </c>
      <c r="D325" t="s">
        <v>26</v>
      </c>
      <c r="E325" t="s">
        <v>29</v>
      </c>
      <c r="F325" t="s">
        <v>45</v>
      </c>
      <c r="G325" t="s">
        <v>70</v>
      </c>
      <c r="H325" t="s">
        <v>75</v>
      </c>
      <c r="I325">
        <v>5</v>
      </c>
      <c r="J325">
        <v>8958</v>
      </c>
      <c r="K325">
        <v>0.1</v>
      </c>
      <c r="L325">
        <v>40311</v>
      </c>
      <c r="M325">
        <v>23665.79</v>
      </c>
      <c r="N325">
        <v>16645.21</v>
      </c>
      <c r="O325" t="s">
        <v>80</v>
      </c>
      <c r="P325" t="s">
        <v>85</v>
      </c>
    </row>
    <row r="326" spans="1:16" x14ac:dyDescent="0.25">
      <c r="A326">
        <v>325</v>
      </c>
      <c r="B326" s="2">
        <v>45771</v>
      </c>
      <c r="C326" t="s">
        <v>22</v>
      </c>
      <c r="D326" t="s">
        <v>24</v>
      </c>
      <c r="E326" t="s">
        <v>28</v>
      </c>
      <c r="F326" t="s">
        <v>35</v>
      </c>
      <c r="G326" t="s">
        <v>70</v>
      </c>
      <c r="H326" t="s">
        <v>73</v>
      </c>
      <c r="I326">
        <v>3</v>
      </c>
      <c r="J326">
        <v>1831</v>
      </c>
      <c r="K326">
        <v>0.05</v>
      </c>
      <c r="L326">
        <v>5218.3500000000004</v>
      </c>
      <c r="M326">
        <v>3575.57</v>
      </c>
      <c r="N326">
        <v>1642.78</v>
      </c>
      <c r="O326" t="s">
        <v>77</v>
      </c>
      <c r="P326" t="s">
        <v>81</v>
      </c>
    </row>
    <row r="327" spans="1:16" x14ac:dyDescent="0.25">
      <c r="A327">
        <v>326</v>
      </c>
      <c r="B327" s="2">
        <v>45733</v>
      </c>
      <c r="C327" t="s">
        <v>16</v>
      </c>
      <c r="D327" t="s">
        <v>24</v>
      </c>
      <c r="E327" t="s">
        <v>31</v>
      </c>
      <c r="F327" t="s">
        <v>38</v>
      </c>
      <c r="G327" t="s">
        <v>72</v>
      </c>
      <c r="H327" t="s">
        <v>74</v>
      </c>
      <c r="I327">
        <v>3</v>
      </c>
      <c r="J327">
        <v>2400</v>
      </c>
      <c r="K327">
        <v>0</v>
      </c>
      <c r="L327">
        <v>7200</v>
      </c>
      <c r="M327">
        <v>4947.9799999999996</v>
      </c>
      <c r="N327">
        <v>2252.02</v>
      </c>
      <c r="O327" t="s">
        <v>80</v>
      </c>
      <c r="P327" t="s">
        <v>87</v>
      </c>
    </row>
    <row r="328" spans="1:16" x14ac:dyDescent="0.25">
      <c r="A328">
        <v>327</v>
      </c>
      <c r="B328" s="2">
        <v>45807</v>
      </c>
      <c r="C328" t="s">
        <v>20</v>
      </c>
      <c r="D328" t="s">
        <v>26</v>
      </c>
      <c r="E328" t="s">
        <v>33</v>
      </c>
      <c r="F328" t="s">
        <v>46</v>
      </c>
      <c r="G328" t="s">
        <v>72</v>
      </c>
      <c r="H328" t="s">
        <v>75</v>
      </c>
      <c r="I328">
        <v>5</v>
      </c>
      <c r="J328">
        <v>44922</v>
      </c>
      <c r="K328">
        <v>0</v>
      </c>
      <c r="L328">
        <v>224610</v>
      </c>
      <c r="M328">
        <v>153857.42000000001</v>
      </c>
      <c r="N328">
        <v>70752.58</v>
      </c>
      <c r="O328" t="s">
        <v>77</v>
      </c>
      <c r="P328" t="s">
        <v>86</v>
      </c>
    </row>
    <row r="329" spans="1:16" x14ac:dyDescent="0.25">
      <c r="A329">
        <v>328</v>
      </c>
      <c r="B329" s="2">
        <v>46000</v>
      </c>
      <c r="C329" t="s">
        <v>21</v>
      </c>
      <c r="D329" t="s">
        <v>24</v>
      </c>
      <c r="E329" t="s">
        <v>28</v>
      </c>
      <c r="F329" t="s">
        <v>63</v>
      </c>
      <c r="G329" t="s">
        <v>70</v>
      </c>
      <c r="H329" t="s">
        <v>75</v>
      </c>
      <c r="I329">
        <v>3</v>
      </c>
      <c r="J329">
        <v>1962</v>
      </c>
      <c r="K329">
        <v>0.1</v>
      </c>
      <c r="L329">
        <v>5297.4</v>
      </c>
      <c r="M329">
        <v>3280.87</v>
      </c>
      <c r="N329">
        <v>2016.53</v>
      </c>
      <c r="O329" t="s">
        <v>77</v>
      </c>
      <c r="P329" t="s">
        <v>81</v>
      </c>
    </row>
    <row r="330" spans="1:16" x14ac:dyDescent="0.25">
      <c r="A330">
        <v>329</v>
      </c>
      <c r="B330" s="2">
        <v>45792</v>
      </c>
      <c r="C330" t="s">
        <v>16</v>
      </c>
      <c r="D330" t="s">
        <v>24</v>
      </c>
      <c r="E330" t="s">
        <v>31</v>
      </c>
      <c r="F330" t="s">
        <v>69</v>
      </c>
      <c r="G330" t="s">
        <v>71</v>
      </c>
      <c r="H330" t="s">
        <v>74</v>
      </c>
      <c r="I330">
        <v>6</v>
      </c>
      <c r="J330">
        <v>395</v>
      </c>
      <c r="K330">
        <v>0.05</v>
      </c>
      <c r="L330">
        <v>2251.5</v>
      </c>
      <c r="M330">
        <v>1915.91</v>
      </c>
      <c r="N330">
        <v>335.59</v>
      </c>
      <c r="O330" t="s">
        <v>78</v>
      </c>
      <c r="P330" t="s">
        <v>83</v>
      </c>
    </row>
    <row r="331" spans="1:16" x14ac:dyDescent="0.25">
      <c r="A331">
        <v>330</v>
      </c>
      <c r="B331" s="2">
        <v>45715</v>
      </c>
      <c r="C331" t="s">
        <v>20</v>
      </c>
      <c r="D331" t="s">
        <v>26</v>
      </c>
      <c r="E331" t="s">
        <v>29</v>
      </c>
      <c r="F331" t="s">
        <v>42</v>
      </c>
      <c r="G331" t="s">
        <v>71</v>
      </c>
      <c r="H331" t="s">
        <v>74</v>
      </c>
      <c r="I331">
        <v>1</v>
      </c>
      <c r="J331">
        <v>6022</v>
      </c>
      <c r="K331">
        <v>0</v>
      </c>
      <c r="L331">
        <v>6022</v>
      </c>
      <c r="M331">
        <v>3373.57</v>
      </c>
      <c r="N331">
        <v>2648.43</v>
      </c>
      <c r="O331" t="s">
        <v>76</v>
      </c>
      <c r="P331" t="s">
        <v>84</v>
      </c>
    </row>
    <row r="332" spans="1:16" x14ac:dyDescent="0.25">
      <c r="A332">
        <v>331</v>
      </c>
      <c r="B332" s="2">
        <v>45847</v>
      </c>
      <c r="C332" t="s">
        <v>22</v>
      </c>
      <c r="D332" t="s">
        <v>24</v>
      </c>
      <c r="E332" t="s">
        <v>30</v>
      </c>
      <c r="F332" t="s">
        <v>44</v>
      </c>
      <c r="G332" t="s">
        <v>72</v>
      </c>
      <c r="H332" t="s">
        <v>75</v>
      </c>
      <c r="I332">
        <v>1</v>
      </c>
      <c r="J332">
        <v>6103</v>
      </c>
      <c r="K332">
        <v>0.15</v>
      </c>
      <c r="L332">
        <v>5187.55</v>
      </c>
      <c r="M332">
        <v>3900.22</v>
      </c>
      <c r="N332">
        <v>1287.33</v>
      </c>
      <c r="O332" t="s">
        <v>79</v>
      </c>
      <c r="P332" t="s">
        <v>83</v>
      </c>
    </row>
    <row r="333" spans="1:16" x14ac:dyDescent="0.25">
      <c r="A333">
        <v>332</v>
      </c>
      <c r="B333" s="2">
        <v>45699</v>
      </c>
      <c r="C333" t="s">
        <v>20</v>
      </c>
      <c r="D333" t="s">
        <v>26</v>
      </c>
      <c r="E333" t="s">
        <v>32</v>
      </c>
      <c r="F333" t="s">
        <v>66</v>
      </c>
      <c r="G333" t="s">
        <v>70</v>
      </c>
      <c r="H333" t="s">
        <v>75</v>
      </c>
      <c r="I333">
        <v>8</v>
      </c>
      <c r="J333">
        <v>23105</v>
      </c>
      <c r="K333">
        <v>0.05</v>
      </c>
      <c r="L333">
        <v>175598</v>
      </c>
      <c r="M333">
        <v>132240.9</v>
      </c>
      <c r="N333">
        <v>43357.1</v>
      </c>
      <c r="O333" t="s">
        <v>78</v>
      </c>
      <c r="P333" t="s">
        <v>81</v>
      </c>
    </row>
    <row r="334" spans="1:16" x14ac:dyDescent="0.25">
      <c r="A334">
        <v>333</v>
      </c>
      <c r="B334" s="2">
        <v>45687</v>
      </c>
      <c r="C334" t="s">
        <v>22</v>
      </c>
      <c r="D334" t="s">
        <v>24</v>
      </c>
      <c r="E334" t="s">
        <v>32</v>
      </c>
      <c r="F334" t="s">
        <v>66</v>
      </c>
      <c r="G334" t="s">
        <v>70</v>
      </c>
      <c r="H334" t="s">
        <v>75</v>
      </c>
      <c r="I334">
        <v>8</v>
      </c>
      <c r="J334">
        <v>5676</v>
      </c>
      <c r="K334">
        <v>0.05</v>
      </c>
      <c r="L334">
        <v>43137.599999999999</v>
      </c>
      <c r="M334">
        <v>27512.27</v>
      </c>
      <c r="N334">
        <v>15625.33</v>
      </c>
      <c r="O334" t="s">
        <v>79</v>
      </c>
      <c r="P334" t="s">
        <v>82</v>
      </c>
    </row>
    <row r="335" spans="1:16" x14ac:dyDescent="0.25">
      <c r="A335">
        <v>334</v>
      </c>
      <c r="B335" s="2">
        <v>45726</v>
      </c>
      <c r="C335" t="s">
        <v>23</v>
      </c>
      <c r="D335" t="s">
        <v>27</v>
      </c>
      <c r="E335" t="s">
        <v>31</v>
      </c>
      <c r="F335" t="s">
        <v>47</v>
      </c>
      <c r="G335" t="s">
        <v>72</v>
      </c>
      <c r="H335" t="s">
        <v>74</v>
      </c>
      <c r="I335">
        <v>7</v>
      </c>
      <c r="J335">
        <v>1037</v>
      </c>
      <c r="K335">
        <v>0.15</v>
      </c>
      <c r="L335">
        <v>6170.15</v>
      </c>
      <c r="M335">
        <v>3493.8</v>
      </c>
      <c r="N335">
        <v>2676.35</v>
      </c>
      <c r="O335" t="s">
        <v>76</v>
      </c>
      <c r="P335" t="s">
        <v>84</v>
      </c>
    </row>
    <row r="336" spans="1:16" x14ac:dyDescent="0.25">
      <c r="A336">
        <v>335</v>
      </c>
      <c r="B336" s="2">
        <v>45756</v>
      </c>
      <c r="C336" t="s">
        <v>17</v>
      </c>
      <c r="D336" t="s">
        <v>25</v>
      </c>
      <c r="E336" t="s">
        <v>32</v>
      </c>
      <c r="F336" t="s">
        <v>62</v>
      </c>
      <c r="G336" t="s">
        <v>70</v>
      </c>
      <c r="H336" t="s">
        <v>75</v>
      </c>
      <c r="I336">
        <v>4</v>
      </c>
      <c r="J336">
        <v>20923</v>
      </c>
      <c r="K336">
        <v>0.1</v>
      </c>
      <c r="L336">
        <v>75322.8</v>
      </c>
      <c r="M336">
        <v>58341.89</v>
      </c>
      <c r="N336">
        <v>16980.91</v>
      </c>
      <c r="O336" t="s">
        <v>76</v>
      </c>
      <c r="P336" t="s">
        <v>85</v>
      </c>
    </row>
    <row r="337" spans="1:16" x14ac:dyDescent="0.25">
      <c r="A337">
        <v>336</v>
      </c>
      <c r="B337" s="2">
        <v>45814</v>
      </c>
      <c r="C337" t="s">
        <v>19</v>
      </c>
      <c r="D337" t="s">
        <v>26</v>
      </c>
      <c r="E337" t="s">
        <v>33</v>
      </c>
      <c r="F337" t="s">
        <v>41</v>
      </c>
      <c r="G337" t="s">
        <v>72</v>
      </c>
      <c r="H337" t="s">
        <v>75</v>
      </c>
      <c r="I337">
        <v>7</v>
      </c>
      <c r="J337">
        <v>3298</v>
      </c>
      <c r="K337">
        <v>0.1</v>
      </c>
      <c r="L337">
        <v>20777.400000000001</v>
      </c>
      <c r="M337">
        <v>12845.63</v>
      </c>
      <c r="N337">
        <v>7931.77</v>
      </c>
      <c r="O337" t="s">
        <v>78</v>
      </c>
      <c r="P337" t="s">
        <v>84</v>
      </c>
    </row>
    <row r="338" spans="1:16" x14ac:dyDescent="0.25">
      <c r="A338">
        <v>337</v>
      </c>
      <c r="B338" s="2">
        <v>45739</v>
      </c>
      <c r="C338" t="s">
        <v>20</v>
      </c>
      <c r="D338" t="s">
        <v>26</v>
      </c>
      <c r="E338" t="s">
        <v>31</v>
      </c>
      <c r="F338" t="s">
        <v>50</v>
      </c>
      <c r="G338" t="s">
        <v>71</v>
      </c>
      <c r="H338" t="s">
        <v>75</v>
      </c>
      <c r="I338">
        <v>3</v>
      </c>
      <c r="J338">
        <v>1490</v>
      </c>
      <c r="K338">
        <v>0.15</v>
      </c>
      <c r="L338">
        <v>3799.5</v>
      </c>
      <c r="M338">
        <v>2553.94</v>
      </c>
      <c r="N338">
        <v>1245.56</v>
      </c>
      <c r="O338" t="s">
        <v>77</v>
      </c>
      <c r="P338" t="s">
        <v>85</v>
      </c>
    </row>
    <row r="339" spans="1:16" x14ac:dyDescent="0.25">
      <c r="A339">
        <v>338</v>
      </c>
      <c r="B339" s="2">
        <v>45927</v>
      </c>
      <c r="C339" t="s">
        <v>20</v>
      </c>
      <c r="D339" t="s">
        <v>26</v>
      </c>
      <c r="E339" t="s">
        <v>29</v>
      </c>
      <c r="F339" t="s">
        <v>53</v>
      </c>
      <c r="G339" t="s">
        <v>71</v>
      </c>
      <c r="H339" t="s">
        <v>75</v>
      </c>
      <c r="I339">
        <v>7</v>
      </c>
      <c r="J339">
        <v>4055</v>
      </c>
      <c r="K339">
        <v>0.1</v>
      </c>
      <c r="L339">
        <v>25546.5</v>
      </c>
      <c r="M339">
        <v>18144.75</v>
      </c>
      <c r="N339">
        <v>7401.75</v>
      </c>
      <c r="O339" t="s">
        <v>76</v>
      </c>
      <c r="P339" t="s">
        <v>88</v>
      </c>
    </row>
    <row r="340" spans="1:16" x14ac:dyDescent="0.25">
      <c r="A340">
        <v>339</v>
      </c>
      <c r="B340" s="2">
        <v>45664</v>
      </c>
      <c r="C340" t="s">
        <v>17</v>
      </c>
      <c r="D340" t="s">
        <v>25</v>
      </c>
      <c r="E340" t="s">
        <v>32</v>
      </c>
      <c r="F340" t="s">
        <v>66</v>
      </c>
      <c r="G340" t="s">
        <v>72</v>
      </c>
      <c r="H340" t="s">
        <v>75</v>
      </c>
      <c r="I340">
        <v>1</v>
      </c>
      <c r="J340">
        <v>18497</v>
      </c>
      <c r="K340">
        <v>0.1</v>
      </c>
      <c r="L340">
        <v>16647.3</v>
      </c>
      <c r="M340">
        <v>12703.38</v>
      </c>
      <c r="N340">
        <v>3943.92</v>
      </c>
      <c r="O340" t="s">
        <v>77</v>
      </c>
      <c r="P340" t="s">
        <v>87</v>
      </c>
    </row>
    <row r="341" spans="1:16" x14ac:dyDescent="0.25">
      <c r="A341">
        <v>340</v>
      </c>
      <c r="B341" s="2">
        <v>45941</v>
      </c>
      <c r="C341" t="s">
        <v>16</v>
      </c>
      <c r="D341" t="s">
        <v>24</v>
      </c>
      <c r="E341" t="s">
        <v>29</v>
      </c>
      <c r="F341" t="s">
        <v>45</v>
      </c>
      <c r="G341" t="s">
        <v>72</v>
      </c>
      <c r="H341" t="s">
        <v>75</v>
      </c>
      <c r="I341">
        <v>6</v>
      </c>
      <c r="J341">
        <v>2294</v>
      </c>
      <c r="K341">
        <v>0.15</v>
      </c>
      <c r="L341">
        <v>11699.4</v>
      </c>
      <c r="M341">
        <v>10086.02</v>
      </c>
      <c r="N341">
        <v>1613.38</v>
      </c>
      <c r="O341" t="s">
        <v>79</v>
      </c>
      <c r="P341" t="s">
        <v>88</v>
      </c>
    </row>
    <row r="342" spans="1:16" x14ac:dyDescent="0.25">
      <c r="A342">
        <v>341</v>
      </c>
      <c r="B342" s="2">
        <v>45814</v>
      </c>
      <c r="C342" t="s">
        <v>16</v>
      </c>
      <c r="D342" t="s">
        <v>24</v>
      </c>
      <c r="E342" t="s">
        <v>29</v>
      </c>
      <c r="F342" t="s">
        <v>53</v>
      </c>
      <c r="G342" t="s">
        <v>70</v>
      </c>
      <c r="H342" t="s">
        <v>74</v>
      </c>
      <c r="I342">
        <v>3</v>
      </c>
      <c r="J342">
        <v>2730</v>
      </c>
      <c r="K342">
        <v>0.05</v>
      </c>
      <c r="L342">
        <v>7780.5</v>
      </c>
      <c r="M342">
        <v>6459.39</v>
      </c>
      <c r="N342">
        <v>1321.11</v>
      </c>
      <c r="O342" t="s">
        <v>77</v>
      </c>
      <c r="P342" t="s">
        <v>84</v>
      </c>
    </row>
    <row r="343" spans="1:16" x14ac:dyDescent="0.25">
      <c r="A343">
        <v>342</v>
      </c>
      <c r="B343" s="2">
        <v>45955</v>
      </c>
      <c r="C343" t="s">
        <v>21</v>
      </c>
      <c r="D343" t="s">
        <v>24</v>
      </c>
      <c r="E343" t="s">
        <v>32</v>
      </c>
      <c r="F343" t="s">
        <v>66</v>
      </c>
      <c r="G343" t="s">
        <v>72</v>
      </c>
      <c r="H343" t="s">
        <v>75</v>
      </c>
      <c r="I343">
        <v>5</v>
      </c>
      <c r="J343">
        <v>23402</v>
      </c>
      <c r="K343">
        <v>0.15</v>
      </c>
      <c r="L343">
        <v>99458.5</v>
      </c>
      <c r="M343">
        <v>77985.240000000005</v>
      </c>
      <c r="N343">
        <v>21473.26</v>
      </c>
      <c r="O343" t="s">
        <v>80</v>
      </c>
      <c r="P343" t="s">
        <v>87</v>
      </c>
    </row>
    <row r="344" spans="1:16" x14ac:dyDescent="0.25">
      <c r="A344">
        <v>343</v>
      </c>
      <c r="B344" s="2">
        <v>45910</v>
      </c>
      <c r="C344" t="s">
        <v>18</v>
      </c>
      <c r="D344" t="s">
        <v>26</v>
      </c>
      <c r="E344" t="s">
        <v>28</v>
      </c>
      <c r="F344" t="s">
        <v>61</v>
      </c>
      <c r="G344" t="s">
        <v>70</v>
      </c>
      <c r="H344" t="s">
        <v>75</v>
      </c>
      <c r="I344">
        <v>4</v>
      </c>
      <c r="J344">
        <v>1685</v>
      </c>
      <c r="K344">
        <v>0.05</v>
      </c>
      <c r="L344">
        <v>6403</v>
      </c>
      <c r="M344">
        <v>5344.1</v>
      </c>
      <c r="N344">
        <v>1058.9000000000001</v>
      </c>
      <c r="O344" t="s">
        <v>77</v>
      </c>
      <c r="P344" t="s">
        <v>87</v>
      </c>
    </row>
    <row r="345" spans="1:16" x14ac:dyDescent="0.25">
      <c r="A345">
        <v>344</v>
      </c>
      <c r="B345" s="2">
        <v>45704</v>
      </c>
      <c r="C345" t="s">
        <v>17</v>
      </c>
      <c r="D345" t="s">
        <v>25</v>
      </c>
      <c r="E345" t="s">
        <v>32</v>
      </c>
      <c r="F345" t="s">
        <v>62</v>
      </c>
      <c r="G345" t="s">
        <v>72</v>
      </c>
      <c r="H345" t="s">
        <v>73</v>
      </c>
      <c r="I345">
        <v>8</v>
      </c>
      <c r="J345">
        <v>3107</v>
      </c>
      <c r="K345">
        <v>0.1</v>
      </c>
      <c r="L345">
        <v>22370.400000000001</v>
      </c>
      <c r="M345">
        <v>13570.48</v>
      </c>
      <c r="N345">
        <v>8799.92</v>
      </c>
      <c r="O345" t="s">
        <v>76</v>
      </c>
      <c r="P345" t="s">
        <v>85</v>
      </c>
    </row>
    <row r="346" spans="1:16" x14ac:dyDescent="0.25">
      <c r="A346">
        <v>345</v>
      </c>
      <c r="B346" s="2">
        <v>45849</v>
      </c>
      <c r="C346" t="s">
        <v>21</v>
      </c>
      <c r="D346" t="s">
        <v>24</v>
      </c>
      <c r="E346" t="s">
        <v>29</v>
      </c>
      <c r="F346" t="s">
        <v>42</v>
      </c>
      <c r="G346" t="s">
        <v>71</v>
      </c>
      <c r="H346" t="s">
        <v>75</v>
      </c>
      <c r="I346">
        <v>6</v>
      </c>
      <c r="J346">
        <v>1445</v>
      </c>
      <c r="K346">
        <v>0.15</v>
      </c>
      <c r="L346">
        <v>7369.5</v>
      </c>
      <c r="M346">
        <v>6128.26</v>
      </c>
      <c r="N346">
        <v>1241.24</v>
      </c>
      <c r="O346" t="s">
        <v>79</v>
      </c>
      <c r="P346" t="s">
        <v>86</v>
      </c>
    </row>
    <row r="347" spans="1:16" x14ac:dyDescent="0.25">
      <c r="A347">
        <v>346</v>
      </c>
      <c r="B347" s="2">
        <v>45787</v>
      </c>
      <c r="C347" t="s">
        <v>18</v>
      </c>
      <c r="D347" t="s">
        <v>26</v>
      </c>
      <c r="E347" t="s">
        <v>28</v>
      </c>
      <c r="F347" t="s">
        <v>58</v>
      </c>
      <c r="G347" t="s">
        <v>72</v>
      </c>
      <c r="H347" t="s">
        <v>74</v>
      </c>
      <c r="I347">
        <v>6</v>
      </c>
      <c r="J347">
        <v>1720</v>
      </c>
      <c r="K347">
        <v>0.1</v>
      </c>
      <c r="L347">
        <v>9288</v>
      </c>
      <c r="M347">
        <v>6575.65</v>
      </c>
      <c r="N347">
        <v>2712.35</v>
      </c>
      <c r="O347" t="s">
        <v>78</v>
      </c>
      <c r="P347" t="s">
        <v>83</v>
      </c>
    </row>
    <row r="348" spans="1:16" x14ac:dyDescent="0.25">
      <c r="A348">
        <v>347</v>
      </c>
      <c r="B348" s="2">
        <v>46020</v>
      </c>
      <c r="C348" t="s">
        <v>18</v>
      </c>
      <c r="D348" t="s">
        <v>26</v>
      </c>
      <c r="E348" t="s">
        <v>29</v>
      </c>
      <c r="F348" t="s">
        <v>36</v>
      </c>
      <c r="G348" t="s">
        <v>71</v>
      </c>
      <c r="H348" t="s">
        <v>73</v>
      </c>
      <c r="I348">
        <v>7</v>
      </c>
      <c r="J348">
        <v>7504</v>
      </c>
      <c r="K348">
        <v>0.05</v>
      </c>
      <c r="L348">
        <v>49901.599999999999</v>
      </c>
      <c r="M348">
        <v>29407.83</v>
      </c>
      <c r="N348">
        <v>20493.77</v>
      </c>
      <c r="O348" t="s">
        <v>77</v>
      </c>
      <c r="P348" t="s">
        <v>84</v>
      </c>
    </row>
    <row r="349" spans="1:16" x14ac:dyDescent="0.25">
      <c r="A349">
        <v>348</v>
      </c>
      <c r="B349" s="2">
        <v>45716</v>
      </c>
      <c r="C349" t="s">
        <v>22</v>
      </c>
      <c r="D349" t="s">
        <v>24</v>
      </c>
      <c r="E349" t="s">
        <v>31</v>
      </c>
      <c r="F349" t="s">
        <v>47</v>
      </c>
      <c r="G349" t="s">
        <v>71</v>
      </c>
      <c r="H349" t="s">
        <v>74</v>
      </c>
      <c r="I349">
        <v>1</v>
      </c>
      <c r="J349">
        <v>2465</v>
      </c>
      <c r="K349">
        <v>0.1</v>
      </c>
      <c r="L349">
        <v>2218.5</v>
      </c>
      <c r="M349">
        <v>1421.14</v>
      </c>
      <c r="N349">
        <v>797.36</v>
      </c>
      <c r="O349" t="s">
        <v>78</v>
      </c>
      <c r="P349" t="s">
        <v>87</v>
      </c>
    </row>
    <row r="350" spans="1:16" x14ac:dyDescent="0.25">
      <c r="A350">
        <v>349</v>
      </c>
      <c r="B350" s="2">
        <v>45770</v>
      </c>
      <c r="C350" t="s">
        <v>23</v>
      </c>
      <c r="D350" t="s">
        <v>27</v>
      </c>
      <c r="E350" t="s">
        <v>28</v>
      </c>
      <c r="F350" t="s">
        <v>63</v>
      </c>
      <c r="G350" t="s">
        <v>70</v>
      </c>
      <c r="H350" t="s">
        <v>75</v>
      </c>
      <c r="I350">
        <v>2</v>
      </c>
      <c r="J350">
        <v>1901</v>
      </c>
      <c r="K350">
        <v>0.1</v>
      </c>
      <c r="L350">
        <v>3421.8</v>
      </c>
      <c r="M350">
        <v>2402.25</v>
      </c>
      <c r="N350">
        <v>1019.55</v>
      </c>
      <c r="O350" t="s">
        <v>78</v>
      </c>
      <c r="P350" t="s">
        <v>81</v>
      </c>
    </row>
    <row r="351" spans="1:16" x14ac:dyDescent="0.25">
      <c r="A351">
        <v>350</v>
      </c>
      <c r="B351" s="2">
        <v>45920</v>
      </c>
      <c r="C351" t="s">
        <v>16</v>
      </c>
      <c r="D351" t="s">
        <v>24</v>
      </c>
      <c r="E351" t="s">
        <v>29</v>
      </c>
      <c r="F351" t="s">
        <v>36</v>
      </c>
      <c r="G351" t="s">
        <v>72</v>
      </c>
      <c r="H351" t="s">
        <v>75</v>
      </c>
      <c r="I351">
        <v>1</v>
      </c>
      <c r="J351">
        <v>2921</v>
      </c>
      <c r="K351">
        <v>0.15</v>
      </c>
      <c r="L351">
        <v>2482.85</v>
      </c>
      <c r="M351">
        <v>1632.58</v>
      </c>
      <c r="N351">
        <v>850.27</v>
      </c>
      <c r="O351" t="s">
        <v>77</v>
      </c>
      <c r="P351" t="s">
        <v>87</v>
      </c>
    </row>
    <row r="352" spans="1:16" x14ac:dyDescent="0.25">
      <c r="A352">
        <v>351</v>
      </c>
      <c r="B352" s="2">
        <v>45785</v>
      </c>
      <c r="C352" t="s">
        <v>17</v>
      </c>
      <c r="D352" t="s">
        <v>25</v>
      </c>
      <c r="E352" t="s">
        <v>33</v>
      </c>
      <c r="F352" t="s">
        <v>60</v>
      </c>
      <c r="G352" t="s">
        <v>70</v>
      </c>
      <c r="H352" t="s">
        <v>73</v>
      </c>
      <c r="I352">
        <v>6</v>
      </c>
      <c r="J352">
        <v>7131</v>
      </c>
      <c r="K352">
        <v>0.1</v>
      </c>
      <c r="L352">
        <v>38507.4</v>
      </c>
      <c r="M352">
        <v>24881.52</v>
      </c>
      <c r="N352">
        <v>13625.88</v>
      </c>
      <c r="O352" t="s">
        <v>76</v>
      </c>
      <c r="P352" t="s">
        <v>87</v>
      </c>
    </row>
    <row r="353" spans="1:16" x14ac:dyDescent="0.25">
      <c r="A353">
        <v>352</v>
      </c>
      <c r="B353" s="2">
        <v>45869</v>
      </c>
      <c r="C353" t="s">
        <v>16</v>
      </c>
      <c r="D353" t="s">
        <v>24</v>
      </c>
      <c r="E353" t="s">
        <v>33</v>
      </c>
      <c r="F353" t="s">
        <v>60</v>
      </c>
      <c r="G353" t="s">
        <v>72</v>
      </c>
      <c r="H353" t="s">
        <v>75</v>
      </c>
      <c r="I353">
        <v>2</v>
      </c>
      <c r="J353">
        <v>4659</v>
      </c>
      <c r="K353">
        <v>0.1</v>
      </c>
      <c r="L353">
        <v>8386.2000000000007</v>
      </c>
      <c r="M353">
        <v>6949.01</v>
      </c>
      <c r="N353">
        <v>1437.19</v>
      </c>
      <c r="O353" t="s">
        <v>77</v>
      </c>
      <c r="P353" t="s">
        <v>83</v>
      </c>
    </row>
    <row r="354" spans="1:16" x14ac:dyDescent="0.25">
      <c r="A354">
        <v>353</v>
      </c>
      <c r="B354" s="2">
        <v>45948</v>
      </c>
      <c r="C354" t="s">
        <v>16</v>
      </c>
      <c r="D354" t="s">
        <v>24</v>
      </c>
      <c r="E354" t="s">
        <v>30</v>
      </c>
      <c r="F354" t="s">
        <v>40</v>
      </c>
      <c r="G354" t="s">
        <v>70</v>
      </c>
      <c r="H354" t="s">
        <v>74</v>
      </c>
      <c r="I354">
        <v>5</v>
      </c>
      <c r="J354">
        <v>62392</v>
      </c>
      <c r="K354">
        <v>0.1</v>
      </c>
      <c r="L354">
        <v>280764</v>
      </c>
      <c r="M354">
        <v>167299.04999999999</v>
      </c>
      <c r="N354">
        <v>113464.95</v>
      </c>
      <c r="O354" t="s">
        <v>78</v>
      </c>
      <c r="P354" t="s">
        <v>86</v>
      </c>
    </row>
    <row r="355" spans="1:16" x14ac:dyDescent="0.25">
      <c r="A355">
        <v>354</v>
      </c>
      <c r="B355" s="2">
        <v>45722</v>
      </c>
      <c r="C355" t="s">
        <v>17</v>
      </c>
      <c r="D355" t="s">
        <v>25</v>
      </c>
      <c r="E355" t="s">
        <v>33</v>
      </c>
      <c r="F355" t="s">
        <v>60</v>
      </c>
      <c r="G355" t="s">
        <v>70</v>
      </c>
      <c r="H355" t="s">
        <v>73</v>
      </c>
      <c r="I355">
        <v>1</v>
      </c>
      <c r="J355">
        <v>22346</v>
      </c>
      <c r="K355">
        <v>0.1</v>
      </c>
      <c r="L355">
        <v>20111.400000000001</v>
      </c>
      <c r="M355">
        <v>12122.35</v>
      </c>
      <c r="N355">
        <v>7989.05</v>
      </c>
      <c r="O355" t="s">
        <v>78</v>
      </c>
      <c r="P355" t="s">
        <v>81</v>
      </c>
    </row>
    <row r="356" spans="1:16" x14ac:dyDescent="0.25">
      <c r="A356">
        <v>355</v>
      </c>
      <c r="B356" s="2">
        <v>45782</v>
      </c>
      <c r="C356" t="s">
        <v>23</v>
      </c>
      <c r="D356" t="s">
        <v>27</v>
      </c>
      <c r="E356" t="s">
        <v>31</v>
      </c>
      <c r="F356" t="s">
        <v>67</v>
      </c>
      <c r="G356" t="s">
        <v>70</v>
      </c>
      <c r="H356" t="s">
        <v>75</v>
      </c>
      <c r="I356">
        <v>4</v>
      </c>
      <c r="J356">
        <v>1321</v>
      </c>
      <c r="K356">
        <v>0.2</v>
      </c>
      <c r="L356">
        <v>4227.2</v>
      </c>
      <c r="M356">
        <v>2617.7600000000002</v>
      </c>
      <c r="N356">
        <v>1609.44</v>
      </c>
      <c r="O356" t="s">
        <v>78</v>
      </c>
      <c r="P356" t="s">
        <v>83</v>
      </c>
    </row>
    <row r="357" spans="1:16" x14ac:dyDescent="0.25">
      <c r="A357">
        <v>356</v>
      </c>
      <c r="B357" s="2">
        <v>45693</v>
      </c>
      <c r="C357" t="s">
        <v>20</v>
      </c>
      <c r="D357" t="s">
        <v>26</v>
      </c>
      <c r="E357" t="s">
        <v>33</v>
      </c>
      <c r="F357" t="s">
        <v>60</v>
      </c>
      <c r="G357" t="s">
        <v>71</v>
      </c>
      <c r="H357" t="s">
        <v>74</v>
      </c>
      <c r="I357">
        <v>5</v>
      </c>
      <c r="J357">
        <v>48154</v>
      </c>
      <c r="K357">
        <v>0.1</v>
      </c>
      <c r="L357">
        <v>216693</v>
      </c>
      <c r="M357">
        <v>164464.97</v>
      </c>
      <c r="N357">
        <v>52228.03</v>
      </c>
      <c r="O357" t="s">
        <v>79</v>
      </c>
      <c r="P357" t="s">
        <v>85</v>
      </c>
    </row>
    <row r="358" spans="1:16" x14ac:dyDescent="0.25">
      <c r="A358">
        <v>357</v>
      </c>
      <c r="B358" s="2">
        <v>45728</v>
      </c>
      <c r="C358" t="s">
        <v>17</v>
      </c>
      <c r="D358" t="s">
        <v>25</v>
      </c>
      <c r="E358" t="s">
        <v>28</v>
      </c>
      <c r="F358" t="s">
        <v>58</v>
      </c>
      <c r="G358" t="s">
        <v>71</v>
      </c>
      <c r="H358" t="s">
        <v>74</v>
      </c>
      <c r="I358">
        <v>3</v>
      </c>
      <c r="J358">
        <v>305</v>
      </c>
      <c r="K358">
        <v>0.1</v>
      </c>
      <c r="L358">
        <v>823.5</v>
      </c>
      <c r="M358">
        <v>602.91999999999996</v>
      </c>
      <c r="N358">
        <v>220.58</v>
      </c>
      <c r="O358" t="s">
        <v>78</v>
      </c>
      <c r="P358" t="s">
        <v>84</v>
      </c>
    </row>
    <row r="359" spans="1:16" x14ac:dyDescent="0.25">
      <c r="A359">
        <v>358</v>
      </c>
      <c r="B359" s="2">
        <v>45848</v>
      </c>
      <c r="C359" t="s">
        <v>22</v>
      </c>
      <c r="D359" t="s">
        <v>24</v>
      </c>
      <c r="E359" t="s">
        <v>33</v>
      </c>
      <c r="F359" t="s">
        <v>46</v>
      </c>
      <c r="G359" t="s">
        <v>72</v>
      </c>
      <c r="H359" t="s">
        <v>75</v>
      </c>
      <c r="I359">
        <v>8</v>
      </c>
      <c r="J359">
        <v>15361</v>
      </c>
      <c r="K359">
        <v>0.15</v>
      </c>
      <c r="L359">
        <v>104454.8</v>
      </c>
      <c r="M359">
        <v>63660.22</v>
      </c>
      <c r="N359">
        <v>40794.58</v>
      </c>
      <c r="O359" t="s">
        <v>76</v>
      </c>
      <c r="P359" t="s">
        <v>85</v>
      </c>
    </row>
    <row r="360" spans="1:16" x14ac:dyDescent="0.25">
      <c r="A360">
        <v>359</v>
      </c>
      <c r="B360" s="2">
        <v>45746</v>
      </c>
      <c r="C360" t="s">
        <v>22</v>
      </c>
      <c r="D360" t="s">
        <v>24</v>
      </c>
      <c r="E360" t="s">
        <v>29</v>
      </c>
      <c r="F360" t="s">
        <v>36</v>
      </c>
      <c r="G360" t="s">
        <v>71</v>
      </c>
      <c r="H360" t="s">
        <v>74</v>
      </c>
      <c r="I360">
        <v>1</v>
      </c>
      <c r="J360">
        <v>743</v>
      </c>
      <c r="K360">
        <v>0.05</v>
      </c>
      <c r="L360">
        <v>705.85</v>
      </c>
      <c r="M360">
        <v>409.13</v>
      </c>
      <c r="N360">
        <v>296.72000000000003</v>
      </c>
      <c r="O360" t="s">
        <v>78</v>
      </c>
      <c r="P360" t="s">
        <v>86</v>
      </c>
    </row>
    <row r="361" spans="1:16" x14ac:dyDescent="0.25">
      <c r="A361">
        <v>360</v>
      </c>
      <c r="B361" s="2">
        <v>45975</v>
      </c>
      <c r="C361" t="s">
        <v>16</v>
      </c>
      <c r="D361" t="s">
        <v>24</v>
      </c>
      <c r="E361" t="s">
        <v>31</v>
      </c>
      <c r="F361" t="s">
        <v>67</v>
      </c>
      <c r="G361" t="s">
        <v>72</v>
      </c>
      <c r="H361" t="s">
        <v>74</v>
      </c>
      <c r="I361">
        <v>1</v>
      </c>
      <c r="J361">
        <v>267</v>
      </c>
      <c r="K361">
        <v>0.1</v>
      </c>
      <c r="L361">
        <v>240.3</v>
      </c>
      <c r="M361">
        <v>202.3</v>
      </c>
      <c r="N361">
        <v>38</v>
      </c>
      <c r="O361" t="s">
        <v>79</v>
      </c>
      <c r="P361" t="s">
        <v>81</v>
      </c>
    </row>
    <row r="362" spans="1:16" x14ac:dyDescent="0.25">
      <c r="A362">
        <v>361</v>
      </c>
      <c r="B362" s="2">
        <v>45699</v>
      </c>
      <c r="C362" t="s">
        <v>20</v>
      </c>
      <c r="D362" t="s">
        <v>26</v>
      </c>
      <c r="E362" t="s">
        <v>34</v>
      </c>
      <c r="F362" t="s">
        <v>43</v>
      </c>
      <c r="G362" t="s">
        <v>71</v>
      </c>
      <c r="H362" t="s">
        <v>74</v>
      </c>
      <c r="I362">
        <v>2</v>
      </c>
      <c r="J362">
        <v>884</v>
      </c>
      <c r="K362">
        <v>0.1</v>
      </c>
      <c r="L362">
        <v>1591.2</v>
      </c>
      <c r="M362">
        <v>1179.17</v>
      </c>
      <c r="N362">
        <v>412.03</v>
      </c>
      <c r="O362" t="s">
        <v>77</v>
      </c>
      <c r="P362" t="s">
        <v>85</v>
      </c>
    </row>
    <row r="363" spans="1:16" x14ac:dyDescent="0.25">
      <c r="A363">
        <v>362</v>
      </c>
      <c r="B363" s="2">
        <v>45904</v>
      </c>
      <c r="C363" t="s">
        <v>16</v>
      </c>
      <c r="D363" t="s">
        <v>24</v>
      </c>
      <c r="E363" t="s">
        <v>31</v>
      </c>
      <c r="F363" t="s">
        <v>47</v>
      </c>
      <c r="G363" t="s">
        <v>71</v>
      </c>
      <c r="H363" t="s">
        <v>74</v>
      </c>
      <c r="I363">
        <v>1</v>
      </c>
      <c r="J363">
        <v>191</v>
      </c>
      <c r="K363">
        <v>0.15</v>
      </c>
      <c r="L363">
        <v>162.35</v>
      </c>
      <c r="M363">
        <v>119.77</v>
      </c>
      <c r="N363">
        <v>42.58</v>
      </c>
      <c r="O363" t="s">
        <v>77</v>
      </c>
      <c r="P363" t="s">
        <v>84</v>
      </c>
    </row>
    <row r="364" spans="1:16" x14ac:dyDescent="0.25">
      <c r="A364">
        <v>363</v>
      </c>
      <c r="B364" s="2">
        <v>45706</v>
      </c>
      <c r="C364" t="s">
        <v>17</v>
      </c>
      <c r="D364" t="s">
        <v>25</v>
      </c>
      <c r="E364" t="s">
        <v>33</v>
      </c>
      <c r="F364" t="s">
        <v>46</v>
      </c>
      <c r="G364" t="s">
        <v>71</v>
      </c>
      <c r="H364" t="s">
        <v>74</v>
      </c>
      <c r="I364">
        <v>4</v>
      </c>
      <c r="J364">
        <v>49354</v>
      </c>
      <c r="K364">
        <v>0.15</v>
      </c>
      <c r="L364">
        <v>167803.6</v>
      </c>
      <c r="M364">
        <v>114168.13</v>
      </c>
      <c r="N364">
        <v>53635.47</v>
      </c>
      <c r="O364" t="s">
        <v>78</v>
      </c>
      <c r="P364" t="s">
        <v>87</v>
      </c>
    </row>
    <row r="365" spans="1:16" x14ac:dyDescent="0.25">
      <c r="A365">
        <v>364</v>
      </c>
      <c r="B365" s="2">
        <v>45801</v>
      </c>
      <c r="C365" t="s">
        <v>23</v>
      </c>
      <c r="D365" t="s">
        <v>27</v>
      </c>
      <c r="E365" t="s">
        <v>34</v>
      </c>
      <c r="F365" t="s">
        <v>55</v>
      </c>
      <c r="G365" t="s">
        <v>71</v>
      </c>
      <c r="H365" t="s">
        <v>75</v>
      </c>
      <c r="I365">
        <v>6</v>
      </c>
      <c r="J365">
        <v>2863</v>
      </c>
      <c r="K365">
        <v>0.05</v>
      </c>
      <c r="L365">
        <v>16319.1</v>
      </c>
      <c r="M365">
        <v>13006.99</v>
      </c>
      <c r="N365">
        <v>3312.11</v>
      </c>
      <c r="O365" t="s">
        <v>77</v>
      </c>
      <c r="P365" t="s">
        <v>82</v>
      </c>
    </row>
    <row r="366" spans="1:16" x14ac:dyDescent="0.25">
      <c r="A366">
        <v>365</v>
      </c>
      <c r="B366" s="2">
        <v>45725</v>
      </c>
      <c r="C366" t="s">
        <v>22</v>
      </c>
      <c r="D366" t="s">
        <v>24</v>
      </c>
      <c r="E366" t="s">
        <v>33</v>
      </c>
      <c r="F366" t="s">
        <v>52</v>
      </c>
      <c r="G366" t="s">
        <v>71</v>
      </c>
      <c r="H366" t="s">
        <v>73</v>
      </c>
      <c r="I366">
        <v>6</v>
      </c>
      <c r="J366">
        <v>28239</v>
      </c>
      <c r="K366">
        <v>0.1</v>
      </c>
      <c r="L366">
        <v>152490.6</v>
      </c>
      <c r="M366">
        <v>117421.03</v>
      </c>
      <c r="N366">
        <v>35069.57</v>
      </c>
      <c r="O366" t="s">
        <v>78</v>
      </c>
      <c r="P366" t="s">
        <v>83</v>
      </c>
    </row>
    <row r="367" spans="1:16" x14ac:dyDescent="0.25">
      <c r="A367">
        <v>366</v>
      </c>
      <c r="B367" s="2">
        <v>45744</v>
      </c>
      <c r="C367" t="s">
        <v>19</v>
      </c>
      <c r="D367" t="s">
        <v>26</v>
      </c>
      <c r="E367" t="s">
        <v>28</v>
      </c>
      <c r="F367" t="s">
        <v>61</v>
      </c>
      <c r="G367" t="s">
        <v>72</v>
      </c>
      <c r="H367" t="s">
        <v>75</v>
      </c>
      <c r="I367">
        <v>6</v>
      </c>
      <c r="J367">
        <v>978</v>
      </c>
      <c r="K367">
        <v>0.05</v>
      </c>
      <c r="L367">
        <v>5574.6</v>
      </c>
      <c r="M367">
        <v>4355.3599999999997</v>
      </c>
      <c r="N367">
        <v>1219.24</v>
      </c>
      <c r="O367" t="s">
        <v>78</v>
      </c>
      <c r="P367" t="s">
        <v>82</v>
      </c>
    </row>
    <row r="368" spans="1:16" x14ac:dyDescent="0.25">
      <c r="A368">
        <v>367</v>
      </c>
      <c r="B368" s="2">
        <v>45895</v>
      </c>
      <c r="C368" t="s">
        <v>20</v>
      </c>
      <c r="D368" t="s">
        <v>26</v>
      </c>
      <c r="E368" t="s">
        <v>31</v>
      </c>
      <c r="F368" t="s">
        <v>47</v>
      </c>
      <c r="G368" t="s">
        <v>71</v>
      </c>
      <c r="H368" t="s">
        <v>75</v>
      </c>
      <c r="I368">
        <v>4</v>
      </c>
      <c r="J368">
        <v>1194</v>
      </c>
      <c r="K368">
        <v>0</v>
      </c>
      <c r="L368">
        <v>4776</v>
      </c>
      <c r="M368">
        <v>3968.68</v>
      </c>
      <c r="N368">
        <v>807.32</v>
      </c>
      <c r="O368" t="s">
        <v>77</v>
      </c>
      <c r="P368" t="s">
        <v>88</v>
      </c>
    </row>
    <row r="369" spans="1:16" x14ac:dyDescent="0.25">
      <c r="A369">
        <v>368</v>
      </c>
      <c r="B369" s="2">
        <v>45668</v>
      </c>
      <c r="C369" t="s">
        <v>19</v>
      </c>
      <c r="D369" t="s">
        <v>26</v>
      </c>
      <c r="E369" t="s">
        <v>33</v>
      </c>
      <c r="F369" t="s">
        <v>52</v>
      </c>
      <c r="G369" t="s">
        <v>72</v>
      </c>
      <c r="H369" t="s">
        <v>74</v>
      </c>
      <c r="I369">
        <v>5</v>
      </c>
      <c r="J369">
        <v>38610</v>
      </c>
      <c r="K369">
        <v>0.15</v>
      </c>
      <c r="L369">
        <v>164092.5</v>
      </c>
      <c r="M369">
        <v>128391</v>
      </c>
      <c r="N369">
        <v>35701.5</v>
      </c>
      <c r="O369" t="s">
        <v>77</v>
      </c>
      <c r="P369" t="s">
        <v>85</v>
      </c>
    </row>
    <row r="370" spans="1:16" x14ac:dyDescent="0.25">
      <c r="A370">
        <v>369</v>
      </c>
      <c r="B370" s="2">
        <v>45671</v>
      </c>
      <c r="C370" t="s">
        <v>19</v>
      </c>
      <c r="D370" t="s">
        <v>26</v>
      </c>
      <c r="E370" t="s">
        <v>32</v>
      </c>
      <c r="F370" t="s">
        <v>66</v>
      </c>
      <c r="G370" t="s">
        <v>70</v>
      </c>
      <c r="H370" t="s">
        <v>75</v>
      </c>
      <c r="I370">
        <v>6</v>
      </c>
      <c r="J370">
        <v>11558</v>
      </c>
      <c r="K370">
        <v>0</v>
      </c>
      <c r="L370">
        <v>69348</v>
      </c>
      <c r="M370">
        <v>56263.71</v>
      </c>
      <c r="N370">
        <v>13084.29</v>
      </c>
      <c r="O370" t="s">
        <v>79</v>
      </c>
      <c r="P370" t="s">
        <v>82</v>
      </c>
    </row>
    <row r="371" spans="1:16" x14ac:dyDescent="0.25">
      <c r="A371">
        <v>370</v>
      </c>
      <c r="B371" s="2">
        <v>46016</v>
      </c>
      <c r="C371" t="s">
        <v>21</v>
      </c>
      <c r="D371" t="s">
        <v>24</v>
      </c>
      <c r="E371" t="s">
        <v>34</v>
      </c>
      <c r="F371" t="s">
        <v>68</v>
      </c>
      <c r="G371" t="s">
        <v>71</v>
      </c>
      <c r="H371" t="s">
        <v>75</v>
      </c>
      <c r="I371">
        <v>2</v>
      </c>
      <c r="J371">
        <v>168</v>
      </c>
      <c r="K371">
        <v>0.1</v>
      </c>
      <c r="L371">
        <v>302.39999999999998</v>
      </c>
      <c r="M371">
        <v>184.66</v>
      </c>
      <c r="N371">
        <v>117.74</v>
      </c>
      <c r="O371" t="s">
        <v>77</v>
      </c>
      <c r="P371" t="s">
        <v>85</v>
      </c>
    </row>
    <row r="372" spans="1:16" x14ac:dyDescent="0.25">
      <c r="A372">
        <v>371</v>
      </c>
      <c r="B372" s="2">
        <v>45797</v>
      </c>
      <c r="C372" t="s">
        <v>21</v>
      </c>
      <c r="D372" t="s">
        <v>24</v>
      </c>
      <c r="E372" t="s">
        <v>32</v>
      </c>
      <c r="F372" t="s">
        <v>49</v>
      </c>
      <c r="G372" t="s">
        <v>72</v>
      </c>
      <c r="H372" t="s">
        <v>73</v>
      </c>
      <c r="I372">
        <v>4</v>
      </c>
      <c r="J372">
        <v>2745</v>
      </c>
      <c r="K372">
        <v>0.05</v>
      </c>
      <c r="L372">
        <v>10431</v>
      </c>
      <c r="M372">
        <v>8003.1</v>
      </c>
      <c r="N372">
        <v>2427.9</v>
      </c>
      <c r="O372" t="s">
        <v>76</v>
      </c>
      <c r="P372" t="s">
        <v>87</v>
      </c>
    </row>
    <row r="373" spans="1:16" x14ac:dyDescent="0.25">
      <c r="A373">
        <v>372</v>
      </c>
      <c r="B373" s="2">
        <v>45806</v>
      </c>
      <c r="C373" t="s">
        <v>20</v>
      </c>
      <c r="D373" t="s">
        <v>26</v>
      </c>
      <c r="E373" t="s">
        <v>29</v>
      </c>
      <c r="F373" t="s">
        <v>53</v>
      </c>
      <c r="G373" t="s">
        <v>72</v>
      </c>
      <c r="H373" t="s">
        <v>73</v>
      </c>
      <c r="I373">
        <v>8</v>
      </c>
      <c r="J373">
        <v>1669</v>
      </c>
      <c r="K373">
        <v>0.05</v>
      </c>
      <c r="L373">
        <v>12684.4</v>
      </c>
      <c r="M373">
        <v>10543.65</v>
      </c>
      <c r="N373">
        <v>2140.75</v>
      </c>
      <c r="O373" t="s">
        <v>79</v>
      </c>
      <c r="P373" t="s">
        <v>84</v>
      </c>
    </row>
    <row r="374" spans="1:16" x14ac:dyDescent="0.25">
      <c r="A374">
        <v>373</v>
      </c>
      <c r="B374" s="2">
        <v>45899</v>
      </c>
      <c r="C374" t="s">
        <v>20</v>
      </c>
      <c r="D374" t="s">
        <v>26</v>
      </c>
      <c r="E374" t="s">
        <v>33</v>
      </c>
      <c r="F374" t="s">
        <v>52</v>
      </c>
      <c r="G374" t="s">
        <v>71</v>
      </c>
      <c r="H374" t="s">
        <v>73</v>
      </c>
      <c r="I374">
        <v>8</v>
      </c>
      <c r="J374">
        <v>22808</v>
      </c>
      <c r="K374">
        <v>0.05</v>
      </c>
      <c r="L374">
        <v>173340.79999999999</v>
      </c>
      <c r="M374">
        <v>140126.98000000001</v>
      </c>
      <c r="N374">
        <v>33213.82</v>
      </c>
      <c r="O374" t="s">
        <v>77</v>
      </c>
      <c r="P374" t="s">
        <v>81</v>
      </c>
    </row>
    <row r="375" spans="1:16" x14ac:dyDescent="0.25">
      <c r="A375">
        <v>374</v>
      </c>
      <c r="B375" s="2">
        <v>45767</v>
      </c>
      <c r="C375" t="s">
        <v>16</v>
      </c>
      <c r="D375" t="s">
        <v>24</v>
      </c>
      <c r="E375" t="s">
        <v>32</v>
      </c>
      <c r="F375" t="s">
        <v>39</v>
      </c>
      <c r="G375" t="s">
        <v>70</v>
      </c>
      <c r="H375" t="s">
        <v>74</v>
      </c>
      <c r="I375">
        <v>2</v>
      </c>
      <c r="J375">
        <v>6138</v>
      </c>
      <c r="K375">
        <v>0.05</v>
      </c>
      <c r="L375">
        <v>11662.2</v>
      </c>
      <c r="M375">
        <v>9181.59</v>
      </c>
      <c r="N375">
        <v>2480.61</v>
      </c>
      <c r="O375" t="s">
        <v>76</v>
      </c>
      <c r="P375" t="s">
        <v>81</v>
      </c>
    </row>
    <row r="376" spans="1:16" x14ac:dyDescent="0.25">
      <c r="A376">
        <v>375</v>
      </c>
      <c r="B376" s="2">
        <v>45675</v>
      </c>
      <c r="C376" t="s">
        <v>20</v>
      </c>
      <c r="D376" t="s">
        <v>26</v>
      </c>
      <c r="E376" t="s">
        <v>34</v>
      </c>
      <c r="F376" t="s">
        <v>68</v>
      </c>
      <c r="G376" t="s">
        <v>71</v>
      </c>
      <c r="H376" t="s">
        <v>73</v>
      </c>
      <c r="I376">
        <v>4</v>
      </c>
      <c r="J376">
        <v>4647</v>
      </c>
      <c r="K376">
        <v>0.1</v>
      </c>
      <c r="L376">
        <v>16729.2</v>
      </c>
      <c r="M376">
        <v>14085.76</v>
      </c>
      <c r="N376">
        <v>2643.44</v>
      </c>
      <c r="O376" t="s">
        <v>80</v>
      </c>
      <c r="P376" t="s">
        <v>83</v>
      </c>
    </row>
    <row r="377" spans="1:16" x14ac:dyDescent="0.25">
      <c r="A377">
        <v>376</v>
      </c>
      <c r="B377" s="2">
        <v>45796</v>
      </c>
      <c r="C377" t="s">
        <v>17</v>
      </c>
      <c r="D377" t="s">
        <v>25</v>
      </c>
      <c r="E377" t="s">
        <v>32</v>
      </c>
      <c r="F377" t="s">
        <v>66</v>
      </c>
      <c r="G377" t="s">
        <v>72</v>
      </c>
      <c r="H377" t="s">
        <v>74</v>
      </c>
      <c r="I377">
        <v>1</v>
      </c>
      <c r="J377">
        <v>12354</v>
      </c>
      <c r="K377">
        <v>0.05</v>
      </c>
      <c r="L377">
        <v>11736.3</v>
      </c>
      <c r="M377">
        <v>7112.44</v>
      </c>
      <c r="N377">
        <v>4623.8599999999997</v>
      </c>
      <c r="O377" t="s">
        <v>79</v>
      </c>
      <c r="P377" t="s">
        <v>86</v>
      </c>
    </row>
    <row r="378" spans="1:16" x14ac:dyDescent="0.25">
      <c r="A378">
        <v>377</v>
      </c>
      <c r="B378" s="2">
        <v>45675</v>
      </c>
      <c r="C378" t="s">
        <v>18</v>
      </c>
      <c r="D378" t="s">
        <v>26</v>
      </c>
      <c r="E378" t="s">
        <v>34</v>
      </c>
      <c r="F378" t="s">
        <v>68</v>
      </c>
      <c r="G378" t="s">
        <v>72</v>
      </c>
      <c r="H378" t="s">
        <v>74</v>
      </c>
      <c r="I378">
        <v>6</v>
      </c>
      <c r="J378">
        <v>5528</v>
      </c>
      <c r="K378">
        <v>0.1</v>
      </c>
      <c r="L378">
        <v>29851.200000000001</v>
      </c>
      <c r="M378">
        <v>25345.37</v>
      </c>
      <c r="N378">
        <v>4505.83</v>
      </c>
      <c r="O378" t="s">
        <v>76</v>
      </c>
      <c r="P378" t="s">
        <v>87</v>
      </c>
    </row>
    <row r="379" spans="1:16" x14ac:dyDescent="0.25">
      <c r="A379">
        <v>378</v>
      </c>
      <c r="B379" s="2">
        <v>45915</v>
      </c>
      <c r="C379" t="s">
        <v>20</v>
      </c>
      <c r="D379" t="s">
        <v>26</v>
      </c>
      <c r="E379" t="s">
        <v>28</v>
      </c>
      <c r="F379" t="s">
        <v>58</v>
      </c>
      <c r="G379" t="s">
        <v>71</v>
      </c>
      <c r="H379" t="s">
        <v>75</v>
      </c>
      <c r="I379">
        <v>2</v>
      </c>
      <c r="J379">
        <v>408</v>
      </c>
      <c r="K379">
        <v>0.05</v>
      </c>
      <c r="L379">
        <v>775.2</v>
      </c>
      <c r="M379">
        <v>651.44000000000005</v>
      </c>
      <c r="N379">
        <v>123.76</v>
      </c>
      <c r="O379" t="s">
        <v>78</v>
      </c>
      <c r="P379" t="s">
        <v>82</v>
      </c>
    </row>
    <row r="380" spans="1:16" x14ac:dyDescent="0.25">
      <c r="A380">
        <v>379</v>
      </c>
      <c r="B380" s="2">
        <v>45990</v>
      </c>
      <c r="C380" t="s">
        <v>19</v>
      </c>
      <c r="D380" t="s">
        <v>26</v>
      </c>
      <c r="E380" t="s">
        <v>29</v>
      </c>
      <c r="F380" t="s">
        <v>36</v>
      </c>
      <c r="G380" t="s">
        <v>71</v>
      </c>
      <c r="H380" t="s">
        <v>75</v>
      </c>
      <c r="I380">
        <v>7</v>
      </c>
      <c r="J380">
        <v>8846</v>
      </c>
      <c r="K380">
        <v>0</v>
      </c>
      <c r="L380">
        <v>61922</v>
      </c>
      <c r="M380">
        <v>49514.62</v>
      </c>
      <c r="N380">
        <v>12407.38</v>
      </c>
      <c r="O380" t="s">
        <v>80</v>
      </c>
      <c r="P380" t="s">
        <v>81</v>
      </c>
    </row>
    <row r="381" spans="1:16" x14ac:dyDescent="0.25">
      <c r="A381">
        <v>380</v>
      </c>
      <c r="B381" s="2">
        <v>45808</v>
      </c>
      <c r="C381" t="s">
        <v>23</v>
      </c>
      <c r="D381" t="s">
        <v>27</v>
      </c>
      <c r="E381" t="s">
        <v>34</v>
      </c>
      <c r="F381" t="s">
        <v>43</v>
      </c>
      <c r="G381" t="s">
        <v>70</v>
      </c>
      <c r="H381" t="s">
        <v>74</v>
      </c>
      <c r="I381">
        <v>1</v>
      </c>
      <c r="J381">
        <v>2832</v>
      </c>
      <c r="K381">
        <v>0.1</v>
      </c>
      <c r="L381">
        <v>2548.8000000000002</v>
      </c>
      <c r="M381">
        <v>1759.73</v>
      </c>
      <c r="N381">
        <v>789.07</v>
      </c>
      <c r="O381" t="s">
        <v>78</v>
      </c>
      <c r="P381" t="s">
        <v>83</v>
      </c>
    </row>
    <row r="382" spans="1:16" x14ac:dyDescent="0.25">
      <c r="A382">
        <v>381</v>
      </c>
      <c r="B382" s="2">
        <v>45957</v>
      </c>
      <c r="C382" t="s">
        <v>23</v>
      </c>
      <c r="D382" t="s">
        <v>27</v>
      </c>
      <c r="E382" t="s">
        <v>34</v>
      </c>
      <c r="F382" t="s">
        <v>51</v>
      </c>
      <c r="G382" t="s">
        <v>70</v>
      </c>
      <c r="H382" t="s">
        <v>73</v>
      </c>
      <c r="I382">
        <v>4</v>
      </c>
      <c r="J382">
        <v>3533</v>
      </c>
      <c r="K382">
        <v>0.2</v>
      </c>
      <c r="L382">
        <v>11305.6</v>
      </c>
      <c r="M382">
        <v>6915.49</v>
      </c>
      <c r="N382">
        <v>4390.1099999999997</v>
      </c>
      <c r="O382" t="s">
        <v>76</v>
      </c>
      <c r="P382" t="s">
        <v>86</v>
      </c>
    </row>
    <row r="383" spans="1:16" x14ac:dyDescent="0.25">
      <c r="A383">
        <v>382</v>
      </c>
      <c r="B383" s="2">
        <v>45715</v>
      </c>
      <c r="C383" t="s">
        <v>23</v>
      </c>
      <c r="D383" t="s">
        <v>27</v>
      </c>
      <c r="E383" t="s">
        <v>32</v>
      </c>
      <c r="F383" t="s">
        <v>66</v>
      </c>
      <c r="G383" t="s">
        <v>70</v>
      </c>
      <c r="H383" t="s">
        <v>73</v>
      </c>
      <c r="I383">
        <v>5</v>
      </c>
      <c r="J383">
        <v>13031</v>
      </c>
      <c r="K383">
        <v>0.1</v>
      </c>
      <c r="L383">
        <v>58639.5</v>
      </c>
      <c r="M383">
        <v>33486.22</v>
      </c>
      <c r="N383">
        <v>25153.279999999999</v>
      </c>
      <c r="O383" t="s">
        <v>77</v>
      </c>
      <c r="P383" t="s">
        <v>81</v>
      </c>
    </row>
    <row r="384" spans="1:16" x14ac:dyDescent="0.25">
      <c r="A384">
        <v>383</v>
      </c>
      <c r="B384" s="2">
        <v>45661</v>
      </c>
      <c r="C384" t="s">
        <v>18</v>
      </c>
      <c r="D384" t="s">
        <v>26</v>
      </c>
      <c r="E384" t="s">
        <v>31</v>
      </c>
      <c r="F384" t="s">
        <v>67</v>
      </c>
      <c r="G384" t="s">
        <v>70</v>
      </c>
      <c r="H384" t="s">
        <v>74</v>
      </c>
      <c r="I384">
        <v>7</v>
      </c>
      <c r="J384">
        <v>200</v>
      </c>
      <c r="K384">
        <v>0</v>
      </c>
      <c r="L384">
        <v>1400</v>
      </c>
      <c r="M384">
        <v>1207.83</v>
      </c>
      <c r="N384">
        <v>192.17</v>
      </c>
      <c r="O384" t="s">
        <v>78</v>
      </c>
      <c r="P384" t="s">
        <v>83</v>
      </c>
    </row>
    <row r="385" spans="1:16" x14ac:dyDescent="0.25">
      <c r="A385">
        <v>384</v>
      </c>
      <c r="B385" s="2">
        <v>45917</v>
      </c>
      <c r="C385" t="s">
        <v>21</v>
      </c>
      <c r="D385" t="s">
        <v>24</v>
      </c>
      <c r="E385" t="s">
        <v>28</v>
      </c>
      <c r="F385" t="s">
        <v>63</v>
      </c>
      <c r="G385" t="s">
        <v>72</v>
      </c>
      <c r="H385" t="s">
        <v>73</v>
      </c>
      <c r="I385">
        <v>2</v>
      </c>
      <c r="J385">
        <v>2495</v>
      </c>
      <c r="K385">
        <v>0.2</v>
      </c>
      <c r="L385">
        <v>3992</v>
      </c>
      <c r="M385">
        <v>3335.87</v>
      </c>
      <c r="N385">
        <v>656.13</v>
      </c>
      <c r="O385" t="s">
        <v>78</v>
      </c>
      <c r="P385" t="s">
        <v>83</v>
      </c>
    </row>
    <row r="386" spans="1:16" x14ac:dyDescent="0.25">
      <c r="A386">
        <v>385</v>
      </c>
      <c r="B386" s="2">
        <v>45951</v>
      </c>
      <c r="C386" t="s">
        <v>16</v>
      </c>
      <c r="D386" t="s">
        <v>24</v>
      </c>
      <c r="E386" t="s">
        <v>31</v>
      </c>
      <c r="F386" t="s">
        <v>67</v>
      </c>
      <c r="G386" t="s">
        <v>70</v>
      </c>
      <c r="H386" t="s">
        <v>75</v>
      </c>
      <c r="I386">
        <v>3</v>
      </c>
      <c r="J386">
        <v>571</v>
      </c>
      <c r="K386">
        <v>0.1</v>
      </c>
      <c r="L386">
        <v>1541.7</v>
      </c>
      <c r="M386">
        <v>1229.67</v>
      </c>
      <c r="N386">
        <v>312.02999999999997</v>
      </c>
      <c r="O386" t="s">
        <v>78</v>
      </c>
      <c r="P386" t="s">
        <v>85</v>
      </c>
    </row>
    <row r="387" spans="1:16" x14ac:dyDescent="0.25">
      <c r="A387">
        <v>386</v>
      </c>
      <c r="B387" s="2">
        <v>45873</v>
      </c>
      <c r="C387" t="s">
        <v>23</v>
      </c>
      <c r="D387" t="s">
        <v>27</v>
      </c>
      <c r="E387" t="s">
        <v>32</v>
      </c>
      <c r="F387" t="s">
        <v>48</v>
      </c>
      <c r="G387" t="s">
        <v>71</v>
      </c>
      <c r="H387" t="s">
        <v>75</v>
      </c>
      <c r="I387">
        <v>7</v>
      </c>
      <c r="J387">
        <v>17023</v>
      </c>
      <c r="K387">
        <v>0.15</v>
      </c>
      <c r="L387">
        <v>101286.85</v>
      </c>
      <c r="M387">
        <v>71770.320000000007</v>
      </c>
      <c r="N387">
        <v>29516.53</v>
      </c>
      <c r="O387" t="s">
        <v>76</v>
      </c>
      <c r="P387" t="s">
        <v>86</v>
      </c>
    </row>
    <row r="388" spans="1:16" x14ac:dyDescent="0.25">
      <c r="A388">
        <v>387</v>
      </c>
      <c r="B388" s="2">
        <v>45853</v>
      </c>
      <c r="C388" t="s">
        <v>17</v>
      </c>
      <c r="D388" t="s">
        <v>25</v>
      </c>
      <c r="E388" t="s">
        <v>28</v>
      </c>
      <c r="F388" t="s">
        <v>58</v>
      </c>
      <c r="G388" t="s">
        <v>71</v>
      </c>
      <c r="H388" t="s">
        <v>74</v>
      </c>
      <c r="I388">
        <v>7</v>
      </c>
      <c r="J388">
        <v>244</v>
      </c>
      <c r="K388">
        <v>0.05</v>
      </c>
      <c r="L388">
        <v>1622.6</v>
      </c>
      <c r="M388">
        <v>1161.6300000000001</v>
      </c>
      <c r="N388">
        <v>460.97</v>
      </c>
      <c r="O388" t="s">
        <v>77</v>
      </c>
      <c r="P388" t="s">
        <v>87</v>
      </c>
    </row>
    <row r="389" spans="1:16" x14ac:dyDescent="0.25">
      <c r="A389">
        <v>388</v>
      </c>
      <c r="B389" s="2">
        <v>45702</v>
      </c>
      <c r="C389" t="s">
        <v>20</v>
      </c>
      <c r="D389" t="s">
        <v>26</v>
      </c>
      <c r="E389" t="s">
        <v>29</v>
      </c>
      <c r="F389" t="s">
        <v>53</v>
      </c>
      <c r="G389" t="s">
        <v>72</v>
      </c>
      <c r="H389" t="s">
        <v>74</v>
      </c>
      <c r="I389">
        <v>4</v>
      </c>
      <c r="J389">
        <v>8074</v>
      </c>
      <c r="K389">
        <v>0.15</v>
      </c>
      <c r="L389">
        <v>27451.599999999999</v>
      </c>
      <c r="M389">
        <v>15163.08</v>
      </c>
      <c r="N389">
        <v>12288.52</v>
      </c>
      <c r="O389" t="s">
        <v>76</v>
      </c>
      <c r="P389" t="s">
        <v>85</v>
      </c>
    </row>
    <row r="390" spans="1:16" x14ac:dyDescent="0.25">
      <c r="A390">
        <v>389</v>
      </c>
      <c r="B390" s="2">
        <v>45667</v>
      </c>
      <c r="C390" t="s">
        <v>22</v>
      </c>
      <c r="D390" t="s">
        <v>24</v>
      </c>
      <c r="E390" t="s">
        <v>31</v>
      </c>
      <c r="F390" t="s">
        <v>69</v>
      </c>
      <c r="G390" t="s">
        <v>71</v>
      </c>
      <c r="H390" t="s">
        <v>73</v>
      </c>
      <c r="I390">
        <v>5</v>
      </c>
      <c r="J390">
        <v>184</v>
      </c>
      <c r="K390">
        <v>0</v>
      </c>
      <c r="L390">
        <v>920</v>
      </c>
      <c r="M390">
        <v>741.13</v>
      </c>
      <c r="N390">
        <v>178.87</v>
      </c>
      <c r="O390" t="s">
        <v>80</v>
      </c>
      <c r="P390" t="s">
        <v>88</v>
      </c>
    </row>
    <row r="391" spans="1:16" x14ac:dyDescent="0.25">
      <c r="A391">
        <v>390</v>
      </c>
      <c r="B391" s="2">
        <v>45953</v>
      </c>
      <c r="C391" t="s">
        <v>23</v>
      </c>
      <c r="D391" t="s">
        <v>27</v>
      </c>
      <c r="E391" t="s">
        <v>28</v>
      </c>
      <c r="F391" t="s">
        <v>35</v>
      </c>
      <c r="G391" t="s">
        <v>71</v>
      </c>
      <c r="H391" t="s">
        <v>74</v>
      </c>
      <c r="I391">
        <v>4</v>
      </c>
      <c r="J391">
        <v>1481</v>
      </c>
      <c r="K391">
        <v>0.05</v>
      </c>
      <c r="L391">
        <v>5627.8</v>
      </c>
      <c r="M391">
        <v>4041.81</v>
      </c>
      <c r="N391">
        <v>1585.99</v>
      </c>
      <c r="O391" t="s">
        <v>78</v>
      </c>
      <c r="P391" t="s">
        <v>84</v>
      </c>
    </row>
    <row r="392" spans="1:16" x14ac:dyDescent="0.25">
      <c r="A392">
        <v>391</v>
      </c>
      <c r="B392" s="2">
        <v>45678</v>
      </c>
      <c r="C392" t="s">
        <v>18</v>
      </c>
      <c r="D392" t="s">
        <v>26</v>
      </c>
      <c r="E392" t="s">
        <v>29</v>
      </c>
      <c r="F392" t="s">
        <v>53</v>
      </c>
      <c r="G392" t="s">
        <v>70</v>
      </c>
      <c r="H392" t="s">
        <v>73</v>
      </c>
      <c r="I392">
        <v>4</v>
      </c>
      <c r="J392">
        <v>6124</v>
      </c>
      <c r="K392">
        <v>0.05</v>
      </c>
      <c r="L392">
        <v>23271.200000000001</v>
      </c>
      <c r="M392">
        <v>20469.39</v>
      </c>
      <c r="N392">
        <v>2801.81</v>
      </c>
      <c r="O392" t="s">
        <v>76</v>
      </c>
      <c r="P392" t="s">
        <v>84</v>
      </c>
    </row>
    <row r="393" spans="1:16" x14ac:dyDescent="0.25">
      <c r="A393">
        <v>392</v>
      </c>
      <c r="B393" s="2">
        <v>45890</v>
      </c>
      <c r="C393" t="s">
        <v>23</v>
      </c>
      <c r="D393" t="s">
        <v>27</v>
      </c>
      <c r="E393" t="s">
        <v>30</v>
      </c>
      <c r="F393" t="s">
        <v>44</v>
      </c>
      <c r="G393" t="s">
        <v>70</v>
      </c>
      <c r="H393" t="s">
        <v>74</v>
      </c>
      <c r="I393">
        <v>6</v>
      </c>
      <c r="J393">
        <v>15890</v>
      </c>
      <c r="K393">
        <v>0.2</v>
      </c>
      <c r="L393">
        <v>76272</v>
      </c>
      <c r="M393">
        <v>65727.66</v>
      </c>
      <c r="N393">
        <v>10544.34</v>
      </c>
      <c r="O393" t="s">
        <v>76</v>
      </c>
      <c r="P393" t="s">
        <v>83</v>
      </c>
    </row>
    <row r="394" spans="1:16" x14ac:dyDescent="0.25">
      <c r="A394">
        <v>393</v>
      </c>
      <c r="B394" s="2">
        <v>45744</v>
      </c>
      <c r="C394" t="s">
        <v>16</v>
      </c>
      <c r="D394" t="s">
        <v>24</v>
      </c>
      <c r="E394" t="s">
        <v>34</v>
      </c>
      <c r="F394" t="s">
        <v>68</v>
      </c>
      <c r="G394" t="s">
        <v>70</v>
      </c>
      <c r="H394" t="s">
        <v>73</v>
      </c>
      <c r="I394">
        <v>3</v>
      </c>
      <c r="J394">
        <v>3775</v>
      </c>
      <c r="K394">
        <v>0</v>
      </c>
      <c r="L394">
        <v>11325</v>
      </c>
      <c r="M394">
        <v>7191.59</v>
      </c>
      <c r="N394">
        <v>4133.41</v>
      </c>
      <c r="O394" t="s">
        <v>80</v>
      </c>
      <c r="P394" t="s">
        <v>84</v>
      </c>
    </row>
    <row r="395" spans="1:16" x14ac:dyDescent="0.25">
      <c r="A395">
        <v>394</v>
      </c>
      <c r="B395" s="2">
        <v>45674</v>
      </c>
      <c r="C395" t="s">
        <v>20</v>
      </c>
      <c r="D395" t="s">
        <v>26</v>
      </c>
      <c r="E395" t="s">
        <v>32</v>
      </c>
      <c r="F395" t="s">
        <v>62</v>
      </c>
      <c r="G395" t="s">
        <v>70</v>
      </c>
      <c r="H395" t="s">
        <v>73</v>
      </c>
      <c r="I395">
        <v>6</v>
      </c>
      <c r="J395">
        <v>6870</v>
      </c>
      <c r="K395">
        <v>0.15</v>
      </c>
      <c r="L395">
        <v>35037</v>
      </c>
      <c r="M395">
        <v>19953.099999999999</v>
      </c>
      <c r="N395">
        <v>15083.9</v>
      </c>
      <c r="O395" t="s">
        <v>76</v>
      </c>
      <c r="P395" t="s">
        <v>81</v>
      </c>
    </row>
    <row r="396" spans="1:16" x14ac:dyDescent="0.25">
      <c r="A396">
        <v>395</v>
      </c>
      <c r="B396" s="2">
        <v>45714</v>
      </c>
      <c r="C396" t="s">
        <v>22</v>
      </c>
      <c r="D396" t="s">
        <v>24</v>
      </c>
      <c r="E396" t="s">
        <v>32</v>
      </c>
      <c r="F396" t="s">
        <v>48</v>
      </c>
      <c r="G396" t="s">
        <v>70</v>
      </c>
      <c r="H396" t="s">
        <v>74</v>
      </c>
      <c r="I396">
        <v>6</v>
      </c>
      <c r="J396">
        <v>20990</v>
      </c>
      <c r="K396">
        <v>0.1</v>
      </c>
      <c r="L396">
        <v>113346</v>
      </c>
      <c r="M396">
        <v>83903.39</v>
      </c>
      <c r="N396">
        <v>29442.61</v>
      </c>
      <c r="O396" t="s">
        <v>80</v>
      </c>
      <c r="P396" t="s">
        <v>82</v>
      </c>
    </row>
    <row r="397" spans="1:16" x14ac:dyDescent="0.25">
      <c r="A397">
        <v>396</v>
      </c>
      <c r="B397" s="2">
        <v>45978</v>
      </c>
      <c r="C397" t="s">
        <v>20</v>
      </c>
      <c r="D397" t="s">
        <v>26</v>
      </c>
      <c r="E397" t="s">
        <v>34</v>
      </c>
      <c r="F397" t="s">
        <v>51</v>
      </c>
      <c r="G397" t="s">
        <v>72</v>
      </c>
      <c r="H397" t="s">
        <v>75</v>
      </c>
      <c r="I397">
        <v>2</v>
      </c>
      <c r="J397">
        <v>5203</v>
      </c>
      <c r="K397">
        <v>0.15</v>
      </c>
      <c r="L397">
        <v>8845.1</v>
      </c>
      <c r="M397">
        <v>5097.16</v>
      </c>
      <c r="N397">
        <v>3747.94</v>
      </c>
      <c r="O397" t="s">
        <v>79</v>
      </c>
      <c r="P397" t="s">
        <v>88</v>
      </c>
    </row>
    <row r="398" spans="1:16" x14ac:dyDescent="0.25">
      <c r="A398">
        <v>397</v>
      </c>
      <c r="B398" s="2">
        <v>45739</v>
      </c>
      <c r="C398" t="s">
        <v>17</v>
      </c>
      <c r="D398" t="s">
        <v>25</v>
      </c>
      <c r="E398" t="s">
        <v>29</v>
      </c>
      <c r="F398" t="s">
        <v>36</v>
      </c>
      <c r="G398" t="s">
        <v>72</v>
      </c>
      <c r="H398" t="s">
        <v>73</v>
      </c>
      <c r="I398">
        <v>7</v>
      </c>
      <c r="J398">
        <v>10634</v>
      </c>
      <c r="K398">
        <v>0.1</v>
      </c>
      <c r="L398">
        <v>66994.2</v>
      </c>
      <c r="M398">
        <v>49014.02</v>
      </c>
      <c r="N398">
        <v>17980.18</v>
      </c>
      <c r="O398" t="s">
        <v>80</v>
      </c>
      <c r="P398" t="s">
        <v>85</v>
      </c>
    </row>
    <row r="399" spans="1:16" x14ac:dyDescent="0.25">
      <c r="A399">
        <v>398</v>
      </c>
      <c r="B399" s="2">
        <v>45861</v>
      </c>
      <c r="C399" t="s">
        <v>20</v>
      </c>
      <c r="D399" t="s">
        <v>26</v>
      </c>
      <c r="E399" t="s">
        <v>29</v>
      </c>
      <c r="F399" t="s">
        <v>53</v>
      </c>
      <c r="G399" t="s">
        <v>72</v>
      </c>
      <c r="H399" t="s">
        <v>73</v>
      </c>
      <c r="I399">
        <v>5</v>
      </c>
      <c r="J399">
        <v>6216</v>
      </c>
      <c r="K399">
        <v>0.05</v>
      </c>
      <c r="L399">
        <v>29526</v>
      </c>
      <c r="M399">
        <v>19364.39</v>
      </c>
      <c r="N399">
        <v>10161.61</v>
      </c>
      <c r="O399" t="s">
        <v>80</v>
      </c>
      <c r="P399" t="s">
        <v>82</v>
      </c>
    </row>
    <row r="400" spans="1:16" x14ac:dyDescent="0.25">
      <c r="A400">
        <v>399</v>
      </c>
      <c r="B400" s="2">
        <v>46016</v>
      </c>
      <c r="C400" t="s">
        <v>23</v>
      </c>
      <c r="D400" t="s">
        <v>27</v>
      </c>
      <c r="E400" t="s">
        <v>32</v>
      </c>
      <c r="F400" t="s">
        <v>66</v>
      </c>
      <c r="G400" t="s">
        <v>72</v>
      </c>
      <c r="H400" t="s">
        <v>73</v>
      </c>
      <c r="I400">
        <v>2</v>
      </c>
      <c r="J400">
        <v>6515</v>
      </c>
      <c r="K400">
        <v>0</v>
      </c>
      <c r="L400">
        <v>13030</v>
      </c>
      <c r="M400">
        <v>10076.98</v>
      </c>
      <c r="N400">
        <v>2953.02</v>
      </c>
      <c r="O400" t="s">
        <v>76</v>
      </c>
      <c r="P400" t="s">
        <v>81</v>
      </c>
    </row>
    <row r="401" spans="1:16" x14ac:dyDescent="0.25">
      <c r="A401">
        <v>400</v>
      </c>
      <c r="B401" s="2">
        <v>45836</v>
      </c>
      <c r="C401" t="s">
        <v>20</v>
      </c>
      <c r="D401" t="s">
        <v>26</v>
      </c>
      <c r="E401" t="s">
        <v>31</v>
      </c>
      <c r="F401" t="s">
        <v>47</v>
      </c>
      <c r="G401" t="s">
        <v>71</v>
      </c>
      <c r="H401" t="s">
        <v>73</v>
      </c>
      <c r="I401">
        <v>5</v>
      </c>
      <c r="J401">
        <v>2361</v>
      </c>
      <c r="K401">
        <v>0.05</v>
      </c>
      <c r="L401">
        <v>11214.75</v>
      </c>
      <c r="M401">
        <v>6982.64</v>
      </c>
      <c r="N401">
        <v>4232.1099999999997</v>
      </c>
      <c r="O401" t="s">
        <v>80</v>
      </c>
      <c r="P401" t="s">
        <v>81</v>
      </c>
    </row>
    <row r="402" spans="1:16" x14ac:dyDescent="0.25">
      <c r="A402">
        <v>401</v>
      </c>
      <c r="B402" s="2">
        <v>45888</v>
      </c>
      <c r="C402" t="s">
        <v>22</v>
      </c>
      <c r="D402" t="s">
        <v>24</v>
      </c>
      <c r="E402" t="s">
        <v>31</v>
      </c>
      <c r="F402" t="s">
        <v>69</v>
      </c>
      <c r="G402" t="s">
        <v>71</v>
      </c>
      <c r="H402" t="s">
        <v>74</v>
      </c>
      <c r="I402">
        <v>5</v>
      </c>
      <c r="J402">
        <v>376</v>
      </c>
      <c r="K402">
        <v>0.2</v>
      </c>
      <c r="L402">
        <v>1504</v>
      </c>
      <c r="M402">
        <v>1224.32</v>
      </c>
      <c r="N402">
        <v>279.68</v>
      </c>
      <c r="O402" t="s">
        <v>77</v>
      </c>
      <c r="P402" t="s">
        <v>85</v>
      </c>
    </row>
    <row r="403" spans="1:16" x14ac:dyDescent="0.25">
      <c r="A403">
        <v>402</v>
      </c>
      <c r="B403" s="2">
        <v>45713</v>
      </c>
      <c r="C403" t="s">
        <v>21</v>
      </c>
      <c r="D403" t="s">
        <v>24</v>
      </c>
      <c r="E403" t="s">
        <v>34</v>
      </c>
      <c r="F403" t="s">
        <v>55</v>
      </c>
      <c r="G403" t="s">
        <v>71</v>
      </c>
      <c r="H403" t="s">
        <v>74</v>
      </c>
      <c r="I403">
        <v>6</v>
      </c>
      <c r="J403">
        <v>5689</v>
      </c>
      <c r="K403">
        <v>0</v>
      </c>
      <c r="L403">
        <v>34134</v>
      </c>
      <c r="M403">
        <v>26676.29</v>
      </c>
      <c r="N403">
        <v>7457.71</v>
      </c>
      <c r="O403" t="s">
        <v>80</v>
      </c>
      <c r="P403" t="s">
        <v>81</v>
      </c>
    </row>
    <row r="404" spans="1:16" x14ac:dyDescent="0.25">
      <c r="A404">
        <v>403</v>
      </c>
      <c r="B404" s="2">
        <v>45965</v>
      </c>
      <c r="C404" t="s">
        <v>20</v>
      </c>
      <c r="D404" t="s">
        <v>26</v>
      </c>
      <c r="E404" t="s">
        <v>33</v>
      </c>
      <c r="F404" t="s">
        <v>52</v>
      </c>
      <c r="G404" t="s">
        <v>71</v>
      </c>
      <c r="H404" t="s">
        <v>74</v>
      </c>
      <c r="I404">
        <v>6</v>
      </c>
      <c r="J404">
        <v>30591</v>
      </c>
      <c r="K404">
        <v>0.1</v>
      </c>
      <c r="L404">
        <v>165191.4</v>
      </c>
      <c r="M404">
        <v>144679.85</v>
      </c>
      <c r="N404">
        <v>20511.55</v>
      </c>
      <c r="O404" t="s">
        <v>76</v>
      </c>
      <c r="P404" t="s">
        <v>88</v>
      </c>
    </row>
    <row r="405" spans="1:16" x14ac:dyDescent="0.25">
      <c r="A405">
        <v>404</v>
      </c>
      <c r="B405" s="2">
        <v>45925</v>
      </c>
      <c r="C405" t="s">
        <v>21</v>
      </c>
      <c r="D405" t="s">
        <v>24</v>
      </c>
      <c r="E405" t="s">
        <v>32</v>
      </c>
      <c r="F405" t="s">
        <v>48</v>
      </c>
      <c r="G405" t="s">
        <v>71</v>
      </c>
      <c r="H405" t="s">
        <v>73</v>
      </c>
      <c r="I405">
        <v>1</v>
      </c>
      <c r="J405">
        <v>1839</v>
      </c>
      <c r="K405">
        <v>0.1</v>
      </c>
      <c r="L405">
        <v>1655.1</v>
      </c>
      <c r="M405">
        <v>1304.77</v>
      </c>
      <c r="N405">
        <v>350.33</v>
      </c>
      <c r="O405" t="s">
        <v>78</v>
      </c>
      <c r="P405" t="s">
        <v>82</v>
      </c>
    </row>
    <row r="406" spans="1:16" x14ac:dyDescent="0.25">
      <c r="A406">
        <v>405</v>
      </c>
      <c r="B406" s="2">
        <v>45819</v>
      </c>
      <c r="C406" t="s">
        <v>23</v>
      </c>
      <c r="D406" t="s">
        <v>27</v>
      </c>
      <c r="E406" t="s">
        <v>28</v>
      </c>
      <c r="F406" t="s">
        <v>35</v>
      </c>
      <c r="G406" t="s">
        <v>70</v>
      </c>
      <c r="H406" t="s">
        <v>73</v>
      </c>
      <c r="I406">
        <v>5</v>
      </c>
      <c r="J406">
        <v>1660</v>
      </c>
      <c r="K406">
        <v>0.15</v>
      </c>
      <c r="L406">
        <v>7055</v>
      </c>
      <c r="M406">
        <v>5527.7</v>
      </c>
      <c r="N406">
        <v>1527.3</v>
      </c>
      <c r="O406" t="s">
        <v>78</v>
      </c>
      <c r="P406" t="s">
        <v>86</v>
      </c>
    </row>
    <row r="407" spans="1:16" x14ac:dyDescent="0.25">
      <c r="A407">
        <v>406</v>
      </c>
      <c r="B407" s="2">
        <v>45871</v>
      </c>
      <c r="C407" t="s">
        <v>22</v>
      </c>
      <c r="D407" t="s">
        <v>24</v>
      </c>
      <c r="E407" t="s">
        <v>28</v>
      </c>
      <c r="F407" t="s">
        <v>54</v>
      </c>
      <c r="G407" t="s">
        <v>70</v>
      </c>
      <c r="H407" t="s">
        <v>75</v>
      </c>
      <c r="I407">
        <v>1</v>
      </c>
      <c r="J407">
        <v>1269</v>
      </c>
      <c r="K407">
        <v>0</v>
      </c>
      <c r="L407">
        <v>1269</v>
      </c>
      <c r="M407">
        <v>1060.68</v>
      </c>
      <c r="N407">
        <v>208.32</v>
      </c>
      <c r="O407" t="s">
        <v>78</v>
      </c>
      <c r="P407" t="s">
        <v>85</v>
      </c>
    </row>
    <row r="408" spans="1:16" x14ac:dyDescent="0.25">
      <c r="A408">
        <v>407</v>
      </c>
      <c r="B408" s="2">
        <v>45827</v>
      </c>
      <c r="C408" t="s">
        <v>23</v>
      </c>
      <c r="D408" t="s">
        <v>27</v>
      </c>
      <c r="E408" t="s">
        <v>31</v>
      </c>
      <c r="F408" t="s">
        <v>47</v>
      </c>
      <c r="G408" t="s">
        <v>70</v>
      </c>
      <c r="H408" t="s">
        <v>74</v>
      </c>
      <c r="I408">
        <v>7</v>
      </c>
      <c r="J408">
        <v>2497</v>
      </c>
      <c r="K408">
        <v>0.15</v>
      </c>
      <c r="L408">
        <v>14857.15</v>
      </c>
      <c r="M408">
        <v>10307.469999999999</v>
      </c>
      <c r="N408">
        <v>4549.68</v>
      </c>
      <c r="O408" t="s">
        <v>80</v>
      </c>
      <c r="P408" t="s">
        <v>86</v>
      </c>
    </row>
    <row r="409" spans="1:16" x14ac:dyDescent="0.25">
      <c r="A409">
        <v>408</v>
      </c>
      <c r="B409" s="2">
        <v>45846</v>
      </c>
      <c r="C409" t="s">
        <v>20</v>
      </c>
      <c r="D409" t="s">
        <v>26</v>
      </c>
      <c r="E409" t="s">
        <v>32</v>
      </c>
      <c r="F409" t="s">
        <v>62</v>
      </c>
      <c r="G409" t="s">
        <v>72</v>
      </c>
      <c r="H409" t="s">
        <v>75</v>
      </c>
      <c r="I409">
        <v>3</v>
      </c>
      <c r="J409">
        <v>11567</v>
      </c>
      <c r="K409">
        <v>0.15</v>
      </c>
      <c r="L409">
        <v>29495.85</v>
      </c>
      <c r="M409">
        <v>25659.38</v>
      </c>
      <c r="N409">
        <v>3836.47</v>
      </c>
      <c r="O409" t="s">
        <v>77</v>
      </c>
      <c r="P409" t="s">
        <v>83</v>
      </c>
    </row>
    <row r="410" spans="1:16" x14ac:dyDescent="0.25">
      <c r="A410">
        <v>409</v>
      </c>
      <c r="B410" s="2">
        <v>45721</v>
      </c>
      <c r="C410" t="s">
        <v>19</v>
      </c>
      <c r="D410" t="s">
        <v>26</v>
      </c>
      <c r="E410" t="s">
        <v>34</v>
      </c>
      <c r="F410" t="s">
        <v>68</v>
      </c>
      <c r="G410" t="s">
        <v>71</v>
      </c>
      <c r="H410" t="s">
        <v>74</v>
      </c>
      <c r="I410">
        <v>3</v>
      </c>
      <c r="J410">
        <v>4274</v>
      </c>
      <c r="K410">
        <v>0.2</v>
      </c>
      <c r="L410">
        <v>10257.6</v>
      </c>
      <c r="M410">
        <v>5895.42</v>
      </c>
      <c r="N410">
        <v>4362.18</v>
      </c>
      <c r="O410" t="s">
        <v>78</v>
      </c>
      <c r="P410" t="s">
        <v>84</v>
      </c>
    </row>
    <row r="411" spans="1:16" x14ac:dyDescent="0.25">
      <c r="A411">
        <v>410</v>
      </c>
      <c r="B411" s="2">
        <v>45821</v>
      </c>
      <c r="C411" t="s">
        <v>16</v>
      </c>
      <c r="D411" t="s">
        <v>24</v>
      </c>
      <c r="E411" t="s">
        <v>32</v>
      </c>
      <c r="F411" t="s">
        <v>49</v>
      </c>
      <c r="G411" t="s">
        <v>71</v>
      </c>
      <c r="H411" t="s">
        <v>73</v>
      </c>
      <c r="I411">
        <v>1</v>
      </c>
      <c r="J411">
        <v>3858</v>
      </c>
      <c r="K411">
        <v>0</v>
      </c>
      <c r="L411">
        <v>3858</v>
      </c>
      <c r="M411">
        <v>2203.6799999999998</v>
      </c>
      <c r="N411">
        <v>1654.32</v>
      </c>
      <c r="O411" t="s">
        <v>76</v>
      </c>
      <c r="P411" t="s">
        <v>83</v>
      </c>
    </row>
    <row r="412" spans="1:16" x14ac:dyDescent="0.25">
      <c r="A412">
        <v>411</v>
      </c>
      <c r="B412" s="2">
        <v>45915</v>
      </c>
      <c r="C412" t="s">
        <v>23</v>
      </c>
      <c r="D412" t="s">
        <v>27</v>
      </c>
      <c r="E412" t="s">
        <v>29</v>
      </c>
      <c r="F412" t="s">
        <v>45</v>
      </c>
      <c r="G412" t="s">
        <v>72</v>
      </c>
      <c r="H412" t="s">
        <v>74</v>
      </c>
      <c r="I412">
        <v>7</v>
      </c>
      <c r="J412">
        <v>448</v>
      </c>
      <c r="K412">
        <v>0.2</v>
      </c>
      <c r="L412">
        <v>2508.8000000000002</v>
      </c>
      <c r="M412">
        <v>1927.76</v>
      </c>
      <c r="N412">
        <v>581.04</v>
      </c>
      <c r="O412" t="s">
        <v>76</v>
      </c>
      <c r="P412" t="s">
        <v>88</v>
      </c>
    </row>
    <row r="413" spans="1:16" x14ac:dyDescent="0.25">
      <c r="A413">
        <v>412</v>
      </c>
      <c r="B413" s="2">
        <v>46003</v>
      </c>
      <c r="C413" t="s">
        <v>22</v>
      </c>
      <c r="D413" t="s">
        <v>24</v>
      </c>
      <c r="E413" t="s">
        <v>31</v>
      </c>
      <c r="F413" t="s">
        <v>47</v>
      </c>
      <c r="G413" t="s">
        <v>70</v>
      </c>
      <c r="H413" t="s">
        <v>75</v>
      </c>
      <c r="I413">
        <v>8</v>
      </c>
      <c r="J413">
        <v>1380</v>
      </c>
      <c r="K413">
        <v>0.1</v>
      </c>
      <c r="L413">
        <v>9936</v>
      </c>
      <c r="M413">
        <v>8654.4699999999993</v>
      </c>
      <c r="N413">
        <v>1281.53</v>
      </c>
      <c r="O413" t="s">
        <v>76</v>
      </c>
      <c r="P413" t="s">
        <v>81</v>
      </c>
    </row>
    <row r="414" spans="1:16" x14ac:dyDescent="0.25">
      <c r="A414">
        <v>413</v>
      </c>
      <c r="B414" s="2">
        <v>45812</v>
      </c>
      <c r="C414" t="s">
        <v>16</v>
      </c>
      <c r="D414" t="s">
        <v>24</v>
      </c>
      <c r="E414" t="s">
        <v>32</v>
      </c>
      <c r="F414" t="s">
        <v>49</v>
      </c>
      <c r="G414" t="s">
        <v>70</v>
      </c>
      <c r="H414" t="s">
        <v>74</v>
      </c>
      <c r="I414">
        <v>6</v>
      </c>
      <c r="J414">
        <v>6536</v>
      </c>
      <c r="K414">
        <v>0</v>
      </c>
      <c r="L414">
        <v>39216</v>
      </c>
      <c r="M414">
        <v>33359.870000000003</v>
      </c>
      <c r="N414">
        <v>5856.13</v>
      </c>
      <c r="O414" t="s">
        <v>80</v>
      </c>
      <c r="P414" t="s">
        <v>86</v>
      </c>
    </row>
    <row r="415" spans="1:16" x14ac:dyDescent="0.25">
      <c r="A415">
        <v>414</v>
      </c>
      <c r="B415" s="2">
        <v>45715</v>
      </c>
      <c r="C415" t="s">
        <v>21</v>
      </c>
      <c r="D415" t="s">
        <v>24</v>
      </c>
      <c r="E415" t="s">
        <v>32</v>
      </c>
      <c r="F415" t="s">
        <v>48</v>
      </c>
      <c r="G415" t="s">
        <v>71</v>
      </c>
      <c r="H415" t="s">
        <v>73</v>
      </c>
      <c r="I415">
        <v>5</v>
      </c>
      <c r="J415">
        <v>17165</v>
      </c>
      <c r="K415">
        <v>0</v>
      </c>
      <c r="L415">
        <v>85825</v>
      </c>
      <c r="M415">
        <v>63851.519999999997</v>
      </c>
      <c r="N415">
        <v>21973.48</v>
      </c>
      <c r="O415" t="s">
        <v>80</v>
      </c>
      <c r="P415" t="s">
        <v>86</v>
      </c>
    </row>
    <row r="416" spans="1:16" x14ac:dyDescent="0.25">
      <c r="A416">
        <v>415</v>
      </c>
      <c r="B416" s="2">
        <v>45823</v>
      </c>
      <c r="C416" t="s">
        <v>20</v>
      </c>
      <c r="D416" t="s">
        <v>26</v>
      </c>
      <c r="E416" t="s">
        <v>34</v>
      </c>
      <c r="F416" t="s">
        <v>51</v>
      </c>
      <c r="G416" t="s">
        <v>70</v>
      </c>
      <c r="H416" t="s">
        <v>74</v>
      </c>
      <c r="I416">
        <v>1</v>
      </c>
      <c r="J416">
        <v>4461</v>
      </c>
      <c r="K416">
        <v>0.1</v>
      </c>
      <c r="L416">
        <v>4014.9</v>
      </c>
      <c r="M416">
        <v>3037.13</v>
      </c>
      <c r="N416">
        <v>977.77</v>
      </c>
      <c r="O416" t="s">
        <v>76</v>
      </c>
      <c r="P416" t="s">
        <v>81</v>
      </c>
    </row>
    <row r="417" spans="1:16" x14ac:dyDescent="0.25">
      <c r="A417">
        <v>416</v>
      </c>
      <c r="B417" s="2">
        <v>45792</v>
      </c>
      <c r="C417" t="s">
        <v>22</v>
      </c>
      <c r="D417" t="s">
        <v>24</v>
      </c>
      <c r="E417" t="s">
        <v>30</v>
      </c>
      <c r="F417" t="s">
        <v>37</v>
      </c>
      <c r="G417" t="s">
        <v>72</v>
      </c>
      <c r="H417" t="s">
        <v>74</v>
      </c>
      <c r="I417">
        <v>2</v>
      </c>
      <c r="J417">
        <v>21769</v>
      </c>
      <c r="K417">
        <v>0.05</v>
      </c>
      <c r="L417">
        <v>41361.1</v>
      </c>
      <c r="M417">
        <v>27233.32</v>
      </c>
      <c r="N417">
        <v>14127.78</v>
      </c>
      <c r="O417" t="s">
        <v>78</v>
      </c>
      <c r="P417" t="s">
        <v>87</v>
      </c>
    </row>
    <row r="418" spans="1:16" x14ac:dyDescent="0.25">
      <c r="A418">
        <v>417</v>
      </c>
      <c r="B418" s="2">
        <v>45710</v>
      </c>
      <c r="C418" t="s">
        <v>16</v>
      </c>
      <c r="D418" t="s">
        <v>24</v>
      </c>
      <c r="E418" t="s">
        <v>32</v>
      </c>
      <c r="F418" t="s">
        <v>39</v>
      </c>
      <c r="G418" t="s">
        <v>71</v>
      </c>
      <c r="H418" t="s">
        <v>75</v>
      </c>
      <c r="I418">
        <v>7</v>
      </c>
      <c r="J418">
        <v>14149</v>
      </c>
      <c r="K418">
        <v>0</v>
      </c>
      <c r="L418">
        <v>99043</v>
      </c>
      <c r="M418">
        <v>85652.3</v>
      </c>
      <c r="N418">
        <v>13390.7</v>
      </c>
      <c r="O418" t="s">
        <v>77</v>
      </c>
      <c r="P418" t="s">
        <v>87</v>
      </c>
    </row>
    <row r="419" spans="1:16" x14ac:dyDescent="0.25">
      <c r="A419">
        <v>418</v>
      </c>
      <c r="B419" s="2">
        <v>45968</v>
      </c>
      <c r="C419" t="s">
        <v>20</v>
      </c>
      <c r="D419" t="s">
        <v>26</v>
      </c>
      <c r="E419" t="s">
        <v>29</v>
      </c>
      <c r="F419" t="s">
        <v>53</v>
      </c>
      <c r="G419" t="s">
        <v>70</v>
      </c>
      <c r="H419" t="s">
        <v>74</v>
      </c>
      <c r="I419">
        <v>5</v>
      </c>
      <c r="J419">
        <v>2463</v>
      </c>
      <c r="K419">
        <v>0.05</v>
      </c>
      <c r="L419">
        <v>11699.25</v>
      </c>
      <c r="M419">
        <v>9890.26</v>
      </c>
      <c r="N419">
        <v>1808.99</v>
      </c>
      <c r="O419" t="s">
        <v>78</v>
      </c>
      <c r="P419" t="s">
        <v>84</v>
      </c>
    </row>
    <row r="420" spans="1:16" x14ac:dyDescent="0.25">
      <c r="A420">
        <v>419</v>
      </c>
      <c r="B420" s="2">
        <v>45850</v>
      </c>
      <c r="C420" t="s">
        <v>16</v>
      </c>
      <c r="D420" t="s">
        <v>24</v>
      </c>
      <c r="E420" t="s">
        <v>33</v>
      </c>
      <c r="F420" t="s">
        <v>46</v>
      </c>
      <c r="G420" t="s">
        <v>70</v>
      </c>
      <c r="H420" t="s">
        <v>75</v>
      </c>
      <c r="I420">
        <v>3</v>
      </c>
      <c r="J420">
        <v>19982</v>
      </c>
      <c r="K420">
        <v>0.05</v>
      </c>
      <c r="L420">
        <v>56948.7</v>
      </c>
      <c r="M420">
        <v>41932.239999999998</v>
      </c>
      <c r="N420">
        <v>15016.46</v>
      </c>
      <c r="O420" t="s">
        <v>77</v>
      </c>
      <c r="P420" t="s">
        <v>82</v>
      </c>
    </row>
    <row r="421" spans="1:16" x14ac:dyDescent="0.25">
      <c r="A421">
        <v>420</v>
      </c>
      <c r="B421" s="2">
        <v>45664</v>
      </c>
      <c r="C421" t="s">
        <v>17</v>
      </c>
      <c r="D421" t="s">
        <v>25</v>
      </c>
      <c r="E421" t="s">
        <v>30</v>
      </c>
      <c r="F421" t="s">
        <v>44</v>
      </c>
      <c r="G421" t="s">
        <v>71</v>
      </c>
      <c r="H421" t="s">
        <v>74</v>
      </c>
      <c r="I421">
        <v>8</v>
      </c>
      <c r="J421">
        <v>33834</v>
      </c>
      <c r="K421">
        <v>0.05</v>
      </c>
      <c r="L421">
        <v>257138.4</v>
      </c>
      <c r="M421">
        <v>221675.41</v>
      </c>
      <c r="N421">
        <v>35462.99</v>
      </c>
      <c r="O421" t="s">
        <v>80</v>
      </c>
      <c r="P421" t="s">
        <v>86</v>
      </c>
    </row>
    <row r="422" spans="1:16" x14ac:dyDescent="0.25">
      <c r="A422">
        <v>421</v>
      </c>
      <c r="B422" s="2">
        <v>45692</v>
      </c>
      <c r="C422" t="s">
        <v>19</v>
      </c>
      <c r="D422" t="s">
        <v>26</v>
      </c>
      <c r="E422" t="s">
        <v>29</v>
      </c>
      <c r="F422" t="s">
        <v>53</v>
      </c>
      <c r="G422" t="s">
        <v>71</v>
      </c>
      <c r="H422" t="s">
        <v>73</v>
      </c>
      <c r="I422">
        <v>1</v>
      </c>
      <c r="J422">
        <v>4802</v>
      </c>
      <c r="K422">
        <v>0.1</v>
      </c>
      <c r="L422">
        <v>4321.8</v>
      </c>
      <c r="M422">
        <v>3575.02</v>
      </c>
      <c r="N422">
        <v>746.78</v>
      </c>
      <c r="O422" t="s">
        <v>78</v>
      </c>
      <c r="P422" t="s">
        <v>86</v>
      </c>
    </row>
    <row r="423" spans="1:16" x14ac:dyDescent="0.25">
      <c r="A423">
        <v>422</v>
      </c>
      <c r="B423" s="2">
        <v>45826</v>
      </c>
      <c r="C423" t="s">
        <v>23</v>
      </c>
      <c r="D423" t="s">
        <v>27</v>
      </c>
      <c r="E423" t="s">
        <v>32</v>
      </c>
      <c r="F423" t="s">
        <v>62</v>
      </c>
      <c r="G423" t="s">
        <v>70</v>
      </c>
      <c r="H423" t="s">
        <v>75</v>
      </c>
      <c r="I423">
        <v>4</v>
      </c>
      <c r="J423">
        <v>15126</v>
      </c>
      <c r="K423">
        <v>0.05</v>
      </c>
      <c r="L423">
        <v>57478.8</v>
      </c>
      <c r="M423">
        <v>48513.34</v>
      </c>
      <c r="N423">
        <v>8965.4599999999991</v>
      </c>
      <c r="O423" t="s">
        <v>79</v>
      </c>
      <c r="P423" t="s">
        <v>85</v>
      </c>
    </row>
    <row r="424" spans="1:16" x14ac:dyDescent="0.25">
      <c r="A424">
        <v>423</v>
      </c>
      <c r="B424" s="2">
        <v>45706</v>
      </c>
      <c r="C424" t="s">
        <v>20</v>
      </c>
      <c r="D424" t="s">
        <v>26</v>
      </c>
      <c r="E424" t="s">
        <v>31</v>
      </c>
      <c r="F424" t="s">
        <v>69</v>
      </c>
      <c r="G424" t="s">
        <v>71</v>
      </c>
      <c r="H424" t="s">
        <v>73</v>
      </c>
      <c r="I424">
        <v>1</v>
      </c>
      <c r="J424">
        <v>2077</v>
      </c>
      <c r="K424">
        <v>0</v>
      </c>
      <c r="L424">
        <v>2077</v>
      </c>
      <c r="M424">
        <v>1677.45</v>
      </c>
      <c r="N424">
        <v>399.55</v>
      </c>
      <c r="O424" t="s">
        <v>80</v>
      </c>
      <c r="P424" t="s">
        <v>82</v>
      </c>
    </row>
    <row r="425" spans="1:16" x14ac:dyDescent="0.25">
      <c r="A425">
        <v>424</v>
      </c>
      <c r="B425" s="2">
        <v>45686</v>
      </c>
      <c r="C425" t="s">
        <v>23</v>
      </c>
      <c r="D425" t="s">
        <v>27</v>
      </c>
      <c r="E425" t="s">
        <v>28</v>
      </c>
      <c r="F425" t="s">
        <v>54</v>
      </c>
      <c r="G425" t="s">
        <v>71</v>
      </c>
      <c r="H425" t="s">
        <v>74</v>
      </c>
      <c r="I425">
        <v>3</v>
      </c>
      <c r="J425">
        <v>1952</v>
      </c>
      <c r="K425">
        <v>0.2</v>
      </c>
      <c r="L425">
        <v>4684.8</v>
      </c>
      <c r="M425">
        <v>2946.64</v>
      </c>
      <c r="N425">
        <v>1738.16</v>
      </c>
      <c r="O425" t="s">
        <v>80</v>
      </c>
      <c r="P425" t="s">
        <v>82</v>
      </c>
    </row>
    <row r="426" spans="1:16" x14ac:dyDescent="0.25">
      <c r="A426">
        <v>425</v>
      </c>
      <c r="B426" s="2">
        <v>45803</v>
      </c>
      <c r="C426" t="s">
        <v>19</v>
      </c>
      <c r="D426" t="s">
        <v>26</v>
      </c>
      <c r="E426" t="s">
        <v>30</v>
      </c>
      <c r="F426" t="s">
        <v>44</v>
      </c>
      <c r="G426" t="s">
        <v>70</v>
      </c>
      <c r="H426" t="s">
        <v>75</v>
      </c>
      <c r="I426">
        <v>5</v>
      </c>
      <c r="J426">
        <v>69545</v>
      </c>
      <c r="K426">
        <v>0.1</v>
      </c>
      <c r="L426">
        <v>312952.5</v>
      </c>
      <c r="M426">
        <v>187211.9</v>
      </c>
      <c r="N426">
        <v>125740.6</v>
      </c>
      <c r="O426" t="s">
        <v>77</v>
      </c>
      <c r="P426" t="s">
        <v>84</v>
      </c>
    </row>
    <row r="427" spans="1:16" x14ac:dyDescent="0.25">
      <c r="A427">
        <v>426</v>
      </c>
      <c r="B427" s="2">
        <v>45771</v>
      </c>
      <c r="C427" t="s">
        <v>21</v>
      </c>
      <c r="D427" t="s">
        <v>24</v>
      </c>
      <c r="E427" t="s">
        <v>29</v>
      </c>
      <c r="F427" t="s">
        <v>45</v>
      </c>
      <c r="G427" t="s">
        <v>72</v>
      </c>
      <c r="H427" t="s">
        <v>74</v>
      </c>
      <c r="I427">
        <v>2</v>
      </c>
      <c r="J427">
        <v>4336</v>
      </c>
      <c r="K427">
        <v>0</v>
      </c>
      <c r="L427">
        <v>8672</v>
      </c>
      <c r="M427">
        <v>5009.88</v>
      </c>
      <c r="N427">
        <v>3662.12</v>
      </c>
      <c r="O427" t="s">
        <v>76</v>
      </c>
      <c r="P427" t="s">
        <v>85</v>
      </c>
    </row>
    <row r="428" spans="1:16" x14ac:dyDescent="0.25">
      <c r="A428">
        <v>427</v>
      </c>
      <c r="B428" s="2">
        <v>45702</v>
      </c>
      <c r="C428" t="s">
        <v>18</v>
      </c>
      <c r="D428" t="s">
        <v>26</v>
      </c>
      <c r="E428" t="s">
        <v>30</v>
      </c>
      <c r="F428" t="s">
        <v>37</v>
      </c>
      <c r="G428" t="s">
        <v>71</v>
      </c>
      <c r="H428" t="s">
        <v>75</v>
      </c>
      <c r="I428">
        <v>6</v>
      </c>
      <c r="J428">
        <v>36429</v>
      </c>
      <c r="K428">
        <v>0.2</v>
      </c>
      <c r="L428">
        <v>174859.2</v>
      </c>
      <c r="M428">
        <v>132507.53</v>
      </c>
      <c r="N428">
        <v>42351.67</v>
      </c>
      <c r="O428" t="s">
        <v>76</v>
      </c>
      <c r="P428" t="s">
        <v>85</v>
      </c>
    </row>
    <row r="429" spans="1:16" x14ac:dyDescent="0.25">
      <c r="A429">
        <v>428</v>
      </c>
      <c r="B429" s="2">
        <v>45957</v>
      </c>
      <c r="C429" t="s">
        <v>20</v>
      </c>
      <c r="D429" t="s">
        <v>26</v>
      </c>
      <c r="E429" t="s">
        <v>28</v>
      </c>
      <c r="F429" t="s">
        <v>61</v>
      </c>
      <c r="G429" t="s">
        <v>72</v>
      </c>
      <c r="H429" t="s">
        <v>73</v>
      </c>
      <c r="I429">
        <v>2</v>
      </c>
      <c r="J429">
        <v>1057</v>
      </c>
      <c r="K429">
        <v>0.05</v>
      </c>
      <c r="L429">
        <v>2008.3</v>
      </c>
      <c r="M429">
        <v>1424.76</v>
      </c>
      <c r="N429">
        <v>583.54</v>
      </c>
      <c r="O429" t="s">
        <v>77</v>
      </c>
      <c r="P429" t="s">
        <v>85</v>
      </c>
    </row>
    <row r="430" spans="1:16" x14ac:dyDescent="0.25">
      <c r="A430">
        <v>429</v>
      </c>
      <c r="B430" s="2">
        <v>45819</v>
      </c>
      <c r="C430" t="s">
        <v>22</v>
      </c>
      <c r="D430" t="s">
        <v>24</v>
      </c>
      <c r="E430" t="s">
        <v>28</v>
      </c>
      <c r="F430" t="s">
        <v>35</v>
      </c>
      <c r="G430" t="s">
        <v>71</v>
      </c>
      <c r="H430" t="s">
        <v>73</v>
      </c>
      <c r="I430">
        <v>5</v>
      </c>
      <c r="J430">
        <v>2315</v>
      </c>
      <c r="K430">
        <v>0.1</v>
      </c>
      <c r="L430">
        <v>10417.5</v>
      </c>
      <c r="M430">
        <v>8777.5400000000009</v>
      </c>
      <c r="N430">
        <v>1639.96</v>
      </c>
      <c r="O430" t="s">
        <v>77</v>
      </c>
      <c r="P430" t="s">
        <v>85</v>
      </c>
    </row>
    <row r="431" spans="1:16" x14ac:dyDescent="0.25">
      <c r="A431">
        <v>430</v>
      </c>
      <c r="B431" s="2">
        <v>46011</v>
      </c>
      <c r="C431" t="s">
        <v>23</v>
      </c>
      <c r="D431" t="s">
        <v>27</v>
      </c>
      <c r="E431" t="s">
        <v>34</v>
      </c>
      <c r="F431" t="s">
        <v>55</v>
      </c>
      <c r="G431" t="s">
        <v>72</v>
      </c>
      <c r="H431" t="s">
        <v>74</v>
      </c>
      <c r="I431">
        <v>8</v>
      </c>
      <c r="J431">
        <v>3847</v>
      </c>
      <c r="K431">
        <v>0</v>
      </c>
      <c r="L431">
        <v>30776</v>
      </c>
      <c r="M431">
        <v>23243.69</v>
      </c>
      <c r="N431">
        <v>7532.31</v>
      </c>
      <c r="O431" t="s">
        <v>79</v>
      </c>
      <c r="P431" t="s">
        <v>84</v>
      </c>
    </row>
    <row r="432" spans="1:16" x14ac:dyDescent="0.25">
      <c r="A432">
        <v>431</v>
      </c>
      <c r="B432" s="2">
        <v>45933</v>
      </c>
      <c r="C432" t="s">
        <v>22</v>
      </c>
      <c r="D432" t="s">
        <v>24</v>
      </c>
      <c r="E432" t="s">
        <v>33</v>
      </c>
      <c r="F432" t="s">
        <v>41</v>
      </c>
      <c r="G432" t="s">
        <v>72</v>
      </c>
      <c r="H432" t="s">
        <v>73</v>
      </c>
      <c r="I432">
        <v>3</v>
      </c>
      <c r="J432">
        <v>6923</v>
      </c>
      <c r="K432">
        <v>0.05</v>
      </c>
      <c r="L432">
        <v>19730.55</v>
      </c>
      <c r="M432">
        <v>14271.12</v>
      </c>
      <c r="N432">
        <v>5459.43</v>
      </c>
      <c r="O432" t="s">
        <v>76</v>
      </c>
      <c r="P432" t="s">
        <v>85</v>
      </c>
    </row>
    <row r="433" spans="1:16" x14ac:dyDescent="0.25">
      <c r="A433">
        <v>432</v>
      </c>
      <c r="B433" s="2">
        <v>45845</v>
      </c>
      <c r="C433" t="s">
        <v>22</v>
      </c>
      <c r="D433" t="s">
        <v>24</v>
      </c>
      <c r="E433" t="s">
        <v>33</v>
      </c>
      <c r="F433" t="s">
        <v>41</v>
      </c>
      <c r="G433" t="s">
        <v>72</v>
      </c>
      <c r="H433" t="s">
        <v>75</v>
      </c>
      <c r="I433">
        <v>3</v>
      </c>
      <c r="J433">
        <v>39887</v>
      </c>
      <c r="K433">
        <v>0.15</v>
      </c>
      <c r="L433">
        <v>101711.85</v>
      </c>
      <c r="M433">
        <v>69892.03</v>
      </c>
      <c r="N433">
        <v>31819.82</v>
      </c>
      <c r="O433" t="s">
        <v>76</v>
      </c>
      <c r="P433" t="s">
        <v>82</v>
      </c>
    </row>
    <row r="434" spans="1:16" x14ac:dyDescent="0.25">
      <c r="A434">
        <v>433</v>
      </c>
      <c r="B434" s="2">
        <v>45818</v>
      </c>
      <c r="C434" t="s">
        <v>21</v>
      </c>
      <c r="D434" t="s">
        <v>24</v>
      </c>
      <c r="E434" t="s">
        <v>30</v>
      </c>
      <c r="F434" t="s">
        <v>37</v>
      </c>
      <c r="G434" t="s">
        <v>72</v>
      </c>
      <c r="H434" t="s">
        <v>73</v>
      </c>
      <c r="I434">
        <v>2</v>
      </c>
      <c r="J434">
        <v>11469</v>
      </c>
      <c r="K434">
        <v>0.15</v>
      </c>
      <c r="L434">
        <v>19497.3</v>
      </c>
      <c r="M434">
        <v>16542.86</v>
      </c>
      <c r="N434">
        <v>2954.44</v>
      </c>
      <c r="O434" t="s">
        <v>77</v>
      </c>
      <c r="P434" t="s">
        <v>83</v>
      </c>
    </row>
    <row r="435" spans="1:16" x14ac:dyDescent="0.25">
      <c r="A435">
        <v>434</v>
      </c>
      <c r="B435" s="2">
        <v>45729</v>
      </c>
      <c r="C435" t="s">
        <v>21</v>
      </c>
      <c r="D435" t="s">
        <v>24</v>
      </c>
      <c r="E435" t="s">
        <v>30</v>
      </c>
      <c r="F435" t="s">
        <v>44</v>
      </c>
      <c r="G435" t="s">
        <v>72</v>
      </c>
      <c r="H435" t="s">
        <v>74</v>
      </c>
      <c r="I435">
        <v>2</v>
      </c>
      <c r="J435">
        <v>17105</v>
      </c>
      <c r="K435">
        <v>0.15</v>
      </c>
      <c r="L435">
        <v>29078.5</v>
      </c>
      <c r="M435">
        <v>20373.79</v>
      </c>
      <c r="N435">
        <v>8704.7099999999991</v>
      </c>
      <c r="O435" t="s">
        <v>76</v>
      </c>
      <c r="P435" t="s">
        <v>88</v>
      </c>
    </row>
    <row r="436" spans="1:16" x14ac:dyDescent="0.25">
      <c r="A436">
        <v>435</v>
      </c>
      <c r="B436" s="2">
        <v>45890</v>
      </c>
      <c r="C436" t="s">
        <v>20</v>
      </c>
      <c r="D436" t="s">
        <v>26</v>
      </c>
      <c r="E436" t="s">
        <v>28</v>
      </c>
      <c r="F436" t="s">
        <v>35</v>
      </c>
      <c r="G436" t="s">
        <v>72</v>
      </c>
      <c r="H436" t="s">
        <v>75</v>
      </c>
      <c r="I436">
        <v>1</v>
      </c>
      <c r="J436">
        <v>1137</v>
      </c>
      <c r="K436">
        <v>0</v>
      </c>
      <c r="L436">
        <v>1137</v>
      </c>
      <c r="M436">
        <v>768.7</v>
      </c>
      <c r="N436">
        <v>368.3</v>
      </c>
      <c r="O436" t="s">
        <v>79</v>
      </c>
      <c r="P436" t="s">
        <v>84</v>
      </c>
    </row>
    <row r="437" spans="1:16" x14ac:dyDescent="0.25">
      <c r="A437">
        <v>436</v>
      </c>
      <c r="B437" s="2">
        <v>45980</v>
      </c>
      <c r="C437" t="s">
        <v>23</v>
      </c>
      <c r="D437" t="s">
        <v>27</v>
      </c>
      <c r="E437" t="s">
        <v>30</v>
      </c>
      <c r="F437" t="s">
        <v>40</v>
      </c>
      <c r="G437" t="s">
        <v>71</v>
      </c>
      <c r="H437" t="s">
        <v>73</v>
      </c>
      <c r="I437">
        <v>4</v>
      </c>
      <c r="J437">
        <v>47390</v>
      </c>
      <c r="K437">
        <v>0.05</v>
      </c>
      <c r="L437">
        <v>180082</v>
      </c>
      <c r="M437">
        <v>105015</v>
      </c>
      <c r="N437">
        <v>75067</v>
      </c>
      <c r="O437" t="s">
        <v>76</v>
      </c>
      <c r="P437" t="s">
        <v>88</v>
      </c>
    </row>
    <row r="438" spans="1:16" x14ac:dyDescent="0.25">
      <c r="A438">
        <v>437</v>
      </c>
      <c r="B438" s="2">
        <v>45865</v>
      </c>
      <c r="C438" t="s">
        <v>18</v>
      </c>
      <c r="D438" t="s">
        <v>26</v>
      </c>
      <c r="E438" t="s">
        <v>33</v>
      </c>
      <c r="F438" t="s">
        <v>46</v>
      </c>
      <c r="G438" t="s">
        <v>70</v>
      </c>
      <c r="H438" t="s">
        <v>73</v>
      </c>
      <c r="I438">
        <v>3</v>
      </c>
      <c r="J438">
        <v>19897</v>
      </c>
      <c r="K438">
        <v>0.05</v>
      </c>
      <c r="L438">
        <v>56706.45</v>
      </c>
      <c r="M438">
        <v>33127.910000000003</v>
      </c>
      <c r="N438">
        <v>23578.54</v>
      </c>
      <c r="O438" t="s">
        <v>78</v>
      </c>
      <c r="P438" t="s">
        <v>87</v>
      </c>
    </row>
    <row r="439" spans="1:16" x14ac:dyDescent="0.25">
      <c r="A439">
        <v>438</v>
      </c>
      <c r="B439" s="2">
        <v>45688</v>
      </c>
      <c r="C439" t="s">
        <v>16</v>
      </c>
      <c r="D439" t="s">
        <v>24</v>
      </c>
      <c r="E439" t="s">
        <v>32</v>
      </c>
      <c r="F439" t="s">
        <v>62</v>
      </c>
      <c r="G439" t="s">
        <v>72</v>
      </c>
      <c r="H439" t="s">
        <v>75</v>
      </c>
      <c r="I439">
        <v>3</v>
      </c>
      <c r="J439">
        <v>13231</v>
      </c>
      <c r="K439">
        <v>0.15</v>
      </c>
      <c r="L439">
        <v>33739.050000000003</v>
      </c>
      <c r="M439">
        <v>23014</v>
      </c>
      <c r="N439">
        <v>10725.05</v>
      </c>
      <c r="O439" t="s">
        <v>80</v>
      </c>
      <c r="P439" t="s">
        <v>82</v>
      </c>
    </row>
    <row r="440" spans="1:16" x14ac:dyDescent="0.25">
      <c r="A440">
        <v>439</v>
      </c>
      <c r="B440" s="2">
        <v>45685</v>
      </c>
      <c r="C440" t="s">
        <v>17</v>
      </c>
      <c r="D440" t="s">
        <v>25</v>
      </c>
      <c r="E440" t="s">
        <v>28</v>
      </c>
      <c r="F440" t="s">
        <v>35</v>
      </c>
      <c r="G440" t="s">
        <v>72</v>
      </c>
      <c r="H440" t="s">
        <v>74</v>
      </c>
      <c r="I440">
        <v>8</v>
      </c>
      <c r="J440">
        <v>1041</v>
      </c>
      <c r="K440">
        <v>0</v>
      </c>
      <c r="L440">
        <v>8328</v>
      </c>
      <c r="M440">
        <v>6793.06</v>
      </c>
      <c r="N440">
        <v>1534.94</v>
      </c>
      <c r="O440" t="s">
        <v>79</v>
      </c>
      <c r="P440" t="s">
        <v>88</v>
      </c>
    </row>
    <row r="441" spans="1:16" x14ac:dyDescent="0.25">
      <c r="A441">
        <v>440</v>
      </c>
      <c r="B441" s="2">
        <v>45924</v>
      </c>
      <c r="C441" t="s">
        <v>20</v>
      </c>
      <c r="D441" t="s">
        <v>26</v>
      </c>
      <c r="E441" t="s">
        <v>33</v>
      </c>
      <c r="F441" t="s">
        <v>60</v>
      </c>
      <c r="G441" t="s">
        <v>70</v>
      </c>
      <c r="H441" t="s">
        <v>75</v>
      </c>
      <c r="I441">
        <v>2</v>
      </c>
      <c r="J441">
        <v>11364</v>
      </c>
      <c r="K441">
        <v>0.05</v>
      </c>
      <c r="L441">
        <v>21591.599999999999</v>
      </c>
      <c r="M441">
        <v>16872.759999999998</v>
      </c>
      <c r="N441">
        <v>4718.84</v>
      </c>
      <c r="O441" t="s">
        <v>78</v>
      </c>
      <c r="P441" t="s">
        <v>85</v>
      </c>
    </row>
    <row r="442" spans="1:16" x14ac:dyDescent="0.25">
      <c r="A442">
        <v>441</v>
      </c>
      <c r="B442" s="2">
        <v>45758</v>
      </c>
      <c r="C442" t="s">
        <v>16</v>
      </c>
      <c r="D442" t="s">
        <v>24</v>
      </c>
      <c r="E442" t="s">
        <v>34</v>
      </c>
      <c r="F442" t="s">
        <v>55</v>
      </c>
      <c r="G442" t="s">
        <v>71</v>
      </c>
      <c r="H442" t="s">
        <v>75</v>
      </c>
      <c r="I442">
        <v>5</v>
      </c>
      <c r="J442">
        <v>1710</v>
      </c>
      <c r="K442">
        <v>0.1</v>
      </c>
      <c r="L442">
        <v>7695</v>
      </c>
      <c r="M442">
        <v>5464.57</v>
      </c>
      <c r="N442">
        <v>2230.4299999999998</v>
      </c>
      <c r="O442" t="s">
        <v>79</v>
      </c>
      <c r="P442" t="s">
        <v>83</v>
      </c>
    </row>
    <row r="443" spans="1:16" x14ac:dyDescent="0.25">
      <c r="A443">
        <v>442</v>
      </c>
      <c r="B443" s="2">
        <v>45964</v>
      </c>
      <c r="C443" t="s">
        <v>17</v>
      </c>
      <c r="D443" t="s">
        <v>25</v>
      </c>
      <c r="E443" t="s">
        <v>33</v>
      </c>
      <c r="F443" t="s">
        <v>46</v>
      </c>
      <c r="G443" t="s">
        <v>71</v>
      </c>
      <c r="H443" t="s">
        <v>75</v>
      </c>
      <c r="I443">
        <v>8</v>
      </c>
      <c r="J443">
        <v>44774</v>
      </c>
      <c r="K443">
        <v>0</v>
      </c>
      <c r="L443">
        <v>358192</v>
      </c>
      <c r="M443">
        <v>211124.86</v>
      </c>
      <c r="N443">
        <v>147067.14000000001</v>
      </c>
      <c r="O443" t="s">
        <v>76</v>
      </c>
      <c r="P443" t="s">
        <v>86</v>
      </c>
    </row>
    <row r="444" spans="1:16" x14ac:dyDescent="0.25">
      <c r="A444">
        <v>443</v>
      </c>
      <c r="B444" s="2">
        <v>45761</v>
      </c>
      <c r="C444" t="s">
        <v>16</v>
      </c>
      <c r="D444" t="s">
        <v>24</v>
      </c>
      <c r="E444" t="s">
        <v>32</v>
      </c>
      <c r="F444" t="s">
        <v>66</v>
      </c>
      <c r="G444" t="s">
        <v>70</v>
      </c>
      <c r="H444" t="s">
        <v>74</v>
      </c>
      <c r="I444">
        <v>4</v>
      </c>
      <c r="J444">
        <v>15009</v>
      </c>
      <c r="K444">
        <v>0.15</v>
      </c>
      <c r="L444">
        <v>51030.6</v>
      </c>
      <c r="M444">
        <v>40942.230000000003</v>
      </c>
      <c r="N444">
        <v>10088.370000000001</v>
      </c>
      <c r="O444" t="s">
        <v>78</v>
      </c>
      <c r="P444" t="s">
        <v>85</v>
      </c>
    </row>
    <row r="445" spans="1:16" x14ac:dyDescent="0.25">
      <c r="A445">
        <v>444</v>
      </c>
      <c r="B445" s="2">
        <v>45835</v>
      </c>
      <c r="C445" t="s">
        <v>22</v>
      </c>
      <c r="D445" t="s">
        <v>24</v>
      </c>
      <c r="E445" t="s">
        <v>33</v>
      </c>
      <c r="F445" t="s">
        <v>52</v>
      </c>
      <c r="G445" t="s">
        <v>72</v>
      </c>
      <c r="H445" t="s">
        <v>74</v>
      </c>
      <c r="I445">
        <v>7</v>
      </c>
      <c r="J445">
        <v>47769</v>
      </c>
      <c r="K445">
        <v>0</v>
      </c>
      <c r="L445">
        <v>334383</v>
      </c>
      <c r="M445">
        <v>279536.36</v>
      </c>
      <c r="N445">
        <v>54846.64</v>
      </c>
      <c r="O445" t="s">
        <v>80</v>
      </c>
      <c r="P445" t="s">
        <v>85</v>
      </c>
    </row>
    <row r="446" spans="1:16" x14ac:dyDescent="0.25">
      <c r="A446">
        <v>445</v>
      </c>
      <c r="B446" s="2">
        <v>45673</v>
      </c>
      <c r="C446" t="s">
        <v>23</v>
      </c>
      <c r="D446" t="s">
        <v>27</v>
      </c>
      <c r="E446" t="s">
        <v>32</v>
      </c>
      <c r="F446" t="s">
        <v>39</v>
      </c>
      <c r="G446" t="s">
        <v>70</v>
      </c>
      <c r="H446" t="s">
        <v>74</v>
      </c>
      <c r="I446">
        <v>5</v>
      </c>
      <c r="J446">
        <v>17360</v>
      </c>
      <c r="K446">
        <v>0.1</v>
      </c>
      <c r="L446">
        <v>78120</v>
      </c>
      <c r="M446">
        <v>53128.07</v>
      </c>
      <c r="N446">
        <v>24991.93</v>
      </c>
      <c r="O446" t="s">
        <v>76</v>
      </c>
      <c r="P446" t="s">
        <v>81</v>
      </c>
    </row>
    <row r="447" spans="1:16" x14ac:dyDescent="0.25">
      <c r="A447">
        <v>446</v>
      </c>
      <c r="B447" s="2">
        <v>45808</v>
      </c>
      <c r="C447" t="s">
        <v>23</v>
      </c>
      <c r="D447" t="s">
        <v>27</v>
      </c>
      <c r="E447" t="s">
        <v>30</v>
      </c>
      <c r="F447" t="s">
        <v>64</v>
      </c>
      <c r="G447" t="s">
        <v>72</v>
      </c>
      <c r="H447" t="s">
        <v>73</v>
      </c>
      <c r="I447">
        <v>1</v>
      </c>
      <c r="J447">
        <v>3451</v>
      </c>
      <c r="K447">
        <v>0.1</v>
      </c>
      <c r="L447">
        <v>3105.9</v>
      </c>
      <c r="M447">
        <v>2279.59</v>
      </c>
      <c r="N447">
        <v>826.31</v>
      </c>
      <c r="O447" t="s">
        <v>76</v>
      </c>
      <c r="P447" t="s">
        <v>84</v>
      </c>
    </row>
    <row r="448" spans="1:16" x14ac:dyDescent="0.25">
      <c r="A448">
        <v>447</v>
      </c>
      <c r="B448" s="2">
        <v>46004</v>
      </c>
      <c r="C448" t="s">
        <v>16</v>
      </c>
      <c r="D448" t="s">
        <v>24</v>
      </c>
      <c r="E448" t="s">
        <v>34</v>
      </c>
      <c r="F448" t="s">
        <v>43</v>
      </c>
      <c r="G448" t="s">
        <v>71</v>
      </c>
      <c r="H448" t="s">
        <v>73</v>
      </c>
      <c r="I448">
        <v>6</v>
      </c>
      <c r="J448">
        <v>5263</v>
      </c>
      <c r="K448">
        <v>0</v>
      </c>
      <c r="L448">
        <v>31578</v>
      </c>
      <c r="M448">
        <v>20478.419999999998</v>
      </c>
      <c r="N448">
        <v>11099.58</v>
      </c>
      <c r="O448" t="s">
        <v>77</v>
      </c>
      <c r="P448" t="s">
        <v>82</v>
      </c>
    </row>
    <row r="449" spans="1:16" x14ac:dyDescent="0.25">
      <c r="A449">
        <v>448</v>
      </c>
      <c r="B449" s="2">
        <v>45930</v>
      </c>
      <c r="C449" t="s">
        <v>20</v>
      </c>
      <c r="D449" t="s">
        <v>26</v>
      </c>
      <c r="E449" t="s">
        <v>29</v>
      </c>
      <c r="F449" t="s">
        <v>42</v>
      </c>
      <c r="G449" t="s">
        <v>72</v>
      </c>
      <c r="H449" t="s">
        <v>74</v>
      </c>
      <c r="I449">
        <v>4</v>
      </c>
      <c r="J449">
        <v>6485</v>
      </c>
      <c r="K449">
        <v>0.05</v>
      </c>
      <c r="L449">
        <v>24643</v>
      </c>
      <c r="M449">
        <v>18138.07</v>
      </c>
      <c r="N449">
        <v>6504.93</v>
      </c>
      <c r="O449" t="s">
        <v>78</v>
      </c>
      <c r="P449" t="s">
        <v>85</v>
      </c>
    </row>
    <row r="450" spans="1:16" x14ac:dyDescent="0.25">
      <c r="A450">
        <v>449</v>
      </c>
      <c r="B450" s="2">
        <v>45894</v>
      </c>
      <c r="C450" t="s">
        <v>17</v>
      </c>
      <c r="D450" t="s">
        <v>25</v>
      </c>
      <c r="E450" t="s">
        <v>29</v>
      </c>
      <c r="F450" t="s">
        <v>36</v>
      </c>
      <c r="G450" t="s">
        <v>72</v>
      </c>
      <c r="H450" t="s">
        <v>74</v>
      </c>
      <c r="I450">
        <v>6</v>
      </c>
      <c r="J450">
        <v>10351</v>
      </c>
      <c r="K450">
        <v>0.1</v>
      </c>
      <c r="L450">
        <v>55895.4</v>
      </c>
      <c r="M450">
        <v>35065.54</v>
      </c>
      <c r="N450">
        <v>20829.86</v>
      </c>
      <c r="O450" t="s">
        <v>77</v>
      </c>
      <c r="P450" t="s">
        <v>83</v>
      </c>
    </row>
    <row r="451" spans="1:16" x14ac:dyDescent="0.25">
      <c r="A451">
        <v>450</v>
      </c>
      <c r="B451" s="2">
        <v>45844</v>
      </c>
      <c r="C451" t="s">
        <v>18</v>
      </c>
      <c r="D451" t="s">
        <v>26</v>
      </c>
      <c r="E451" t="s">
        <v>32</v>
      </c>
      <c r="F451" t="s">
        <v>39</v>
      </c>
      <c r="G451" t="s">
        <v>70</v>
      </c>
      <c r="H451" t="s">
        <v>75</v>
      </c>
      <c r="I451">
        <v>5</v>
      </c>
      <c r="J451">
        <v>20139</v>
      </c>
      <c r="K451">
        <v>0</v>
      </c>
      <c r="L451">
        <v>100695</v>
      </c>
      <c r="M451">
        <v>59158.63</v>
      </c>
      <c r="N451">
        <v>41536.370000000003</v>
      </c>
      <c r="O451" t="s">
        <v>77</v>
      </c>
      <c r="P451" t="s">
        <v>85</v>
      </c>
    </row>
    <row r="452" spans="1:16" x14ac:dyDescent="0.25">
      <c r="A452">
        <v>451</v>
      </c>
      <c r="B452" s="2">
        <v>45757</v>
      </c>
      <c r="C452" t="s">
        <v>22</v>
      </c>
      <c r="D452" t="s">
        <v>24</v>
      </c>
      <c r="E452" t="s">
        <v>33</v>
      </c>
      <c r="F452" t="s">
        <v>46</v>
      </c>
      <c r="G452" t="s">
        <v>72</v>
      </c>
      <c r="H452" t="s">
        <v>73</v>
      </c>
      <c r="I452">
        <v>7</v>
      </c>
      <c r="J452">
        <v>45096</v>
      </c>
      <c r="K452">
        <v>0.05</v>
      </c>
      <c r="L452">
        <v>299888.40000000002</v>
      </c>
      <c r="M452">
        <v>226350.89</v>
      </c>
      <c r="N452">
        <v>73537.509999999995</v>
      </c>
      <c r="O452" t="s">
        <v>77</v>
      </c>
      <c r="P452" t="s">
        <v>81</v>
      </c>
    </row>
    <row r="453" spans="1:16" x14ac:dyDescent="0.25">
      <c r="A453">
        <v>452</v>
      </c>
      <c r="B453" s="2">
        <v>45988</v>
      </c>
      <c r="C453" t="s">
        <v>23</v>
      </c>
      <c r="D453" t="s">
        <v>27</v>
      </c>
      <c r="E453" t="s">
        <v>32</v>
      </c>
      <c r="F453" t="s">
        <v>49</v>
      </c>
      <c r="G453" t="s">
        <v>70</v>
      </c>
      <c r="H453" t="s">
        <v>75</v>
      </c>
      <c r="I453">
        <v>8</v>
      </c>
      <c r="J453">
        <v>20070</v>
      </c>
      <c r="K453">
        <v>0.1</v>
      </c>
      <c r="L453">
        <v>144504</v>
      </c>
      <c r="M453">
        <v>124597.37</v>
      </c>
      <c r="N453">
        <v>19906.63</v>
      </c>
      <c r="O453" t="s">
        <v>76</v>
      </c>
      <c r="P453" t="s">
        <v>85</v>
      </c>
    </row>
    <row r="454" spans="1:16" x14ac:dyDescent="0.25">
      <c r="A454">
        <v>453</v>
      </c>
      <c r="B454" s="2">
        <v>45735</v>
      </c>
      <c r="C454" t="s">
        <v>21</v>
      </c>
      <c r="D454" t="s">
        <v>24</v>
      </c>
      <c r="E454" t="s">
        <v>33</v>
      </c>
      <c r="F454" t="s">
        <v>60</v>
      </c>
      <c r="G454" t="s">
        <v>71</v>
      </c>
      <c r="H454" t="s">
        <v>74</v>
      </c>
      <c r="I454">
        <v>5</v>
      </c>
      <c r="J454">
        <v>7155</v>
      </c>
      <c r="K454">
        <v>0.05</v>
      </c>
      <c r="L454">
        <v>33986.25</v>
      </c>
      <c r="M454">
        <v>21484.83</v>
      </c>
      <c r="N454">
        <v>12501.42</v>
      </c>
      <c r="O454" t="s">
        <v>80</v>
      </c>
      <c r="P454" t="s">
        <v>82</v>
      </c>
    </row>
    <row r="455" spans="1:16" x14ac:dyDescent="0.25">
      <c r="A455">
        <v>454</v>
      </c>
      <c r="B455" s="2">
        <v>45991</v>
      </c>
      <c r="C455" t="s">
        <v>23</v>
      </c>
      <c r="D455" t="s">
        <v>27</v>
      </c>
      <c r="E455" t="s">
        <v>30</v>
      </c>
      <c r="F455" t="s">
        <v>37</v>
      </c>
      <c r="G455" t="s">
        <v>71</v>
      </c>
      <c r="H455" t="s">
        <v>73</v>
      </c>
      <c r="I455">
        <v>3</v>
      </c>
      <c r="J455">
        <v>30832</v>
      </c>
      <c r="K455">
        <v>0.15</v>
      </c>
      <c r="L455">
        <v>78621.600000000006</v>
      </c>
      <c r="M455">
        <v>43501.599999999999</v>
      </c>
      <c r="N455">
        <v>35120</v>
      </c>
      <c r="O455" t="s">
        <v>78</v>
      </c>
      <c r="P455" t="s">
        <v>85</v>
      </c>
    </row>
    <row r="456" spans="1:16" x14ac:dyDescent="0.25">
      <c r="A456">
        <v>455</v>
      </c>
      <c r="B456" s="2">
        <v>45994</v>
      </c>
      <c r="C456" t="s">
        <v>21</v>
      </c>
      <c r="D456" t="s">
        <v>24</v>
      </c>
      <c r="E456" t="s">
        <v>29</v>
      </c>
      <c r="F456" t="s">
        <v>53</v>
      </c>
      <c r="G456" t="s">
        <v>70</v>
      </c>
      <c r="H456" t="s">
        <v>75</v>
      </c>
      <c r="I456">
        <v>6</v>
      </c>
      <c r="J456">
        <v>7850</v>
      </c>
      <c r="K456">
        <v>0</v>
      </c>
      <c r="L456">
        <v>47100</v>
      </c>
      <c r="M456">
        <v>28998.23</v>
      </c>
      <c r="N456">
        <v>18101.77</v>
      </c>
      <c r="O456" t="s">
        <v>77</v>
      </c>
      <c r="P456" t="s">
        <v>87</v>
      </c>
    </row>
    <row r="457" spans="1:16" x14ac:dyDescent="0.25">
      <c r="A457">
        <v>456</v>
      </c>
      <c r="B457" s="2">
        <v>45903</v>
      </c>
      <c r="C457" t="s">
        <v>20</v>
      </c>
      <c r="D457" t="s">
        <v>26</v>
      </c>
      <c r="E457" t="s">
        <v>32</v>
      </c>
      <c r="F457" t="s">
        <v>66</v>
      </c>
      <c r="G457" t="s">
        <v>70</v>
      </c>
      <c r="H457" t="s">
        <v>73</v>
      </c>
      <c r="I457">
        <v>4</v>
      </c>
      <c r="J457">
        <v>22347</v>
      </c>
      <c r="K457">
        <v>0</v>
      </c>
      <c r="L457">
        <v>89388</v>
      </c>
      <c r="M457">
        <v>77123.31</v>
      </c>
      <c r="N457">
        <v>12264.69</v>
      </c>
      <c r="O457" t="s">
        <v>78</v>
      </c>
      <c r="P457" t="s">
        <v>82</v>
      </c>
    </row>
    <row r="458" spans="1:16" x14ac:dyDescent="0.25">
      <c r="A458">
        <v>457</v>
      </c>
      <c r="B458" s="2">
        <v>45937</v>
      </c>
      <c r="C458" t="s">
        <v>22</v>
      </c>
      <c r="D458" t="s">
        <v>24</v>
      </c>
      <c r="E458" t="s">
        <v>29</v>
      </c>
      <c r="F458" t="s">
        <v>45</v>
      </c>
      <c r="G458" t="s">
        <v>71</v>
      </c>
      <c r="H458" t="s">
        <v>74</v>
      </c>
      <c r="I458">
        <v>5</v>
      </c>
      <c r="J458">
        <v>4781</v>
      </c>
      <c r="K458">
        <v>0.05</v>
      </c>
      <c r="L458">
        <v>22709.75</v>
      </c>
      <c r="M458">
        <v>15288.35</v>
      </c>
      <c r="N458">
        <v>7421.4</v>
      </c>
      <c r="O458" t="s">
        <v>78</v>
      </c>
      <c r="P458" t="s">
        <v>85</v>
      </c>
    </row>
    <row r="459" spans="1:16" x14ac:dyDescent="0.25">
      <c r="A459">
        <v>458</v>
      </c>
      <c r="B459" s="2">
        <v>45784</v>
      </c>
      <c r="C459" t="s">
        <v>23</v>
      </c>
      <c r="D459" t="s">
        <v>27</v>
      </c>
      <c r="E459" t="s">
        <v>28</v>
      </c>
      <c r="F459" t="s">
        <v>54</v>
      </c>
      <c r="G459" t="s">
        <v>72</v>
      </c>
      <c r="H459" t="s">
        <v>74</v>
      </c>
      <c r="I459">
        <v>7</v>
      </c>
      <c r="J459">
        <v>2081</v>
      </c>
      <c r="K459">
        <v>0.05</v>
      </c>
      <c r="L459">
        <v>13838.65</v>
      </c>
      <c r="M459">
        <v>9909.15</v>
      </c>
      <c r="N459">
        <v>3929.5</v>
      </c>
      <c r="O459" t="s">
        <v>77</v>
      </c>
      <c r="P459" t="s">
        <v>82</v>
      </c>
    </row>
    <row r="460" spans="1:16" x14ac:dyDescent="0.25">
      <c r="A460">
        <v>459</v>
      </c>
      <c r="B460" s="2">
        <v>45880</v>
      </c>
      <c r="C460" t="s">
        <v>23</v>
      </c>
      <c r="D460" t="s">
        <v>27</v>
      </c>
      <c r="E460" t="s">
        <v>32</v>
      </c>
      <c r="F460" t="s">
        <v>66</v>
      </c>
      <c r="G460" t="s">
        <v>71</v>
      </c>
      <c r="H460" t="s">
        <v>73</v>
      </c>
      <c r="I460">
        <v>3</v>
      </c>
      <c r="J460">
        <v>2924</v>
      </c>
      <c r="K460">
        <v>0.05</v>
      </c>
      <c r="L460">
        <v>8333.4</v>
      </c>
      <c r="M460">
        <v>5048.68</v>
      </c>
      <c r="N460">
        <v>3284.72</v>
      </c>
      <c r="O460" t="s">
        <v>79</v>
      </c>
      <c r="P460" t="s">
        <v>82</v>
      </c>
    </row>
    <row r="461" spans="1:16" x14ac:dyDescent="0.25">
      <c r="A461">
        <v>460</v>
      </c>
      <c r="B461" s="2">
        <v>45735</v>
      </c>
      <c r="C461" t="s">
        <v>20</v>
      </c>
      <c r="D461" t="s">
        <v>26</v>
      </c>
      <c r="E461" t="s">
        <v>33</v>
      </c>
      <c r="F461" t="s">
        <v>59</v>
      </c>
      <c r="G461" t="s">
        <v>72</v>
      </c>
      <c r="H461" t="s">
        <v>75</v>
      </c>
      <c r="I461">
        <v>8</v>
      </c>
      <c r="J461">
        <v>23303</v>
      </c>
      <c r="K461">
        <v>0.15</v>
      </c>
      <c r="L461">
        <v>158460.4</v>
      </c>
      <c r="M461">
        <v>98420.19</v>
      </c>
      <c r="N461">
        <v>60040.21</v>
      </c>
      <c r="O461" t="s">
        <v>77</v>
      </c>
      <c r="P461" t="s">
        <v>88</v>
      </c>
    </row>
    <row r="462" spans="1:16" x14ac:dyDescent="0.25">
      <c r="A462">
        <v>461</v>
      </c>
      <c r="B462" s="2">
        <v>45762</v>
      </c>
      <c r="C462" t="s">
        <v>23</v>
      </c>
      <c r="D462" t="s">
        <v>27</v>
      </c>
      <c r="E462" t="s">
        <v>32</v>
      </c>
      <c r="F462" t="s">
        <v>66</v>
      </c>
      <c r="G462" t="s">
        <v>72</v>
      </c>
      <c r="H462" t="s">
        <v>73</v>
      </c>
      <c r="I462">
        <v>6</v>
      </c>
      <c r="J462">
        <v>13082</v>
      </c>
      <c r="K462">
        <v>0.1</v>
      </c>
      <c r="L462">
        <v>70642.8</v>
      </c>
      <c r="M462">
        <v>49408.21</v>
      </c>
      <c r="N462">
        <v>21234.59</v>
      </c>
      <c r="O462" t="s">
        <v>80</v>
      </c>
      <c r="P462" t="s">
        <v>85</v>
      </c>
    </row>
    <row r="463" spans="1:16" x14ac:dyDescent="0.25">
      <c r="A463">
        <v>462</v>
      </c>
      <c r="B463" s="2">
        <v>45857</v>
      </c>
      <c r="C463" t="s">
        <v>19</v>
      </c>
      <c r="D463" t="s">
        <v>26</v>
      </c>
      <c r="E463" t="s">
        <v>31</v>
      </c>
      <c r="F463" t="s">
        <v>67</v>
      </c>
      <c r="G463" t="s">
        <v>72</v>
      </c>
      <c r="H463" t="s">
        <v>74</v>
      </c>
      <c r="I463">
        <v>7</v>
      </c>
      <c r="J463">
        <v>848</v>
      </c>
      <c r="K463">
        <v>0</v>
      </c>
      <c r="L463">
        <v>5936</v>
      </c>
      <c r="M463">
        <v>4016.91</v>
      </c>
      <c r="N463">
        <v>1919.09</v>
      </c>
      <c r="O463" t="s">
        <v>79</v>
      </c>
      <c r="P463" t="s">
        <v>87</v>
      </c>
    </row>
    <row r="464" spans="1:16" x14ac:dyDescent="0.25">
      <c r="A464">
        <v>463</v>
      </c>
      <c r="B464" s="2">
        <v>45921</v>
      </c>
      <c r="C464" t="s">
        <v>18</v>
      </c>
      <c r="D464" t="s">
        <v>26</v>
      </c>
      <c r="E464" t="s">
        <v>32</v>
      </c>
      <c r="F464" t="s">
        <v>48</v>
      </c>
      <c r="G464" t="s">
        <v>72</v>
      </c>
      <c r="H464" t="s">
        <v>73</v>
      </c>
      <c r="I464">
        <v>8</v>
      </c>
      <c r="J464">
        <v>18806</v>
      </c>
      <c r="K464">
        <v>0.05</v>
      </c>
      <c r="L464">
        <v>142925.6</v>
      </c>
      <c r="M464">
        <v>110306.74</v>
      </c>
      <c r="N464">
        <v>32618.86</v>
      </c>
      <c r="O464" t="s">
        <v>77</v>
      </c>
      <c r="P464" t="s">
        <v>86</v>
      </c>
    </row>
    <row r="465" spans="1:16" x14ac:dyDescent="0.25">
      <c r="A465">
        <v>464</v>
      </c>
      <c r="B465" s="2">
        <v>45665</v>
      </c>
      <c r="C465" t="s">
        <v>20</v>
      </c>
      <c r="D465" t="s">
        <v>26</v>
      </c>
      <c r="E465" t="s">
        <v>33</v>
      </c>
      <c r="F465" t="s">
        <v>60</v>
      </c>
      <c r="G465" t="s">
        <v>71</v>
      </c>
      <c r="H465" t="s">
        <v>74</v>
      </c>
      <c r="I465">
        <v>6</v>
      </c>
      <c r="J465">
        <v>31592</v>
      </c>
      <c r="K465">
        <v>0.1</v>
      </c>
      <c r="L465">
        <v>170596.8</v>
      </c>
      <c r="M465">
        <v>139361.18</v>
      </c>
      <c r="N465">
        <v>31235.62</v>
      </c>
      <c r="O465" t="s">
        <v>80</v>
      </c>
      <c r="P465" t="s">
        <v>87</v>
      </c>
    </row>
    <row r="466" spans="1:16" x14ac:dyDescent="0.25">
      <c r="A466">
        <v>465</v>
      </c>
      <c r="B466" s="2">
        <v>45878</v>
      </c>
      <c r="C466" t="s">
        <v>19</v>
      </c>
      <c r="D466" t="s">
        <v>26</v>
      </c>
      <c r="E466" t="s">
        <v>31</v>
      </c>
      <c r="F466" t="s">
        <v>67</v>
      </c>
      <c r="G466" t="s">
        <v>72</v>
      </c>
      <c r="H466" t="s">
        <v>74</v>
      </c>
      <c r="I466">
        <v>5</v>
      </c>
      <c r="J466">
        <v>214</v>
      </c>
      <c r="K466">
        <v>0.05</v>
      </c>
      <c r="L466">
        <v>1016.5</v>
      </c>
      <c r="M466">
        <v>586.41</v>
      </c>
      <c r="N466">
        <v>430.09</v>
      </c>
      <c r="O466" t="s">
        <v>79</v>
      </c>
      <c r="P466" t="s">
        <v>83</v>
      </c>
    </row>
    <row r="467" spans="1:16" x14ac:dyDescent="0.25">
      <c r="A467">
        <v>466</v>
      </c>
      <c r="B467" s="2">
        <v>45852</v>
      </c>
      <c r="C467" t="s">
        <v>22</v>
      </c>
      <c r="D467" t="s">
        <v>24</v>
      </c>
      <c r="E467" t="s">
        <v>32</v>
      </c>
      <c r="F467" t="s">
        <v>48</v>
      </c>
      <c r="G467" t="s">
        <v>71</v>
      </c>
      <c r="H467" t="s">
        <v>73</v>
      </c>
      <c r="I467">
        <v>1</v>
      </c>
      <c r="J467">
        <v>14522</v>
      </c>
      <c r="K467">
        <v>0</v>
      </c>
      <c r="L467">
        <v>14522</v>
      </c>
      <c r="M467">
        <v>11556.14</v>
      </c>
      <c r="N467">
        <v>2965.86</v>
      </c>
      <c r="O467" t="s">
        <v>80</v>
      </c>
      <c r="P467" t="s">
        <v>88</v>
      </c>
    </row>
    <row r="468" spans="1:16" x14ac:dyDescent="0.25">
      <c r="A468">
        <v>467</v>
      </c>
      <c r="B468" s="2">
        <v>45943</v>
      </c>
      <c r="C468" t="s">
        <v>22</v>
      </c>
      <c r="D468" t="s">
        <v>24</v>
      </c>
      <c r="E468" t="s">
        <v>33</v>
      </c>
      <c r="F468" t="s">
        <v>41</v>
      </c>
      <c r="G468" t="s">
        <v>72</v>
      </c>
      <c r="H468" t="s">
        <v>74</v>
      </c>
      <c r="I468">
        <v>4</v>
      </c>
      <c r="J468">
        <v>38170</v>
      </c>
      <c r="K468">
        <v>0.05</v>
      </c>
      <c r="L468">
        <v>145046</v>
      </c>
      <c r="M468">
        <v>113178.7</v>
      </c>
      <c r="N468">
        <v>31867.3</v>
      </c>
      <c r="O468" t="s">
        <v>77</v>
      </c>
      <c r="P468" t="s">
        <v>85</v>
      </c>
    </row>
    <row r="469" spans="1:16" x14ac:dyDescent="0.25">
      <c r="A469">
        <v>468</v>
      </c>
      <c r="B469" s="2">
        <v>45664</v>
      </c>
      <c r="C469" t="s">
        <v>20</v>
      </c>
      <c r="D469" t="s">
        <v>26</v>
      </c>
      <c r="E469" t="s">
        <v>28</v>
      </c>
      <c r="F469" t="s">
        <v>58</v>
      </c>
      <c r="G469" t="s">
        <v>71</v>
      </c>
      <c r="H469" t="s">
        <v>73</v>
      </c>
      <c r="I469">
        <v>6</v>
      </c>
      <c r="J469">
        <v>1436</v>
      </c>
      <c r="K469">
        <v>0.1</v>
      </c>
      <c r="L469">
        <v>7754.4</v>
      </c>
      <c r="M469">
        <v>4430.99</v>
      </c>
      <c r="N469">
        <v>3323.41</v>
      </c>
      <c r="O469" t="s">
        <v>76</v>
      </c>
      <c r="P469" t="s">
        <v>85</v>
      </c>
    </row>
    <row r="470" spans="1:16" x14ac:dyDescent="0.25">
      <c r="A470">
        <v>469</v>
      </c>
      <c r="B470" s="2">
        <v>45750</v>
      </c>
      <c r="C470" t="s">
        <v>19</v>
      </c>
      <c r="D470" t="s">
        <v>26</v>
      </c>
      <c r="E470" t="s">
        <v>31</v>
      </c>
      <c r="F470" t="s">
        <v>69</v>
      </c>
      <c r="G470" t="s">
        <v>70</v>
      </c>
      <c r="H470" t="s">
        <v>74</v>
      </c>
      <c r="I470">
        <v>7</v>
      </c>
      <c r="J470">
        <v>1805</v>
      </c>
      <c r="K470">
        <v>0.15</v>
      </c>
      <c r="L470">
        <v>10739.75</v>
      </c>
      <c r="M470">
        <v>9139.83</v>
      </c>
      <c r="N470">
        <v>1599.92</v>
      </c>
      <c r="O470" t="s">
        <v>76</v>
      </c>
      <c r="P470" t="s">
        <v>85</v>
      </c>
    </row>
    <row r="471" spans="1:16" x14ac:dyDescent="0.25">
      <c r="A471">
        <v>470</v>
      </c>
      <c r="B471" s="2">
        <v>45742</v>
      </c>
      <c r="C471" t="s">
        <v>21</v>
      </c>
      <c r="D471" t="s">
        <v>24</v>
      </c>
      <c r="E471" t="s">
        <v>34</v>
      </c>
      <c r="F471" t="s">
        <v>68</v>
      </c>
      <c r="G471" t="s">
        <v>70</v>
      </c>
      <c r="H471" t="s">
        <v>73</v>
      </c>
      <c r="I471">
        <v>3</v>
      </c>
      <c r="J471">
        <v>1544</v>
      </c>
      <c r="K471">
        <v>0.05</v>
      </c>
      <c r="L471">
        <v>4400.3999999999996</v>
      </c>
      <c r="M471">
        <v>3332.89</v>
      </c>
      <c r="N471">
        <v>1067.51</v>
      </c>
      <c r="O471" t="s">
        <v>76</v>
      </c>
      <c r="P471" t="s">
        <v>85</v>
      </c>
    </row>
    <row r="472" spans="1:16" x14ac:dyDescent="0.25">
      <c r="A472">
        <v>471</v>
      </c>
      <c r="B472" s="2">
        <v>45694</v>
      </c>
      <c r="C472" t="s">
        <v>17</v>
      </c>
      <c r="D472" t="s">
        <v>25</v>
      </c>
      <c r="E472" t="s">
        <v>29</v>
      </c>
      <c r="F472" t="s">
        <v>57</v>
      </c>
      <c r="G472" t="s">
        <v>72</v>
      </c>
      <c r="H472" t="s">
        <v>74</v>
      </c>
      <c r="I472">
        <v>4</v>
      </c>
      <c r="J472">
        <v>8447</v>
      </c>
      <c r="K472">
        <v>0.15</v>
      </c>
      <c r="L472">
        <v>28719.8</v>
      </c>
      <c r="M472">
        <v>20000.560000000001</v>
      </c>
      <c r="N472">
        <v>8719.24</v>
      </c>
      <c r="O472" t="s">
        <v>79</v>
      </c>
      <c r="P472" t="s">
        <v>86</v>
      </c>
    </row>
    <row r="473" spans="1:16" x14ac:dyDescent="0.25">
      <c r="A473">
        <v>472</v>
      </c>
      <c r="B473" s="2">
        <v>45780</v>
      </c>
      <c r="C473" t="s">
        <v>16</v>
      </c>
      <c r="D473" t="s">
        <v>24</v>
      </c>
      <c r="E473" t="s">
        <v>32</v>
      </c>
      <c r="F473" t="s">
        <v>66</v>
      </c>
      <c r="G473" t="s">
        <v>70</v>
      </c>
      <c r="H473" t="s">
        <v>74</v>
      </c>
      <c r="I473">
        <v>8</v>
      </c>
      <c r="J473">
        <v>18815</v>
      </c>
      <c r="K473">
        <v>0.1</v>
      </c>
      <c r="L473">
        <v>135468</v>
      </c>
      <c r="M473">
        <v>83818.34</v>
      </c>
      <c r="N473">
        <v>51649.66</v>
      </c>
      <c r="O473" t="s">
        <v>79</v>
      </c>
      <c r="P473" t="s">
        <v>85</v>
      </c>
    </row>
    <row r="474" spans="1:16" x14ac:dyDescent="0.25">
      <c r="A474">
        <v>473</v>
      </c>
      <c r="B474" s="2">
        <v>45833</v>
      </c>
      <c r="C474" t="s">
        <v>23</v>
      </c>
      <c r="D474" t="s">
        <v>27</v>
      </c>
      <c r="E474" t="s">
        <v>30</v>
      </c>
      <c r="F474" t="s">
        <v>64</v>
      </c>
      <c r="G474" t="s">
        <v>71</v>
      </c>
      <c r="H474" t="s">
        <v>73</v>
      </c>
      <c r="I474">
        <v>7</v>
      </c>
      <c r="J474">
        <v>38881</v>
      </c>
      <c r="K474">
        <v>0.1</v>
      </c>
      <c r="L474">
        <v>244950.3</v>
      </c>
      <c r="M474">
        <v>143040.85</v>
      </c>
      <c r="N474">
        <v>101909.45</v>
      </c>
      <c r="O474" t="s">
        <v>79</v>
      </c>
      <c r="P474" t="s">
        <v>86</v>
      </c>
    </row>
    <row r="475" spans="1:16" x14ac:dyDescent="0.25">
      <c r="A475">
        <v>474</v>
      </c>
      <c r="B475" s="2">
        <v>46003</v>
      </c>
      <c r="C475" t="s">
        <v>20</v>
      </c>
      <c r="D475" t="s">
        <v>26</v>
      </c>
      <c r="E475" t="s">
        <v>28</v>
      </c>
      <c r="F475" t="s">
        <v>35</v>
      </c>
      <c r="G475" t="s">
        <v>72</v>
      </c>
      <c r="H475" t="s">
        <v>75</v>
      </c>
      <c r="I475">
        <v>2</v>
      </c>
      <c r="J475">
        <v>2122</v>
      </c>
      <c r="K475">
        <v>0.1</v>
      </c>
      <c r="L475">
        <v>3819.6</v>
      </c>
      <c r="M475">
        <v>2578.09</v>
      </c>
      <c r="N475">
        <v>1241.51</v>
      </c>
      <c r="O475" t="s">
        <v>76</v>
      </c>
      <c r="P475" t="s">
        <v>86</v>
      </c>
    </row>
    <row r="476" spans="1:16" x14ac:dyDescent="0.25">
      <c r="A476">
        <v>475</v>
      </c>
      <c r="B476" s="2">
        <v>45703</v>
      </c>
      <c r="C476" t="s">
        <v>22</v>
      </c>
      <c r="D476" t="s">
        <v>24</v>
      </c>
      <c r="E476" t="s">
        <v>33</v>
      </c>
      <c r="F476" t="s">
        <v>46</v>
      </c>
      <c r="G476" t="s">
        <v>71</v>
      </c>
      <c r="H476" t="s">
        <v>73</v>
      </c>
      <c r="I476">
        <v>3</v>
      </c>
      <c r="J476">
        <v>10853</v>
      </c>
      <c r="K476">
        <v>0.15</v>
      </c>
      <c r="L476">
        <v>27675.15</v>
      </c>
      <c r="M476">
        <v>24325.360000000001</v>
      </c>
      <c r="N476">
        <v>3349.79</v>
      </c>
      <c r="O476" t="s">
        <v>79</v>
      </c>
      <c r="P476" t="s">
        <v>88</v>
      </c>
    </row>
    <row r="477" spans="1:16" x14ac:dyDescent="0.25">
      <c r="A477">
        <v>476</v>
      </c>
      <c r="B477" s="2">
        <v>45788</v>
      </c>
      <c r="C477" t="s">
        <v>19</v>
      </c>
      <c r="D477" t="s">
        <v>26</v>
      </c>
      <c r="E477" t="s">
        <v>31</v>
      </c>
      <c r="F477" t="s">
        <v>47</v>
      </c>
      <c r="G477" t="s">
        <v>70</v>
      </c>
      <c r="H477" t="s">
        <v>75</v>
      </c>
      <c r="I477">
        <v>1</v>
      </c>
      <c r="J477">
        <v>257</v>
      </c>
      <c r="K477">
        <v>0.15</v>
      </c>
      <c r="L477">
        <v>218.45</v>
      </c>
      <c r="M477">
        <v>124.14</v>
      </c>
      <c r="N477">
        <v>94.31</v>
      </c>
      <c r="O477" t="s">
        <v>77</v>
      </c>
      <c r="P477" t="s">
        <v>83</v>
      </c>
    </row>
    <row r="478" spans="1:16" x14ac:dyDescent="0.25">
      <c r="A478">
        <v>477</v>
      </c>
      <c r="B478" s="2">
        <v>45885</v>
      </c>
      <c r="C478" t="s">
        <v>22</v>
      </c>
      <c r="D478" t="s">
        <v>24</v>
      </c>
      <c r="E478" t="s">
        <v>32</v>
      </c>
      <c r="F478" t="s">
        <v>49</v>
      </c>
      <c r="G478" t="s">
        <v>72</v>
      </c>
      <c r="H478" t="s">
        <v>74</v>
      </c>
      <c r="I478">
        <v>6</v>
      </c>
      <c r="J478">
        <v>16938</v>
      </c>
      <c r="K478">
        <v>0.1</v>
      </c>
      <c r="L478">
        <v>91465.2</v>
      </c>
      <c r="M478">
        <v>53839.28</v>
      </c>
      <c r="N478">
        <v>37625.919999999998</v>
      </c>
      <c r="O478" t="s">
        <v>77</v>
      </c>
      <c r="P478" t="s">
        <v>84</v>
      </c>
    </row>
    <row r="479" spans="1:16" x14ac:dyDescent="0.25">
      <c r="A479">
        <v>478</v>
      </c>
      <c r="B479" s="2">
        <v>45739</v>
      </c>
      <c r="C479" t="s">
        <v>23</v>
      </c>
      <c r="D479" t="s">
        <v>27</v>
      </c>
      <c r="E479" t="s">
        <v>33</v>
      </c>
      <c r="F479" t="s">
        <v>52</v>
      </c>
      <c r="G479" t="s">
        <v>71</v>
      </c>
      <c r="H479" t="s">
        <v>74</v>
      </c>
      <c r="I479">
        <v>4</v>
      </c>
      <c r="J479">
        <v>44995</v>
      </c>
      <c r="K479">
        <v>0.05</v>
      </c>
      <c r="L479">
        <v>170981</v>
      </c>
      <c r="M479">
        <v>106322.98</v>
      </c>
      <c r="N479">
        <v>64658.02</v>
      </c>
      <c r="O479" t="s">
        <v>80</v>
      </c>
      <c r="P479" t="s">
        <v>86</v>
      </c>
    </row>
    <row r="480" spans="1:16" x14ac:dyDescent="0.25">
      <c r="A480">
        <v>479</v>
      </c>
      <c r="B480" s="2">
        <v>45968</v>
      </c>
      <c r="C480" t="s">
        <v>20</v>
      </c>
      <c r="D480" t="s">
        <v>26</v>
      </c>
      <c r="E480" t="s">
        <v>28</v>
      </c>
      <c r="F480" t="s">
        <v>58</v>
      </c>
      <c r="G480" t="s">
        <v>71</v>
      </c>
      <c r="H480" t="s">
        <v>74</v>
      </c>
      <c r="I480">
        <v>1</v>
      </c>
      <c r="J480">
        <v>2138</v>
      </c>
      <c r="K480">
        <v>0</v>
      </c>
      <c r="L480">
        <v>2138</v>
      </c>
      <c r="M480">
        <v>1640.43</v>
      </c>
      <c r="N480">
        <v>497.57</v>
      </c>
      <c r="O480" t="s">
        <v>77</v>
      </c>
      <c r="P480" t="s">
        <v>81</v>
      </c>
    </row>
    <row r="481" spans="1:16" x14ac:dyDescent="0.25">
      <c r="A481">
        <v>480</v>
      </c>
      <c r="B481" s="2">
        <v>45886</v>
      </c>
      <c r="C481" t="s">
        <v>20</v>
      </c>
      <c r="D481" t="s">
        <v>26</v>
      </c>
      <c r="E481" t="s">
        <v>30</v>
      </c>
      <c r="F481" t="s">
        <v>40</v>
      </c>
      <c r="G481" t="s">
        <v>72</v>
      </c>
      <c r="H481" t="s">
        <v>75</v>
      </c>
      <c r="I481">
        <v>2</v>
      </c>
      <c r="J481">
        <v>43938</v>
      </c>
      <c r="K481">
        <v>0</v>
      </c>
      <c r="L481">
        <v>87876</v>
      </c>
      <c r="M481">
        <v>63906.73</v>
      </c>
      <c r="N481">
        <v>23969.27</v>
      </c>
      <c r="O481" t="s">
        <v>80</v>
      </c>
      <c r="P481" t="s">
        <v>84</v>
      </c>
    </row>
    <row r="482" spans="1:16" x14ac:dyDescent="0.25">
      <c r="A482">
        <v>481</v>
      </c>
      <c r="B482" s="2">
        <v>45686</v>
      </c>
      <c r="C482" t="s">
        <v>16</v>
      </c>
      <c r="D482" t="s">
        <v>24</v>
      </c>
      <c r="E482" t="s">
        <v>28</v>
      </c>
      <c r="F482" t="s">
        <v>63</v>
      </c>
      <c r="G482" t="s">
        <v>72</v>
      </c>
      <c r="H482" t="s">
        <v>74</v>
      </c>
      <c r="I482">
        <v>5</v>
      </c>
      <c r="J482">
        <v>2356</v>
      </c>
      <c r="K482">
        <v>0.1</v>
      </c>
      <c r="L482">
        <v>10602</v>
      </c>
      <c r="M482">
        <v>8985.6</v>
      </c>
      <c r="N482">
        <v>1616.4</v>
      </c>
      <c r="O482" t="s">
        <v>78</v>
      </c>
      <c r="P482" t="s">
        <v>85</v>
      </c>
    </row>
    <row r="483" spans="1:16" x14ac:dyDescent="0.25">
      <c r="A483">
        <v>482</v>
      </c>
      <c r="B483" s="2">
        <v>45760</v>
      </c>
      <c r="C483" t="s">
        <v>17</v>
      </c>
      <c r="D483" t="s">
        <v>25</v>
      </c>
      <c r="E483" t="s">
        <v>33</v>
      </c>
      <c r="F483" t="s">
        <v>41</v>
      </c>
      <c r="G483" t="s">
        <v>71</v>
      </c>
      <c r="H483" t="s">
        <v>74</v>
      </c>
      <c r="I483">
        <v>3</v>
      </c>
      <c r="J483">
        <v>41174</v>
      </c>
      <c r="K483">
        <v>0.05</v>
      </c>
      <c r="L483">
        <v>117345.9</v>
      </c>
      <c r="M483">
        <v>84638.92</v>
      </c>
      <c r="N483">
        <v>32706.98</v>
      </c>
      <c r="O483" t="s">
        <v>79</v>
      </c>
      <c r="P483" t="s">
        <v>85</v>
      </c>
    </row>
    <row r="484" spans="1:16" x14ac:dyDescent="0.25">
      <c r="A484">
        <v>483</v>
      </c>
      <c r="B484" s="2">
        <v>45850</v>
      </c>
      <c r="C484" t="s">
        <v>21</v>
      </c>
      <c r="D484" t="s">
        <v>24</v>
      </c>
      <c r="E484" t="s">
        <v>32</v>
      </c>
      <c r="F484" t="s">
        <v>39</v>
      </c>
      <c r="G484" t="s">
        <v>71</v>
      </c>
      <c r="H484" t="s">
        <v>74</v>
      </c>
      <c r="I484">
        <v>4</v>
      </c>
      <c r="J484">
        <v>12308</v>
      </c>
      <c r="K484">
        <v>0.05</v>
      </c>
      <c r="L484">
        <v>46770.400000000001</v>
      </c>
      <c r="M484">
        <v>26540.75</v>
      </c>
      <c r="N484">
        <v>20229.650000000001</v>
      </c>
      <c r="O484" t="s">
        <v>78</v>
      </c>
      <c r="P484" t="s">
        <v>88</v>
      </c>
    </row>
    <row r="485" spans="1:16" x14ac:dyDescent="0.25">
      <c r="A485">
        <v>484</v>
      </c>
      <c r="B485" s="2">
        <v>45802</v>
      </c>
      <c r="C485" t="s">
        <v>23</v>
      </c>
      <c r="D485" t="s">
        <v>27</v>
      </c>
      <c r="E485" t="s">
        <v>30</v>
      </c>
      <c r="F485" t="s">
        <v>64</v>
      </c>
      <c r="G485" t="s">
        <v>71</v>
      </c>
      <c r="H485" t="s">
        <v>75</v>
      </c>
      <c r="I485">
        <v>7</v>
      </c>
      <c r="J485">
        <v>67701</v>
      </c>
      <c r="K485">
        <v>0.2</v>
      </c>
      <c r="L485">
        <v>379125.6</v>
      </c>
      <c r="M485">
        <v>311811.52</v>
      </c>
      <c r="N485">
        <v>67314.080000000002</v>
      </c>
      <c r="O485" t="s">
        <v>79</v>
      </c>
      <c r="P485" t="s">
        <v>84</v>
      </c>
    </row>
    <row r="486" spans="1:16" x14ac:dyDescent="0.25">
      <c r="A486">
        <v>485</v>
      </c>
      <c r="B486" s="2">
        <v>46010</v>
      </c>
      <c r="C486" t="s">
        <v>18</v>
      </c>
      <c r="D486" t="s">
        <v>26</v>
      </c>
      <c r="E486" t="s">
        <v>29</v>
      </c>
      <c r="F486" t="s">
        <v>53</v>
      </c>
      <c r="G486" t="s">
        <v>70</v>
      </c>
      <c r="H486" t="s">
        <v>75</v>
      </c>
      <c r="I486">
        <v>2</v>
      </c>
      <c r="J486">
        <v>9180</v>
      </c>
      <c r="K486">
        <v>0.05</v>
      </c>
      <c r="L486">
        <v>17442</v>
      </c>
      <c r="M486">
        <v>11329.43</v>
      </c>
      <c r="N486">
        <v>6112.57</v>
      </c>
      <c r="O486" t="s">
        <v>79</v>
      </c>
      <c r="P486" t="s">
        <v>87</v>
      </c>
    </row>
    <row r="487" spans="1:16" x14ac:dyDescent="0.25">
      <c r="A487">
        <v>486</v>
      </c>
      <c r="B487" s="2">
        <v>45705</v>
      </c>
      <c r="C487" t="s">
        <v>17</v>
      </c>
      <c r="D487" t="s">
        <v>25</v>
      </c>
      <c r="E487" t="s">
        <v>31</v>
      </c>
      <c r="F487" t="s">
        <v>38</v>
      </c>
      <c r="G487" t="s">
        <v>72</v>
      </c>
      <c r="H487" t="s">
        <v>73</v>
      </c>
      <c r="I487">
        <v>4</v>
      </c>
      <c r="J487">
        <v>2324</v>
      </c>
      <c r="K487">
        <v>0</v>
      </c>
      <c r="L487">
        <v>9296</v>
      </c>
      <c r="M487">
        <v>6708.41</v>
      </c>
      <c r="N487">
        <v>2587.59</v>
      </c>
      <c r="O487" t="s">
        <v>78</v>
      </c>
      <c r="P487" t="s">
        <v>84</v>
      </c>
    </row>
    <row r="488" spans="1:16" x14ac:dyDescent="0.25">
      <c r="A488">
        <v>487</v>
      </c>
      <c r="B488" s="2">
        <v>46013</v>
      </c>
      <c r="C488" t="s">
        <v>18</v>
      </c>
      <c r="D488" t="s">
        <v>26</v>
      </c>
      <c r="E488" t="s">
        <v>33</v>
      </c>
      <c r="F488" t="s">
        <v>59</v>
      </c>
      <c r="G488" t="s">
        <v>70</v>
      </c>
      <c r="H488" t="s">
        <v>73</v>
      </c>
      <c r="I488">
        <v>2</v>
      </c>
      <c r="J488">
        <v>43593</v>
      </c>
      <c r="K488">
        <v>0.1</v>
      </c>
      <c r="L488">
        <v>78467.399999999994</v>
      </c>
      <c r="M488">
        <v>58439.09</v>
      </c>
      <c r="N488">
        <v>20028.310000000001</v>
      </c>
      <c r="O488" t="s">
        <v>77</v>
      </c>
      <c r="P488" t="s">
        <v>86</v>
      </c>
    </row>
    <row r="489" spans="1:16" x14ac:dyDescent="0.25">
      <c r="A489">
        <v>488</v>
      </c>
      <c r="B489" s="2">
        <v>45833</v>
      </c>
      <c r="C489" t="s">
        <v>21</v>
      </c>
      <c r="D489" t="s">
        <v>24</v>
      </c>
      <c r="E489" t="s">
        <v>29</v>
      </c>
      <c r="F489" t="s">
        <v>42</v>
      </c>
      <c r="G489" t="s">
        <v>70</v>
      </c>
      <c r="H489" t="s">
        <v>75</v>
      </c>
      <c r="I489">
        <v>2</v>
      </c>
      <c r="J489">
        <v>4405</v>
      </c>
      <c r="K489">
        <v>0.1</v>
      </c>
      <c r="L489">
        <v>7929</v>
      </c>
      <c r="M489">
        <v>6191.31</v>
      </c>
      <c r="N489">
        <v>1737.69</v>
      </c>
      <c r="O489" t="s">
        <v>79</v>
      </c>
      <c r="P489" t="s">
        <v>88</v>
      </c>
    </row>
    <row r="490" spans="1:16" x14ac:dyDescent="0.25">
      <c r="A490">
        <v>489</v>
      </c>
      <c r="B490" s="2">
        <v>45803</v>
      </c>
      <c r="C490" t="s">
        <v>18</v>
      </c>
      <c r="D490" t="s">
        <v>26</v>
      </c>
      <c r="E490" t="s">
        <v>30</v>
      </c>
      <c r="F490" t="s">
        <v>44</v>
      </c>
      <c r="G490" t="s">
        <v>70</v>
      </c>
      <c r="H490" t="s">
        <v>74</v>
      </c>
      <c r="I490">
        <v>1</v>
      </c>
      <c r="J490">
        <v>13541</v>
      </c>
      <c r="K490">
        <v>0.15</v>
      </c>
      <c r="L490">
        <v>11509.85</v>
      </c>
      <c r="M490">
        <v>7347.09</v>
      </c>
      <c r="N490">
        <v>4162.76</v>
      </c>
      <c r="O490" t="s">
        <v>80</v>
      </c>
      <c r="P490" t="s">
        <v>82</v>
      </c>
    </row>
    <row r="491" spans="1:16" x14ac:dyDescent="0.25">
      <c r="A491">
        <v>490</v>
      </c>
      <c r="B491" s="2">
        <v>45795</v>
      </c>
      <c r="C491" t="s">
        <v>20</v>
      </c>
      <c r="D491" t="s">
        <v>26</v>
      </c>
      <c r="E491" t="s">
        <v>30</v>
      </c>
      <c r="F491" t="s">
        <v>64</v>
      </c>
      <c r="G491" t="s">
        <v>72</v>
      </c>
      <c r="H491" t="s">
        <v>75</v>
      </c>
      <c r="I491">
        <v>2</v>
      </c>
      <c r="J491">
        <v>22890</v>
      </c>
      <c r="K491">
        <v>0</v>
      </c>
      <c r="L491">
        <v>45780</v>
      </c>
      <c r="M491">
        <v>31493.42</v>
      </c>
      <c r="N491">
        <v>14286.58</v>
      </c>
      <c r="O491" t="s">
        <v>78</v>
      </c>
      <c r="P491" t="s">
        <v>88</v>
      </c>
    </row>
    <row r="492" spans="1:16" x14ac:dyDescent="0.25">
      <c r="A492">
        <v>491</v>
      </c>
      <c r="B492" s="2">
        <v>45722</v>
      </c>
      <c r="C492" t="s">
        <v>21</v>
      </c>
      <c r="D492" t="s">
        <v>24</v>
      </c>
      <c r="E492" t="s">
        <v>30</v>
      </c>
      <c r="F492" t="s">
        <v>37</v>
      </c>
      <c r="G492" t="s">
        <v>72</v>
      </c>
      <c r="H492" t="s">
        <v>74</v>
      </c>
      <c r="I492">
        <v>2</v>
      </c>
      <c r="J492">
        <v>25624</v>
      </c>
      <c r="K492">
        <v>0</v>
      </c>
      <c r="L492">
        <v>51248</v>
      </c>
      <c r="M492">
        <v>34031.589999999997</v>
      </c>
      <c r="N492">
        <v>17216.41</v>
      </c>
      <c r="O492" t="s">
        <v>77</v>
      </c>
      <c r="P492" t="s">
        <v>86</v>
      </c>
    </row>
    <row r="493" spans="1:16" x14ac:dyDescent="0.25">
      <c r="A493">
        <v>492</v>
      </c>
      <c r="B493" s="2">
        <v>46008</v>
      </c>
      <c r="C493" t="s">
        <v>21</v>
      </c>
      <c r="D493" t="s">
        <v>24</v>
      </c>
      <c r="E493" t="s">
        <v>34</v>
      </c>
      <c r="F493" t="s">
        <v>68</v>
      </c>
      <c r="G493" t="s">
        <v>70</v>
      </c>
      <c r="H493" t="s">
        <v>73</v>
      </c>
      <c r="I493">
        <v>2</v>
      </c>
      <c r="J493">
        <v>1336</v>
      </c>
      <c r="K493">
        <v>0.1</v>
      </c>
      <c r="L493">
        <v>2404.8000000000002</v>
      </c>
      <c r="M493">
        <v>1335.44</v>
      </c>
      <c r="N493">
        <v>1069.3599999999999</v>
      </c>
      <c r="O493" t="s">
        <v>80</v>
      </c>
      <c r="P493" t="s">
        <v>88</v>
      </c>
    </row>
    <row r="494" spans="1:16" x14ac:dyDescent="0.25">
      <c r="A494">
        <v>493</v>
      </c>
      <c r="B494" s="2">
        <v>45795</v>
      </c>
      <c r="C494" t="s">
        <v>16</v>
      </c>
      <c r="D494" t="s">
        <v>24</v>
      </c>
      <c r="E494" t="s">
        <v>29</v>
      </c>
      <c r="F494" t="s">
        <v>53</v>
      </c>
      <c r="G494" t="s">
        <v>72</v>
      </c>
      <c r="H494" t="s">
        <v>74</v>
      </c>
      <c r="I494">
        <v>7</v>
      </c>
      <c r="J494">
        <v>6569</v>
      </c>
      <c r="K494">
        <v>0.05</v>
      </c>
      <c r="L494">
        <v>43683.85</v>
      </c>
      <c r="M494">
        <v>35686.36</v>
      </c>
      <c r="N494">
        <v>7997.49</v>
      </c>
      <c r="O494" t="s">
        <v>80</v>
      </c>
      <c r="P494" t="s">
        <v>84</v>
      </c>
    </row>
    <row r="495" spans="1:16" x14ac:dyDescent="0.25">
      <c r="A495">
        <v>494</v>
      </c>
      <c r="B495" s="2">
        <v>45679</v>
      </c>
      <c r="C495" t="s">
        <v>23</v>
      </c>
      <c r="D495" t="s">
        <v>27</v>
      </c>
      <c r="E495" t="s">
        <v>30</v>
      </c>
      <c r="F495" t="s">
        <v>56</v>
      </c>
      <c r="G495" t="s">
        <v>72</v>
      </c>
      <c r="H495" t="s">
        <v>75</v>
      </c>
      <c r="I495">
        <v>1</v>
      </c>
      <c r="J495">
        <v>63279</v>
      </c>
      <c r="K495">
        <v>0</v>
      </c>
      <c r="L495">
        <v>63279</v>
      </c>
      <c r="M495">
        <v>49606.75</v>
      </c>
      <c r="N495">
        <v>13672.25</v>
      </c>
      <c r="O495" t="s">
        <v>79</v>
      </c>
      <c r="P495" t="s">
        <v>87</v>
      </c>
    </row>
    <row r="496" spans="1:16" x14ac:dyDescent="0.25">
      <c r="A496">
        <v>495</v>
      </c>
      <c r="B496" s="2">
        <v>45868</v>
      </c>
      <c r="C496" t="s">
        <v>22</v>
      </c>
      <c r="D496" t="s">
        <v>24</v>
      </c>
      <c r="E496" t="s">
        <v>28</v>
      </c>
      <c r="F496" t="s">
        <v>63</v>
      </c>
      <c r="G496" t="s">
        <v>71</v>
      </c>
      <c r="H496" t="s">
        <v>74</v>
      </c>
      <c r="I496">
        <v>8</v>
      </c>
      <c r="J496">
        <v>271</v>
      </c>
      <c r="K496">
        <v>0</v>
      </c>
      <c r="L496">
        <v>2168</v>
      </c>
      <c r="M496">
        <v>1433.76</v>
      </c>
      <c r="N496">
        <v>734.24</v>
      </c>
      <c r="O496" t="s">
        <v>79</v>
      </c>
      <c r="P496" t="s">
        <v>81</v>
      </c>
    </row>
    <row r="497" spans="1:16" x14ac:dyDescent="0.25">
      <c r="A497">
        <v>496</v>
      </c>
      <c r="B497" s="2">
        <v>45943</v>
      </c>
      <c r="C497" t="s">
        <v>23</v>
      </c>
      <c r="D497" t="s">
        <v>27</v>
      </c>
      <c r="E497" t="s">
        <v>31</v>
      </c>
      <c r="F497" t="s">
        <v>47</v>
      </c>
      <c r="G497" t="s">
        <v>72</v>
      </c>
      <c r="H497" t="s">
        <v>74</v>
      </c>
      <c r="I497">
        <v>3</v>
      </c>
      <c r="J497">
        <v>1627</v>
      </c>
      <c r="K497">
        <v>0</v>
      </c>
      <c r="L497">
        <v>4881</v>
      </c>
      <c r="M497">
        <v>3068.1</v>
      </c>
      <c r="N497">
        <v>1812.9</v>
      </c>
      <c r="O497" t="s">
        <v>78</v>
      </c>
      <c r="P497" t="s">
        <v>84</v>
      </c>
    </row>
    <row r="498" spans="1:16" x14ac:dyDescent="0.25">
      <c r="A498">
        <v>497</v>
      </c>
      <c r="B498" s="2">
        <v>45858</v>
      </c>
      <c r="C498" t="s">
        <v>21</v>
      </c>
      <c r="D498" t="s">
        <v>24</v>
      </c>
      <c r="E498" t="s">
        <v>30</v>
      </c>
      <c r="F498" t="s">
        <v>44</v>
      </c>
      <c r="G498" t="s">
        <v>71</v>
      </c>
      <c r="H498" t="s">
        <v>75</v>
      </c>
      <c r="I498">
        <v>2</v>
      </c>
      <c r="J498">
        <v>16901</v>
      </c>
      <c r="K498">
        <v>0.05</v>
      </c>
      <c r="L498">
        <v>32111.9</v>
      </c>
      <c r="M498">
        <v>23573.35</v>
      </c>
      <c r="N498">
        <v>8538.5499999999993</v>
      </c>
      <c r="O498" t="s">
        <v>80</v>
      </c>
      <c r="P498" t="s">
        <v>83</v>
      </c>
    </row>
    <row r="499" spans="1:16" x14ac:dyDescent="0.25">
      <c r="A499">
        <v>498</v>
      </c>
      <c r="B499" s="2">
        <v>45762</v>
      </c>
      <c r="C499" t="s">
        <v>20</v>
      </c>
      <c r="D499" t="s">
        <v>26</v>
      </c>
      <c r="E499" t="s">
        <v>32</v>
      </c>
      <c r="F499" t="s">
        <v>48</v>
      </c>
      <c r="G499" t="s">
        <v>70</v>
      </c>
      <c r="H499" t="s">
        <v>73</v>
      </c>
      <c r="I499">
        <v>4</v>
      </c>
      <c r="J499">
        <v>23522</v>
      </c>
      <c r="K499">
        <v>0.2</v>
      </c>
      <c r="L499">
        <v>75270.399999999994</v>
      </c>
      <c r="M499">
        <v>47168.62</v>
      </c>
      <c r="N499">
        <v>28101.78</v>
      </c>
      <c r="O499" t="s">
        <v>80</v>
      </c>
      <c r="P499" t="s">
        <v>86</v>
      </c>
    </row>
    <row r="500" spans="1:16" x14ac:dyDescent="0.25">
      <c r="A500">
        <v>499</v>
      </c>
      <c r="B500" s="2">
        <v>45742</v>
      </c>
      <c r="C500" t="s">
        <v>17</v>
      </c>
      <c r="D500" t="s">
        <v>25</v>
      </c>
      <c r="E500" t="s">
        <v>29</v>
      </c>
      <c r="F500" t="s">
        <v>53</v>
      </c>
      <c r="G500" t="s">
        <v>71</v>
      </c>
      <c r="H500" t="s">
        <v>74</v>
      </c>
      <c r="I500">
        <v>8</v>
      </c>
      <c r="J500">
        <v>6041</v>
      </c>
      <c r="K500">
        <v>0</v>
      </c>
      <c r="L500">
        <v>48328</v>
      </c>
      <c r="M500">
        <v>33376.300000000003</v>
      </c>
      <c r="N500">
        <v>14951.7</v>
      </c>
      <c r="O500" t="s">
        <v>80</v>
      </c>
      <c r="P500" t="s">
        <v>82</v>
      </c>
    </row>
    <row r="501" spans="1:16" x14ac:dyDescent="0.25">
      <c r="A501">
        <v>500</v>
      </c>
      <c r="B501" s="2">
        <v>45974</v>
      </c>
      <c r="C501" t="s">
        <v>23</v>
      </c>
      <c r="D501" t="s">
        <v>27</v>
      </c>
      <c r="E501" t="s">
        <v>28</v>
      </c>
      <c r="F501" t="s">
        <v>61</v>
      </c>
      <c r="G501" t="s">
        <v>71</v>
      </c>
      <c r="H501" t="s">
        <v>74</v>
      </c>
      <c r="I501">
        <v>2</v>
      </c>
      <c r="J501">
        <v>1369</v>
      </c>
      <c r="K501">
        <v>0.05</v>
      </c>
      <c r="L501">
        <v>2601.1</v>
      </c>
      <c r="M501">
        <v>1772.64</v>
      </c>
      <c r="N501">
        <v>828.46</v>
      </c>
      <c r="O501" t="s">
        <v>79</v>
      </c>
      <c r="P501" t="s">
        <v>82</v>
      </c>
    </row>
    <row r="502" spans="1:16" x14ac:dyDescent="0.25">
      <c r="A502">
        <v>501</v>
      </c>
      <c r="B502" s="2">
        <v>45880</v>
      </c>
      <c r="C502" t="s">
        <v>18</v>
      </c>
      <c r="D502" t="s">
        <v>26</v>
      </c>
      <c r="E502" t="s">
        <v>34</v>
      </c>
      <c r="F502" t="s">
        <v>65</v>
      </c>
      <c r="G502" t="s">
        <v>70</v>
      </c>
      <c r="H502" t="s">
        <v>74</v>
      </c>
      <c r="I502">
        <v>1</v>
      </c>
      <c r="J502">
        <v>5237</v>
      </c>
      <c r="K502">
        <v>0.05</v>
      </c>
      <c r="L502">
        <v>4975.1499999999996</v>
      </c>
      <c r="M502">
        <v>4049.27</v>
      </c>
      <c r="N502">
        <v>925.88</v>
      </c>
      <c r="O502" t="s">
        <v>78</v>
      </c>
      <c r="P502" t="s">
        <v>86</v>
      </c>
    </row>
    <row r="503" spans="1:16" x14ac:dyDescent="0.25">
      <c r="A503">
        <v>502</v>
      </c>
      <c r="B503" s="2">
        <v>45862</v>
      </c>
      <c r="C503" t="s">
        <v>19</v>
      </c>
      <c r="D503" t="s">
        <v>26</v>
      </c>
      <c r="E503" t="s">
        <v>34</v>
      </c>
      <c r="F503" t="s">
        <v>51</v>
      </c>
      <c r="G503" t="s">
        <v>72</v>
      </c>
      <c r="H503" t="s">
        <v>75</v>
      </c>
      <c r="I503">
        <v>3</v>
      </c>
      <c r="J503">
        <v>1039</v>
      </c>
      <c r="K503">
        <v>0.15</v>
      </c>
      <c r="L503">
        <v>2649.45</v>
      </c>
      <c r="M503">
        <v>2156.79</v>
      </c>
      <c r="N503">
        <v>492.66</v>
      </c>
      <c r="O503" t="s">
        <v>78</v>
      </c>
      <c r="P503" t="s">
        <v>87</v>
      </c>
    </row>
    <row r="504" spans="1:16" x14ac:dyDescent="0.25">
      <c r="A504">
        <v>503</v>
      </c>
      <c r="B504" s="2">
        <v>45935</v>
      </c>
      <c r="C504" t="s">
        <v>20</v>
      </c>
      <c r="D504" t="s">
        <v>26</v>
      </c>
      <c r="E504" t="s">
        <v>32</v>
      </c>
      <c r="F504" t="s">
        <v>39</v>
      </c>
      <c r="G504" t="s">
        <v>71</v>
      </c>
      <c r="H504" t="s">
        <v>73</v>
      </c>
      <c r="I504">
        <v>8</v>
      </c>
      <c r="J504">
        <v>11172</v>
      </c>
      <c r="K504">
        <v>0.05</v>
      </c>
      <c r="L504">
        <v>84907.199999999997</v>
      </c>
      <c r="M504">
        <v>72901.52</v>
      </c>
      <c r="N504">
        <v>12005.68</v>
      </c>
      <c r="O504" t="s">
        <v>77</v>
      </c>
      <c r="P504" t="s">
        <v>85</v>
      </c>
    </row>
    <row r="505" spans="1:16" x14ac:dyDescent="0.25">
      <c r="A505">
        <v>504</v>
      </c>
      <c r="B505" s="2">
        <v>45823</v>
      </c>
      <c r="C505" t="s">
        <v>21</v>
      </c>
      <c r="D505" t="s">
        <v>24</v>
      </c>
      <c r="E505" t="s">
        <v>34</v>
      </c>
      <c r="F505" t="s">
        <v>65</v>
      </c>
      <c r="G505" t="s">
        <v>70</v>
      </c>
      <c r="H505" t="s">
        <v>73</v>
      </c>
      <c r="I505">
        <v>4</v>
      </c>
      <c r="J505">
        <v>3039</v>
      </c>
      <c r="K505">
        <v>0.1</v>
      </c>
      <c r="L505">
        <v>10940.4</v>
      </c>
      <c r="M505">
        <v>7212.21</v>
      </c>
      <c r="N505">
        <v>3728.19</v>
      </c>
      <c r="O505" t="s">
        <v>80</v>
      </c>
      <c r="P505" t="s">
        <v>88</v>
      </c>
    </row>
    <row r="506" spans="1:16" x14ac:dyDescent="0.25">
      <c r="A506">
        <v>505</v>
      </c>
      <c r="B506" s="2">
        <v>45983</v>
      </c>
      <c r="C506" t="s">
        <v>20</v>
      </c>
      <c r="D506" t="s">
        <v>26</v>
      </c>
      <c r="E506" t="s">
        <v>32</v>
      </c>
      <c r="F506" t="s">
        <v>48</v>
      </c>
      <c r="G506" t="s">
        <v>72</v>
      </c>
      <c r="H506" t="s">
        <v>74</v>
      </c>
      <c r="I506">
        <v>3</v>
      </c>
      <c r="J506">
        <v>6498</v>
      </c>
      <c r="K506">
        <v>0.1</v>
      </c>
      <c r="L506">
        <v>17544.599999999999</v>
      </c>
      <c r="M506">
        <v>10065.85</v>
      </c>
      <c r="N506">
        <v>7478.75</v>
      </c>
      <c r="O506" t="s">
        <v>77</v>
      </c>
      <c r="P506" t="s">
        <v>85</v>
      </c>
    </row>
    <row r="507" spans="1:16" x14ac:dyDescent="0.25">
      <c r="A507">
        <v>506</v>
      </c>
      <c r="B507" s="2">
        <v>45683</v>
      </c>
      <c r="C507" t="s">
        <v>19</v>
      </c>
      <c r="D507" t="s">
        <v>26</v>
      </c>
      <c r="E507" t="s">
        <v>31</v>
      </c>
      <c r="F507" t="s">
        <v>50</v>
      </c>
      <c r="G507" t="s">
        <v>72</v>
      </c>
      <c r="H507" t="s">
        <v>73</v>
      </c>
      <c r="I507">
        <v>1</v>
      </c>
      <c r="J507">
        <v>767</v>
      </c>
      <c r="K507">
        <v>0</v>
      </c>
      <c r="L507">
        <v>767</v>
      </c>
      <c r="M507">
        <v>578.78</v>
      </c>
      <c r="N507">
        <v>188.22</v>
      </c>
      <c r="O507" t="s">
        <v>77</v>
      </c>
      <c r="P507" t="s">
        <v>83</v>
      </c>
    </row>
    <row r="508" spans="1:16" x14ac:dyDescent="0.25">
      <c r="A508">
        <v>507</v>
      </c>
      <c r="B508" s="2">
        <v>45769</v>
      </c>
      <c r="C508" t="s">
        <v>20</v>
      </c>
      <c r="D508" t="s">
        <v>26</v>
      </c>
      <c r="E508" t="s">
        <v>29</v>
      </c>
      <c r="F508" t="s">
        <v>36</v>
      </c>
      <c r="G508" t="s">
        <v>71</v>
      </c>
      <c r="H508" t="s">
        <v>74</v>
      </c>
      <c r="I508">
        <v>4</v>
      </c>
      <c r="J508">
        <v>4877</v>
      </c>
      <c r="K508">
        <v>0</v>
      </c>
      <c r="L508">
        <v>19508</v>
      </c>
      <c r="M508">
        <v>16759.29</v>
      </c>
      <c r="N508">
        <v>2748.71</v>
      </c>
      <c r="O508" t="s">
        <v>77</v>
      </c>
      <c r="P508" t="s">
        <v>81</v>
      </c>
    </row>
    <row r="509" spans="1:16" x14ac:dyDescent="0.25">
      <c r="A509">
        <v>508</v>
      </c>
      <c r="B509" s="2">
        <v>45988</v>
      </c>
      <c r="C509" t="s">
        <v>23</v>
      </c>
      <c r="D509" t="s">
        <v>27</v>
      </c>
      <c r="E509" t="s">
        <v>33</v>
      </c>
      <c r="F509" t="s">
        <v>41</v>
      </c>
      <c r="G509" t="s">
        <v>70</v>
      </c>
      <c r="H509" t="s">
        <v>74</v>
      </c>
      <c r="I509">
        <v>2</v>
      </c>
      <c r="J509">
        <v>13794</v>
      </c>
      <c r="K509">
        <v>0.05</v>
      </c>
      <c r="L509">
        <v>26208.6</v>
      </c>
      <c r="M509">
        <v>18062.59</v>
      </c>
      <c r="N509">
        <v>8146.01</v>
      </c>
      <c r="O509" t="s">
        <v>77</v>
      </c>
      <c r="P509" t="s">
        <v>86</v>
      </c>
    </row>
    <row r="510" spans="1:16" x14ac:dyDescent="0.25">
      <c r="A510">
        <v>509</v>
      </c>
      <c r="B510" s="2">
        <v>45877</v>
      </c>
      <c r="C510" t="s">
        <v>22</v>
      </c>
      <c r="D510" t="s">
        <v>24</v>
      </c>
      <c r="E510" t="s">
        <v>33</v>
      </c>
      <c r="F510" t="s">
        <v>59</v>
      </c>
      <c r="G510" t="s">
        <v>70</v>
      </c>
      <c r="H510" t="s">
        <v>75</v>
      </c>
      <c r="I510">
        <v>4</v>
      </c>
      <c r="J510">
        <v>17748</v>
      </c>
      <c r="K510">
        <v>0.05</v>
      </c>
      <c r="L510">
        <v>67442.399999999994</v>
      </c>
      <c r="M510">
        <v>58856.42</v>
      </c>
      <c r="N510">
        <v>8585.98</v>
      </c>
      <c r="O510" t="s">
        <v>76</v>
      </c>
      <c r="P510" t="s">
        <v>85</v>
      </c>
    </row>
    <row r="511" spans="1:16" x14ac:dyDescent="0.25">
      <c r="A511">
        <v>510</v>
      </c>
      <c r="B511" s="2">
        <v>45767</v>
      </c>
      <c r="C511" t="s">
        <v>20</v>
      </c>
      <c r="D511" t="s">
        <v>26</v>
      </c>
      <c r="E511" t="s">
        <v>31</v>
      </c>
      <c r="F511" t="s">
        <v>69</v>
      </c>
      <c r="G511" t="s">
        <v>71</v>
      </c>
      <c r="H511" t="s">
        <v>74</v>
      </c>
      <c r="I511">
        <v>4</v>
      </c>
      <c r="J511">
        <v>1875</v>
      </c>
      <c r="K511">
        <v>0.15</v>
      </c>
      <c r="L511">
        <v>6375</v>
      </c>
      <c r="M511">
        <v>4662.1099999999997</v>
      </c>
      <c r="N511">
        <v>1712.89</v>
      </c>
      <c r="O511" t="s">
        <v>80</v>
      </c>
      <c r="P511" t="s">
        <v>82</v>
      </c>
    </row>
    <row r="512" spans="1:16" x14ac:dyDescent="0.25">
      <c r="A512">
        <v>511</v>
      </c>
      <c r="B512" s="2">
        <v>45986</v>
      </c>
      <c r="C512" t="s">
        <v>22</v>
      </c>
      <c r="D512" t="s">
        <v>24</v>
      </c>
      <c r="E512" t="s">
        <v>32</v>
      </c>
      <c r="F512" t="s">
        <v>39</v>
      </c>
      <c r="G512" t="s">
        <v>71</v>
      </c>
      <c r="H512" t="s">
        <v>73</v>
      </c>
      <c r="I512">
        <v>5</v>
      </c>
      <c r="J512">
        <v>24608</v>
      </c>
      <c r="K512">
        <v>0.05</v>
      </c>
      <c r="L512">
        <v>116888</v>
      </c>
      <c r="M512">
        <v>95608.46</v>
      </c>
      <c r="N512">
        <v>21279.54</v>
      </c>
      <c r="O512" t="s">
        <v>76</v>
      </c>
      <c r="P512" t="s">
        <v>86</v>
      </c>
    </row>
    <row r="513" spans="1:16" x14ac:dyDescent="0.25">
      <c r="A513">
        <v>512</v>
      </c>
      <c r="B513" s="2">
        <v>45741</v>
      </c>
      <c r="C513" t="s">
        <v>20</v>
      </c>
      <c r="D513" t="s">
        <v>26</v>
      </c>
      <c r="E513" t="s">
        <v>30</v>
      </c>
      <c r="F513" t="s">
        <v>56</v>
      </c>
      <c r="G513" t="s">
        <v>71</v>
      </c>
      <c r="H513" t="s">
        <v>73</v>
      </c>
      <c r="I513">
        <v>8</v>
      </c>
      <c r="J513">
        <v>52121</v>
      </c>
      <c r="K513">
        <v>0.15</v>
      </c>
      <c r="L513">
        <v>354422.8</v>
      </c>
      <c r="M513">
        <v>205822.31</v>
      </c>
      <c r="N513">
        <v>148600.49</v>
      </c>
      <c r="O513" t="s">
        <v>77</v>
      </c>
      <c r="P513" t="s">
        <v>88</v>
      </c>
    </row>
    <row r="514" spans="1:16" x14ac:dyDescent="0.25">
      <c r="A514">
        <v>513</v>
      </c>
      <c r="B514" s="2">
        <v>45834</v>
      </c>
      <c r="C514" t="s">
        <v>22</v>
      </c>
      <c r="D514" t="s">
        <v>24</v>
      </c>
      <c r="E514" t="s">
        <v>33</v>
      </c>
      <c r="F514" t="s">
        <v>60</v>
      </c>
      <c r="G514" t="s">
        <v>71</v>
      </c>
      <c r="H514" t="s">
        <v>73</v>
      </c>
      <c r="I514">
        <v>3</v>
      </c>
      <c r="J514">
        <v>20705</v>
      </c>
      <c r="K514">
        <v>0.1</v>
      </c>
      <c r="L514">
        <v>55903.5</v>
      </c>
      <c r="M514">
        <v>47402.46</v>
      </c>
      <c r="N514">
        <v>8501.0400000000009</v>
      </c>
      <c r="O514" t="s">
        <v>80</v>
      </c>
      <c r="P514" t="s">
        <v>81</v>
      </c>
    </row>
    <row r="515" spans="1:16" x14ac:dyDescent="0.25">
      <c r="A515">
        <v>514</v>
      </c>
      <c r="B515" s="2">
        <v>45703</v>
      </c>
      <c r="C515" t="s">
        <v>21</v>
      </c>
      <c r="D515" t="s">
        <v>24</v>
      </c>
      <c r="E515" t="s">
        <v>29</v>
      </c>
      <c r="F515" t="s">
        <v>57</v>
      </c>
      <c r="G515" t="s">
        <v>71</v>
      </c>
      <c r="H515" t="s">
        <v>74</v>
      </c>
      <c r="I515">
        <v>6</v>
      </c>
      <c r="J515">
        <v>10179</v>
      </c>
      <c r="K515">
        <v>0.1</v>
      </c>
      <c r="L515">
        <v>54966.6</v>
      </c>
      <c r="M515">
        <v>39458.78</v>
      </c>
      <c r="N515">
        <v>15507.82</v>
      </c>
      <c r="O515" t="s">
        <v>79</v>
      </c>
      <c r="P515" t="s">
        <v>81</v>
      </c>
    </row>
    <row r="516" spans="1:16" x14ac:dyDescent="0.25">
      <c r="A516">
        <v>515</v>
      </c>
      <c r="B516" s="2">
        <v>45970</v>
      </c>
      <c r="C516" t="s">
        <v>19</v>
      </c>
      <c r="D516" t="s">
        <v>26</v>
      </c>
      <c r="E516" t="s">
        <v>28</v>
      </c>
      <c r="F516" t="s">
        <v>63</v>
      </c>
      <c r="G516" t="s">
        <v>72</v>
      </c>
      <c r="H516" t="s">
        <v>75</v>
      </c>
      <c r="I516">
        <v>1</v>
      </c>
      <c r="J516">
        <v>1234</v>
      </c>
      <c r="K516">
        <v>0</v>
      </c>
      <c r="L516">
        <v>1234</v>
      </c>
      <c r="M516">
        <v>1056.81</v>
      </c>
      <c r="N516">
        <v>177.19</v>
      </c>
      <c r="O516" t="s">
        <v>79</v>
      </c>
      <c r="P516" t="s">
        <v>81</v>
      </c>
    </row>
    <row r="517" spans="1:16" x14ac:dyDescent="0.25">
      <c r="A517">
        <v>516</v>
      </c>
      <c r="B517" s="2">
        <v>45724</v>
      </c>
      <c r="C517" t="s">
        <v>22</v>
      </c>
      <c r="D517" t="s">
        <v>24</v>
      </c>
      <c r="E517" t="s">
        <v>28</v>
      </c>
      <c r="F517" t="s">
        <v>61</v>
      </c>
      <c r="G517" t="s">
        <v>70</v>
      </c>
      <c r="H517" t="s">
        <v>74</v>
      </c>
      <c r="I517">
        <v>3</v>
      </c>
      <c r="J517">
        <v>2184</v>
      </c>
      <c r="K517">
        <v>0.05</v>
      </c>
      <c r="L517">
        <v>6224.4</v>
      </c>
      <c r="M517">
        <v>4134.34</v>
      </c>
      <c r="N517">
        <v>2090.06</v>
      </c>
      <c r="O517" t="s">
        <v>80</v>
      </c>
      <c r="P517" t="s">
        <v>87</v>
      </c>
    </row>
    <row r="518" spans="1:16" x14ac:dyDescent="0.25">
      <c r="A518">
        <v>517</v>
      </c>
      <c r="B518" s="2">
        <v>45677</v>
      </c>
      <c r="C518" t="s">
        <v>19</v>
      </c>
      <c r="D518" t="s">
        <v>26</v>
      </c>
      <c r="E518" t="s">
        <v>30</v>
      </c>
      <c r="F518" t="s">
        <v>64</v>
      </c>
      <c r="G518" t="s">
        <v>71</v>
      </c>
      <c r="H518" t="s">
        <v>73</v>
      </c>
      <c r="I518">
        <v>1</v>
      </c>
      <c r="J518">
        <v>47746</v>
      </c>
      <c r="K518">
        <v>0.15</v>
      </c>
      <c r="L518">
        <v>40584.1</v>
      </c>
      <c r="M518">
        <v>23303.02</v>
      </c>
      <c r="N518">
        <v>17281.080000000002</v>
      </c>
      <c r="O518" t="s">
        <v>80</v>
      </c>
      <c r="P518" t="s">
        <v>83</v>
      </c>
    </row>
    <row r="519" spans="1:16" x14ac:dyDescent="0.25">
      <c r="A519">
        <v>518</v>
      </c>
      <c r="B519" s="2">
        <v>45848</v>
      </c>
      <c r="C519" t="s">
        <v>17</v>
      </c>
      <c r="D519" t="s">
        <v>25</v>
      </c>
      <c r="E519" t="s">
        <v>34</v>
      </c>
      <c r="F519" t="s">
        <v>43</v>
      </c>
      <c r="G519" t="s">
        <v>70</v>
      </c>
      <c r="H519" t="s">
        <v>73</v>
      </c>
      <c r="I519">
        <v>7</v>
      </c>
      <c r="J519">
        <v>4909</v>
      </c>
      <c r="K519">
        <v>0.1</v>
      </c>
      <c r="L519">
        <v>30926.7</v>
      </c>
      <c r="M519">
        <v>22998.13</v>
      </c>
      <c r="N519">
        <v>7928.57</v>
      </c>
      <c r="O519" t="s">
        <v>78</v>
      </c>
      <c r="P519" t="s">
        <v>87</v>
      </c>
    </row>
    <row r="520" spans="1:16" x14ac:dyDescent="0.25">
      <c r="A520">
        <v>519</v>
      </c>
      <c r="B520" s="2">
        <v>45886</v>
      </c>
      <c r="C520" t="s">
        <v>17</v>
      </c>
      <c r="D520" t="s">
        <v>25</v>
      </c>
      <c r="E520" t="s">
        <v>30</v>
      </c>
      <c r="F520" t="s">
        <v>40</v>
      </c>
      <c r="G520" t="s">
        <v>71</v>
      </c>
      <c r="H520" t="s">
        <v>75</v>
      </c>
      <c r="I520">
        <v>5</v>
      </c>
      <c r="J520">
        <v>7412</v>
      </c>
      <c r="K520">
        <v>0</v>
      </c>
      <c r="L520">
        <v>37060</v>
      </c>
      <c r="M520">
        <v>22892.400000000001</v>
      </c>
      <c r="N520">
        <v>14167.6</v>
      </c>
      <c r="O520" t="s">
        <v>76</v>
      </c>
      <c r="P520" t="s">
        <v>88</v>
      </c>
    </row>
    <row r="521" spans="1:16" x14ac:dyDescent="0.25">
      <c r="A521">
        <v>520</v>
      </c>
      <c r="B521" s="2">
        <v>45762</v>
      </c>
      <c r="C521" t="s">
        <v>18</v>
      </c>
      <c r="D521" t="s">
        <v>26</v>
      </c>
      <c r="E521" t="s">
        <v>28</v>
      </c>
      <c r="F521" t="s">
        <v>61</v>
      </c>
      <c r="G521" t="s">
        <v>72</v>
      </c>
      <c r="H521" t="s">
        <v>74</v>
      </c>
      <c r="I521">
        <v>6</v>
      </c>
      <c r="J521">
        <v>1310</v>
      </c>
      <c r="K521">
        <v>0.1</v>
      </c>
      <c r="L521">
        <v>7074</v>
      </c>
      <c r="M521">
        <v>5471.32</v>
      </c>
      <c r="N521">
        <v>1602.68</v>
      </c>
      <c r="O521" t="s">
        <v>77</v>
      </c>
      <c r="P521" t="s">
        <v>86</v>
      </c>
    </row>
    <row r="522" spans="1:16" x14ac:dyDescent="0.25">
      <c r="A522">
        <v>521</v>
      </c>
      <c r="B522" s="2">
        <v>45940</v>
      </c>
      <c r="C522" t="s">
        <v>18</v>
      </c>
      <c r="D522" t="s">
        <v>26</v>
      </c>
      <c r="E522" t="s">
        <v>28</v>
      </c>
      <c r="F522" t="s">
        <v>61</v>
      </c>
      <c r="G522" t="s">
        <v>71</v>
      </c>
      <c r="H522" t="s">
        <v>74</v>
      </c>
      <c r="I522">
        <v>8</v>
      </c>
      <c r="J522">
        <v>1424</v>
      </c>
      <c r="K522">
        <v>0</v>
      </c>
      <c r="L522">
        <v>11392</v>
      </c>
      <c r="M522">
        <v>9728.58</v>
      </c>
      <c r="N522">
        <v>1663.42</v>
      </c>
      <c r="O522" t="s">
        <v>78</v>
      </c>
      <c r="P522" t="s">
        <v>83</v>
      </c>
    </row>
    <row r="523" spans="1:16" x14ac:dyDescent="0.25">
      <c r="A523">
        <v>522</v>
      </c>
      <c r="B523" s="2">
        <v>45760</v>
      </c>
      <c r="C523" t="s">
        <v>23</v>
      </c>
      <c r="D523" t="s">
        <v>27</v>
      </c>
      <c r="E523" t="s">
        <v>31</v>
      </c>
      <c r="F523" t="s">
        <v>50</v>
      </c>
      <c r="G523" t="s">
        <v>70</v>
      </c>
      <c r="H523" t="s">
        <v>74</v>
      </c>
      <c r="I523">
        <v>4</v>
      </c>
      <c r="J523">
        <v>763</v>
      </c>
      <c r="K523">
        <v>0.05</v>
      </c>
      <c r="L523">
        <v>2899.4</v>
      </c>
      <c r="M523">
        <v>1631.01</v>
      </c>
      <c r="N523">
        <v>1268.3900000000001</v>
      </c>
      <c r="O523" t="s">
        <v>80</v>
      </c>
      <c r="P523" t="s">
        <v>86</v>
      </c>
    </row>
    <row r="524" spans="1:16" x14ac:dyDescent="0.25">
      <c r="A524">
        <v>523</v>
      </c>
      <c r="B524" s="2">
        <v>45685</v>
      </c>
      <c r="C524" t="s">
        <v>23</v>
      </c>
      <c r="D524" t="s">
        <v>27</v>
      </c>
      <c r="E524" t="s">
        <v>28</v>
      </c>
      <c r="F524" t="s">
        <v>54</v>
      </c>
      <c r="G524" t="s">
        <v>72</v>
      </c>
      <c r="H524" t="s">
        <v>73</v>
      </c>
      <c r="I524">
        <v>2</v>
      </c>
      <c r="J524">
        <v>283</v>
      </c>
      <c r="K524">
        <v>0</v>
      </c>
      <c r="L524">
        <v>566</v>
      </c>
      <c r="M524">
        <v>490.43</v>
      </c>
      <c r="N524">
        <v>75.569999999999993</v>
      </c>
      <c r="O524" t="s">
        <v>80</v>
      </c>
      <c r="P524" t="s">
        <v>85</v>
      </c>
    </row>
    <row r="525" spans="1:16" x14ac:dyDescent="0.25">
      <c r="A525">
        <v>524</v>
      </c>
      <c r="B525" s="2">
        <v>45688</v>
      </c>
      <c r="C525" t="s">
        <v>21</v>
      </c>
      <c r="D525" t="s">
        <v>24</v>
      </c>
      <c r="E525" t="s">
        <v>30</v>
      </c>
      <c r="F525" t="s">
        <v>64</v>
      </c>
      <c r="G525" t="s">
        <v>70</v>
      </c>
      <c r="H525" t="s">
        <v>74</v>
      </c>
      <c r="I525">
        <v>2</v>
      </c>
      <c r="J525">
        <v>38912</v>
      </c>
      <c r="K525">
        <v>0.1</v>
      </c>
      <c r="L525">
        <v>70041.600000000006</v>
      </c>
      <c r="M525">
        <v>59512.08</v>
      </c>
      <c r="N525">
        <v>10529.52</v>
      </c>
      <c r="O525" t="s">
        <v>78</v>
      </c>
      <c r="P525" t="s">
        <v>88</v>
      </c>
    </row>
    <row r="526" spans="1:16" x14ac:dyDescent="0.25">
      <c r="A526">
        <v>525</v>
      </c>
      <c r="B526" s="2">
        <v>45749</v>
      </c>
      <c r="C526" t="s">
        <v>20</v>
      </c>
      <c r="D526" t="s">
        <v>26</v>
      </c>
      <c r="E526" t="s">
        <v>34</v>
      </c>
      <c r="F526" t="s">
        <v>43</v>
      </c>
      <c r="G526" t="s">
        <v>71</v>
      </c>
      <c r="H526" t="s">
        <v>73</v>
      </c>
      <c r="I526">
        <v>8</v>
      </c>
      <c r="J526">
        <v>4687</v>
      </c>
      <c r="K526">
        <v>0.1</v>
      </c>
      <c r="L526">
        <v>33746.400000000001</v>
      </c>
      <c r="M526">
        <v>19337.830000000002</v>
      </c>
      <c r="N526">
        <v>14408.57</v>
      </c>
      <c r="O526" t="s">
        <v>78</v>
      </c>
      <c r="P526" t="s">
        <v>84</v>
      </c>
    </row>
    <row r="527" spans="1:16" x14ac:dyDescent="0.25">
      <c r="A527">
        <v>526</v>
      </c>
      <c r="B527" s="2">
        <v>45984</v>
      </c>
      <c r="C527" t="s">
        <v>18</v>
      </c>
      <c r="D527" t="s">
        <v>26</v>
      </c>
      <c r="E527" t="s">
        <v>29</v>
      </c>
      <c r="F527" t="s">
        <v>36</v>
      </c>
      <c r="G527" t="s">
        <v>70</v>
      </c>
      <c r="H527" t="s">
        <v>73</v>
      </c>
      <c r="I527">
        <v>3</v>
      </c>
      <c r="J527">
        <v>7836</v>
      </c>
      <c r="K527">
        <v>0.15</v>
      </c>
      <c r="L527">
        <v>19981.8</v>
      </c>
      <c r="M527">
        <v>11864.18</v>
      </c>
      <c r="N527">
        <v>8117.62</v>
      </c>
      <c r="O527" t="s">
        <v>79</v>
      </c>
      <c r="P527" t="s">
        <v>84</v>
      </c>
    </row>
    <row r="528" spans="1:16" x14ac:dyDescent="0.25">
      <c r="A528">
        <v>527</v>
      </c>
      <c r="B528" s="2">
        <v>45928</v>
      </c>
      <c r="C528" t="s">
        <v>16</v>
      </c>
      <c r="D528" t="s">
        <v>24</v>
      </c>
      <c r="E528" t="s">
        <v>29</v>
      </c>
      <c r="F528" t="s">
        <v>45</v>
      </c>
      <c r="G528" t="s">
        <v>70</v>
      </c>
      <c r="H528" t="s">
        <v>75</v>
      </c>
      <c r="I528">
        <v>5</v>
      </c>
      <c r="J528">
        <v>5230</v>
      </c>
      <c r="K528">
        <v>0.15</v>
      </c>
      <c r="L528">
        <v>22227.5</v>
      </c>
      <c r="M528">
        <v>16511.150000000001</v>
      </c>
      <c r="N528">
        <v>5716.35</v>
      </c>
      <c r="O528" t="s">
        <v>80</v>
      </c>
      <c r="P528" t="s">
        <v>83</v>
      </c>
    </row>
    <row r="529" spans="1:16" x14ac:dyDescent="0.25">
      <c r="A529">
        <v>528</v>
      </c>
      <c r="B529" s="2">
        <v>46014</v>
      </c>
      <c r="C529" t="s">
        <v>16</v>
      </c>
      <c r="D529" t="s">
        <v>24</v>
      </c>
      <c r="E529" t="s">
        <v>29</v>
      </c>
      <c r="F529" t="s">
        <v>36</v>
      </c>
      <c r="G529" t="s">
        <v>71</v>
      </c>
      <c r="H529" t="s">
        <v>74</v>
      </c>
      <c r="I529">
        <v>2</v>
      </c>
      <c r="J529">
        <v>10250</v>
      </c>
      <c r="K529">
        <v>0.1</v>
      </c>
      <c r="L529">
        <v>18450</v>
      </c>
      <c r="M529">
        <v>11827.49</v>
      </c>
      <c r="N529">
        <v>6622.51</v>
      </c>
      <c r="O529" t="s">
        <v>77</v>
      </c>
      <c r="P529" t="s">
        <v>82</v>
      </c>
    </row>
    <row r="530" spans="1:16" x14ac:dyDescent="0.25">
      <c r="A530">
        <v>529</v>
      </c>
      <c r="B530" s="2">
        <v>45708</v>
      </c>
      <c r="C530" t="s">
        <v>23</v>
      </c>
      <c r="D530" t="s">
        <v>27</v>
      </c>
      <c r="E530" t="s">
        <v>33</v>
      </c>
      <c r="F530" t="s">
        <v>52</v>
      </c>
      <c r="G530" t="s">
        <v>70</v>
      </c>
      <c r="H530" t="s">
        <v>74</v>
      </c>
      <c r="I530">
        <v>3</v>
      </c>
      <c r="J530">
        <v>11871</v>
      </c>
      <c r="K530">
        <v>0.2</v>
      </c>
      <c r="L530">
        <v>28490.400000000001</v>
      </c>
      <c r="M530">
        <v>16936.59</v>
      </c>
      <c r="N530">
        <v>11553.81</v>
      </c>
      <c r="O530" t="s">
        <v>80</v>
      </c>
      <c r="P530" t="s">
        <v>81</v>
      </c>
    </row>
    <row r="531" spans="1:16" x14ac:dyDescent="0.25">
      <c r="A531">
        <v>530</v>
      </c>
      <c r="B531" s="2">
        <v>45980</v>
      </c>
      <c r="C531" t="s">
        <v>21</v>
      </c>
      <c r="D531" t="s">
        <v>24</v>
      </c>
      <c r="E531" t="s">
        <v>30</v>
      </c>
      <c r="F531" t="s">
        <v>56</v>
      </c>
      <c r="G531" t="s">
        <v>71</v>
      </c>
      <c r="H531" t="s">
        <v>75</v>
      </c>
      <c r="I531">
        <v>1</v>
      </c>
      <c r="J531">
        <v>30881</v>
      </c>
      <c r="K531">
        <v>0.15</v>
      </c>
      <c r="L531">
        <v>26248.85</v>
      </c>
      <c r="M531">
        <v>16715.32</v>
      </c>
      <c r="N531">
        <v>9533.5300000000007</v>
      </c>
      <c r="O531" t="s">
        <v>78</v>
      </c>
      <c r="P531" t="s">
        <v>84</v>
      </c>
    </row>
    <row r="532" spans="1:16" x14ac:dyDescent="0.25">
      <c r="A532">
        <v>531</v>
      </c>
      <c r="B532" s="2">
        <v>45713</v>
      </c>
      <c r="C532" t="s">
        <v>22</v>
      </c>
      <c r="D532" t="s">
        <v>24</v>
      </c>
      <c r="E532" t="s">
        <v>28</v>
      </c>
      <c r="F532" t="s">
        <v>58</v>
      </c>
      <c r="G532" t="s">
        <v>70</v>
      </c>
      <c r="H532" t="s">
        <v>73</v>
      </c>
      <c r="I532">
        <v>6</v>
      </c>
      <c r="J532">
        <v>1302</v>
      </c>
      <c r="K532">
        <v>0.1</v>
      </c>
      <c r="L532">
        <v>7030.8</v>
      </c>
      <c r="M532">
        <v>4842.18</v>
      </c>
      <c r="N532">
        <v>2188.62</v>
      </c>
      <c r="O532" t="s">
        <v>79</v>
      </c>
      <c r="P532" t="s">
        <v>85</v>
      </c>
    </row>
    <row r="533" spans="1:16" x14ac:dyDescent="0.25">
      <c r="A533">
        <v>532</v>
      </c>
      <c r="B533" s="2">
        <v>45705</v>
      </c>
      <c r="C533" t="s">
        <v>20</v>
      </c>
      <c r="D533" t="s">
        <v>26</v>
      </c>
      <c r="E533" t="s">
        <v>29</v>
      </c>
      <c r="F533" t="s">
        <v>57</v>
      </c>
      <c r="G533" t="s">
        <v>71</v>
      </c>
      <c r="H533" t="s">
        <v>73</v>
      </c>
      <c r="I533">
        <v>4</v>
      </c>
      <c r="J533">
        <v>3518</v>
      </c>
      <c r="K533">
        <v>0.2</v>
      </c>
      <c r="L533">
        <v>11257.6</v>
      </c>
      <c r="M533">
        <v>7821.4</v>
      </c>
      <c r="N533">
        <v>3436.2</v>
      </c>
      <c r="O533" t="s">
        <v>80</v>
      </c>
      <c r="P533" t="s">
        <v>86</v>
      </c>
    </row>
    <row r="534" spans="1:16" x14ac:dyDescent="0.25">
      <c r="A534">
        <v>533</v>
      </c>
      <c r="B534" s="2">
        <v>45878</v>
      </c>
      <c r="C534" t="s">
        <v>17</v>
      </c>
      <c r="D534" t="s">
        <v>25</v>
      </c>
      <c r="E534" t="s">
        <v>31</v>
      </c>
      <c r="F534" t="s">
        <v>67</v>
      </c>
      <c r="G534" t="s">
        <v>71</v>
      </c>
      <c r="H534" t="s">
        <v>75</v>
      </c>
      <c r="I534">
        <v>6</v>
      </c>
      <c r="J534">
        <v>2052</v>
      </c>
      <c r="K534">
        <v>0.15</v>
      </c>
      <c r="L534">
        <v>10465.200000000001</v>
      </c>
      <c r="M534">
        <v>7026.24</v>
      </c>
      <c r="N534">
        <v>3438.96</v>
      </c>
      <c r="O534" t="s">
        <v>78</v>
      </c>
      <c r="P534" t="s">
        <v>83</v>
      </c>
    </row>
    <row r="535" spans="1:16" x14ac:dyDescent="0.25">
      <c r="A535">
        <v>534</v>
      </c>
      <c r="B535" s="2">
        <v>45659</v>
      </c>
      <c r="C535" t="s">
        <v>16</v>
      </c>
      <c r="D535" t="s">
        <v>24</v>
      </c>
      <c r="E535" t="s">
        <v>28</v>
      </c>
      <c r="F535" t="s">
        <v>54</v>
      </c>
      <c r="G535" t="s">
        <v>71</v>
      </c>
      <c r="H535" t="s">
        <v>74</v>
      </c>
      <c r="I535">
        <v>2</v>
      </c>
      <c r="J535">
        <v>2294</v>
      </c>
      <c r="K535">
        <v>0.15</v>
      </c>
      <c r="L535">
        <v>3899.8</v>
      </c>
      <c r="M535">
        <v>2354.5300000000002</v>
      </c>
      <c r="N535">
        <v>1545.27</v>
      </c>
      <c r="O535" t="s">
        <v>79</v>
      </c>
      <c r="P535" t="s">
        <v>84</v>
      </c>
    </row>
    <row r="536" spans="1:16" x14ac:dyDescent="0.25">
      <c r="A536">
        <v>535</v>
      </c>
      <c r="B536" s="2">
        <v>45963</v>
      </c>
      <c r="C536" t="s">
        <v>18</v>
      </c>
      <c r="D536" t="s">
        <v>26</v>
      </c>
      <c r="E536" t="s">
        <v>33</v>
      </c>
      <c r="F536" t="s">
        <v>52</v>
      </c>
      <c r="G536" t="s">
        <v>71</v>
      </c>
      <c r="H536" t="s">
        <v>73</v>
      </c>
      <c r="I536">
        <v>3</v>
      </c>
      <c r="J536">
        <v>6247</v>
      </c>
      <c r="K536">
        <v>0.1</v>
      </c>
      <c r="L536">
        <v>16866.900000000001</v>
      </c>
      <c r="M536">
        <v>11090.11</v>
      </c>
      <c r="N536">
        <v>5776.79</v>
      </c>
      <c r="O536" t="s">
        <v>76</v>
      </c>
      <c r="P536" t="s">
        <v>87</v>
      </c>
    </row>
    <row r="537" spans="1:16" x14ac:dyDescent="0.25">
      <c r="A537">
        <v>536</v>
      </c>
      <c r="B537" s="2">
        <v>45713</v>
      </c>
      <c r="C537" t="s">
        <v>16</v>
      </c>
      <c r="D537" t="s">
        <v>24</v>
      </c>
      <c r="E537" t="s">
        <v>34</v>
      </c>
      <c r="F537" t="s">
        <v>65</v>
      </c>
      <c r="G537" t="s">
        <v>72</v>
      </c>
      <c r="H537" t="s">
        <v>74</v>
      </c>
      <c r="I537">
        <v>2</v>
      </c>
      <c r="J537">
        <v>2485</v>
      </c>
      <c r="K537">
        <v>0</v>
      </c>
      <c r="L537">
        <v>4970</v>
      </c>
      <c r="M537">
        <v>3439.03</v>
      </c>
      <c r="N537">
        <v>1530.97</v>
      </c>
      <c r="O537" t="s">
        <v>76</v>
      </c>
      <c r="P537" t="s">
        <v>82</v>
      </c>
    </row>
    <row r="538" spans="1:16" x14ac:dyDescent="0.25">
      <c r="A538">
        <v>537</v>
      </c>
      <c r="B538" s="2">
        <v>45914</v>
      </c>
      <c r="C538" t="s">
        <v>18</v>
      </c>
      <c r="D538" t="s">
        <v>26</v>
      </c>
      <c r="E538" t="s">
        <v>30</v>
      </c>
      <c r="F538" t="s">
        <v>56</v>
      </c>
      <c r="G538" t="s">
        <v>70</v>
      </c>
      <c r="H538" t="s">
        <v>74</v>
      </c>
      <c r="I538">
        <v>2</v>
      </c>
      <c r="J538">
        <v>42920</v>
      </c>
      <c r="K538">
        <v>0.1</v>
      </c>
      <c r="L538">
        <v>77256</v>
      </c>
      <c r="M538">
        <v>49718.67</v>
      </c>
      <c r="N538">
        <v>27537.33</v>
      </c>
      <c r="O538" t="s">
        <v>80</v>
      </c>
      <c r="P538" t="s">
        <v>88</v>
      </c>
    </row>
    <row r="539" spans="1:16" x14ac:dyDescent="0.25">
      <c r="A539">
        <v>538</v>
      </c>
      <c r="B539" s="2">
        <v>45873</v>
      </c>
      <c r="C539" t="s">
        <v>20</v>
      </c>
      <c r="D539" t="s">
        <v>26</v>
      </c>
      <c r="E539" t="s">
        <v>30</v>
      </c>
      <c r="F539" t="s">
        <v>56</v>
      </c>
      <c r="G539" t="s">
        <v>72</v>
      </c>
      <c r="H539" t="s">
        <v>74</v>
      </c>
      <c r="I539">
        <v>1</v>
      </c>
      <c r="J539">
        <v>67292</v>
      </c>
      <c r="K539">
        <v>0.1</v>
      </c>
      <c r="L539">
        <v>60562.8</v>
      </c>
      <c r="M539">
        <v>35888.43</v>
      </c>
      <c r="N539">
        <v>24674.37</v>
      </c>
      <c r="O539" t="s">
        <v>79</v>
      </c>
      <c r="P539" t="s">
        <v>83</v>
      </c>
    </row>
    <row r="540" spans="1:16" x14ac:dyDescent="0.25">
      <c r="A540">
        <v>539</v>
      </c>
      <c r="B540" s="2">
        <v>45989</v>
      </c>
      <c r="C540" t="s">
        <v>20</v>
      </c>
      <c r="D540" t="s">
        <v>26</v>
      </c>
      <c r="E540" t="s">
        <v>32</v>
      </c>
      <c r="F540" t="s">
        <v>49</v>
      </c>
      <c r="G540" t="s">
        <v>72</v>
      </c>
      <c r="H540" t="s">
        <v>74</v>
      </c>
      <c r="I540">
        <v>3</v>
      </c>
      <c r="J540">
        <v>18560</v>
      </c>
      <c r="K540">
        <v>0.05</v>
      </c>
      <c r="L540">
        <v>52896</v>
      </c>
      <c r="M540">
        <v>35421.94</v>
      </c>
      <c r="N540">
        <v>17474.060000000001</v>
      </c>
      <c r="O540" t="s">
        <v>78</v>
      </c>
      <c r="P540" t="s">
        <v>83</v>
      </c>
    </row>
    <row r="541" spans="1:16" x14ac:dyDescent="0.25">
      <c r="A541">
        <v>540</v>
      </c>
      <c r="B541" s="2">
        <v>45745</v>
      </c>
      <c r="C541" t="s">
        <v>18</v>
      </c>
      <c r="D541" t="s">
        <v>26</v>
      </c>
      <c r="E541" t="s">
        <v>29</v>
      </c>
      <c r="F541" t="s">
        <v>53</v>
      </c>
      <c r="G541" t="s">
        <v>71</v>
      </c>
      <c r="H541" t="s">
        <v>75</v>
      </c>
      <c r="I541">
        <v>1</v>
      </c>
      <c r="J541">
        <v>4014</v>
      </c>
      <c r="K541">
        <v>0</v>
      </c>
      <c r="L541">
        <v>4014</v>
      </c>
      <c r="M541">
        <v>2970.89</v>
      </c>
      <c r="N541">
        <v>1043.1099999999999</v>
      </c>
      <c r="O541" t="s">
        <v>76</v>
      </c>
      <c r="P541" t="s">
        <v>84</v>
      </c>
    </row>
    <row r="542" spans="1:16" x14ac:dyDescent="0.25">
      <c r="A542">
        <v>541</v>
      </c>
      <c r="B542" s="2">
        <v>45838</v>
      </c>
      <c r="C542" t="s">
        <v>20</v>
      </c>
      <c r="D542" t="s">
        <v>26</v>
      </c>
      <c r="E542" t="s">
        <v>34</v>
      </c>
      <c r="F542" t="s">
        <v>68</v>
      </c>
      <c r="G542" t="s">
        <v>70</v>
      </c>
      <c r="H542" t="s">
        <v>73</v>
      </c>
      <c r="I542">
        <v>8</v>
      </c>
      <c r="J542">
        <v>4201</v>
      </c>
      <c r="K542">
        <v>0.05</v>
      </c>
      <c r="L542">
        <v>31927.599999999999</v>
      </c>
      <c r="M542">
        <v>22036.22</v>
      </c>
      <c r="N542">
        <v>9891.3799999999992</v>
      </c>
      <c r="O542" t="s">
        <v>77</v>
      </c>
      <c r="P542" t="s">
        <v>83</v>
      </c>
    </row>
    <row r="543" spans="1:16" x14ac:dyDescent="0.25">
      <c r="A543">
        <v>542</v>
      </c>
      <c r="B543" s="2">
        <v>45774</v>
      </c>
      <c r="C543" t="s">
        <v>22</v>
      </c>
      <c r="D543" t="s">
        <v>24</v>
      </c>
      <c r="E543" t="s">
        <v>33</v>
      </c>
      <c r="F543" t="s">
        <v>59</v>
      </c>
      <c r="G543" t="s">
        <v>72</v>
      </c>
      <c r="H543" t="s">
        <v>75</v>
      </c>
      <c r="I543">
        <v>5</v>
      </c>
      <c r="J543">
        <v>15431</v>
      </c>
      <c r="K543">
        <v>0.2</v>
      </c>
      <c r="L543">
        <v>61724</v>
      </c>
      <c r="M543">
        <v>53212.61</v>
      </c>
      <c r="N543">
        <v>8511.39</v>
      </c>
      <c r="O543" t="s">
        <v>78</v>
      </c>
      <c r="P543" t="s">
        <v>85</v>
      </c>
    </row>
    <row r="544" spans="1:16" x14ac:dyDescent="0.25">
      <c r="A544">
        <v>543</v>
      </c>
      <c r="B544" s="2">
        <v>45813</v>
      </c>
      <c r="C544" t="s">
        <v>23</v>
      </c>
      <c r="D544" t="s">
        <v>27</v>
      </c>
      <c r="E544" t="s">
        <v>31</v>
      </c>
      <c r="F544" t="s">
        <v>69</v>
      </c>
      <c r="G544" t="s">
        <v>72</v>
      </c>
      <c r="H544" t="s">
        <v>73</v>
      </c>
      <c r="I544">
        <v>5</v>
      </c>
      <c r="J544">
        <v>1720</v>
      </c>
      <c r="K544">
        <v>0</v>
      </c>
      <c r="L544">
        <v>8600</v>
      </c>
      <c r="M544">
        <v>7286.78</v>
      </c>
      <c r="N544">
        <v>1313.22</v>
      </c>
      <c r="O544" t="s">
        <v>80</v>
      </c>
      <c r="P544" t="s">
        <v>86</v>
      </c>
    </row>
    <row r="545" spans="1:16" x14ac:dyDescent="0.25">
      <c r="A545">
        <v>544</v>
      </c>
      <c r="B545" s="2">
        <v>45783</v>
      </c>
      <c r="C545" t="s">
        <v>21</v>
      </c>
      <c r="D545" t="s">
        <v>24</v>
      </c>
      <c r="E545" t="s">
        <v>30</v>
      </c>
      <c r="F545" t="s">
        <v>56</v>
      </c>
      <c r="G545" t="s">
        <v>72</v>
      </c>
      <c r="H545" t="s">
        <v>73</v>
      </c>
      <c r="I545">
        <v>7</v>
      </c>
      <c r="J545">
        <v>17331</v>
      </c>
      <c r="K545">
        <v>0</v>
      </c>
      <c r="L545">
        <v>121317</v>
      </c>
      <c r="M545">
        <v>83978.59</v>
      </c>
      <c r="N545">
        <v>37338.410000000003</v>
      </c>
      <c r="O545" t="s">
        <v>76</v>
      </c>
      <c r="P545" t="s">
        <v>85</v>
      </c>
    </row>
    <row r="546" spans="1:16" x14ac:dyDescent="0.25">
      <c r="A546">
        <v>545</v>
      </c>
      <c r="B546" s="2">
        <v>45915</v>
      </c>
      <c r="C546" t="s">
        <v>22</v>
      </c>
      <c r="D546" t="s">
        <v>24</v>
      </c>
      <c r="E546" t="s">
        <v>33</v>
      </c>
      <c r="F546" t="s">
        <v>60</v>
      </c>
      <c r="G546" t="s">
        <v>71</v>
      </c>
      <c r="H546" t="s">
        <v>75</v>
      </c>
      <c r="I546">
        <v>6</v>
      </c>
      <c r="J546">
        <v>3265</v>
      </c>
      <c r="K546">
        <v>0.15</v>
      </c>
      <c r="L546">
        <v>16651.5</v>
      </c>
      <c r="M546">
        <v>12106.82</v>
      </c>
      <c r="N546">
        <v>4544.68</v>
      </c>
      <c r="O546" t="s">
        <v>77</v>
      </c>
      <c r="P546" t="s">
        <v>83</v>
      </c>
    </row>
    <row r="547" spans="1:16" x14ac:dyDescent="0.25">
      <c r="A547">
        <v>546</v>
      </c>
      <c r="B547" s="2">
        <v>45780</v>
      </c>
      <c r="C547" t="s">
        <v>20</v>
      </c>
      <c r="D547" t="s">
        <v>26</v>
      </c>
      <c r="E547" t="s">
        <v>33</v>
      </c>
      <c r="F547" t="s">
        <v>60</v>
      </c>
      <c r="G547" t="s">
        <v>70</v>
      </c>
      <c r="H547" t="s">
        <v>73</v>
      </c>
      <c r="I547">
        <v>1</v>
      </c>
      <c r="J547">
        <v>8399</v>
      </c>
      <c r="K547">
        <v>0.1</v>
      </c>
      <c r="L547">
        <v>7559.1</v>
      </c>
      <c r="M547">
        <v>5437.61</v>
      </c>
      <c r="N547">
        <v>2121.4899999999998</v>
      </c>
      <c r="O547" t="s">
        <v>79</v>
      </c>
      <c r="P547" t="s">
        <v>83</v>
      </c>
    </row>
    <row r="548" spans="1:16" x14ac:dyDescent="0.25">
      <c r="A548">
        <v>547</v>
      </c>
      <c r="B548" s="2">
        <v>45747</v>
      </c>
      <c r="C548" t="s">
        <v>23</v>
      </c>
      <c r="D548" t="s">
        <v>27</v>
      </c>
      <c r="E548" t="s">
        <v>34</v>
      </c>
      <c r="F548" t="s">
        <v>55</v>
      </c>
      <c r="G548" t="s">
        <v>70</v>
      </c>
      <c r="H548" t="s">
        <v>74</v>
      </c>
      <c r="I548">
        <v>1</v>
      </c>
      <c r="J548">
        <v>4169</v>
      </c>
      <c r="K548">
        <v>0</v>
      </c>
      <c r="L548">
        <v>4169</v>
      </c>
      <c r="M548">
        <v>3275.41</v>
      </c>
      <c r="N548">
        <v>893.59</v>
      </c>
      <c r="O548" t="s">
        <v>80</v>
      </c>
      <c r="P548" t="s">
        <v>81</v>
      </c>
    </row>
    <row r="549" spans="1:16" x14ac:dyDescent="0.25">
      <c r="A549">
        <v>548</v>
      </c>
      <c r="B549" s="2">
        <v>45685</v>
      </c>
      <c r="C549" t="s">
        <v>23</v>
      </c>
      <c r="D549" t="s">
        <v>27</v>
      </c>
      <c r="E549" t="s">
        <v>33</v>
      </c>
      <c r="F549" t="s">
        <v>41</v>
      </c>
      <c r="G549" t="s">
        <v>70</v>
      </c>
      <c r="H549" t="s">
        <v>74</v>
      </c>
      <c r="I549">
        <v>4</v>
      </c>
      <c r="J549">
        <v>4486</v>
      </c>
      <c r="K549">
        <v>0</v>
      </c>
      <c r="L549">
        <v>17944</v>
      </c>
      <c r="M549">
        <v>12425.28</v>
      </c>
      <c r="N549">
        <v>5518.72</v>
      </c>
      <c r="O549" t="s">
        <v>77</v>
      </c>
      <c r="P549" t="s">
        <v>84</v>
      </c>
    </row>
    <row r="550" spans="1:16" x14ac:dyDescent="0.25">
      <c r="A550">
        <v>549</v>
      </c>
      <c r="B550" s="2">
        <v>45950</v>
      </c>
      <c r="C550" t="s">
        <v>17</v>
      </c>
      <c r="D550" t="s">
        <v>25</v>
      </c>
      <c r="E550" t="s">
        <v>30</v>
      </c>
      <c r="F550" t="s">
        <v>56</v>
      </c>
      <c r="G550" t="s">
        <v>70</v>
      </c>
      <c r="H550" t="s">
        <v>74</v>
      </c>
      <c r="I550">
        <v>4</v>
      </c>
      <c r="J550">
        <v>49493</v>
      </c>
      <c r="K550">
        <v>0.1</v>
      </c>
      <c r="L550">
        <v>178174.8</v>
      </c>
      <c r="M550">
        <v>130771.42</v>
      </c>
      <c r="N550">
        <v>47403.38</v>
      </c>
      <c r="O550" t="s">
        <v>76</v>
      </c>
      <c r="P550" t="s">
        <v>84</v>
      </c>
    </row>
    <row r="551" spans="1:16" x14ac:dyDescent="0.25">
      <c r="A551">
        <v>550</v>
      </c>
      <c r="B551" s="2">
        <v>45880</v>
      </c>
      <c r="C551" t="s">
        <v>21</v>
      </c>
      <c r="D551" t="s">
        <v>24</v>
      </c>
      <c r="E551" t="s">
        <v>30</v>
      </c>
      <c r="F551" t="s">
        <v>64</v>
      </c>
      <c r="G551" t="s">
        <v>72</v>
      </c>
      <c r="H551" t="s">
        <v>75</v>
      </c>
      <c r="I551">
        <v>3</v>
      </c>
      <c r="J551">
        <v>24321</v>
      </c>
      <c r="K551">
        <v>0.2</v>
      </c>
      <c r="L551">
        <v>58370.400000000001</v>
      </c>
      <c r="M551">
        <v>50609.23</v>
      </c>
      <c r="N551">
        <v>7761.17</v>
      </c>
      <c r="O551" t="s">
        <v>79</v>
      </c>
      <c r="P551" t="s">
        <v>87</v>
      </c>
    </row>
    <row r="552" spans="1:16" x14ac:dyDescent="0.25">
      <c r="A552">
        <v>551</v>
      </c>
      <c r="B552" s="2">
        <v>45991</v>
      </c>
      <c r="C552" t="s">
        <v>21</v>
      </c>
      <c r="D552" t="s">
        <v>24</v>
      </c>
      <c r="E552" t="s">
        <v>33</v>
      </c>
      <c r="F552" t="s">
        <v>46</v>
      </c>
      <c r="G552" t="s">
        <v>72</v>
      </c>
      <c r="H552" t="s">
        <v>75</v>
      </c>
      <c r="I552">
        <v>8</v>
      </c>
      <c r="J552">
        <v>12111</v>
      </c>
      <c r="K552">
        <v>0.05</v>
      </c>
      <c r="L552">
        <v>92043.6</v>
      </c>
      <c r="M552">
        <v>75467.320000000007</v>
      </c>
      <c r="N552">
        <v>16576.28</v>
      </c>
      <c r="O552" t="s">
        <v>79</v>
      </c>
      <c r="P552" t="s">
        <v>86</v>
      </c>
    </row>
    <row r="553" spans="1:16" x14ac:dyDescent="0.25">
      <c r="A553">
        <v>552</v>
      </c>
      <c r="B553" s="2">
        <v>45703</v>
      </c>
      <c r="C553" t="s">
        <v>22</v>
      </c>
      <c r="D553" t="s">
        <v>24</v>
      </c>
      <c r="E553" t="s">
        <v>31</v>
      </c>
      <c r="F553" t="s">
        <v>47</v>
      </c>
      <c r="G553" t="s">
        <v>70</v>
      </c>
      <c r="H553" t="s">
        <v>75</v>
      </c>
      <c r="I553">
        <v>8</v>
      </c>
      <c r="J553">
        <v>688</v>
      </c>
      <c r="K553">
        <v>0</v>
      </c>
      <c r="L553">
        <v>5504</v>
      </c>
      <c r="M553">
        <v>4344.8999999999996</v>
      </c>
      <c r="N553">
        <v>1159.0999999999999</v>
      </c>
      <c r="O553" t="s">
        <v>76</v>
      </c>
      <c r="P553" t="s">
        <v>86</v>
      </c>
    </row>
    <row r="554" spans="1:16" x14ac:dyDescent="0.25">
      <c r="A554">
        <v>553</v>
      </c>
      <c r="B554" s="2">
        <v>45882</v>
      </c>
      <c r="C554" t="s">
        <v>17</v>
      </c>
      <c r="D554" t="s">
        <v>25</v>
      </c>
      <c r="E554" t="s">
        <v>34</v>
      </c>
      <c r="F554" t="s">
        <v>65</v>
      </c>
      <c r="G554" t="s">
        <v>71</v>
      </c>
      <c r="H554" t="s">
        <v>75</v>
      </c>
      <c r="I554">
        <v>5</v>
      </c>
      <c r="J554">
        <v>1874</v>
      </c>
      <c r="K554">
        <v>0.05</v>
      </c>
      <c r="L554">
        <v>8901.5</v>
      </c>
      <c r="M554">
        <v>5520.71</v>
      </c>
      <c r="N554">
        <v>3380.79</v>
      </c>
      <c r="O554" t="s">
        <v>79</v>
      </c>
      <c r="P554" t="s">
        <v>88</v>
      </c>
    </row>
    <row r="555" spans="1:16" x14ac:dyDescent="0.25">
      <c r="A555">
        <v>554</v>
      </c>
      <c r="B555" s="2">
        <v>45770</v>
      </c>
      <c r="C555" t="s">
        <v>20</v>
      </c>
      <c r="D555" t="s">
        <v>26</v>
      </c>
      <c r="E555" t="s">
        <v>28</v>
      </c>
      <c r="F555" t="s">
        <v>54</v>
      </c>
      <c r="G555" t="s">
        <v>71</v>
      </c>
      <c r="H555" t="s">
        <v>74</v>
      </c>
      <c r="I555">
        <v>4</v>
      </c>
      <c r="J555">
        <v>1142</v>
      </c>
      <c r="K555">
        <v>0.05</v>
      </c>
      <c r="L555">
        <v>4339.6000000000004</v>
      </c>
      <c r="M555">
        <v>3255.6</v>
      </c>
      <c r="N555">
        <v>1084</v>
      </c>
      <c r="O555" t="s">
        <v>76</v>
      </c>
      <c r="P555" t="s">
        <v>85</v>
      </c>
    </row>
    <row r="556" spans="1:16" x14ac:dyDescent="0.25">
      <c r="A556">
        <v>555</v>
      </c>
      <c r="B556" s="2">
        <v>45905</v>
      </c>
      <c r="C556" t="s">
        <v>20</v>
      </c>
      <c r="D556" t="s">
        <v>26</v>
      </c>
      <c r="E556" t="s">
        <v>28</v>
      </c>
      <c r="F556" t="s">
        <v>58</v>
      </c>
      <c r="G556" t="s">
        <v>71</v>
      </c>
      <c r="H556" t="s">
        <v>75</v>
      </c>
      <c r="I556">
        <v>6</v>
      </c>
      <c r="J556">
        <v>770</v>
      </c>
      <c r="K556">
        <v>0.2</v>
      </c>
      <c r="L556">
        <v>3696</v>
      </c>
      <c r="M556">
        <v>3168.43</v>
      </c>
      <c r="N556">
        <v>527.57000000000005</v>
      </c>
      <c r="O556" t="s">
        <v>78</v>
      </c>
      <c r="P556" t="s">
        <v>83</v>
      </c>
    </row>
    <row r="557" spans="1:16" x14ac:dyDescent="0.25">
      <c r="A557">
        <v>556</v>
      </c>
      <c r="B557" s="2">
        <v>45899</v>
      </c>
      <c r="C557" t="s">
        <v>21</v>
      </c>
      <c r="D557" t="s">
        <v>24</v>
      </c>
      <c r="E557" t="s">
        <v>34</v>
      </c>
      <c r="F557" t="s">
        <v>68</v>
      </c>
      <c r="G557" t="s">
        <v>72</v>
      </c>
      <c r="H557" t="s">
        <v>74</v>
      </c>
      <c r="I557">
        <v>7</v>
      </c>
      <c r="J557">
        <v>4662</v>
      </c>
      <c r="K557">
        <v>0.1</v>
      </c>
      <c r="L557">
        <v>29370.6</v>
      </c>
      <c r="M557">
        <v>23801.45</v>
      </c>
      <c r="N557">
        <v>5569.15</v>
      </c>
      <c r="O557" t="s">
        <v>79</v>
      </c>
      <c r="P557" t="s">
        <v>83</v>
      </c>
    </row>
    <row r="558" spans="1:16" x14ac:dyDescent="0.25">
      <c r="A558">
        <v>557</v>
      </c>
      <c r="B558" s="2">
        <v>45915</v>
      </c>
      <c r="C558" t="s">
        <v>16</v>
      </c>
      <c r="D558" t="s">
        <v>24</v>
      </c>
      <c r="E558" t="s">
        <v>31</v>
      </c>
      <c r="F558" t="s">
        <v>47</v>
      </c>
      <c r="G558" t="s">
        <v>72</v>
      </c>
      <c r="H558" t="s">
        <v>73</v>
      </c>
      <c r="I558">
        <v>1</v>
      </c>
      <c r="J558">
        <v>991</v>
      </c>
      <c r="K558">
        <v>0.1</v>
      </c>
      <c r="L558">
        <v>891.9</v>
      </c>
      <c r="M558">
        <v>521.53</v>
      </c>
      <c r="N558">
        <v>370.37</v>
      </c>
      <c r="O558" t="s">
        <v>80</v>
      </c>
      <c r="P558" t="s">
        <v>86</v>
      </c>
    </row>
    <row r="559" spans="1:16" x14ac:dyDescent="0.25">
      <c r="A559">
        <v>558</v>
      </c>
      <c r="B559" s="2">
        <v>45921</v>
      </c>
      <c r="C559" t="s">
        <v>21</v>
      </c>
      <c r="D559" t="s">
        <v>24</v>
      </c>
      <c r="E559" t="s">
        <v>34</v>
      </c>
      <c r="F559" t="s">
        <v>43</v>
      </c>
      <c r="G559" t="s">
        <v>70</v>
      </c>
      <c r="H559" t="s">
        <v>74</v>
      </c>
      <c r="I559">
        <v>1</v>
      </c>
      <c r="J559">
        <v>3051</v>
      </c>
      <c r="K559">
        <v>0.1</v>
      </c>
      <c r="L559">
        <v>2745.9</v>
      </c>
      <c r="M559">
        <v>2111.7399999999998</v>
      </c>
      <c r="N559">
        <v>634.16</v>
      </c>
      <c r="O559" t="s">
        <v>76</v>
      </c>
      <c r="P559" t="s">
        <v>82</v>
      </c>
    </row>
    <row r="560" spans="1:16" x14ac:dyDescent="0.25">
      <c r="A560">
        <v>559</v>
      </c>
      <c r="B560" s="2">
        <v>45668</v>
      </c>
      <c r="C560" t="s">
        <v>18</v>
      </c>
      <c r="D560" t="s">
        <v>26</v>
      </c>
      <c r="E560" t="s">
        <v>30</v>
      </c>
      <c r="F560" t="s">
        <v>40</v>
      </c>
      <c r="G560" t="s">
        <v>71</v>
      </c>
      <c r="H560" t="s">
        <v>75</v>
      </c>
      <c r="I560">
        <v>6</v>
      </c>
      <c r="J560">
        <v>21437</v>
      </c>
      <c r="K560">
        <v>0.05</v>
      </c>
      <c r="L560">
        <v>122190.9</v>
      </c>
      <c r="M560">
        <v>76228.41</v>
      </c>
      <c r="N560">
        <v>45962.49</v>
      </c>
      <c r="O560" t="s">
        <v>77</v>
      </c>
      <c r="P560" t="s">
        <v>82</v>
      </c>
    </row>
    <row r="561" spans="1:16" x14ac:dyDescent="0.25">
      <c r="A561">
        <v>560</v>
      </c>
      <c r="B561" s="2">
        <v>45754</v>
      </c>
      <c r="C561" t="s">
        <v>22</v>
      </c>
      <c r="D561" t="s">
        <v>24</v>
      </c>
      <c r="E561" t="s">
        <v>34</v>
      </c>
      <c r="F561" t="s">
        <v>51</v>
      </c>
      <c r="G561" t="s">
        <v>72</v>
      </c>
      <c r="H561" t="s">
        <v>74</v>
      </c>
      <c r="I561">
        <v>1</v>
      </c>
      <c r="J561">
        <v>357</v>
      </c>
      <c r="K561">
        <v>0.1</v>
      </c>
      <c r="L561">
        <v>321.3</v>
      </c>
      <c r="M561">
        <v>184.58</v>
      </c>
      <c r="N561">
        <v>136.72</v>
      </c>
      <c r="O561" t="s">
        <v>76</v>
      </c>
      <c r="P561" t="s">
        <v>84</v>
      </c>
    </row>
    <row r="562" spans="1:16" x14ac:dyDescent="0.25">
      <c r="A562">
        <v>561</v>
      </c>
      <c r="B562" s="2">
        <v>45737</v>
      </c>
      <c r="C562" t="s">
        <v>17</v>
      </c>
      <c r="D562" t="s">
        <v>25</v>
      </c>
      <c r="E562" t="s">
        <v>32</v>
      </c>
      <c r="F562" t="s">
        <v>48</v>
      </c>
      <c r="G562" t="s">
        <v>72</v>
      </c>
      <c r="H562" t="s">
        <v>74</v>
      </c>
      <c r="I562">
        <v>3</v>
      </c>
      <c r="J562">
        <v>12908</v>
      </c>
      <c r="K562">
        <v>0.05</v>
      </c>
      <c r="L562">
        <v>36787.800000000003</v>
      </c>
      <c r="M562">
        <v>22370.41</v>
      </c>
      <c r="N562">
        <v>14417.39</v>
      </c>
      <c r="O562" t="s">
        <v>79</v>
      </c>
      <c r="P562" t="s">
        <v>85</v>
      </c>
    </row>
    <row r="563" spans="1:16" x14ac:dyDescent="0.25">
      <c r="A563">
        <v>562</v>
      </c>
      <c r="B563" s="2">
        <v>45803</v>
      </c>
      <c r="C563" t="s">
        <v>17</v>
      </c>
      <c r="D563" t="s">
        <v>25</v>
      </c>
      <c r="E563" t="s">
        <v>28</v>
      </c>
      <c r="F563" t="s">
        <v>61</v>
      </c>
      <c r="G563" t="s">
        <v>70</v>
      </c>
      <c r="H563" t="s">
        <v>74</v>
      </c>
      <c r="I563">
        <v>7</v>
      </c>
      <c r="J563">
        <v>2271</v>
      </c>
      <c r="K563">
        <v>0</v>
      </c>
      <c r="L563">
        <v>15897</v>
      </c>
      <c r="M563">
        <v>13602.62</v>
      </c>
      <c r="N563">
        <v>2294.38</v>
      </c>
      <c r="O563" t="s">
        <v>76</v>
      </c>
      <c r="P563" t="s">
        <v>86</v>
      </c>
    </row>
    <row r="564" spans="1:16" x14ac:dyDescent="0.25">
      <c r="A564">
        <v>563</v>
      </c>
      <c r="B564" s="2">
        <v>45841</v>
      </c>
      <c r="C564" t="s">
        <v>21</v>
      </c>
      <c r="D564" t="s">
        <v>24</v>
      </c>
      <c r="E564" t="s">
        <v>30</v>
      </c>
      <c r="F564" t="s">
        <v>37</v>
      </c>
      <c r="G564" t="s">
        <v>70</v>
      </c>
      <c r="H564" t="s">
        <v>74</v>
      </c>
      <c r="I564">
        <v>3</v>
      </c>
      <c r="J564">
        <v>30548</v>
      </c>
      <c r="K564">
        <v>0.05</v>
      </c>
      <c r="L564">
        <v>87061.8</v>
      </c>
      <c r="M564">
        <v>51121.14</v>
      </c>
      <c r="N564">
        <v>35940.660000000003</v>
      </c>
      <c r="O564" t="s">
        <v>79</v>
      </c>
      <c r="P564" t="s">
        <v>86</v>
      </c>
    </row>
    <row r="565" spans="1:16" x14ac:dyDescent="0.25">
      <c r="A565">
        <v>564</v>
      </c>
      <c r="B565" s="2">
        <v>45883</v>
      </c>
      <c r="C565" t="s">
        <v>17</v>
      </c>
      <c r="D565" t="s">
        <v>25</v>
      </c>
      <c r="E565" t="s">
        <v>34</v>
      </c>
      <c r="F565" t="s">
        <v>65</v>
      </c>
      <c r="G565" t="s">
        <v>71</v>
      </c>
      <c r="H565" t="s">
        <v>74</v>
      </c>
      <c r="I565">
        <v>7</v>
      </c>
      <c r="J565">
        <v>1311</v>
      </c>
      <c r="K565">
        <v>0.05</v>
      </c>
      <c r="L565">
        <v>8718.15</v>
      </c>
      <c r="M565">
        <v>6055.96</v>
      </c>
      <c r="N565">
        <v>2662.19</v>
      </c>
      <c r="O565" t="s">
        <v>79</v>
      </c>
      <c r="P565" t="s">
        <v>85</v>
      </c>
    </row>
    <row r="566" spans="1:16" x14ac:dyDescent="0.25">
      <c r="A566">
        <v>565</v>
      </c>
      <c r="B566" s="2">
        <v>45757</v>
      </c>
      <c r="C566" t="s">
        <v>21</v>
      </c>
      <c r="D566" t="s">
        <v>24</v>
      </c>
      <c r="E566" t="s">
        <v>31</v>
      </c>
      <c r="F566" t="s">
        <v>47</v>
      </c>
      <c r="G566" t="s">
        <v>71</v>
      </c>
      <c r="H566" t="s">
        <v>75</v>
      </c>
      <c r="I566">
        <v>8</v>
      </c>
      <c r="J566">
        <v>1968</v>
      </c>
      <c r="K566">
        <v>0.1</v>
      </c>
      <c r="L566">
        <v>14169.6</v>
      </c>
      <c r="M566">
        <v>11142.79</v>
      </c>
      <c r="N566">
        <v>3026.81</v>
      </c>
      <c r="O566" t="s">
        <v>76</v>
      </c>
      <c r="P566" t="s">
        <v>83</v>
      </c>
    </row>
    <row r="567" spans="1:16" x14ac:dyDescent="0.25">
      <c r="A567">
        <v>566</v>
      </c>
      <c r="B567" s="2">
        <v>45911</v>
      </c>
      <c r="C567" t="s">
        <v>20</v>
      </c>
      <c r="D567" t="s">
        <v>26</v>
      </c>
      <c r="E567" t="s">
        <v>28</v>
      </c>
      <c r="F567" t="s">
        <v>63</v>
      </c>
      <c r="G567" t="s">
        <v>71</v>
      </c>
      <c r="H567" t="s">
        <v>74</v>
      </c>
      <c r="I567">
        <v>5</v>
      </c>
      <c r="J567">
        <v>345</v>
      </c>
      <c r="K567">
        <v>0.15</v>
      </c>
      <c r="L567">
        <v>1466.25</v>
      </c>
      <c r="M567">
        <v>972.08</v>
      </c>
      <c r="N567">
        <v>494.17</v>
      </c>
      <c r="O567" t="s">
        <v>77</v>
      </c>
      <c r="P567" t="s">
        <v>81</v>
      </c>
    </row>
    <row r="568" spans="1:16" x14ac:dyDescent="0.25">
      <c r="A568">
        <v>567</v>
      </c>
      <c r="B568" s="2">
        <v>45811</v>
      </c>
      <c r="C568" t="s">
        <v>18</v>
      </c>
      <c r="D568" t="s">
        <v>26</v>
      </c>
      <c r="E568" t="s">
        <v>30</v>
      </c>
      <c r="F568" t="s">
        <v>44</v>
      </c>
      <c r="G568" t="s">
        <v>70</v>
      </c>
      <c r="H568" t="s">
        <v>75</v>
      </c>
      <c r="I568">
        <v>5</v>
      </c>
      <c r="J568">
        <v>7107</v>
      </c>
      <c r="K568">
        <v>0</v>
      </c>
      <c r="L568">
        <v>35535</v>
      </c>
      <c r="M568">
        <v>28551.29</v>
      </c>
      <c r="N568">
        <v>6983.71</v>
      </c>
      <c r="O568" t="s">
        <v>79</v>
      </c>
      <c r="P568" t="s">
        <v>82</v>
      </c>
    </row>
    <row r="569" spans="1:16" x14ac:dyDescent="0.25">
      <c r="A569">
        <v>568</v>
      </c>
      <c r="B569" s="2">
        <v>45953</v>
      </c>
      <c r="C569" t="s">
        <v>17</v>
      </c>
      <c r="D569" t="s">
        <v>25</v>
      </c>
      <c r="E569" t="s">
        <v>32</v>
      </c>
      <c r="F569" t="s">
        <v>66</v>
      </c>
      <c r="G569" t="s">
        <v>71</v>
      </c>
      <c r="H569" t="s">
        <v>74</v>
      </c>
      <c r="I569">
        <v>1</v>
      </c>
      <c r="J569">
        <v>6466</v>
      </c>
      <c r="K569">
        <v>0.15</v>
      </c>
      <c r="L569">
        <v>5496.1</v>
      </c>
      <c r="M569">
        <v>4650.78</v>
      </c>
      <c r="N569">
        <v>845.32</v>
      </c>
      <c r="O569" t="s">
        <v>79</v>
      </c>
      <c r="P569" t="s">
        <v>88</v>
      </c>
    </row>
    <row r="570" spans="1:16" x14ac:dyDescent="0.25">
      <c r="A570">
        <v>569</v>
      </c>
      <c r="B570" s="2">
        <v>45735</v>
      </c>
      <c r="C570" t="s">
        <v>22</v>
      </c>
      <c r="D570" t="s">
        <v>24</v>
      </c>
      <c r="E570" t="s">
        <v>29</v>
      </c>
      <c r="F570" t="s">
        <v>53</v>
      </c>
      <c r="G570" t="s">
        <v>72</v>
      </c>
      <c r="H570" t="s">
        <v>73</v>
      </c>
      <c r="I570">
        <v>7</v>
      </c>
      <c r="J570">
        <v>3480</v>
      </c>
      <c r="K570">
        <v>0.05</v>
      </c>
      <c r="L570">
        <v>23142</v>
      </c>
      <c r="M570">
        <v>16066.72</v>
      </c>
      <c r="N570">
        <v>7075.28</v>
      </c>
      <c r="O570" t="s">
        <v>78</v>
      </c>
      <c r="P570" t="s">
        <v>86</v>
      </c>
    </row>
    <row r="571" spans="1:16" x14ac:dyDescent="0.25">
      <c r="A571">
        <v>570</v>
      </c>
      <c r="B571" s="2">
        <v>46008</v>
      </c>
      <c r="C571" t="s">
        <v>18</v>
      </c>
      <c r="D571" t="s">
        <v>26</v>
      </c>
      <c r="E571" t="s">
        <v>33</v>
      </c>
      <c r="F571" t="s">
        <v>52</v>
      </c>
      <c r="G571" t="s">
        <v>72</v>
      </c>
      <c r="H571" t="s">
        <v>75</v>
      </c>
      <c r="I571">
        <v>2</v>
      </c>
      <c r="J571">
        <v>15935</v>
      </c>
      <c r="K571">
        <v>0.1</v>
      </c>
      <c r="L571">
        <v>28683</v>
      </c>
      <c r="M571">
        <v>24562.71</v>
      </c>
      <c r="N571">
        <v>4120.29</v>
      </c>
      <c r="O571" t="s">
        <v>77</v>
      </c>
      <c r="P571" t="s">
        <v>83</v>
      </c>
    </row>
    <row r="572" spans="1:16" x14ac:dyDescent="0.25">
      <c r="A572">
        <v>571</v>
      </c>
      <c r="B572" s="2">
        <v>45840</v>
      </c>
      <c r="C572" t="s">
        <v>23</v>
      </c>
      <c r="D572" t="s">
        <v>27</v>
      </c>
      <c r="E572" t="s">
        <v>31</v>
      </c>
      <c r="F572" t="s">
        <v>38</v>
      </c>
      <c r="G572" t="s">
        <v>72</v>
      </c>
      <c r="H572" t="s">
        <v>74</v>
      </c>
      <c r="I572">
        <v>3</v>
      </c>
      <c r="J572">
        <v>2483</v>
      </c>
      <c r="K572">
        <v>0</v>
      </c>
      <c r="L572">
        <v>7449</v>
      </c>
      <c r="M572">
        <v>5732.3</v>
      </c>
      <c r="N572">
        <v>1716.7</v>
      </c>
      <c r="O572" t="s">
        <v>78</v>
      </c>
      <c r="P572" t="s">
        <v>85</v>
      </c>
    </row>
    <row r="573" spans="1:16" x14ac:dyDescent="0.25">
      <c r="A573">
        <v>572</v>
      </c>
      <c r="B573" s="2">
        <v>45777</v>
      </c>
      <c r="C573" t="s">
        <v>18</v>
      </c>
      <c r="D573" t="s">
        <v>26</v>
      </c>
      <c r="E573" t="s">
        <v>32</v>
      </c>
      <c r="F573" t="s">
        <v>48</v>
      </c>
      <c r="G573" t="s">
        <v>71</v>
      </c>
      <c r="H573" t="s">
        <v>73</v>
      </c>
      <c r="I573">
        <v>2</v>
      </c>
      <c r="J573">
        <v>6179</v>
      </c>
      <c r="K573">
        <v>0</v>
      </c>
      <c r="L573">
        <v>12358</v>
      </c>
      <c r="M573">
        <v>8531.56</v>
      </c>
      <c r="N573">
        <v>3826.44</v>
      </c>
      <c r="O573" t="s">
        <v>76</v>
      </c>
      <c r="P573" t="s">
        <v>87</v>
      </c>
    </row>
    <row r="574" spans="1:16" x14ac:dyDescent="0.25">
      <c r="A574">
        <v>573</v>
      </c>
      <c r="B574" s="2">
        <v>46002</v>
      </c>
      <c r="C574" t="s">
        <v>17</v>
      </c>
      <c r="D574" t="s">
        <v>25</v>
      </c>
      <c r="E574" t="s">
        <v>29</v>
      </c>
      <c r="F574" t="s">
        <v>36</v>
      </c>
      <c r="G574" t="s">
        <v>72</v>
      </c>
      <c r="H574" t="s">
        <v>75</v>
      </c>
      <c r="I574">
        <v>4</v>
      </c>
      <c r="J574">
        <v>587</v>
      </c>
      <c r="K574">
        <v>0.2</v>
      </c>
      <c r="L574">
        <v>1878.4</v>
      </c>
      <c r="M574">
        <v>1360.31</v>
      </c>
      <c r="N574">
        <v>518.09</v>
      </c>
      <c r="O574" t="s">
        <v>77</v>
      </c>
      <c r="P574" t="s">
        <v>83</v>
      </c>
    </row>
    <row r="575" spans="1:16" x14ac:dyDescent="0.25">
      <c r="A575">
        <v>574</v>
      </c>
      <c r="B575" s="2">
        <v>45926</v>
      </c>
      <c r="C575" t="s">
        <v>22</v>
      </c>
      <c r="D575" t="s">
        <v>24</v>
      </c>
      <c r="E575" t="s">
        <v>29</v>
      </c>
      <c r="F575" t="s">
        <v>45</v>
      </c>
      <c r="G575" t="s">
        <v>71</v>
      </c>
      <c r="H575" t="s">
        <v>73</v>
      </c>
      <c r="I575">
        <v>6</v>
      </c>
      <c r="J575">
        <v>3974</v>
      </c>
      <c r="K575">
        <v>0.15</v>
      </c>
      <c r="L575">
        <v>20267.400000000001</v>
      </c>
      <c r="M575">
        <v>17148.419999999998</v>
      </c>
      <c r="N575">
        <v>3118.98</v>
      </c>
      <c r="O575" t="s">
        <v>78</v>
      </c>
      <c r="P575" t="s">
        <v>87</v>
      </c>
    </row>
    <row r="576" spans="1:16" x14ac:dyDescent="0.25">
      <c r="A576">
        <v>575</v>
      </c>
      <c r="B576" s="2">
        <v>45985</v>
      </c>
      <c r="C576" t="s">
        <v>19</v>
      </c>
      <c r="D576" t="s">
        <v>26</v>
      </c>
      <c r="E576" t="s">
        <v>31</v>
      </c>
      <c r="F576" t="s">
        <v>38</v>
      </c>
      <c r="G576" t="s">
        <v>72</v>
      </c>
      <c r="H576" t="s">
        <v>75</v>
      </c>
      <c r="I576">
        <v>7</v>
      </c>
      <c r="J576">
        <v>1520</v>
      </c>
      <c r="K576">
        <v>0.05</v>
      </c>
      <c r="L576">
        <v>10108</v>
      </c>
      <c r="M576">
        <v>8743.74</v>
      </c>
      <c r="N576">
        <v>1364.26</v>
      </c>
      <c r="O576" t="s">
        <v>77</v>
      </c>
      <c r="P576" t="s">
        <v>82</v>
      </c>
    </row>
    <row r="577" spans="1:16" x14ac:dyDescent="0.25">
      <c r="A577">
        <v>576</v>
      </c>
      <c r="B577" s="2">
        <v>45884</v>
      </c>
      <c r="C577" t="s">
        <v>20</v>
      </c>
      <c r="D577" t="s">
        <v>26</v>
      </c>
      <c r="E577" t="s">
        <v>29</v>
      </c>
      <c r="F577" t="s">
        <v>57</v>
      </c>
      <c r="G577" t="s">
        <v>72</v>
      </c>
      <c r="H577" t="s">
        <v>73</v>
      </c>
      <c r="I577">
        <v>4</v>
      </c>
      <c r="J577">
        <v>3193</v>
      </c>
      <c r="K577">
        <v>0</v>
      </c>
      <c r="L577">
        <v>12772</v>
      </c>
      <c r="M577">
        <v>7475.54</v>
      </c>
      <c r="N577">
        <v>5296.46</v>
      </c>
      <c r="O577" t="s">
        <v>80</v>
      </c>
      <c r="P577" t="s">
        <v>84</v>
      </c>
    </row>
    <row r="578" spans="1:16" x14ac:dyDescent="0.25">
      <c r="A578">
        <v>577</v>
      </c>
      <c r="B578" s="2">
        <v>46012</v>
      </c>
      <c r="C578" t="s">
        <v>19</v>
      </c>
      <c r="D578" t="s">
        <v>26</v>
      </c>
      <c r="E578" t="s">
        <v>28</v>
      </c>
      <c r="F578" t="s">
        <v>61</v>
      </c>
      <c r="G578" t="s">
        <v>71</v>
      </c>
      <c r="H578" t="s">
        <v>75</v>
      </c>
      <c r="I578">
        <v>3</v>
      </c>
      <c r="J578">
        <v>1162</v>
      </c>
      <c r="K578">
        <v>0.05</v>
      </c>
      <c r="L578">
        <v>3311.7</v>
      </c>
      <c r="M578">
        <v>2849.31</v>
      </c>
      <c r="N578">
        <v>462.39</v>
      </c>
      <c r="O578" t="s">
        <v>77</v>
      </c>
      <c r="P578" t="s">
        <v>85</v>
      </c>
    </row>
    <row r="579" spans="1:16" x14ac:dyDescent="0.25">
      <c r="A579">
        <v>578</v>
      </c>
      <c r="B579" s="2">
        <v>45675</v>
      </c>
      <c r="C579" t="s">
        <v>23</v>
      </c>
      <c r="D579" t="s">
        <v>27</v>
      </c>
      <c r="E579" t="s">
        <v>28</v>
      </c>
      <c r="F579" t="s">
        <v>58</v>
      </c>
      <c r="G579" t="s">
        <v>72</v>
      </c>
      <c r="H579" t="s">
        <v>75</v>
      </c>
      <c r="I579">
        <v>6</v>
      </c>
      <c r="J579">
        <v>396</v>
      </c>
      <c r="K579">
        <v>0.05</v>
      </c>
      <c r="L579">
        <v>2257.1999999999998</v>
      </c>
      <c r="M579">
        <v>1533.74</v>
      </c>
      <c r="N579">
        <v>723.46</v>
      </c>
      <c r="O579" t="s">
        <v>80</v>
      </c>
      <c r="P579" t="s">
        <v>87</v>
      </c>
    </row>
    <row r="580" spans="1:16" x14ac:dyDescent="0.25">
      <c r="A580">
        <v>579</v>
      </c>
      <c r="B580" s="2">
        <v>45823</v>
      </c>
      <c r="C580" t="s">
        <v>21</v>
      </c>
      <c r="D580" t="s">
        <v>24</v>
      </c>
      <c r="E580" t="s">
        <v>28</v>
      </c>
      <c r="F580" t="s">
        <v>61</v>
      </c>
      <c r="G580" t="s">
        <v>70</v>
      </c>
      <c r="H580" t="s">
        <v>73</v>
      </c>
      <c r="I580">
        <v>3</v>
      </c>
      <c r="J580">
        <v>1658</v>
      </c>
      <c r="K580">
        <v>0.05</v>
      </c>
      <c r="L580">
        <v>4725.3</v>
      </c>
      <c r="M580">
        <v>3878.73</v>
      </c>
      <c r="N580">
        <v>846.57</v>
      </c>
      <c r="O580" t="s">
        <v>78</v>
      </c>
      <c r="P580" t="s">
        <v>85</v>
      </c>
    </row>
    <row r="581" spans="1:16" x14ac:dyDescent="0.25">
      <c r="A581">
        <v>580</v>
      </c>
      <c r="B581" s="2">
        <v>45958</v>
      </c>
      <c r="C581" t="s">
        <v>20</v>
      </c>
      <c r="D581" t="s">
        <v>26</v>
      </c>
      <c r="E581" t="s">
        <v>29</v>
      </c>
      <c r="F581" t="s">
        <v>36</v>
      </c>
      <c r="G581" t="s">
        <v>72</v>
      </c>
      <c r="H581" t="s">
        <v>75</v>
      </c>
      <c r="I581">
        <v>1</v>
      </c>
      <c r="J581">
        <v>1791</v>
      </c>
      <c r="K581">
        <v>0</v>
      </c>
      <c r="L581">
        <v>1791</v>
      </c>
      <c r="M581">
        <v>1101.3</v>
      </c>
      <c r="N581">
        <v>689.7</v>
      </c>
      <c r="O581" t="s">
        <v>78</v>
      </c>
      <c r="P581" t="s">
        <v>88</v>
      </c>
    </row>
    <row r="582" spans="1:16" x14ac:dyDescent="0.25">
      <c r="A582">
        <v>581</v>
      </c>
      <c r="B582" s="2">
        <v>45841</v>
      </c>
      <c r="C582" t="s">
        <v>22</v>
      </c>
      <c r="D582" t="s">
        <v>24</v>
      </c>
      <c r="E582" t="s">
        <v>29</v>
      </c>
      <c r="F582" t="s">
        <v>53</v>
      </c>
      <c r="G582" t="s">
        <v>70</v>
      </c>
      <c r="H582" t="s">
        <v>74</v>
      </c>
      <c r="I582">
        <v>8</v>
      </c>
      <c r="J582">
        <v>5783</v>
      </c>
      <c r="K582">
        <v>0</v>
      </c>
      <c r="L582">
        <v>46264</v>
      </c>
      <c r="M582">
        <v>39799.040000000001</v>
      </c>
      <c r="N582">
        <v>6464.96</v>
      </c>
      <c r="O582" t="s">
        <v>78</v>
      </c>
      <c r="P582" t="s">
        <v>85</v>
      </c>
    </row>
    <row r="583" spans="1:16" x14ac:dyDescent="0.25">
      <c r="A583">
        <v>582</v>
      </c>
      <c r="B583" s="2">
        <v>45767</v>
      </c>
      <c r="C583" t="s">
        <v>20</v>
      </c>
      <c r="D583" t="s">
        <v>26</v>
      </c>
      <c r="E583" t="s">
        <v>31</v>
      </c>
      <c r="F583" t="s">
        <v>38</v>
      </c>
      <c r="G583" t="s">
        <v>70</v>
      </c>
      <c r="H583" t="s">
        <v>75</v>
      </c>
      <c r="I583">
        <v>1</v>
      </c>
      <c r="J583">
        <v>1597</v>
      </c>
      <c r="K583">
        <v>0</v>
      </c>
      <c r="L583">
        <v>1597</v>
      </c>
      <c r="M583">
        <v>1311.89</v>
      </c>
      <c r="N583">
        <v>285.11</v>
      </c>
      <c r="O583" t="s">
        <v>78</v>
      </c>
      <c r="P583" t="s">
        <v>85</v>
      </c>
    </row>
    <row r="584" spans="1:16" x14ac:dyDescent="0.25">
      <c r="A584">
        <v>583</v>
      </c>
      <c r="B584" s="2">
        <v>45758</v>
      </c>
      <c r="C584" t="s">
        <v>23</v>
      </c>
      <c r="D584" t="s">
        <v>27</v>
      </c>
      <c r="E584" t="s">
        <v>30</v>
      </c>
      <c r="F584" t="s">
        <v>56</v>
      </c>
      <c r="G584" t="s">
        <v>72</v>
      </c>
      <c r="H584" t="s">
        <v>74</v>
      </c>
      <c r="I584">
        <v>3</v>
      </c>
      <c r="J584">
        <v>30930</v>
      </c>
      <c r="K584">
        <v>0.05</v>
      </c>
      <c r="L584">
        <v>88150.5</v>
      </c>
      <c r="M584">
        <v>74225</v>
      </c>
      <c r="N584">
        <v>13925.5</v>
      </c>
      <c r="O584" t="s">
        <v>77</v>
      </c>
      <c r="P584" t="s">
        <v>84</v>
      </c>
    </row>
    <row r="585" spans="1:16" x14ac:dyDescent="0.25">
      <c r="A585">
        <v>584</v>
      </c>
      <c r="B585" s="2">
        <v>45712</v>
      </c>
      <c r="C585" t="s">
        <v>16</v>
      </c>
      <c r="D585" t="s">
        <v>24</v>
      </c>
      <c r="E585" t="s">
        <v>28</v>
      </c>
      <c r="F585" t="s">
        <v>54</v>
      </c>
      <c r="G585" t="s">
        <v>71</v>
      </c>
      <c r="H585" t="s">
        <v>74</v>
      </c>
      <c r="I585">
        <v>1</v>
      </c>
      <c r="J585">
        <v>2266</v>
      </c>
      <c r="K585">
        <v>0.1</v>
      </c>
      <c r="L585">
        <v>2039.4</v>
      </c>
      <c r="M585">
        <v>1154.8499999999999</v>
      </c>
      <c r="N585">
        <v>884.55</v>
      </c>
      <c r="O585" t="s">
        <v>79</v>
      </c>
      <c r="P585" t="s">
        <v>88</v>
      </c>
    </row>
    <row r="586" spans="1:16" x14ac:dyDescent="0.25">
      <c r="A586">
        <v>585</v>
      </c>
      <c r="B586" s="2">
        <v>45683</v>
      </c>
      <c r="C586" t="s">
        <v>20</v>
      </c>
      <c r="D586" t="s">
        <v>26</v>
      </c>
      <c r="E586" t="s">
        <v>33</v>
      </c>
      <c r="F586" t="s">
        <v>41</v>
      </c>
      <c r="G586" t="s">
        <v>70</v>
      </c>
      <c r="H586" t="s">
        <v>74</v>
      </c>
      <c r="I586">
        <v>4</v>
      </c>
      <c r="J586">
        <v>49418</v>
      </c>
      <c r="K586">
        <v>0.05</v>
      </c>
      <c r="L586">
        <v>187788.4</v>
      </c>
      <c r="M586">
        <v>122749.06</v>
      </c>
      <c r="N586">
        <v>65039.34</v>
      </c>
      <c r="O586" t="s">
        <v>78</v>
      </c>
      <c r="P586" t="s">
        <v>84</v>
      </c>
    </row>
    <row r="587" spans="1:16" x14ac:dyDescent="0.25">
      <c r="A587">
        <v>586</v>
      </c>
      <c r="B587" s="2">
        <v>45902</v>
      </c>
      <c r="C587" t="s">
        <v>16</v>
      </c>
      <c r="D587" t="s">
        <v>24</v>
      </c>
      <c r="E587" t="s">
        <v>30</v>
      </c>
      <c r="F587" t="s">
        <v>40</v>
      </c>
      <c r="G587" t="s">
        <v>70</v>
      </c>
      <c r="H587" t="s">
        <v>74</v>
      </c>
      <c r="I587">
        <v>6</v>
      </c>
      <c r="J587">
        <v>16191</v>
      </c>
      <c r="K587">
        <v>0.05</v>
      </c>
      <c r="L587">
        <v>92288.7</v>
      </c>
      <c r="M587">
        <v>54470.95</v>
      </c>
      <c r="N587">
        <v>37817.75</v>
      </c>
      <c r="O587" t="s">
        <v>76</v>
      </c>
      <c r="P587" t="s">
        <v>88</v>
      </c>
    </row>
    <row r="588" spans="1:16" x14ac:dyDescent="0.25">
      <c r="A588">
        <v>587</v>
      </c>
      <c r="B588" s="2">
        <v>45864</v>
      </c>
      <c r="C588" t="s">
        <v>23</v>
      </c>
      <c r="D588" t="s">
        <v>27</v>
      </c>
      <c r="E588" t="s">
        <v>28</v>
      </c>
      <c r="F588" t="s">
        <v>58</v>
      </c>
      <c r="G588" t="s">
        <v>72</v>
      </c>
      <c r="H588" t="s">
        <v>75</v>
      </c>
      <c r="I588">
        <v>6</v>
      </c>
      <c r="J588">
        <v>1851</v>
      </c>
      <c r="K588">
        <v>0.2</v>
      </c>
      <c r="L588">
        <v>8884.7999999999993</v>
      </c>
      <c r="M588">
        <v>7794.85</v>
      </c>
      <c r="N588">
        <v>1089.95</v>
      </c>
      <c r="O588" t="s">
        <v>77</v>
      </c>
      <c r="P588" t="s">
        <v>88</v>
      </c>
    </row>
    <row r="589" spans="1:16" x14ac:dyDescent="0.25">
      <c r="A589">
        <v>588</v>
      </c>
      <c r="B589" s="2">
        <v>45915</v>
      </c>
      <c r="C589" t="s">
        <v>18</v>
      </c>
      <c r="D589" t="s">
        <v>26</v>
      </c>
      <c r="E589" t="s">
        <v>28</v>
      </c>
      <c r="F589" t="s">
        <v>58</v>
      </c>
      <c r="G589" t="s">
        <v>72</v>
      </c>
      <c r="H589" t="s">
        <v>73</v>
      </c>
      <c r="I589">
        <v>7</v>
      </c>
      <c r="J589">
        <v>174</v>
      </c>
      <c r="K589">
        <v>0.15</v>
      </c>
      <c r="L589">
        <v>1035.3</v>
      </c>
      <c r="M589">
        <v>620.77</v>
      </c>
      <c r="N589">
        <v>414.53</v>
      </c>
      <c r="O589" t="s">
        <v>80</v>
      </c>
      <c r="P589" t="s">
        <v>88</v>
      </c>
    </row>
    <row r="590" spans="1:16" x14ac:dyDescent="0.25">
      <c r="A590">
        <v>589</v>
      </c>
      <c r="B590" s="2">
        <v>45681</v>
      </c>
      <c r="C590" t="s">
        <v>20</v>
      </c>
      <c r="D590" t="s">
        <v>26</v>
      </c>
      <c r="E590" t="s">
        <v>31</v>
      </c>
      <c r="F590" t="s">
        <v>50</v>
      </c>
      <c r="G590" t="s">
        <v>71</v>
      </c>
      <c r="H590" t="s">
        <v>73</v>
      </c>
      <c r="I590">
        <v>4</v>
      </c>
      <c r="J590">
        <v>769</v>
      </c>
      <c r="K590">
        <v>0</v>
      </c>
      <c r="L590">
        <v>3076</v>
      </c>
      <c r="M590">
        <v>1777.46</v>
      </c>
      <c r="N590">
        <v>1298.54</v>
      </c>
      <c r="O590" t="s">
        <v>77</v>
      </c>
      <c r="P590" t="s">
        <v>84</v>
      </c>
    </row>
    <row r="591" spans="1:16" x14ac:dyDescent="0.25">
      <c r="A591">
        <v>590</v>
      </c>
      <c r="B591" s="2">
        <v>45779</v>
      </c>
      <c r="C591" t="s">
        <v>21</v>
      </c>
      <c r="D591" t="s">
        <v>24</v>
      </c>
      <c r="E591" t="s">
        <v>34</v>
      </c>
      <c r="F591" t="s">
        <v>51</v>
      </c>
      <c r="G591" t="s">
        <v>72</v>
      </c>
      <c r="H591" t="s">
        <v>74</v>
      </c>
      <c r="I591">
        <v>1</v>
      </c>
      <c r="J591">
        <v>4442</v>
      </c>
      <c r="K591">
        <v>0.1</v>
      </c>
      <c r="L591">
        <v>3997.8</v>
      </c>
      <c r="M591">
        <v>2488.66</v>
      </c>
      <c r="N591">
        <v>1509.14</v>
      </c>
      <c r="O591" t="s">
        <v>76</v>
      </c>
      <c r="P591" t="s">
        <v>84</v>
      </c>
    </row>
    <row r="592" spans="1:16" x14ac:dyDescent="0.25">
      <c r="A592">
        <v>591</v>
      </c>
      <c r="B592" s="2">
        <v>45718</v>
      </c>
      <c r="C592" t="s">
        <v>16</v>
      </c>
      <c r="D592" t="s">
        <v>24</v>
      </c>
      <c r="E592" t="s">
        <v>34</v>
      </c>
      <c r="F592" t="s">
        <v>51</v>
      </c>
      <c r="G592" t="s">
        <v>71</v>
      </c>
      <c r="H592" t="s">
        <v>73</v>
      </c>
      <c r="I592">
        <v>6</v>
      </c>
      <c r="J592">
        <v>2679</v>
      </c>
      <c r="K592">
        <v>0.05</v>
      </c>
      <c r="L592">
        <v>15270.3</v>
      </c>
      <c r="M592">
        <v>12976.46</v>
      </c>
      <c r="N592">
        <v>2293.84</v>
      </c>
      <c r="O592" t="s">
        <v>78</v>
      </c>
      <c r="P592" t="s">
        <v>81</v>
      </c>
    </row>
    <row r="593" spans="1:16" x14ac:dyDescent="0.25">
      <c r="A593">
        <v>592</v>
      </c>
      <c r="B593" s="2">
        <v>45796</v>
      </c>
      <c r="C593" t="s">
        <v>20</v>
      </c>
      <c r="D593" t="s">
        <v>26</v>
      </c>
      <c r="E593" t="s">
        <v>32</v>
      </c>
      <c r="F593" t="s">
        <v>48</v>
      </c>
      <c r="G593" t="s">
        <v>72</v>
      </c>
      <c r="H593" t="s">
        <v>75</v>
      </c>
      <c r="I593">
        <v>7</v>
      </c>
      <c r="J593">
        <v>2015</v>
      </c>
      <c r="K593">
        <v>0.1</v>
      </c>
      <c r="L593">
        <v>12694.5</v>
      </c>
      <c r="M593">
        <v>7908.78</v>
      </c>
      <c r="N593">
        <v>4785.72</v>
      </c>
      <c r="O593" t="s">
        <v>78</v>
      </c>
      <c r="P593" t="s">
        <v>87</v>
      </c>
    </row>
    <row r="594" spans="1:16" x14ac:dyDescent="0.25">
      <c r="A594">
        <v>593</v>
      </c>
      <c r="B594" s="2">
        <v>45688</v>
      </c>
      <c r="C594" t="s">
        <v>19</v>
      </c>
      <c r="D594" t="s">
        <v>26</v>
      </c>
      <c r="E594" t="s">
        <v>31</v>
      </c>
      <c r="F594" t="s">
        <v>50</v>
      </c>
      <c r="G594" t="s">
        <v>71</v>
      </c>
      <c r="H594" t="s">
        <v>74</v>
      </c>
      <c r="I594">
        <v>2</v>
      </c>
      <c r="J594">
        <v>2295</v>
      </c>
      <c r="K594">
        <v>0</v>
      </c>
      <c r="L594">
        <v>4590</v>
      </c>
      <c r="M594">
        <v>3139.59</v>
      </c>
      <c r="N594">
        <v>1450.41</v>
      </c>
      <c r="O594" t="s">
        <v>76</v>
      </c>
      <c r="P594" t="s">
        <v>86</v>
      </c>
    </row>
    <row r="595" spans="1:16" x14ac:dyDescent="0.25">
      <c r="A595">
        <v>594</v>
      </c>
      <c r="B595" s="2">
        <v>45728</v>
      </c>
      <c r="C595" t="s">
        <v>16</v>
      </c>
      <c r="D595" t="s">
        <v>24</v>
      </c>
      <c r="E595" t="s">
        <v>31</v>
      </c>
      <c r="F595" t="s">
        <v>47</v>
      </c>
      <c r="G595" t="s">
        <v>70</v>
      </c>
      <c r="H595" t="s">
        <v>75</v>
      </c>
      <c r="I595">
        <v>3</v>
      </c>
      <c r="J595">
        <v>1058</v>
      </c>
      <c r="K595">
        <v>0.05</v>
      </c>
      <c r="L595">
        <v>3015.3</v>
      </c>
      <c r="M595">
        <v>2466.2800000000002</v>
      </c>
      <c r="N595">
        <v>549.02</v>
      </c>
      <c r="O595" t="s">
        <v>79</v>
      </c>
      <c r="P595" t="s">
        <v>83</v>
      </c>
    </row>
    <row r="596" spans="1:16" x14ac:dyDescent="0.25">
      <c r="A596">
        <v>595</v>
      </c>
      <c r="B596" s="2">
        <v>45849</v>
      </c>
      <c r="C596" t="s">
        <v>18</v>
      </c>
      <c r="D596" t="s">
        <v>26</v>
      </c>
      <c r="E596" t="s">
        <v>32</v>
      </c>
      <c r="F596" t="s">
        <v>49</v>
      </c>
      <c r="G596" t="s">
        <v>70</v>
      </c>
      <c r="H596" t="s">
        <v>75</v>
      </c>
      <c r="I596">
        <v>4</v>
      </c>
      <c r="J596">
        <v>15326</v>
      </c>
      <c r="K596">
        <v>0</v>
      </c>
      <c r="L596">
        <v>61304</v>
      </c>
      <c r="M596">
        <v>37271.11</v>
      </c>
      <c r="N596">
        <v>24032.89</v>
      </c>
      <c r="O596" t="s">
        <v>76</v>
      </c>
      <c r="P596" t="s">
        <v>82</v>
      </c>
    </row>
    <row r="597" spans="1:16" x14ac:dyDescent="0.25">
      <c r="A597">
        <v>596</v>
      </c>
      <c r="B597" s="2">
        <v>45658</v>
      </c>
      <c r="C597" t="s">
        <v>23</v>
      </c>
      <c r="D597" t="s">
        <v>27</v>
      </c>
      <c r="E597" t="s">
        <v>31</v>
      </c>
      <c r="F597" t="s">
        <v>50</v>
      </c>
      <c r="G597" t="s">
        <v>71</v>
      </c>
      <c r="H597" t="s">
        <v>74</v>
      </c>
      <c r="I597">
        <v>1</v>
      </c>
      <c r="J597">
        <v>1303</v>
      </c>
      <c r="K597">
        <v>0</v>
      </c>
      <c r="L597">
        <v>1303</v>
      </c>
      <c r="M597">
        <v>923.53</v>
      </c>
      <c r="N597">
        <v>379.47</v>
      </c>
      <c r="O597" t="s">
        <v>80</v>
      </c>
      <c r="P597" t="s">
        <v>81</v>
      </c>
    </row>
    <row r="598" spans="1:16" x14ac:dyDescent="0.25">
      <c r="A598">
        <v>597</v>
      </c>
      <c r="B598" s="2">
        <v>46000</v>
      </c>
      <c r="C598" t="s">
        <v>23</v>
      </c>
      <c r="D598" t="s">
        <v>27</v>
      </c>
      <c r="E598" t="s">
        <v>32</v>
      </c>
      <c r="F598" t="s">
        <v>48</v>
      </c>
      <c r="G598" t="s">
        <v>71</v>
      </c>
      <c r="H598" t="s">
        <v>75</v>
      </c>
      <c r="I598">
        <v>2</v>
      </c>
      <c r="J598">
        <v>18694</v>
      </c>
      <c r="K598">
        <v>0.1</v>
      </c>
      <c r="L598">
        <v>33649.199999999997</v>
      </c>
      <c r="M598">
        <v>28845.39</v>
      </c>
      <c r="N598">
        <v>4803.8100000000004</v>
      </c>
      <c r="O598" t="s">
        <v>77</v>
      </c>
      <c r="P598" t="s">
        <v>83</v>
      </c>
    </row>
    <row r="599" spans="1:16" x14ac:dyDescent="0.25">
      <c r="A599">
        <v>598</v>
      </c>
      <c r="B599" s="2">
        <v>45922</v>
      </c>
      <c r="C599" t="s">
        <v>16</v>
      </c>
      <c r="D599" t="s">
        <v>24</v>
      </c>
      <c r="E599" t="s">
        <v>30</v>
      </c>
      <c r="F599" t="s">
        <v>40</v>
      </c>
      <c r="G599" t="s">
        <v>72</v>
      </c>
      <c r="H599" t="s">
        <v>74</v>
      </c>
      <c r="I599">
        <v>8</v>
      </c>
      <c r="J599">
        <v>63036</v>
      </c>
      <c r="K599">
        <v>0.15</v>
      </c>
      <c r="L599">
        <v>428644.8</v>
      </c>
      <c r="M599">
        <v>298463.53000000003</v>
      </c>
      <c r="N599">
        <v>130181.27</v>
      </c>
      <c r="O599" t="s">
        <v>78</v>
      </c>
      <c r="P599" t="s">
        <v>84</v>
      </c>
    </row>
    <row r="600" spans="1:16" x14ac:dyDescent="0.25">
      <c r="A600">
        <v>599</v>
      </c>
      <c r="B600" s="2">
        <v>46001</v>
      </c>
      <c r="C600" t="s">
        <v>17</v>
      </c>
      <c r="D600" t="s">
        <v>25</v>
      </c>
      <c r="E600" t="s">
        <v>31</v>
      </c>
      <c r="F600" t="s">
        <v>47</v>
      </c>
      <c r="G600" t="s">
        <v>70</v>
      </c>
      <c r="H600" t="s">
        <v>73</v>
      </c>
      <c r="I600">
        <v>5</v>
      </c>
      <c r="J600">
        <v>919</v>
      </c>
      <c r="K600">
        <v>0.05</v>
      </c>
      <c r="L600">
        <v>4365.25</v>
      </c>
      <c r="M600">
        <v>3775.73</v>
      </c>
      <c r="N600">
        <v>589.52</v>
      </c>
      <c r="O600" t="s">
        <v>77</v>
      </c>
      <c r="P600" t="s">
        <v>83</v>
      </c>
    </row>
    <row r="601" spans="1:16" x14ac:dyDescent="0.25">
      <c r="A601">
        <v>600</v>
      </c>
      <c r="B601" s="2">
        <v>45885</v>
      </c>
      <c r="C601" t="s">
        <v>16</v>
      </c>
      <c r="D601" t="s">
        <v>24</v>
      </c>
      <c r="E601" t="s">
        <v>34</v>
      </c>
      <c r="F601" t="s">
        <v>68</v>
      </c>
      <c r="G601" t="s">
        <v>71</v>
      </c>
      <c r="H601" t="s">
        <v>75</v>
      </c>
      <c r="I601">
        <v>6</v>
      </c>
      <c r="J601">
        <v>614</v>
      </c>
      <c r="K601">
        <v>0.05</v>
      </c>
      <c r="L601">
        <v>3499.8</v>
      </c>
      <c r="M601">
        <v>2779.89</v>
      </c>
      <c r="N601">
        <v>719.91</v>
      </c>
      <c r="O601" t="s">
        <v>79</v>
      </c>
      <c r="P601" t="s">
        <v>86</v>
      </c>
    </row>
    <row r="602" spans="1:16" x14ac:dyDescent="0.25">
      <c r="A602">
        <v>601</v>
      </c>
      <c r="B602" s="2">
        <v>45931</v>
      </c>
      <c r="C602" t="s">
        <v>18</v>
      </c>
      <c r="D602" t="s">
        <v>26</v>
      </c>
      <c r="E602" t="s">
        <v>34</v>
      </c>
      <c r="F602" t="s">
        <v>65</v>
      </c>
      <c r="G602" t="s">
        <v>70</v>
      </c>
      <c r="H602" t="s">
        <v>73</v>
      </c>
      <c r="I602">
        <v>7</v>
      </c>
      <c r="J602">
        <v>3189</v>
      </c>
      <c r="K602">
        <v>0.05</v>
      </c>
      <c r="L602">
        <v>21206.85</v>
      </c>
      <c r="M602">
        <v>17534.52</v>
      </c>
      <c r="N602">
        <v>3672.33</v>
      </c>
      <c r="O602" t="s">
        <v>79</v>
      </c>
      <c r="P602" t="s">
        <v>82</v>
      </c>
    </row>
    <row r="603" spans="1:16" x14ac:dyDescent="0.25">
      <c r="A603">
        <v>602</v>
      </c>
      <c r="B603" s="2">
        <v>45915</v>
      </c>
      <c r="C603" t="s">
        <v>21</v>
      </c>
      <c r="D603" t="s">
        <v>24</v>
      </c>
      <c r="E603" t="s">
        <v>29</v>
      </c>
      <c r="F603" t="s">
        <v>45</v>
      </c>
      <c r="G603" t="s">
        <v>72</v>
      </c>
      <c r="H603" t="s">
        <v>73</v>
      </c>
      <c r="I603">
        <v>4</v>
      </c>
      <c r="J603">
        <v>5727</v>
      </c>
      <c r="K603">
        <v>0.05</v>
      </c>
      <c r="L603">
        <v>21762.6</v>
      </c>
      <c r="M603">
        <v>14862.03</v>
      </c>
      <c r="N603">
        <v>6900.57</v>
      </c>
      <c r="O603" t="s">
        <v>79</v>
      </c>
      <c r="P603" t="s">
        <v>88</v>
      </c>
    </row>
    <row r="604" spans="1:16" x14ac:dyDescent="0.25">
      <c r="A604">
        <v>603</v>
      </c>
      <c r="B604" s="2">
        <v>45848</v>
      </c>
      <c r="C604" t="s">
        <v>19</v>
      </c>
      <c r="D604" t="s">
        <v>26</v>
      </c>
      <c r="E604" t="s">
        <v>33</v>
      </c>
      <c r="F604" t="s">
        <v>60</v>
      </c>
      <c r="G604" t="s">
        <v>72</v>
      </c>
      <c r="H604" t="s">
        <v>73</v>
      </c>
      <c r="I604">
        <v>3</v>
      </c>
      <c r="J604">
        <v>46528</v>
      </c>
      <c r="K604">
        <v>0.1</v>
      </c>
      <c r="L604">
        <v>125625.60000000001</v>
      </c>
      <c r="M604">
        <v>89803.59</v>
      </c>
      <c r="N604">
        <v>35822.01</v>
      </c>
      <c r="O604" t="s">
        <v>77</v>
      </c>
      <c r="P604" t="s">
        <v>87</v>
      </c>
    </row>
    <row r="605" spans="1:16" x14ac:dyDescent="0.25">
      <c r="A605">
        <v>604</v>
      </c>
      <c r="B605" s="2">
        <v>45929</v>
      </c>
      <c r="C605" t="s">
        <v>21</v>
      </c>
      <c r="D605" t="s">
        <v>24</v>
      </c>
      <c r="E605" t="s">
        <v>33</v>
      </c>
      <c r="F605" t="s">
        <v>52</v>
      </c>
      <c r="G605" t="s">
        <v>71</v>
      </c>
      <c r="H605" t="s">
        <v>73</v>
      </c>
      <c r="I605">
        <v>1</v>
      </c>
      <c r="J605">
        <v>20129</v>
      </c>
      <c r="K605">
        <v>0</v>
      </c>
      <c r="L605">
        <v>20129</v>
      </c>
      <c r="M605">
        <v>17625.150000000001</v>
      </c>
      <c r="N605">
        <v>2503.85</v>
      </c>
      <c r="O605" t="s">
        <v>78</v>
      </c>
      <c r="P605" t="s">
        <v>86</v>
      </c>
    </row>
    <row r="606" spans="1:16" x14ac:dyDescent="0.25">
      <c r="A606">
        <v>605</v>
      </c>
      <c r="B606" s="2">
        <v>45968</v>
      </c>
      <c r="C606" t="s">
        <v>22</v>
      </c>
      <c r="D606" t="s">
        <v>24</v>
      </c>
      <c r="E606" t="s">
        <v>30</v>
      </c>
      <c r="F606" t="s">
        <v>56</v>
      </c>
      <c r="G606" t="s">
        <v>72</v>
      </c>
      <c r="H606" t="s">
        <v>74</v>
      </c>
      <c r="I606">
        <v>8</v>
      </c>
      <c r="J606">
        <v>11708</v>
      </c>
      <c r="K606">
        <v>0</v>
      </c>
      <c r="L606">
        <v>93664</v>
      </c>
      <c r="M606">
        <v>58433.22</v>
      </c>
      <c r="N606">
        <v>35230.78</v>
      </c>
      <c r="O606" t="s">
        <v>79</v>
      </c>
      <c r="P606" t="s">
        <v>88</v>
      </c>
    </row>
    <row r="607" spans="1:16" x14ac:dyDescent="0.25">
      <c r="A607">
        <v>606</v>
      </c>
      <c r="B607" s="2">
        <v>45779</v>
      </c>
      <c r="C607" t="s">
        <v>23</v>
      </c>
      <c r="D607" t="s">
        <v>27</v>
      </c>
      <c r="E607" t="s">
        <v>28</v>
      </c>
      <c r="F607" t="s">
        <v>54</v>
      </c>
      <c r="G607" t="s">
        <v>72</v>
      </c>
      <c r="H607" t="s">
        <v>75</v>
      </c>
      <c r="I607">
        <v>6</v>
      </c>
      <c r="J607">
        <v>2028</v>
      </c>
      <c r="K607">
        <v>0.1</v>
      </c>
      <c r="L607">
        <v>10951.2</v>
      </c>
      <c r="M607">
        <v>8072.28</v>
      </c>
      <c r="N607">
        <v>2878.92</v>
      </c>
      <c r="O607" t="s">
        <v>77</v>
      </c>
      <c r="P607" t="s">
        <v>83</v>
      </c>
    </row>
    <row r="608" spans="1:16" x14ac:dyDescent="0.25">
      <c r="A608">
        <v>607</v>
      </c>
      <c r="B608" s="2">
        <v>45675</v>
      </c>
      <c r="C608" t="s">
        <v>20</v>
      </c>
      <c r="D608" t="s">
        <v>26</v>
      </c>
      <c r="E608" t="s">
        <v>32</v>
      </c>
      <c r="F608" t="s">
        <v>62</v>
      </c>
      <c r="G608" t="s">
        <v>72</v>
      </c>
      <c r="H608" t="s">
        <v>75</v>
      </c>
      <c r="I608">
        <v>2</v>
      </c>
      <c r="J608">
        <v>17902</v>
      </c>
      <c r="K608">
        <v>0.15</v>
      </c>
      <c r="L608">
        <v>30433.4</v>
      </c>
      <c r="M608">
        <v>24085.89</v>
      </c>
      <c r="N608">
        <v>6347.51</v>
      </c>
      <c r="O608" t="s">
        <v>78</v>
      </c>
      <c r="P608" t="s">
        <v>85</v>
      </c>
    </row>
    <row r="609" spans="1:16" x14ac:dyDescent="0.25">
      <c r="A609">
        <v>608</v>
      </c>
      <c r="B609" s="2">
        <v>45925</v>
      </c>
      <c r="C609" t="s">
        <v>22</v>
      </c>
      <c r="D609" t="s">
        <v>24</v>
      </c>
      <c r="E609" t="s">
        <v>34</v>
      </c>
      <c r="F609" t="s">
        <v>68</v>
      </c>
      <c r="G609" t="s">
        <v>70</v>
      </c>
      <c r="H609" t="s">
        <v>74</v>
      </c>
      <c r="I609">
        <v>5</v>
      </c>
      <c r="J609">
        <v>1407</v>
      </c>
      <c r="K609">
        <v>0.1</v>
      </c>
      <c r="L609">
        <v>6331.5</v>
      </c>
      <c r="M609">
        <v>4366.95</v>
      </c>
      <c r="N609">
        <v>1964.55</v>
      </c>
      <c r="O609" t="s">
        <v>79</v>
      </c>
      <c r="P609" t="s">
        <v>88</v>
      </c>
    </row>
    <row r="610" spans="1:16" x14ac:dyDescent="0.25">
      <c r="A610">
        <v>609</v>
      </c>
      <c r="B610" s="2">
        <v>45750</v>
      </c>
      <c r="C610" t="s">
        <v>20</v>
      </c>
      <c r="D610" t="s">
        <v>26</v>
      </c>
      <c r="E610" t="s">
        <v>34</v>
      </c>
      <c r="F610" t="s">
        <v>65</v>
      </c>
      <c r="G610" t="s">
        <v>72</v>
      </c>
      <c r="H610" t="s">
        <v>73</v>
      </c>
      <c r="I610">
        <v>6</v>
      </c>
      <c r="J610">
        <v>2790</v>
      </c>
      <c r="K610">
        <v>0.1</v>
      </c>
      <c r="L610">
        <v>15066</v>
      </c>
      <c r="M610">
        <v>11917.76</v>
      </c>
      <c r="N610">
        <v>3148.24</v>
      </c>
      <c r="O610" t="s">
        <v>76</v>
      </c>
      <c r="P610" t="s">
        <v>84</v>
      </c>
    </row>
    <row r="611" spans="1:16" x14ac:dyDescent="0.25">
      <c r="A611">
        <v>610</v>
      </c>
      <c r="B611" s="2">
        <v>45950</v>
      </c>
      <c r="C611" t="s">
        <v>22</v>
      </c>
      <c r="D611" t="s">
        <v>24</v>
      </c>
      <c r="E611" t="s">
        <v>33</v>
      </c>
      <c r="F611" t="s">
        <v>59</v>
      </c>
      <c r="G611" t="s">
        <v>71</v>
      </c>
      <c r="H611" t="s">
        <v>75</v>
      </c>
      <c r="I611">
        <v>4</v>
      </c>
      <c r="J611">
        <v>26559</v>
      </c>
      <c r="K611">
        <v>0.2</v>
      </c>
      <c r="L611">
        <v>84988.800000000003</v>
      </c>
      <c r="M611">
        <v>49643.21</v>
      </c>
      <c r="N611">
        <v>35345.589999999997</v>
      </c>
      <c r="O611" t="s">
        <v>79</v>
      </c>
      <c r="P611" t="s">
        <v>86</v>
      </c>
    </row>
    <row r="612" spans="1:16" x14ac:dyDescent="0.25">
      <c r="A612">
        <v>611</v>
      </c>
      <c r="B612" s="2">
        <v>45785</v>
      </c>
      <c r="C612" t="s">
        <v>20</v>
      </c>
      <c r="D612" t="s">
        <v>26</v>
      </c>
      <c r="E612" t="s">
        <v>29</v>
      </c>
      <c r="F612" t="s">
        <v>42</v>
      </c>
      <c r="G612" t="s">
        <v>72</v>
      </c>
      <c r="H612" t="s">
        <v>75</v>
      </c>
      <c r="I612">
        <v>2</v>
      </c>
      <c r="J612">
        <v>2907</v>
      </c>
      <c r="K612">
        <v>0.1</v>
      </c>
      <c r="L612">
        <v>5232.6000000000004</v>
      </c>
      <c r="M612">
        <v>3469.3</v>
      </c>
      <c r="N612">
        <v>1763.3</v>
      </c>
      <c r="O612" t="s">
        <v>76</v>
      </c>
      <c r="P612" t="s">
        <v>81</v>
      </c>
    </row>
    <row r="613" spans="1:16" x14ac:dyDescent="0.25">
      <c r="A613">
        <v>612</v>
      </c>
      <c r="B613" s="2">
        <v>45750</v>
      </c>
      <c r="C613" t="s">
        <v>21</v>
      </c>
      <c r="D613" t="s">
        <v>24</v>
      </c>
      <c r="E613" t="s">
        <v>32</v>
      </c>
      <c r="F613" t="s">
        <v>49</v>
      </c>
      <c r="G613" t="s">
        <v>70</v>
      </c>
      <c r="H613" t="s">
        <v>75</v>
      </c>
      <c r="I613">
        <v>8</v>
      </c>
      <c r="J613">
        <v>13212</v>
      </c>
      <c r="K613">
        <v>0.1</v>
      </c>
      <c r="L613">
        <v>95126.399999999994</v>
      </c>
      <c r="M613">
        <v>77758.25</v>
      </c>
      <c r="N613">
        <v>17368.150000000001</v>
      </c>
      <c r="O613" t="s">
        <v>76</v>
      </c>
      <c r="P613" t="s">
        <v>82</v>
      </c>
    </row>
    <row r="614" spans="1:16" x14ac:dyDescent="0.25">
      <c r="A614">
        <v>613</v>
      </c>
      <c r="B614" s="2">
        <v>45718</v>
      </c>
      <c r="C614" t="s">
        <v>20</v>
      </c>
      <c r="D614" t="s">
        <v>26</v>
      </c>
      <c r="E614" t="s">
        <v>34</v>
      </c>
      <c r="F614" t="s">
        <v>55</v>
      </c>
      <c r="G614" t="s">
        <v>72</v>
      </c>
      <c r="H614" t="s">
        <v>73</v>
      </c>
      <c r="I614">
        <v>7</v>
      </c>
      <c r="J614">
        <v>5338</v>
      </c>
      <c r="K614">
        <v>0.15</v>
      </c>
      <c r="L614">
        <v>31761.1</v>
      </c>
      <c r="M614">
        <v>23942.76</v>
      </c>
      <c r="N614">
        <v>7818.34</v>
      </c>
      <c r="O614" t="s">
        <v>78</v>
      </c>
      <c r="P614" t="s">
        <v>83</v>
      </c>
    </row>
    <row r="615" spans="1:16" x14ac:dyDescent="0.25">
      <c r="A615">
        <v>614</v>
      </c>
      <c r="B615" s="2">
        <v>45958</v>
      </c>
      <c r="C615" t="s">
        <v>16</v>
      </c>
      <c r="D615" t="s">
        <v>24</v>
      </c>
      <c r="E615" t="s">
        <v>30</v>
      </c>
      <c r="F615" t="s">
        <v>44</v>
      </c>
      <c r="G615" t="s">
        <v>71</v>
      </c>
      <c r="H615" t="s">
        <v>73</v>
      </c>
      <c r="I615">
        <v>4</v>
      </c>
      <c r="J615">
        <v>18545</v>
      </c>
      <c r="K615">
        <v>0.05</v>
      </c>
      <c r="L615">
        <v>70471</v>
      </c>
      <c r="M615">
        <v>45053.7</v>
      </c>
      <c r="N615">
        <v>25417.3</v>
      </c>
      <c r="O615" t="s">
        <v>78</v>
      </c>
      <c r="P615" t="s">
        <v>84</v>
      </c>
    </row>
    <row r="616" spans="1:16" x14ac:dyDescent="0.25">
      <c r="A616">
        <v>615</v>
      </c>
      <c r="B616" s="2">
        <v>45779</v>
      </c>
      <c r="C616" t="s">
        <v>18</v>
      </c>
      <c r="D616" t="s">
        <v>26</v>
      </c>
      <c r="E616" t="s">
        <v>33</v>
      </c>
      <c r="F616" t="s">
        <v>60</v>
      </c>
      <c r="G616" t="s">
        <v>72</v>
      </c>
      <c r="H616" t="s">
        <v>74</v>
      </c>
      <c r="I616">
        <v>3</v>
      </c>
      <c r="J616">
        <v>15134</v>
      </c>
      <c r="K616">
        <v>0</v>
      </c>
      <c r="L616">
        <v>45402</v>
      </c>
      <c r="M616">
        <v>31581.89</v>
      </c>
      <c r="N616">
        <v>13820.11</v>
      </c>
      <c r="O616" t="s">
        <v>77</v>
      </c>
      <c r="P616" t="s">
        <v>88</v>
      </c>
    </row>
    <row r="617" spans="1:16" x14ac:dyDescent="0.25">
      <c r="A617">
        <v>616</v>
      </c>
      <c r="B617" s="2">
        <v>45993</v>
      </c>
      <c r="C617" t="s">
        <v>22</v>
      </c>
      <c r="D617" t="s">
        <v>24</v>
      </c>
      <c r="E617" t="s">
        <v>34</v>
      </c>
      <c r="F617" t="s">
        <v>55</v>
      </c>
      <c r="G617" t="s">
        <v>71</v>
      </c>
      <c r="H617" t="s">
        <v>73</v>
      </c>
      <c r="I617">
        <v>8</v>
      </c>
      <c r="J617">
        <v>2367</v>
      </c>
      <c r="K617">
        <v>0.05</v>
      </c>
      <c r="L617">
        <v>17989.2</v>
      </c>
      <c r="M617">
        <v>10903.19</v>
      </c>
      <c r="N617">
        <v>7086.01</v>
      </c>
      <c r="O617" t="s">
        <v>76</v>
      </c>
      <c r="P617" t="s">
        <v>83</v>
      </c>
    </row>
    <row r="618" spans="1:16" x14ac:dyDescent="0.25">
      <c r="A618">
        <v>617</v>
      </c>
      <c r="B618" s="2">
        <v>45875</v>
      </c>
      <c r="C618" t="s">
        <v>16</v>
      </c>
      <c r="D618" t="s">
        <v>24</v>
      </c>
      <c r="E618" t="s">
        <v>31</v>
      </c>
      <c r="F618" t="s">
        <v>50</v>
      </c>
      <c r="G618" t="s">
        <v>71</v>
      </c>
      <c r="H618" t="s">
        <v>73</v>
      </c>
      <c r="I618">
        <v>3</v>
      </c>
      <c r="J618">
        <v>516</v>
      </c>
      <c r="K618">
        <v>0.15</v>
      </c>
      <c r="L618">
        <v>1315.8</v>
      </c>
      <c r="M618">
        <v>766.27</v>
      </c>
      <c r="N618">
        <v>549.53</v>
      </c>
      <c r="O618" t="s">
        <v>77</v>
      </c>
      <c r="P618" t="s">
        <v>82</v>
      </c>
    </row>
    <row r="619" spans="1:16" x14ac:dyDescent="0.25">
      <c r="A619">
        <v>618</v>
      </c>
      <c r="B619" s="2">
        <v>45986</v>
      </c>
      <c r="C619" t="s">
        <v>21</v>
      </c>
      <c r="D619" t="s">
        <v>24</v>
      </c>
      <c r="E619" t="s">
        <v>30</v>
      </c>
      <c r="F619" t="s">
        <v>40</v>
      </c>
      <c r="G619" t="s">
        <v>71</v>
      </c>
      <c r="H619" t="s">
        <v>73</v>
      </c>
      <c r="I619">
        <v>8</v>
      </c>
      <c r="J619">
        <v>20846</v>
      </c>
      <c r="K619">
        <v>0</v>
      </c>
      <c r="L619">
        <v>166768</v>
      </c>
      <c r="M619">
        <v>136447.69</v>
      </c>
      <c r="N619">
        <v>30320.31</v>
      </c>
      <c r="O619" t="s">
        <v>76</v>
      </c>
      <c r="P619" t="s">
        <v>88</v>
      </c>
    </row>
    <row r="620" spans="1:16" x14ac:dyDescent="0.25">
      <c r="A620">
        <v>619</v>
      </c>
      <c r="B620" s="2">
        <v>46005</v>
      </c>
      <c r="C620" t="s">
        <v>23</v>
      </c>
      <c r="D620" t="s">
        <v>27</v>
      </c>
      <c r="E620" t="s">
        <v>31</v>
      </c>
      <c r="F620" t="s">
        <v>67</v>
      </c>
      <c r="G620" t="s">
        <v>70</v>
      </c>
      <c r="H620" t="s">
        <v>75</v>
      </c>
      <c r="I620">
        <v>6</v>
      </c>
      <c r="J620">
        <v>1700</v>
      </c>
      <c r="K620">
        <v>0.05</v>
      </c>
      <c r="L620">
        <v>9690</v>
      </c>
      <c r="M620">
        <v>6268.86</v>
      </c>
      <c r="N620">
        <v>3421.14</v>
      </c>
      <c r="O620" t="s">
        <v>77</v>
      </c>
      <c r="P620" t="s">
        <v>85</v>
      </c>
    </row>
    <row r="621" spans="1:16" x14ac:dyDescent="0.25">
      <c r="A621">
        <v>620</v>
      </c>
      <c r="B621" s="2">
        <v>45729</v>
      </c>
      <c r="C621" t="s">
        <v>23</v>
      </c>
      <c r="D621" t="s">
        <v>27</v>
      </c>
      <c r="E621" t="s">
        <v>34</v>
      </c>
      <c r="F621" t="s">
        <v>43</v>
      </c>
      <c r="G621" t="s">
        <v>70</v>
      </c>
      <c r="H621" t="s">
        <v>73</v>
      </c>
      <c r="I621">
        <v>8</v>
      </c>
      <c r="J621">
        <v>2100</v>
      </c>
      <c r="K621">
        <v>0.1</v>
      </c>
      <c r="L621">
        <v>15120</v>
      </c>
      <c r="M621">
        <v>9770.39</v>
      </c>
      <c r="N621">
        <v>5349.61</v>
      </c>
      <c r="O621" t="s">
        <v>76</v>
      </c>
      <c r="P621" t="s">
        <v>87</v>
      </c>
    </row>
    <row r="622" spans="1:16" x14ac:dyDescent="0.25">
      <c r="A622">
        <v>621</v>
      </c>
      <c r="B622" s="2">
        <v>45937</v>
      </c>
      <c r="C622" t="s">
        <v>18</v>
      </c>
      <c r="D622" t="s">
        <v>26</v>
      </c>
      <c r="E622" t="s">
        <v>31</v>
      </c>
      <c r="F622" t="s">
        <v>69</v>
      </c>
      <c r="G622" t="s">
        <v>72</v>
      </c>
      <c r="H622" t="s">
        <v>75</v>
      </c>
      <c r="I622">
        <v>1</v>
      </c>
      <c r="J622">
        <v>1803</v>
      </c>
      <c r="K622">
        <v>0.2</v>
      </c>
      <c r="L622">
        <v>1442.4</v>
      </c>
      <c r="M622">
        <v>1030.8599999999999</v>
      </c>
      <c r="N622">
        <v>411.54</v>
      </c>
      <c r="O622" t="s">
        <v>76</v>
      </c>
      <c r="P622" t="s">
        <v>88</v>
      </c>
    </row>
    <row r="623" spans="1:16" x14ac:dyDescent="0.25">
      <c r="A623">
        <v>622</v>
      </c>
      <c r="B623" s="2">
        <v>45671</v>
      </c>
      <c r="C623" t="s">
        <v>23</v>
      </c>
      <c r="D623" t="s">
        <v>27</v>
      </c>
      <c r="E623" t="s">
        <v>31</v>
      </c>
      <c r="F623" t="s">
        <v>50</v>
      </c>
      <c r="G623" t="s">
        <v>72</v>
      </c>
      <c r="H623" t="s">
        <v>75</v>
      </c>
      <c r="I623">
        <v>5</v>
      </c>
      <c r="J623">
        <v>1319</v>
      </c>
      <c r="K623">
        <v>0.1</v>
      </c>
      <c r="L623">
        <v>5935.5</v>
      </c>
      <c r="M623">
        <v>4755.6499999999996</v>
      </c>
      <c r="N623">
        <v>1179.8499999999999</v>
      </c>
      <c r="O623" t="s">
        <v>80</v>
      </c>
      <c r="P623" t="s">
        <v>86</v>
      </c>
    </row>
    <row r="624" spans="1:16" x14ac:dyDescent="0.25">
      <c r="A624">
        <v>623</v>
      </c>
      <c r="B624" s="2">
        <v>45913</v>
      </c>
      <c r="C624" t="s">
        <v>20</v>
      </c>
      <c r="D624" t="s">
        <v>26</v>
      </c>
      <c r="E624" t="s">
        <v>30</v>
      </c>
      <c r="F624" t="s">
        <v>37</v>
      </c>
      <c r="G624" t="s">
        <v>71</v>
      </c>
      <c r="H624" t="s">
        <v>74</v>
      </c>
      <c r="I624">
        <v>8</v>
      </c>
      <c r="J624">
        <v>48233</v>
      </c>
      <c r="K624">
        <v>0.05</v>
      </c>
      <c r="L624">
        <v>366570.8</v>
      </c>
      <c r="M624">
        <v>215752.57</v>
      </c>
      <c r="N624">
        <v>150818.23000000001</v>
      </c>
      <c r="O624" t="s">
        <v>79</v>
      </c>
      <c r="P624" t="s">
        <v>88</v>
      </c>
    </row>
    <row r="625" spans="1:16" x14ac:dyDescent="0.25">
      <c r="A625">
        <v>624</v>
      </c>
      <c r="B625" s="2">
        <v>45912</v>
      </c>
      <c r="C625" t="s">
        <v>22</v>
      </c>
      <c r="D625" t="s">
        <v>24</v>
      </c>
      <c r="E625" t="s">
        <v>34</v>
      </c>
      <c r="F625" t="s">
        <v>51</v>
      </c>
      <c r="G625" t="s">
        <v>72</v>
      </c>
      <c r="H625" t="s">
        <v>75</v>
      </c>
      <c r="I625">
        <v>8</v>
      </c>
      <c r="J625">
        <v>3202</v>
      </c>
      <c r="K625">
        <v>0.1</v>
      </c>
      <c r="L625">
        <v>23054.400000000001</v>
      </c>
      <c r="M625">
        <v>15829.05</v>
      </c>
      <c r="N625">
        <v>7225.35</v>
      </c>
      <c r="O625" t="s">
        <v>76</v>
      </c>
      <c r="P625" t="s">
        <v>88</v>
      </c>
    </row>
    <row r="626" spans="1:16" x14ac:dyDescent="0.25">
      <c r="A626">
        <v>625</v>
      </c>
      <c r="B626" s="2">
        <v>45762</v>
      </c>
      <c r="C626" t="s">
        <v>21</v>
      </c>
      <c r="D626" t="s">
        <v>24</v>
      </c>
      <c r="E626" t="s">
        <v>32</v>
      </c>
      <c r="F626" t="s">
        <v>62</v>
      </c>
      <c r="G626" t="s">
        <v>71</v>
      </c>
      <c r="H626" t="s">
        <v>75</v>
      </c>
      <c r="I626">
        <v>4</v>
      </c>
      <c r="J626">
        <v>6237</v>
      </c>
      <c r="K626">
        <v>0.05</v>
      </c>
      <c r="L626">
        <v>23700.6</v>
      </c>
      <c r="M626">
        <v>20046.82</v>
      </c>
      <c r="N626">
        <v>3653.78</v>
      </c>
      <c r="O626" t="s">
        <v>77</v>
      </c>
      <c r="P626" t="s">
        <v>85</v>
      </c>
    </row>
    <row r="627" spans="1:16" x14ac:dyDescent="0.25">
      <c r="A627">
        <v>626</v>
      </c>
      <c r="B627" s="2">
        <v>45798</v>
      </c>
      <c r="C627" t="s">
        <v>18</v>
      </c>
      <c r="D627" t="s">
        <v>26</v>
      </c>
      <c r="E627" t="s">
        <v>28</v>
      </c>
      <c r="F627" t="s">
        <v>61</v>
      </c>
      <c r="G627" t="s">
        <v>71</v>
      </c>
      <c r="H627" t="s">
        <v>73</v>
      </c>
      <c r="I627">
        <v>2</v>
      </c>
      <c r="J627">
        <v>1600</v>
      </c>
      <c r="K627">
        <v>0.1</v>
      </c>
      <c r="L627">
        <v>2880</v>
      </c>
      <c r="M627">
        <v>2191.0500000000002</v>
      </c>
      <c r="N627">
        <v>688.95</v>
      </c>
      <c r="O627" t="s">
        <v>76</v>
      </c>
      <c r="P627" t="s">
        <v>85</v>
      </c>
    </row>
    <row r="628" spans="1:16" x14ac:dyDescent="0.25">
      <c r="A628">
        <v>627</v>
      </c>
      <c r="B628" s="2">
        <v>45812</v>
      </c>
      <c r="C628" t="s">
        <v>21</v>
      </c>
      <c r="D628" t="s">
        <v>24</v>
      </c>
      <c r="E628" t="s">
        <v>33</v>
      </c>
      <c r="F628" t="s">
        <v>60</v>
      </c>
      <c r="G628" t="s">
        <v>70</v>
      </c>
      <c r="H628" t="s">
        <v>75</v>
      </c>
      <c r="I628">
        <v>4</v>
      </c>
      <c r="J628">
        <v>32599</v>
      </c>
      <c r="K628">
        <v>0.1</v>
      </c>
      <c r="L628">
        <v>117356.4</v>
      </c>
      <c r="M628">
        <v>94829.18</v>
      </c>
      <c r="N628">
        <v>22527.22</v>
      </c>
      <c r="O628" t="s">
        <v>76</v>
      </c>
      <c r="P628" t="s">
        <v>87</v>
      </c>
    </row>
    <row r="629" spans="1:16" x14ac:dyDescent="0.25">
      <c r="A629">
        <v>628</v>
      </c>
      <c r="B629" s="2">
        <v>45958</v>
      </c>
      <c r="C629" t="s">
        <v>19</v>
      </c>
      <c r="D629" t="s">
        <v>26</v>
      </c>
      <c r="E629" t="s">
        <v>30</v>
      </c>
      <c r="F629" t="s">
        <v>40</v>
      </c>
      <c r="G629" t="s">
        <v>71</v>
      </c>
      <c r="H629" t="s">
        <v>75</v>
      </c>
      <c r="I629">
        <v>5</v>
      </c>
      <c r="J629">
        <v>10180</v>
      </c>
      <c r="K629">
        <v>0.05</v>
      </c>
      <c r="L629">
        <v>48355</v>
      </c>
      <c r="M629">
        <v>33401.699999999997</v>
      </c>
      <c r="N629">
        <v>14953.3</v>
      </c>
      <c r="O629" t="s">
        <v>79</v>
      </c>
      <c r="P629" t="s">
        <v>83</v>
      </c>
    </row>
    <row r="630" spans="1:16" x14ac:dyDescent="0.25">
      <c r="A630">
        <v>629</v>
      </c>
      <c r="B630" s="2">
        <v>45916</v>
      </c>
      <c r="C630" t="s">
        <v>23</v>
      </c>
      <c r="D630" t="s">
        <v>27</v>
      </c>
      <c r="E630" t="s">
        <v>28</v>
      </c>
      <c r="F630" t="s">
        <v>58</v>
      </c>
      <c r="G630" t="s">
        <v>71</v>
      </c>
      <c r="H630" t="s">
        <v>75</v>
      </c>
      <c r="I630">
        <v>6</v>
      </c>
      <c r="J630">
        <v>1675</v>
      </c>
      <c r="K630">
        <v>0.15</v>
      </c>
      <c r="L630">
        <v>8542.5</v>
      </c>
      <c r="M630">
        <v>5510.07</v>
      </c>
      <c r="N630">
        <v>3032.43</v>
      </c>
      <c r="O630" t="s">
        <v>78</v>
      </c>
      <c r="P630" t="s">
        <v>84</v>
      </c>
    </row>
    <row r="631" spans="1:16" x14ac:dyDescent="0.25">
      <c r="A631">
        <v>630</v>
      </c>
      <c r="B631" s="2">
        <v>45984</v>
      </c>
      <c r="C631" t="s">
        <v>22</v>
      </c>
      <c r="D631" t="s">
        <v>24</v>
      </c>
      <c r="E631" t="s">
        <v>34</v>
      </c>
      <c r="F631" t="s">
        <v>55</v>
      </c>
      <c r="G631" t="s">
        <v>72</v>
      </c>
      <c r="H631" t="s">
        <v>73</v>
      </c>
      <c r="I631">
        <v>8</v>
      </c>
      <c r="J631">
        <v>993</v>
      </c>
      <c r="K631">
        <v>0</v>
      </c>
      <c r="L631">
        <v>7944</v>
      </c>
      <c r="M631">
        <v>5487.03</v>
      </c>
      <c r="N631">
        <v>2456.9699999999998</v>
      </c>
      <c r="O631" t="s">
        <v>79</v>
      </c>
      <c r="P631" t="s">
        <v>84</v>
      </c>
    </row>
    <row r="632" spans="1:16" x14ac:dyDescent="0.25">
      <c r="A632">
        <v>631</v>
      </c>
      <c r="B632" s="2">
        <v>45661</v>
      </c>
      <c r="C632" t="s">
        <v>23</v>
      </c>
      <c r="D632" t="s">
        <v>27</v>
      </c>
      <c r="E632" t="s">
        <v>34</v>
      </c>
      <c r="F632" t="s">
        <v>51</v>
      </c>
      <c r="G632" t="s">
        <v>71</v>
      </c>
      <c r="H632" t="s">
        <v>73</v>
      </c>
      <c r="I632">
        <v>7</v>
      </c>
      <c r="J632">
        <v>442</v>
      </c>
      <c r="K632">
        <v>0</v>
      </c>
      <c r="L632">
        <v>3094</v>
      </c>
      <c r="M632">
        <v>1993.06</v>
      </c>
      <c r="N632">
        <v>1100.94</v>
      </c>
      <c r="O632" t="s">
        <v>80</v>
      </c>
      <c r="P632" t="s">
        <v>83</v>
      </c>
    </row>
    <row r="633" spans="1:16" x14ac:dyDescent="0.25">
      <c r="A633">
        <v>632</v>
      </c>
      <c r="B633" s="2">
        <v>45854</v>
      </c>
      <c r="C633" t="s">
        <v>20</v>
      </c>
      <c r="D633" t="s">
        <v>26</v>
      </c>
      <c r="E633" t="s">
        <v>33</v>
      </c>
      <c r="F633" t="s">
        <v>46</v>
      </c>
      <c r="G633" t="s">
        <v>71</v>
      </c>
      <c r="H633" t="s">
        <v>74</v>
      </c>
      <c r="I633">
        <v>6</v>
      </c>
      <c r="J633">
        <v>25946</v>
      </c>
      <c r="K633">
        <v>0.2</v>
      </c>
      <c r="L633">
        <v>124540.8</v>
      </c>
      <c r="M633">
        <v>83188.89</v>
      </c>
      <c r="N633">
        <v>41351.910000000003</v>
      </c>
      <c r="O633" t="s">
        <v>78</v>
      </c>
      <c r="P633" t="s">
        <v>82</v>
      </c>
    </row>
    <row r="634" spans="1:16" x14ac:dyDescent="0.25">
      <c r="A634">
        <v>633</v>
      </c>
      <c r="B634" s="2">
        <v>45672</v>
      </c>
      <c r="C634" t="s">
        <v>23</v>
      </c>
      <c r="D634" t="s">
        <v>27</v>
      </c>
      <c r="E634" t="s">
        <v>31</v>
      </c>
      <c r="F634" t="s">
        <v>69</v>
      </c>
      <c r="G634" t="s">
        <v>71</v>
      </c>
      <c r="H634" t="s">
        <v>75</v>
      </c>
      <c r="I634">
        <v>7</v>
      </c>
      <c r="J634">
        <v>280</v>
      </c>
      <c r="K634">
        <v>0</v>
      </c>
      <c r="L634">
        <v>1960</v>
      </c>
      <c r="M634">
        <v>1393.52</v>
      </c>
      <c r="N634">
        <v>566.48</v>
      </c>
      <c r="O634" t="s">
        <v>79</v>
      </c>
      <c r="P634" t="s">
        <v>82</v>
      </c>
    </row>
    <row r="635" spans="1:16" x14ac:dyDescent="0.25">
      <c r="A635">
        <v>634</v>
      </c>
      <c r="B635" s="2">
        <v>45993</v>
      </c>
      <c r="C635" t="s">
        <v>23</v>
      </c>
      <c r="D635" t="s">
        <v>27</v>
      </c>
      <c r="E635" t="s">
        <v>29</v>
      </c>
      <c r="F635" t="s">
        <v>53</v>
      </c>
      <c r="G635" t="s">
        <v>70</v>
      </c>
      <c r="H635" t="s">
        <v>74</v>
      </c>
      <c r="I635">
        <v>7</v>
      </c>
      <c r="J635">
        <v>11962</v>
      </c>
      <c r="K635">
        <v>0</v>
      </c>
      <c r="L635">
        <v>83734</v>
      </c>
      <c r="M635">
        <v>50437.2</v>
      </c>
      <c r="N635">
        <v>33296.800000000003</v>
      </c>
      <c r="O635" t="s">
        <v>80</v>
      </c>
      <c r="P635" t="s">
        <v>86</v>
      </c>
    </row>
    <row r="636" spans="1:16" x14ac:dyDescent="0.25">
      <c r="A636">
        <v>635</v>
      </c>
      <c r="B636" s="2">
        <v>45706</v>
      </c>
      <c r="C636" t="s">
        <v>16</v>
      </c>
      <c r="D636" t="s">
        <v>24</v>
      </c>
      <c r="E636" t="s">
        <v>28</v>
      </c>
      <c r="F636" t="s">
        <v>58</v>
      </c>
      <c r="G636" t="s">
        <v>71</v>
      </c>
      <c r="H636" t="s">
        <v>75</v>
      </c>
      <c r="I636">
        <v>1</v>
      </c>
      <c r="J636">
        <v>1362</v>
      </c>
      <c r="K636">
        <v>0.1</v>
      </c>
      <c r="L636">
        <v>1225.8</v>
      </c>
      <c r="M636">
        <v>917.46</v>
      </c>
      <c r="N636">
        <v>308.33999999999997</v>
      </c>
      <c r="O636" t="s">
        <v>76</v>
      </c>
      <c r="P636" t="s">
        <v>84</v>
      </c>
    </row>
    <row r="637" spans="1:16" x14ac:dyDescent="0.25">
      <c r="A637">
        <v>636</v>
      </c>
      <c r="B637" s="2">
        <v>45988</v>
      </c>
      <c r="C637" t="s">
        <v>21</v>
      </c>
      <c r="D637" t="s">
        <v>24</v>
      </c>
      <c r="E637" t="s">
        <v>30</v>
      </c>
      <c r="F637" t="s">
        <v>56</v>
      </c>
      <c r="G637" t="s">
        <v>70</v>
      </c>
      <c r="H637" t="s">
        <v>74</v>
      </c>
      <c r="I637">
        <v>6</v>
      </c>
      <c r="J637">
        <v>8732</v>
      </c>
      <c r="K637">
        <v>0.05</v>
      </c>
      <c r="L637">
        <v>49772.4</v>
      </c>
      <c r="M637">
        <v>37732.949999999997</v>
      </c>
      <c r="N637">
        <v>12039.45</v>
      </c>
      <c r="O637" t="s">
        <v>79</v>
      </c>
      <c r="P637" t="s">
        <v>81</v>
      </c>
    </row>
    <row r="638" spans="1:16" x14ac:dyDescent="0.25">
      <c r="A638">
        <v>637</v>
      </c>
      <c r="B638" s="2">
        <v>45805</v>
      </c>
      <c r="C638" t="s">
        <v>23</v>
      </c>
      <c r="D638" t="s">
        <v>27</v>
      </c>
      <c r="E638" t="s">
        <v>28</v>
      </c>
      <c r="F638" t="s">
        <v>63</v>
      </c>
      <c r="G638" t="s">
        <v>72</v>
      </c>
      <c r="H638" t="s">
        <v>74</v>
      </c>
      <c r="I638">
        <v>5</v>
      </c>
      <c r="J638">
        <v>1755</v>
      </c>
      <c r="K638">
        <v>0.1</v>
      </c>
      <c r="L638">
        <v>7897.5</v>
      </c>
      <c r="M638">
        <v>5676.63</v>
      </c>
      <c r="N638">
        <v>2220.87</v>
      </c>
      <c r="O638" t="s">
        <v>76</v>
      </c>
      <c r="P638" t="s">
        <v>83</v>
      </c>
    </row>
    <row r="639" spans="1:16" x14ac:dyDescent="0.25">
      <c r="A639">
        <v>638</v>
      </c>
      <c r="B639" s="2">
        <v>45717</v>
      </c>
      <c r="C639" t="s">
        <v>20</v>
      </c>
      <c r="D639" t="s">
        <v>26</v>
      </c>
      <c r="E639" t="s">
        <v>30</v>
      </c>
      <c r="F639" t="s">
        <v>37</v>
      </c>
      <c r="G639" t="s">
        <v>70</v>
      </c>
      <c r="H639" t="s">
        <v>73</v>
      </c>
      <c r="I639">
        <v>3</v>
      </c>
      <c r="J639">
        <v>66669</v>
      </c>
      <c r="K639">
        <v>0.05</v>
      </c>
      <c r="L639">
        <v>190006.65</v>
      </c>
      <c r="M639">
        <v>147564.75</v>
      </c>
      <c r="N639">
        <v>42441.9</v>
      </c>
      <c r="O639" t="s">
        <v>76</v>
      </c>
      <c r="P639" t="s">
        <v>83</v>
      </c>
    </row>
    <row r="640" spans="1:16" x14ac:dyDescent="0.25">
      <c r="A640">
        <v>639</v>
      </c>
      <c r="B640" s="2">
        <v>45823</v>
      </c>
      <c r="C640" t="s">
        <v>23</v>
      </c>
      <c r="D640" t="s">
        <v>27</v>
      </c>
      <c r="E640" t="s">
        <v>29</v>
      </c>
      <c r="F640" t="s">
        <v>42</v>
      </c>
      <c r="G640" t="s">
        <v>71</v>
      </c>
      <c r="H640" t="s">
        <v>74</v>
      </c>
      <c r="I640">
        <v>3</v>
      </c>
      <c r="J640">
        <v>11034</v>
      </c>
      <c r="K640">
        <v>0.05</v>
      </c>
      <c r="L640">
        <v>31446.9</v>
      </c>
      <c r="M640">
        <v>21225.15</v>
      </c>
      <c r="N640">
        <v>10221.75</v>
      </c>
      <c r="O640" t="s">
        <v>79</v>
      </c>
      <c r="P640" t="s">
        <v>83</v>
      </c>
    </row>
    <row r="641" spans="1:16" x14ac:dyDescent="0.25">
      <c r="A641">
        <v>640</v>
      </c>
      <c r="B641" s="2">
        <v>45755</v>
      </c>
      <c r="C641" t="s">
        <v>19</v>
      </c>
      <c r="D641" t="s">
        <v>26</v>
      </c>
      <c r="E641" t="s">
        <v>28</v>
      </c>
      <c r="F641" t="s">
        <v>61</v>
      </c>
      <c r="G641" t="s">
        <v>72</v>
      </c>
      <c r="H641" t="s">
        <v>74</v>
      </c>
      <c r="I641">
        <v>4</v>
      </c>
      <c r="J641">
        <v>211</v>
      </c>
      <c r="K641">
        <v>0.1</v>
      </c>
      <c r="L641">
        <v>759.6</v>
      </c>
      <c r="M641">
        <v>468.8</v>
      </c>
      <c r="N641">
        <v>290.8</v>
      </c>
      <c r="O641" t="s">
        <v>78</v>
      </c>
      <c r="P641" t="s">
        <v>84</v>
      </c>
    </row>
    <row r="642" spans="1:16" x14ac:dyDescent="0.25">
      <c r="A642">
        <v>641</v>
      </c>
      <c r="B642" s="2">
        <v>45932</v>
      </c>
      <c r="C642" t="s">
        <v>20</v>
      </c>
      <c r="D642" t="s">
        <v>26</v>
      </c>
      <c r="E642" t="s">
        <v>31</v>
      </c>
      <c r="F642" t="s">
        <v>69</v>
      </c>
      <c r="G642" t="s">
        <v>70</v>
      </c>
      <c r="H642" t="s">
        <v>73</v>
      </c>
      <c r="I642">
        <v>8</v>
      </c>
      <c r="J642">
        <v>634</v>
      </c>
      <c r="K642">
        <v>0</v>
      </c>
      <c r="L642">
        <v>5072</v>
      </c>
      <c r="M642">
        <v>3647.3</v>
      </c>
      <c r="N642">
        <v>1424.7</v>
      </c>
      <c r="O642" t="s">
        <v>77</v>
      </c>
      <c r="P642" t="s">
        <v>85</v>
      </c>
    </row>
    <row r="643" spans="1:16" x14ac:dyDescent="0.25">
      <c r="A643">
        <v>642</v>
      </c>
      <c r="B643" s="2">
        <v>45712</v>
      </c>
      <c r="C643" t="s">
        <v>23</v>
      </c>
      <c r="D643" t="s">
        <v>27</v>
      </c>
      <c r="E643" t="s">
        <v>32</v>
      </c>
      <c r="F643" t="s">
        <v>49</v>
      </c>
      <c r="G643" t="s">
        <v>70</v>
      </c>
      <c r="H643" t="s">
        <v>73</v>
      </c>
      <c r="I643">
        <v>4</v>
      </c>
      <c r="J643">
        <v>23188</v>
      </c>
      <c r="K643">
        <v>0.05</v>
      </c>
      <c r="L643">
        <v>88114.4</v>
      </c>
      <c r="M643">
        <v>68426.960000000006</v>
      </c>
      <c r="N643">
        <v>19687.439999999999</v>
      </c>
      <c r="O643" t="s">
        <v>76</v>
      </c>
      <c r="P643" t="s">
        <v>85</v>
      </c>
    </row>
    <row r="644" spans="1:16" x14ac:dyDescent="0.25">
      <c r="A644">
        <v>643</v>
      </c>
      <c r="B644" s="2">
        <v>45947</v>
      </c>
      <c r="C644" t="s">
        <v>21</v>
      </c>
      <c r="D644" t="s">
        <v>24</v>
      </c>
      <c r="E644" t="s">
        <v>32</v>
      </c>
      <c r="F644" t="s">
        <v>48</v>
      </c>
      <c r="G644" t="s">
        <v>72</v>
      </c>
      <c r="H644" t="s">
        <v>74</v>
      </c>
      <c r="I644">
        <v>4</v>
      </c>
      <c r="J644">
        <v>18763</v>
      </c>
      <c r="K644">
        <v>0.05</v>
      </c>
      <c r="L644">
        <v>71299.399999999994</v>
      </c>
      <c r="M644">
        <v>53979.14</v>
      </c>
      <c r="N644">
        <v>17320.259999999998</v>
      </c>
      <c r="O644" t="s">
        <v>79</v>
      </c>
      <c r="P644" t="s">
        <v>87</v>
      </c>
    </row>
    <row r="645" spans="1:16" x14ac:dyDescent="0.25">
      <c r="A645">
        <v>644</v>
      </c>
      <c r="B645" s="2">
        <v>45765</v>
      </c>
      <c r="C645" t="s">
        <v>21</v>
      </c>
      <c r="D645" t="s">
        <v>24</v>
      </c>
      <c r="E645" t="s">
        <v>33</v>
      </c>
      <c r="F645" t="s">
        <v>59</v>
      </c>
      <c r="G645" t="s">
        <v>70</v>
      </c>
      <c r="H645" t="s">
        <v>74</v>
      </c>
      <c r="I645">
        <v>8</v>
      </c>
      <c r="J645">
        <v>45871</v>
      </c>
      <c r="K645">
        <v>0.05</v>
      </c>
      <c r="L645">
        <v>348619.6</v>
      </c>
      <c r="M645">
        <v>294029.03999999998</v>
      </c>
      <c r="N645">
        <v>54590.559999999998</v>
      </c>
      <c r="O645" t="s">
        <v>80</v>
      </c>
      <c r="P645" t="s">
        <v>88</v>
      </c>
    </row>
    <row r="646" spans="1:16" x14ac:dyDescent="0.25">
      <c r="A646">
        <v>645</v>
      </c>
      <c r="B646" s="2">
        <v>45822</v>
      </c>
      <c r="C646" t="s">
        <v>17</v>
      </c>
      <c r="D646" t="s">
        <v>25</v>
      </c>
      <c r="E646" t="s">
        <v>31</v>
      </c>
      <c r="F646" t="s">
        <v>67</v>
      </c>
      <c r="G646" t="s">
        <v>72</v>
      </c>
      <c r="H646" t="s">
        <v>75</v>
      </c>
      <c r="I646">
        <v>8</v>
      </c>
      <c r="J646">
        <v>1860</v>
      </c>
      <c r="K646">
        <v>0.05</v>
      </c>
      <c r="L646">
        <v>14136</v>
      </c>
      <c r="M646">
        <v>8776.56</v>
      </c>
      <c r="N646">
        <v>5359.44</v>
      </c>
      <c r="O646" t="s">
        <v>76</v>
      </c>
      <c r="P646" t="s">
        <v>84</v>
      </c>
    </row>
    <row r="647" spans="1:16" x14ac:dyDescent="0.25">
      <c r="A647">
        <v>646</v>
      </c>
      <c r="B647" s="2">
        <v>45857</v>
      </c>
      <c r="C647" t="s">
        <v>16</v>
      </c>
      <c r="D647" t="s">
        <v>24</v>
      </c>
      <c r="E647" t="s">
        <v>31</v>
      </c>
      <c r="F647" t="s">
        <v>67</v>
      </c>
      <c r="G647" t="s">
        <v>70</v>
      </c>
      <c r="H647" t="s">
        <v>73</v>
      </c>
      <c r="I647">
        <v>7</v>
      </c>
      <c r="J647">
        <v>619</v>
      </c>
      <c r="K647">
        <v>0</v>
      </c>
      <c r="L647">
        <v>4333</v>
      </c>
      <c r="M647">
        <v>2786.6</v>
      </c>
      <c r="N647">
        <v>1546.4</v>
      </c>
      <c r="O647" t="s">
        <v>76</v>
      </c>
      <c r="P647" t="s">
        <v>84</v>
      </c>
    </row>
    <row r="648" spans="1:16" x14ac:dyDescent="0.25">
      <c r="A648">
        <v>647</v>
      </c>
      <c r="B648" s="2">
        <v>45977</v>
      </c>
      <c r="C648" t="s">
        <v>21</v>
      </c>
      <c r="D648" t="s">
        <v>24</v>
      </c>
      <c r="E648" t="s">
        <v>31</v>
      </c>
      <c r="F648" t="s">
        <v>69</v>
      </c>
      <c r="G648" t="s">
        <v>70</v>
      </c>
      <c r="H648" t="s">
        <v>73</v>
      </c>
      <c r="I648">
        <v>5</v>
      </c>
      <c r="J648">
        <v>1637</v>
      </c>
      <c r="K648">
        <v>0.15</v>
      </c>
      <c r="L648">
        <v>6957.25</v>
      </c>
      <c r="M648">
        <v>4655.92</v>
      </c>
      <c r="N648">
        <v>2301.33</v>
      </c>
      <c r="O648" t="s">
        <v>79</v>
      </c>
      <c r="P648" t="s">
        <v>87</v>
      </c>
    </row>
    <row r="649" spans="1:16" x14ac:dyDescent="0.25">
      <c r="A649">
        <v>648</v>
      </c>
      <c r="B649" s="2">
        <v>45961</v>
      </c>
      <c r="C649" t="s">
        <v>16</v>
      </c>
      <c r="D649" t="s">
        <v>24</v>
      </c>
      <c r="E649" t="s">
        <v>29</v>
      </c>
      <c r="F649" t="s">
        <v>45</v>
      </c>
      <c r="G649" t="s">
        <v>70</v>
      </c>
      <c r="H649" t="s">
        <v>73</v>
      </c>
      <c r="I649">
        <v>6</v>
      </c>
      <c r="J649">
        <v>2020</v>
      </c>
      <c r="K649">
        <v>0.1</v>
      </c>
      <c r="L649">
        <v>10908</v>
      </c>
      <c r="M649">
        <v>7480.33</v>
      </c>
      <c r="N649">
        <v>3427.67</v>
      </c>
      <c r="O649" t="s">
        <v>76</v>
      </c>
      <c r="P649" t="s">
        <v>86</v>
      </c>
    </row>
    <row r="650" spans="1:16" x14ac:dyDescent="0.25">
      <c r="A650">
        <v>649</v>
      </c>
      <c r="B650" s="2">
        <v>46003</v>
      </c>
      <c r="C650" t="s">
        <v>20</v>
      </c>
      <c r="D650" t="s">
        <v>26</v>
      </c>
      <c r="E650" t="s">
        <v>29</v>
      </c>
      <c r="F650" t="s">
        <v>53</v>
      </c>
      <c r="G650" t="s">
        <v>72</v>
      </c>
      <c r="H650" t="s">
        <v>75</v>
      </c>
      <c r="I650">
        <v>7</v>
      </c>
      <c r="J650">
        <v>940</v>
      </c>
      <c r="K650">
        <v>0.05</v>
      </c>
      <c r="L650">
        <v>6251</v>
      </c>
      <c r="M650">
        <v>3471.28</v>
      </c>
      <c r="N650">
        <v>2779.72</v>
      </c>
      <c r="O650" t="s">
        <v>76</v>
      </c>
      <c r="P650" t="s">
        <v>84</v>
      </c>
    </row>
    <row r="651" spans="1:16" x14ac:dyDescent="0.25">
      <c r="A651">
        <v>650</v>
      </c>
      <c r="B651" s="2">
        <v>46009</v>
      </c>
      <c r="C651" t="s">
        <v>23</v>
      </c>
      <c r="D651" t="s">
        <v>27</v>
      </c>
      <c r="E651" t="s">
        <v>30</v>
      </c>
      <c r="F651" t="s">
        <v>64</v>
      </c>
      <c r="G651" t="s">
        <v>72</v>
      </c>
      <c r="H651" t="s">
        <v>75</v>
      </c>
      <c r="I651">
        <v>8</v>
      </c>
      <c r="J651">
        <v>10971</v>
      </c>
      <c r="K651">
        <v>0</v>
      </c>
      <c r="L651">
        <v>87768</v>
      </c>
      <c r="M651">
        <v>70409.850000000006</v>
      </c>
      <c r="N651">
        <v>17358.150000000001</v>
      </c>
      <c r="O651" t="s">
        <v>78</v>
      </c>
      <c r="P651" t="s">
        <v>87</v>
      </c>
    </row>
    <row r="652" spans="1:16" x14ac:dyDescent="0.25">
      <c r="A652">
        <v>651</v>
      </c>
      <c r="B652" s="2">
        <v>45767</v>
      </c>
      <c r="C652" t="s">
        <v>16</v>
      </c>
      <c r="D652" t="s">
        <v>24</v>
      </c>
      <c r="E652" t="s">
        <v>31</v>
      </c>
      <c r="F652" t="s">
        <v>50</v>
      </c>
      <c r="G652" t="s">
        <v>71</v>
      </c>
      <c r="H652" t="s">
        <v>75</v>
      </c>
      <c r="I652">
        <v>1</v>
      </c>
      <c r="J652">
        <v>691</v>
      </c>
      <c r="K652">
        <v>0.1</v>
      </c>
      <c r="L652">
        <v>621.9</v>
      </c>
      <c r="M652">
        <v>402.44</v>
      </c>
      <c r="N652">
        <v>219.46</v>
      </c>
      <c r="O652" t="s">
        <v>80</v>
      </c>
      <c r="P652" t="s">
        <v>85</v>
      </c>
    </row>
    <row r="653" spans="1:16" x14ac:dyDescent="0.25">
      <c r="A653">
        <v>652</v>
      </c>
      <c r="B653" s="2">
        <v>45817</v>
      </c>
      <c r="C653" t="s">
        <v>23</v>
      </c>
      <c r="D653" t="s">
        <v>27</v>
      </c>
      <c r="E653" t="s">
        <v>28</v>
      </c>
      <c r="F653" t="s">
        <v>63</v>
      </c>
      <c r="G653" t="s">
        <v>71</v>
      </c>
      <c r="H653" t="s">
        <v>74</v>
      </c>
      <c r="I653">
        <v>8</v>
      </c>
      <c r="J653">
        <v>1157</v>
      </c>
      <c r="K653">
        <v>0</v>
      </c>
      <c r="L653">
        <v>9256</v>
      </c>
      <c r="M653">
        <v>6363.59</v>
      </c>
      <c r="N653">
        <v>2892.41</v>
      </c>
      <c r="O653" t="s">
        <v>79</v>
      </c>
      <c r="P653" t="s">
        <v>88</v>
      </c>
    </row>
    <row r="654" spans="1:16" x14ac:dyDescent="0.25">
      <c r="A654">
        <v>653</v>
      </c>
      <c r="B654" s="2">
        <v>45989</v>
      </c>
      <c r="C654" t="s">
        <v>22</v>
      </c>
      <c r="D654" t="s">
        <v>24</v>
      </c>
      <c r="E654" t="s">
        <v>29</v>
      </c>
      <c r="F654" t="s">
        <v>36</v>
      </c>
      <c r="G654" t="s">
        <v>71</v>
      </c>
      <c r="H654" t="s">
        <v>73</v>
      </c>
      <c r="I654">
        <v>7</v>
      </c>
      <c r="J654">
        <v>8183</v>
      </c>
      <c r="K654">
        <v>0.1</v>
      </c>
      <c r="L654">
        <v>51552.9</v>
      </c>
      <c r="M654">
        <v>34347.620000000003</v>
      </c>
      <c r="N654">
        <v>17205.28</v>
      </c>
      <c r="O654" t="s">
        <v>80</v>
      </c>
      <c r="P654" t="s">
        <v>87</v>
      </c>
    </row>
    <row r="655" spans="1:16" x14ac:dyDescent="0.25">
      <c r="A655">
        <v>654</v>
      </c>
      <c r="B655" s="2">
        <v>45782</v>
      </c>
      <c r="C655" t="s">
        <v>17</v>
      </c>
      <c r="D655" t="s">
        <v>25</v>
      </c>
      <c r="E655" t="s">
        <v>31</v>
      </c>
      <c r="F655" t="s">
        <v>47</v>
      </c>
      <c r="G655" t="s">
        <v>70</v>
      </c>
      <c r="H655" t="s">
        <v>74</v>
      </c>
      <c r="I655">
        <v>5</v>
      </c>
      <c r="J655">
        <v>353</v>
      </c>
      <c r="K655">
        <v>0.15</v>
      </c>
      <c r="L655">
        <v>1500.25</v>
      </c>
      <c r="M655">
        <v>1057.97</v>
      </c>
      <c r="N655">
        <v>442.28</v>
      </c>
      <c r="O655" t="s">
        <v>79</v>
      </c>
      <c r="P655" t="s">
        <v>86</v>
      </c>
    </row>
    <row r="656" spans="1:16" x14ac:dyDescent="0.25">
      <c r="A656">
        <v>655</v>
      </c>
      <c r="B656" s="2">
        <v>45703</v>
      </c>
      <c r="C656" t="s">
        <v>18</v>
      </c>
      <c r="D656" t="s">
        <v>26</v>
      </c>
      <c r="E656" t="s">
        <v>34</v>
      </c>
      <c r="F656" t="s">
        <v>65</v>
      </c>
      <c r="G656" t="s">
        <v>72</v>
      </c>
      <c r="H656" t="s">
        <v>75</v>
      </c>
      <c r="I656">
        <v>7</v>
      </c>
      <c r="J656">
        <v>5212</v>
      </c>
      <c r="K656">
        <v>0.15</v>
      </c>
      <c r="L656">
        <v>31011.4</v>
      </c>
      <c r="M656">
        <v>23356.42</v>
      </c>
      <c r="N656">
        <v>7654.98</v>
      </c>
      <c r="O656" t="s">
        <v>76</v>
      </c>
      <c r="P656" t="s">
        <v>85</v>
      </c>
    </row>
    <row r="657" spans="1:16" x14ac:dyDescent="0.25">
      <c r="A657">
        <v>656</v>
      </c>
      <c r="B657" s="2">
        <v>45985</v>
      </c>
      <c r="C657" t="s">
        <v>21</v>
      </c>
      <c r="D657" t="s">
        <v>24</v>
      </c>
      <c r="E657" t="s">
        <v>34</v>
      </c>
      <c r="F657" t="s">
        <v>43</v>
      </c>
      <c r="G657" t="s">
        <v>70</v>
      </c>
      <c r="H657" t="s">
        <v>75</v>
      </c>
      <c r="I657">
        <v>7</v>
      </c>
      <c r="J657">
        <v>1287</v>
      </c>
      <c r="K657">
        <v>0</v>
      </c>
      <c r="L657">
        <v>9009</v>
      </c>
      <c r="M657">
        <v>7313.81</v>
      </c>
      <c r="N657">
        <v>1695.19</v>
      </c>
      <c r="O657" t="s">
        <v>76</v>
      </c>
      <c r="P657" t="s">
        <v>87</v>
      </c>
    </row>
    <row r="658" spans="1:16" x14ac:dyDescent="0.25">
      <c r="A658">
        <v>657</v>
      </c>
      <c r="B658" s="2">
        <v>45770</v>
      </c>
      <c r="C658" t="s">
        <v>18</v>
      </c>
      <c r="D658" t="s">
        <v>26</v>
      </c>
      <c r="E658" t="s">
        <v>30</v>
      </c>
      <c r="F658" t="s">
        <v>56</v>
      </c>
      <c r="G658" t="s">
        <v>72</v>
      </c>
      <c r="H658" t="s">
        <v>73</v>
      </c>
      <c r="I658">
        <v>1</v>
      </c>
      <c r="J658">
        <v>48537</v>
      </c>
      <c r="K658">
        <v>0.1</v>
      </c>
      <c r="L658">
        <v>43683.3</v>
      </c>
      <c r="M658">
        <v>28508.639999999999</v>
      </c>
      <c r="N658">
        <v>15174.66</v>
      </c>
      <c r="O658" t="s">
        <v>77</v>
      </c>
      <c r="P658" t="s">
        <v>85</v>
      </c>
    </row>
    <row r="659" spans="1:16" x14ac:dyDescent="0.25">
      <c r="A659">
        <v>658</v>
      </c>
      <c r="B659" s="2">
        <v>45713</v>
      </c>
      <c r="C659" t="s">
        <v>21</v>
      </c>
      <c r="D659" t="s">
        <v>24</v>
      </c>
      <c r="E659" t="s">
        <v>28</v>
      </c>
      <c r="F659" t="s">
        <v>54</v>
      </c>
      <c r="G659" t="s">
        <v>70</v>
      </c>
      <c r="H659" t="s">
        <v>73</v>
      </c>
      <c r="I659">
        <v>1</v>
      </c>
      <c r="J659">
        <v>1866</v>
      </c>
      <c r="K659">
        <v>0</v>
      </c>
      <c r="L659">
        <v>1866</v>
      </c>
      <c r="M659">
        <v>1250.17</v>
      </c>
      <c r="N659">
        <v>615.83000000000004</v>
      </c>
      <c r="O659" t="s">
        <v>76</v>
      </c>
      <c r="P659" t="s">
        <v>86</v>
      </c>
    </row>
    <row r="660" spans="1:16" x14ac:dyDescent="0.25">
      <c r="A660">
        <v>659</v>
      </c>
      <c r="B660" s="2">
        <v>45797</v>
      </c>
      <c r="C660" t="s">
        <v>21</v>
      </c>
      <c r="D660" t="s">
        <v>24</v>
      </c>
      <c r="E660" t="s">
        <v>32</v>
      </c>
      <c r="F660" t="s">
        <v>39</v>
      </c>
      <c r="G660" t="s">
        <v>71</v>
      </c>
      <c r="H660" t="s">
        <v>75</v>
      </c>
      <c r="I660">
        <v>2</v>
      </c>
      <c r="J660">
        <v>13591</v>
      </c>
      <c r="K660">
        <v>0.1</v>
      </c>
      <c r="L660">
        <v>24463.8</v>
      </c>
      <c r="M660">
        <v>19388.650000000001</v>
      </c>
      <c r="N660">
        <v>5075.1499999999996</v>
      </c>
      <c r="O660" t="s">
        <v>77</v>
      </c>
      <c r="P660" t="s">
        <v>88</v>
      </c>
    </row>
    <row r="661" spans="1:16" x14ac:dyDescent="0.25">
      <c r="A661">
        <v>660</v>
      </c>
      <c r="B661" s="2">
        <v>45682</v>
      </c>
      <c r="C661" t="s">
        <v>16</v>
      </c>
      <c r="D661" t="s">
        <v>24</v>
      </c>
      <c r="E661" t="s">
        <v>29</v>
      </c>
      <c r="F661" t="s">
        <v>42</v>
      </c>
      <c r="G661" t="s">
        <v>72</v>
      </c>
      <c r="H661" t="s">
        <v>75</v>
      </c>
      <c r="I661">
        <v>1</v>
      </c>
      <c r="J661">
        <v>3085</v>
      </c>
      <c r="K661">
        <v>0.05</v>
      </c>
      <c r="L661">
        <v>2930.75</v>
      </c>
      <c r="M661">
        <v>2315.13</v>
      </c>
      <c r="N661">
        <v>615.62</v>
      </c>
      <c r="O661" t="s">
        <v>78</v>
      </c>
      <c r="P661" t="s">
        <v>87</v>
      </c>
    </row>
    <row r="662" spans="1:16" x14ac:dyDescent="0.25">
      <c r="A662">
        <v>661</v>
      </c>
      <c r="B662" s="2">
        <v>45837</v>
      </c>
      <c r="C662" t="s">
        <v>20</v>
      </c>
      <c r="D662" t="s">
        <v>26</v>
      </c>
      <c r="E662" t="s">
        <v>34</v>
      </c>
      <c r="F662" t="s">
        <v>51</v>
      </c>
      <c r="G662" t="s">
        <v>72</v>
      </c>
      <c r="H662" t="s">
        <v>74</v>
      </c>
      <c r="I662">
        <v>2</v>
      </c>
      <c r="J662">
        <v>5442</v>
      </c>
      <c r="K662">
        <v>0.1</v>
      </c>
      <c r="L662">
        <v>9795.6</v>
      </c>
      <c r="M662">
        <v>8396.4599999999991</v>
      </c>
      <c r="N662">
        <v>1399.14</v>
      </c>
      <c r="O662" t="s">
        <v>76</v>
      </c>
      <c r="P662" t="s">
        <v>85</v>
      </c>
    </row>
    <row r="663" spans="1:16" x14ac:dyDescent="0.25">
      <c r="A663">
        <v>662</v>
      </c>
      <c r="B663" s="2">
        <v>45937</v>
      </c>
      <c r="C663" t="s">
        <v>16</v>
      </c>
      <c r="D663" t="s">
        <v>24</v>
      </c>
      <c r="E663" t="s">
        <v>29</v>
      </c>
      <c r="F663" t="s">
        <v>45</v>
      </c>
      <c r="G663" t="s">
        <v>71</v>
      </c>
      <c r="H663" t="s">
        <v>74</v>
      </c>
      <c r="I663">
        <v>5</v>
      </c>
      <c r="J663">
        <v>7946</v>
      </c>
      <c r="K663">
        <v>0</v>
      </c>
      <c r="L663">
        <v>39730</v>
      </c>
      <c r="M663">
        <v>29151.81</v>
      </c>
      <c r="N663">
        <v>10578.19</v>
      </c>
      <c r="O663" t="s">
        <v>76</v>
      </c>
      <c r="P663" t="s">
        <v>83</v>
      </c>
    </row>
    <row r="664" spans="1:16" x14ac:dyDescent="0.25">
      <c r="A664">
        <v>663</v>
      </c>
      <c r="B664" s="2">
        <v>45904</v>
      </c>
      <c r="C664" t="s">
        <v>20</v>
      </c>
      <c r="D664" t="s">
        <v>26</v>
      </c>
      <c r="E664" t="s">
        <v>29</v>
      </c>
      <c r="F664" t="s">
        <v>42</v>
      </c>
      <c r="G664" t="s">
        <v>71</v>
      </c>
      <c r="H664" t="s">
        <v>75</v>
      </c>
      <c r="I664">
        <v>7</v>
      </c>
      <c r="J664">
        <v>6008</v>
      </c>
      <c r="K664">
        <v>0.1</v>
      </c>
      <c r="L664">
        <v>37850.400000000001</v>
      </c>
      <c r="M664">
        <v>29403.439999999999</v>
      </c>
      <c r="N664">
        <v>8446.9599999999991</v>
      </c>
      <c r="O664" t="s">
        <v>79</v>
      </c>
      <c r="P664" t="s">
        <v>83</v>
      </c>
    </row>
    <row r="665" spans="1:16" x14ac:dyDescent="0.25">
      <c r="A665">
        <v>664</v>
      </c>
      <c r="B665" s="2">
        <v>45865</v>
      </c>
      <c r="C665" t="s">
        <v>23</v>
      </c>
      <c r="D665" t="s">
        <v>27</v>
      </c>
      <c r="E665" t="s">
        <v>28</v>
      </c>
      <c r="F665" t="s">
        <v>54</v>
      </c>
      <c r="G665" t="s">
        <v>70</v>
      </c>
      <c r="H665" t="s">
        <v>74</v>
      </c>
      <c r="I665">
        <v>4</v>
      </c>
      <c r="J665">
        <v>770</v>
      </c>
      <c r="K665">
        <v>0.1</v>
      </c>
      <c r="L665">
        <v>2772</v>
      </c>
      <c r="M665">
        <v>2035.7</v>
      </c>
      <c r="N665">
        <v>736.3</v>
      </c>
      <c r="O665" t="s">
        <v>76</v>
      </c>
      <c r="P665" t="s">
        <v>88</v>
      </c>
    </row>
    <row r="666" spans="1:16" x14ac:dyDescent="0.25">
      <c r="A666">
        <v>665</v>
      </c>
      <c r="B666" s="2">
        <v>45930</v>
      </c>
      <c r="C666" t="s">
        <v>23</v>
      </c>
      <c r="D666" t="s">
        <v>27</v>
      </c>
      <c r="E666" t="s">
        <v>31</v>
      </c>
      <c r="F666" t="s">
        <v>47</v>
      </c>
      <c r="G666" t="s">
        <v>71</v>
      </c>
      <c r="H666" t="s">
        <v>74</v>
      </c>
      <c r="I666">
        <v>8</v>
      </c>
      <c r="J666">
        <v>2208</v>
      </c>
      <c r="K666">
        <v>0.1</v>
      </c>
      <c r="L666">
        <v>15897.6</v>
      </c>
      <c r="M666">
        <v>11535.36</v>
      </c>
      <c r="N666">
        <v>4362.24</v>
      </c>
      <c r="O666" t="s">
        <v>77</v>
      </c>
      <c r="P666" t="s">
        <v>88</v>
      </c>
    </row>
    <row r="667" spans="1:16" x14ac:dyDescent="0.25">
      <c r="A667">
        <v>666</v>
      </c>
      <c r="B667" s="2">
        <v>45872</v>
      </c>
      <c r="C667" t="s">
        <v>16</v>
      </c>
      <c r="D667" t="s">
        <v>24</v>
      </c>
      <c r="E667" t="s">
        <v>29</v>
      </c>
      <c r="F667" t="s">
        <v>57</v>
      </c>
      <c r="G667" t="s">
        <v>70</v>
      </c>
      <c r="H667" t="s">
        <v>75</v>
      </c>
      <c r="I667">
        <v>1</v>
      </c>
      <c r="J667">
        <v>2797</v>
      </c>
      <c r="K667">
        <v>0.05</v>
      </c>
      <c r="L667">
        <v>2657.15</v>
      </c>
      <c r="M667">
        <v>2061.11</v>
      </c>
      <c r="N667">
        <v>596.04</v>
      </c>
      <c r="O667" t="s">
        <v>80</v>
      </c>
      <c r="P667" t="s">
        <v>85</v>
      </c>
    </row>
    <row r="668" spans="1:16" x14ac:dyDescent="0.25">
      <c r="A668">
        <v>667</v>
      </c>
      <c r="B668" s="2">
        <v>45725</v>
      </c>
      <c r="C668" t="s">
        <v>19</v>
      </c>
      <c r="D668" t="s">
        <v>26</v>
      </c>
      <c r="E668" t="s">
        <v>32</v>
      </c>
      <c r="F668" t="s">
        <v>49</v>
      </c>
      <c r="G668" t="s">
        <v>71</v>
      </c>
      <c r="H668" t="s">
        <v>74</v>
      </c>
      <c r="I668">
        <v>1</v>
      </c>
      <c r="J668">
        <v>3443</v>
      </c>
      <c r="K668">
        <v>0.1</v>
      </c>
      <c r="L668">
        <v>3098.7</v>
      </c>
      <c r="M668">
        <v>2076.4</v>
      </c>
      <c r="N668">
        <v>1022.3</v>
      </c>
      <c r="O668" t="s">
        <v>80</v>
      </c>
      <c r="P668" t="s">
        <v>81</v>
      </c>
    </row>
    <row r="669" spans="1:16" x14ac:dyDescent="0.25">
      <c r="A669">
        <v>668</v>
      </c>
      <c r="B669" s="2">
        <v>45894</v>
      </c>
      <c r="C669" t="s">
        <v>23</v>
      </c>
      <c r="D669" t="s">
        <v>27</v>
      </c>
      <c r="E669" t="s">
        <v>29</v>
      </c>
      <c r="F669" t="s">
        <v>57</v>
      </c>
      <c r="G669" t="s">
        <v>70</v>
      </c>
      <c r="H669" t="s">
        <v>73</v>
      </c>
      <c r="I669">
        <v>6</v>
      </c>
      <c r="J669">
        <v>1189</v>
      </c>
      <c r="K669">
        <v>0.05</v>
      </c>
      <c r="L669">
        <v>6777.3</v>
      </c>
      <c r="M669">
        <v>4747.6499999999996</v>
      </c>
      <c r="N669">
        <v>2029.65</v>
      </c>
      <c r="O669" t="s">
        <v>78</v>
      </c>
      <c r="P669" t="s">
        <v>88</v>
      </c>
    </row>
    <row r="670" spans="1:16" x14ac:dyDescent="0.25">
      <c r="A670">
        <v>669</v>
      </c>
      <c r="B670" s="2">
        <v>46007</v>
      </c>
      <c r="C670" t="s">
        <v>23</v>
      </c>
      <c r="D670" t="s">
        <v>27</v>
      </c>
      <c r="E670" t="s">
        <v>32</v>
      </c>
      <c r="F670" t="s">
        <v>39</v>
      </c>
      <c r="G670" t="s">
        <v>72</v>
      </c>
      <c r="H670" t="s">
        <v>75</v>
      </c>
      <c r="I670">
        <v>8</v>
      </c>
      <c r="J670">
        <v>2015</v>
      </c>
      <c r="K670">
        <v>0.05</v>
      </c>
      <c r="L670">
        <v>15314</v>
      </c>
      <c r="M670">
        <v>10230.81</v>
      </c>
      <c r="N670">
        <v>5083.1899999999996</v>
      </c>
      <c r="O670" t="s">
        <v>77</v>
      </c>
      <c r="P670" t="s">
        <v>85</v>
      </c>
    </row>
    <row r="671" spans="1:16" x14ac:dyDescent="0.25">
      <c r="A671">
        <v>670</v>
      </c>
      <c r="B671" s="2">
        <v>45710</v>
      </c>
      <c r="C671" t="s">
        <v>16</v>
      </c>
      <c r="D671" t="s">
        <v>24</v>
      </c>
      <c r="E671" t="s">
        <v>28</v>
      </c>
      <c r="F671" t="s">
        <v>54</v>
      </c>
      <c r="G671" t="s">
        <v>71</v>
      </c>
      <c r="H671" t="s">
        <v>74</v>
      </c>
      <c r="I671">
        <v>8</v>
      </c>
      <c r="J671">
        <v>856</v>
      </c>
      <c r="K671">
        <v>0.15</v>
      </c>
      <c r="L671">
        <v>5820.8</v>
      </c>
      <c r="M671">
        <v>3712.84</v>
      </c>
      <c r="N671">
        <v>2107.96</v>
      </c>
      <c r="O671" t="s">
        <v>77</v>
      </c>
      <c r="P671" t="s">
        <v>87</v>
      </c>
    </row>
    <row r="672" spans="1:16" x14ac:dyDescent="0.25">
      <c r="A672">
        <v>671</v>
      </c>
      <c r="B672" s="2">
        <v>45977</v>
      </c>
      <c r="C672" t="s">
        <v>17</v>
      </c>
      <c r="D672" t="s">
        <v>25</v>
      </c>
      <c r="E672" t="s">
        <v>32</v>
      </c>
      <c r="F672" t="s">
        <v>66</v>
      </c>
      <c r="G672" t="s">
        <v>71</v>
      </c>
      <c r="H672" t="s">
        <v>74</v>
      </c>
      <c r="I672">
        <v>7</v>
      </c>
      <c r="J672">
        <v>6574</v>
      </c>
      <c r="K672">
        <v>0.1</v>
      </c>
      <c r="L672">
        <v>41416.199999999997</v>
      </c>
      <c r="M672">
        <v>28807.8</v>
      </c>
      <c r="N672">
        <v>12608.4</v>
      </c>
      <c r="O672" t="s">
        <v>79</v>
      </c>
      <c r="P672" t="s">
        <v>88</v>
      </c>
    </row>
    <row r="673" spans="1:16" x14ac:dyDescent="0.25">
      <c r="A673">
        <v>672</v>
      </c>
      <c r="B673" s="2">
        <v>45775</v>
      </c>
      <c r="C673" t="s">
        <v>18</v>
      </c>
      <c r="D673" t="s">
        <v>26</v>
      </c>
      <c r="E673" t="s">
        <v>33</v>
      </c>
      <c r="F673" t="s">
        <v>41</v>
      </c>
      <c r="G673" t="s">
        <v>70</v>
      </c>
      <c r="H673" t="s">
        <v>73</v>
      </c>
      <c r="I673">
        <v>8</v>
      </c>
      <c r="J673">
        <v>34041</v>
      </c>
      <c r="K673">
        <v>0.05</v>
      </c>
      <c r="L673">
        <v>258711.6</v>
      </c>
      <c r="M673">
        <v>149654.89000000001</v>
      </c>
      <c r="N673">
        <v>109056.71</v>
      </c>
      <c r="O673" t="s">
        <v>80</v>
      </c>
      <c r="P673" t="s">
        <v>81</v>
      </c>
    </row>
    <row r="674" spans="1:16" x14ac:dyDescent="0.25">
      <c r="A674">
        <v>673</v>
      </c>
      <c r="B674" s="2">
        <v>45777</v>
      </c>
      <c r="C674" t="s">
        <v>21</v>
      </c>
      <c r="D674" t="s">
        <v>24</v>
      </c>
      <c r="E674" t="s">
        <v>28</v>
      </c>
      <c r="F674" t="s">
        <v>35</v>
      </c>
      <c r="G674" t="s">
        <v>71</v>
      </c>
      <c r="H674" t="s">
        <v>75</v>
      </c>
      <c r="I674">
        <v>7</v>
      </c>
      <c r="J674">
        <v>1736</v>
      </c>
      <c r="K674">
        <v>0.1</v>
      </c>
      <c r="L674">
        <v>10936.8</v>
      </c>
      <c r="M674">
        <v>9419.74</v>
      </c>
      <c r="N674">
        <v>1517.06</v>
      </c>
      <c r="O674" t="s">
        <v>77</v>
      </c>
      <c r="P674" t="s">
        <v>86</v>
      </c>
    </row>
    <row r="675" spans="1:16" x14ac:dyDescent="0.25">
      <c r="A675">
        <v>674</v>
      </c>
      <c r="B675" s="2">
        <v>45978</v>
      </c>
      <c r="C675" t="s">
        <v>22</v>
      </c>
      <c r="D675" t="s">
        <v>24</v>
      </c>
      <c r="E675" t="s">
        <v>29</v>
      </c>
      <c r="F675" t="s">
        <v>53</v>
      </c>
      <c r="G675" t="s">
        <v>72</v>
      </c>
      <c r="H675" t="s">
        <v>75</v>
      </c>
      <c r="I675">
        <v>3</v>
      </c>
      <c r="J675">
        <v>6460</v>
      </c>
      <c r="K675">
        <v>0.05</v>
      </c>
      <c r="L675">
        <v>18411</v>
      </c>
      <c r="M675">
        <v>15969.36</v>
      </c>
      <c r="N675">
        <v>2441.64</v>
      </c>
      <c r="O675" t="s">
        <v>78</v>
      </c>
      <c r="P675" t="s">
        <v>86</v>
      </c>
    </row>
    <row r="676" spans="1:16" x14ac:dyDescent="0.25">
      <c r="A676">
        <v>675</v>
      </c>
      <c r="B676" s="2">
        <v>45712</v>
      </c>
      <c r="C676" t="s">
        <v>18</v>
      </c>
      <c r="D676" t="s">
        <v>26</v>
      </c>
      <c r="E676" t="s">
        <v>30</v>
      </c>
      <c r="F676" t="s">
        <v>40</v>
      </c>
      <c r="G676" t="s">
        <v>71</v>
      </c>
      <c r="H676" t="s">
        <v>75</v>
      </c>
      <c r="I676">
        <v>5</v>
      </c>
      <c r="J676">
        <v>11415</v>
      </c>
      <c r="K676">
        <v>0.1</v>
      </c>
      <c r="L676">
        <v>51367.5</v>
      </c>
      <c r="M676">
        <v>36305.32</v>
      </c>
      <c r="N676">
        <v>15062.18</v>
      </c>
      <c r="O676" t="s">
        <v>78</v>
      </c>
      <c r="P676" t="s">
        <v>86</v>
      </c>
    </row>
    <row r="677" spans="1:16" x14ac:dyDescent="0.25">
      <c r="A677">
        <v>676</v>
      </c>
      <c r="B677" s="2">
        <v>45717</v>
      </c>
      <c r="C677" t="s">
        <v>21</v>
      </c>
      <c r="D677" t="s">
        <v>24</v>
      </c>
      <c r="E677" t="s">
        <v>32</v>
      </c>
      <c r="F677" t="s">
        <v>62</v>
      </c>
      <c r="G677" t="s">
        <v>72</v>
      </c>
      <c r="H677" t="s">
        <v>73</v>
      </c>
      <c r="I677">
        <v>2</v>
      </c>
      <c r="J677">
        <v>14663</v>
      </c>
      <c r="K677">
        <v>0.1</v>
      </c>
      <c r="L677">
        <v>26393.4</v>
      </c>
      <c r="M677">
        <v>19249.900000000001</v>
      </c>
      <c r="N677">
        <v>7143.5</v>
      </c>
      <c r="O677" t="s">
        <v>80</v>
      </c>
      <c r="P677" t="s">
        <v>83</v>
      </c>
    </row>
    <row r="678" spans="1:16" x14ac:dyDescent="0.25">
      <c r="A678">
        <v>677</v>
      </c>
      <c r="B678" s="2">
        <v>45725</v>
      </c>
      <c r="C678" t="s">
        <v>20</v>
      </c>
      <c r="D678" t="s">
        <v>26</v>
      </c>
      <c r="E678" t="s">
        <v>33</v>
      </c>
      <c r="F678" t="s">
        <v>41</v>
      </c>
      <c r="G678" t="s">
        <v>72</v>
      </c>
      <c r="H678" t="s">
        <v>74</v>
      </c>
      <c r="I678">
        <v>2</v>
      </c>
      <c r="J678">
        <v>12956</v>
      </c>
      <c r="K678">
        <v>0</v>
      </c>
      <c r="L678">
        <v>25912</v>
      </c>
      <c r="M678">
        <v>22232.3</v>
      </c>
      <c r="N678">
        <v>3679.7</v>
      </c>
      <c r="O678" t="s">
        <v>80</v>
      </c>
      <c r="P678" t="s">
        <v>84</v>
      </c>
    </row>
    <row r="679" spans="1:16" x14ac:dyDescent="0.25">
      <c r="A679">
        <v>678</v>
      </c>
      <c r="B679" s="2">
        <v>45750</v>
      </c>
      <c r="C679" t="s">
        <v>19</v>
      </c>
      <c r="D679" t="s">
        <v>26</v>
      </c>
      <c r="E679" t="s">
        <v>33</v>
      </c>
      <c r="F679" t="s">
        <v>59</v>
      </c>
      <c r="G679" t="s">
        <v>70</v>
      </c>
      <c r="H679" t="s">
        <v>74</v>
      </c>
      <c r="I679">
        <v>8</v>
      </c>
      <c r="J679">
        <v>22602</v>
      </c>
      <c r="K679">
        <v>0</v>
      </c>
      <c r="L679">
        <v>180816</v>
      </c>
      <c r="M679">
        <v>115793.1</v>
      </c>
      <c r="N679">
        <v>65022.9</v>
      </c>
      <c r="O679" t="s">
        <v>78</v>
      </c>
      <c r="P679" t="s">
        <v>85</v>
      </c>
    </row>
    <row r="680" spans="1:16" x14ac:dyDescent="0.25">
      <c r="A680">
        <v>679</v>
      </c>
      <c r="B680" s="2">
        <v>45964</v>
      </c>
      <c r="C680" t="s">
        <v>18</v>
      </c>
      <c r="D680" t="s">
        <v>26</v>
      </c>
      <c r="E680" t="s">
        <v>34</v>
      </c>
      <c r="F680" t="s">
        <v>65</v>
      </c>
      <c r="G680" t="s">
        <v>71</v>
      </c>
      <c r="H680" t="s">
        <v>75</v>
      </c>
      <c r="I680">
        <v>1</v>
      </c>
      <c r="J680">
        <v>1207</v>
      </c>
      <c r="K680">
        <v>0</v>
      </c>
      <c r="L680">
        <v>1207</v>
      </c>
      <c r="M680">
        <v>1043.81</v>
      </c>
      <c r="N680">
        <v>163.19</v>
      </c>
      <c r="O680" t="s">
        <v>80</v>
      </c>
      <c r="P680" t="s">
        <v>82</v>
      </c>
    </row>
    <row r="681" spans="1:16" x14ac:dyDescent="0.25">
      <c r="A681">
        <v>680</v>
      </c>
      <c r="B681" s="2">
        <v>45837</v>
      </c>
      <c r="C681" t="s">
        <v>17</v>
      </c>
      <c r="D681" t="s">
        <v>25</v>
      </c>
      <c r="E681" t="s">
        <v>30</v>
      </c>
      <c r="F681" t="s">
        <v>37</v>
      </c>
      <c r="G681" t="s">
        <v>72</v>
      </c>
      <c r="H681" t="s">
        <v>75</v>
      </c>
      <c r="I681">
        <v>8</v>
      </c>
      <c r="J681">
        <v>37991</v>
      </c>
      <c r="K681">
        <v>0.05</v>
      </c>
      <c r="L681">
        <v>288731.59999999998</v>
      </c>
      <c r="M681">
        <v>215903.93</v>
      </c>
      <c r="N681">
        <v>72827.67</v>
      </c>
      <c r="O681" t="s">
        <v>79</v>
      </c>
      <c r="P681" t="s">
        <v>88</v>
      </c>
    </row>
    <row r="682" spans="1:16" x14ac:dyDescent="0.25">
      <c r="A682">
        <v>681</v>
      </c>
      <c r="B682" s="2">
        <v>45767</v>
      </c>
      <c r="C682" t="s">
        <v>21</v>
      </c>
      <c r="D682" t="s">
        <v>24</v>
      </c>
      <c r="E682" t="s">
        <v>29</v>
      </c>
      <c r="F682" t="s">
        <v>42</v>
      </c>
      <c r="G682" t="s">
        <v>70</v>
      </c>
      <c r="H682" t="s">
        <v>75</v>
      </c>
      <c r="I682">
        <v>3</v>
      </c>
      <c r="J682">
        <v>754</v>
      </c>
      <c r="K682">
        <v>0</v>
      </c>
      <c r="L682">
        <v>2262</v>
      </c>
      <c r="M682">
        <v>1490</v>
      </c>
      <c r="N682">
        <v>772</v>
      </c>
      <c r="O682" t="s">
        <v>76</v>
      </c>
      <c r="P682" t="s">
        <v>82</v>
      </c>
    </row>
    <row r="683" spans="1:16" x14ac:dyDescent="0.25">
      <c r="A683">
        <v>682</v>
      </c>
      <c r="B683" s="2">
        <v>45847</v>
      </c>
      <c r="C683" t="s">
        <v>21</v>
      </c>
      <c r="D683" t="s">
        <v>24</v>
      </c>
      <c r="E683" t="s">
        <v>31</v>
      </c>
      <c r="F683" t="s">
        <v>67</v>
      </c>
      <c r="G683" t="s">
        <v>70</v>
      </c>
      <c r="H683" t="s">
        <v>75</v>
      </c>
      <c r="I683">
        <v>5</v>
      </c>
      <c r="J683">
        <v>758</v>
      </c>
      <c r="K683">
        <v>0.1</v>
      </c>
      <c r="L683">
        <v>3411</v>
      </c>
      <c r="M683">
        <v>2411.7800000000002</v>
      </c>
      <c r="N683">
        <v>999.22</v>
      </c>
      <c r="O683" t="s">
        <v>77</v>
      </c>
      <c r="P683" t="s">
        <v>81</v>
      </c>
    </row>
    <row r="684" spans="1:16" x14ac:dyDescent="0.25">
      <c r="A684">
        <v>683</v>
      </c>
      <c r="B684" s="2">
        <v>45764</v>
      </c>
      <c r="C684" t="s">
        <v>20</v>
      </c>
      <c r="D684" t="s">
        <v>26</v>
      </c>
      <c r="E684" t="s">
        <v>31</v>
      </c>
      <c r="F684" t="s">
        <v>69</v>
      </c>
      <c r="G684" t="s">
        <v>71</v>
      </c>
      <c r="H684" t="s">
        <v>73</v>
      </c>
      <c r="I684">
        <v>8</v>
      </c>
      <c r="J684">
        <v>1875</v>
      </c>
      <c r="K684">
        <v>0.1</v>
      </c>
      <c r="L684">
        <v>13500</v>
      </c>
      <c r="M684">
        <v>10561.03</v>
      </c>
      <c r="N684">
        <v>2938.97</v>
      </c>
      <c r="O684" t="s">
        <v>78</v>
      </c>
      <c r="P684" t="s">
        <v>85</v>
      </c>
    </row>
    <row r="685" spans="1:16" x14ac:dyDescent="0.25">
      <c r="A685">
        <v>684</v>
      </c>
      <c r="B685" s="2">
        <v>45782</v>
      </c>
      <c r="C685" t="s">
        <v>23</v>
      </c>
      <c r="D685" t="s">
        <v>27</v>
      </c>
      <c r="E685" t="s">
        <v>34</v>
      </c>
      <c r="F685" t="s">
        <v>51</v>
      </c>
      <c r="G685" t="s">
        <v>70</v>
      </c>
      <c r="H685" t="s">
        <v>75</v>
      </c>
      <c r="I685">
        <v>3</v>
      </c>
      <c r="J685">
        <v>691</v>
      </c>
      <c r="K685">
        <v>0</v>
      </c>
      <c r="L685">
        <v>2073</v>
      </c>
      <c r="M685">
        <v>1450.56</v>
      </c>
      <c r="N685">
        <v>622.44000000000005</v>
      </c>
      <c r="O685" t="s">
        <v>77</v>
      </c>
      <c r="P685" t="s">
        <v>81</v>
      </c>
    </row>
    <row r="686" spans="1:16" x14ac:dyDescent="0.25">
      <c r="A686">
        <v>685</v>
      </c>
      <c r="B686" s="2">
        <v>45777</v>
      </c>
      <c r="C686" t="s">
        <v>16</v>
      </c>
      <c r="D686" t="s">
        <v>24</v>
      </c>
      <c r="E686" t="s">
        <v>33</v>
      </c>
      <c r="F686" t="s">
        <v>59</v>
      </c>
      <c r="G686" t="s">
        <v>70</v>
      </c>
      <c r="H686" t="s">
        <v>73</v>
      </c>
      <c r="I686">
        <v>8</v>
      </c>
      <c r="J686">
        <v>26371</v>
      </c>
      <c r="K686">
        <v>0.1</v>
      </c>
      <c r="L686">
        <v>189871.2</v>
      </c>
      <c r="M686">
        <v>146015.22</v>
      </c>
      <c r="N686">
        <v>43855.98</v>
      </c>
      <c r="O686" t="s">
        <v>76</v>
      </c>
      <c r="P686" t="s">
        <v>86</v>
      </c>
    </row>
    <row r="687" spans="1:16" x14ac:dyDescent="0.25">
      <c r="A687">
        <v>686</v>
      </c>
      <c r="B687" s="2">
        <v>45762</v>
      </c>
      <c r="C687" t="s">
        <v>18</v>
      </c>
      <c r="D687" t="s">
        <v>26</v>
      </c>
      <c r="E687" t="s">
        <v>30</v>
      </c>
      <c r="F687" t="s">
        <v>40</v>
      </c>
      <c r="G687" t="s">
        <v>72</v>
      </c>
      <c r="H687" t="s">
        <v>75</v>
      </c>
      <c r="I687">
        <v>6</v>
      </c>
      <c r="J687">
        <v>4920</v>
      </c>
      <c r="K687">
        <v>0.1</v>
      </c>
      <c r="L687">
        <v>26568</v>
      </c>
      <c r="M687">
        <v>19954.43</v>
      </c>
      <c r="N687">
        <v>6613.57</v>
      </c>
      <c r="O687" t="s">
        <v>80</v>
      </c>
      <c r="P687" t="s">
        <v>81</v>
      </c>
    </row>
    <row r="688" spans="1:16" x14ac:dyDescent="0.25">
      <c r="A688">
        <v>687</v>
      </c>
      <c r="B688" s="2">
        <v>45894</v>
      </c>
      <c r="C688" t="s">
        <v>18</v>
      </c>
      <c r="D688" t="s">
        <v>26</v>
      </c>
      <c r="E688" t="s">
        <v>28</v>
      </c>
      <c r="F688" t="s">
        <v>58</v>
      </c>
      <c r="G688" t="s">
        <v>71</v>
      </c>
      <c r="H688" t="s">
        <v>74</v>
      </c>
      <c r="I688">
        <v>1</v>
      </c>
      <c r="J688">
        <v>1845</v>
      </c>
      <c r="K688">
        <v>0.1</v>
      </c>
      <c r="L688">
        <v>1660.5</v>
      </c>
      <c r="M688">
        <v>961.76</v>
      </c>
      <c r="N688">
        <v>698.74</v>
      </c>
      <c r="O688" t="s">
        <v>76</v>
      </c>
      <c r="P688" t="s">
        <v>84</v>
      </c>
    </row>
    <row r="689" spans="1:16" x14ac:dyDescent="0.25">
      <c r="A689">
        <v>688</v>
      </c>
      <c r="B689" s="2">
        <v>45729</v>
      </c>
      <c r="C689" t="s">
        <v>20</v>
      </c>
      <c r="D689" t="s">
        <v>26</v>
      </c>
      <c r="E689" t="s">
        <v>29</v>
      </c>
      <c r="F689" t="s">
        <v>36</v>
      </c>
      <c r="G689" t="s">
        <v>72</v>
      </c>
      <c r="H689" t="s">
        <v>74</v>
      </c>
      <c r="I689">
        <v>2</v>
      </c>
      <c r="J689">
        <v>3764</v>
      </c>
      <c r="K689">
        <v>0.1</v>
      </c>
      <c r="L689">
        <v>6775.2</v>
      </c>
      <c r="M689">
        <v>4967.25</v>
      </c>
      <c r="N689">
        <v>1807.95</v>
      </c>
      <c r="O689" t="s">
        <v>77</v>
      </c>
      <c r="P689" t="s">
        <v>86</v>
      </c>
    </row>
    <row r="690" spans="1:16" x14ac:dyDescent="0.25">
      <c r="A690">
        <v>689</v>
      </c>
      <c r="B690" s="2">
        <v>45976</v>
      </c>
      <c r="C690" t="s">
        <v>23</v>
      </c>
      <c r="D690" t="s">
        <v>27</v>
      </c>
      <c r="E690" t="s">
        <v>33</v>
      </c>
      <c r="F690" t="s">
        <v>41</v>
      </c>
      <c r="G690" t="s">
        <v>70</v>
      </c>
      <c r="H690" t="s">
        <v>75</v>
      </c>
      <c r="I690">
        <v>3</v>
      </c>
      <c r="J690">
        <v>10963</v>
      </c>
      <c r="K690">
        <v>0</v>
      </c>
      <c r="L690">
        <v>32889</v>
      </c>
      <c r="M690">
        <v>28696.7</v>
      </c>
      <c r="N690">
        <v>4192.3</v>
      </c>
      <c r="O690" t="s">
        <v>78</v>
      </c>
      <c r="P690" t="s">
        <v>87</v>
      </c>
    </row>
    <row r="691" spans="1:16" x14ac:dyDescent="0.25">
      <c r="A691">
        <v>690</v>
      </c>
      <c r="B691" s="2">
        <v>45864</v>
      </c>
      <c r="C691" t="s">
        <v>22</v>
      </c>
      <c r="D691" t="s">
        <v>24</v>
      </c>
      <c r="E691" t="s">
        <v>30</v>
      </c>
      <c r="F691" t="s">
        <v>37</v>
      </c>
      <c r="G691" t="s">
        <v>72</v>
      </c>
      <c r="H691" t="s">
        <v>75</v>
      </c>
      <c r="I691">
        <v>3</v>
      </c>
      <c r="J691">
        <v>66296</v>
      </c>
      <c r="K691">
        <v>0.2</v>
      </c>
      <c r="L691">
        <v>159110.39999999999</v>
      </c>
      <c r="M691">
        <v>103819.27</v>
      </c>
      <c r="N691">
        <v>55291.13</v>
      </c>
      <c r="O691" t="s">
        <v>80</v>
      </c>
      <c r="P691" t="s">
        <v>86</v>
      </c>
    </row>
    <row r="692" spans="1:16" x14ac:dyDescent="0.25">
      <c r="A692">
        <v>691</v>
      </c>
      <c r="B692" s="2">
        <v>45746</v>
      </c>
      <c r="C692" t="s">
        <v>23</v>
      </c>
      <c r="D692" t="s">
        <v>27</v>
      </c>
      <c r="E692" t="s">
        <v>33</v>
      </c>
      <c r="F692" t="s">
        <v>52</v>
      </c>
      <c r="G692" t="s">
        <v>72</v>
      </c>
      <c r="H692" t="s">
        <v>75</v>
      </c>
      <c r="I692">
        <v>8</v>
      </c>
      <c r="J692">
        <v>31783</v>
      </c>
      <c r="K692">
        <v>0.15</v>
      </c>
      <c r="L692">
        <v>216124.4</v>
      </c>
      <c r="M692">
        <v>126883.69</v>
      </c>
      <c r="N692">
        <v>89240.71</v>
      </c>
      <c r="O692" t="s">
        <v>79</v>
      </c>
      <c r="P692" t="s">
        <v>81</v>
      </c>
    </row>
    <row r="693" spans="1:16" x14ac:dyDescent="0.25">
      <c r="A693">
        <v>692</v>
      </c>
      <c r="B693" s="2">
        <v>45813</v>
      </c>
      <c r="C693" t="s">
        <v>22</v>
      </c>
      <c r="D693" t="s">
        <v>24</v>
      </c>
      <c r="E693" t="s">
        <v>30</v>
      </c>
      <c r="F693" t="s">
        <v>40</v>
      </c>
      <c r="G693" t="s">
        <v>72</v>
      </c>
      <c r="H693" t="s">
        <v>75</v>
      </c>
      <c r="I693">
        <v>3</v>
      </c>
      <c r="J693">
        <v>56433</v>
      </c>
      <c r="K693">
        <v>0</v>
      </c>
      <c r="L693">
        <v>169299</v>
      </c>
      <c r="M693">
        <v>96991.47</v>
      </c>
      <c r="N693">
        <v>72307.53</v>
      </c>
      <c r="O693" t="s">
        <v>78</v>
      </c>
      <c r="P693" t="s">
        <v>87</v>
      </c>
    </row>
    <row r="694" spans="1:16" x14ac:dyDescent="0.25">
      <c r="A694">
        <v>693</v>
      </c>
      <c r="B694" s="2">
        <v>45710</v>
      </c>
      <c r="C694" t="s">
        <v>16</v>
      </c>
      <c r="D694" t="s">
        <v>24</v>
      </c>
      <c r="E694" t="s">
        <v>31</v>
      </c>
      <c r="F694" t="s">
        <v>47</v>
      </c>
      <c r="G694" t="s">
        <v>70</v>
      </c>
      <c r="H694" t="s">
        <v>74</v>
      </c>
      <c r="I694">
        <v>7</v>
      </c>
      <c r="J694">
        <v>2429</v>
      </c>
      <c r="K694">
        <v>0.15</v>
      </c>
      <c r="L694">
        <v>14452.55</v>
      </c>
      <c r="M694">
        <v>8219.42</v>
      </c>
      <c r="N694">
        <v>6233.13</v>
      </c>
      <c r="O694" t="s">
        <v>77</v>
      </c>
      <c r="P694" t="s">
        <v>84</v>
      </c>
    </row>
    <row r="695" spans="1:16" x14ac:dyDescent="0.25">
      <c r="A695">
        <v>694</v>
      </c>
      <c r="B695" s="2">
        <v>45794</v>
      </c>
      <c r="C695" t="s">
        <v>21</v>
      </c>
      <c r="D695" t="s">
        <v>24</v>
      </c>
      <c r="E695" t="s">
        <v>30</v>
      </c>
      <c r="F695" t="s">
        <v>64</v>
      </c>
      <c r="G695" t="s">
        <v>71</v>
      </c>
      <c r="H695" t="s">
        <v>75</v>
      </c>
      <c r="I695">
        <v>7</v>
      </c>
      <c r="J695">
        <v>49615</v>
      </c>
      <c r="K695">
        <v>0.1</v>
      </c>
      <c r="L695">
        <v>312574.5</v>
      </c>
      <c r="M695">
        <v>246152.17</v>
      </c>
      <c r="N695">
        <v>66422.33</v>
      </c>
      <c r="O695" t="s">
        <v>79</v>
      </c>
      <c r="P695" t="s">
        <v>87</v>
      </c>
    </row>
    <row r="696" spans="1:16" x14ac:dyDescent="0.25">
      <c r="A696">
        <v>695</v>
      </c>
      <c r="B696" s="2">
        <v>45661</v>
      </c>
      <c r="C696" t="s">
        <v>21</v>
      </c>
      <c r="D696" t="s">
        <v>24</v>
      </c>
      <c r="E696" t="s">
        <v>33</v>
      </c>
      <c r="F696" t="s">
        <v>52</v>
      </c>
      <c r="G696" t="s">
        <v>71</v>
      </c>
      <c r="H696" t="s">
        <v>75</v>
      </c>
      <c r="I696">
        <v>3</v>
      </c>
      <c r="J696">
        <v>44386</v>
      </c>
      <c r="K696">
        <v>0</v>
      </c>
      <c r="L696">
        <v>133158</v>
      </c>
      <c r="M696">
        <v>96737.2</v>
      </c>
      <c r="N696">
        <v>36420.800000000003</v>
      </c>
      <c r="O696" t="s">
        <v>80</v>
      </c>
      <c r="P696" t="s">
        <v>83</v>
      </c>
    </row>
    <row r="697" spans="1:16" x14ac:dyDescent="0.25">
      <c r="A697">
        <v>696</v>
      </c>
      <c r="B697" s="2">
        <v>45967</v>
      </c>
      <c r="C697" t="s">
        <v>22</v>
      </c>
      <c r="D697" t="s">
        <v>24</v>
      </c>
      <c r="E697" t="s">
        <v>30</v>
      </c>
      <c r="F697" t="s">
        <v>56</v>
      </c>
      <c r="G697" t="s">
        <v>70</v>
      </c>
      <c r="H697" t="s">
        <v>73</v>
      </c>
      <c r="I697">
        <v>2</v>
      </c>
      <c r="J697">
        <v>43960</v>
      </c>
      <c r="K697">
        <v>0.15</v>
      </c>
      <c r="L697">
        <v>74732</v>
      </c>
      <c r="M697">
        <v>41303.5</v>
      </c>
      <c r="N697">
        <v>33428.5</v>
      </c>
      <c r="O697" t="s">
        <v>79</v>
      </c>
      <c r="P697" t="s">
        <v>88</v>
      </c>
    </row>
    <row r="698" spans="1:16" x14ac:dyDescent="0.25">
      <c r="A698">
        <v>697</v>
      </c>
      <c r="B698" s="2">
        <v>45682</v>
      </c>
      <c r="C698" t="s">
        <v>16</v>
      </c>
      <c r="D698" t="s">
        <v>24</v>
      </c>
      <c r="E698" t="s">
        <v>33</v>
      </c>
      <c r="F698" t="s">
        <v>41</v>
      </c>
      <c r="G698" t="s">
        <v>72</v>
      </c>
      <c r="H698" t="s">
        <v>73</v>
      </c>
      <c r="I698">
        <v>4</v>
      </c>
      <c r="J698">
        <v>47999</v>
      </c>
      <c r="K698">
        <v>0.1</v>
      </c>
      <c r="L698">
        <v>172796.4</v>
      </c>
      <c r="M698">
        <v>104425.53</v>
      </c>
      <c r="N698">
        <v>68370.87</v>
      </c>
      <c r="O698" t="s">
        <v>78</v>
      </c>
      <c r="P698" t="s">
        <v>85</v>
      </c>
    </row>
    <row r="699" spans="1:16" x14ac:dyDescent="0.25">
      <c r="A699">
        <v>698</v>
      </c>
      <c r="B699" s="2">
        <v>45991</v>
      </c>
      <c r="C699" t="s">
        <v>20</v>
      </c>
      <c r="D699" t="s">
        <v>26</v>
      </c>
      <c r="E699" t="s">
        <v>29</v>
      </c>
      <c r="F699" t="s">
        <v>53</v>
      </c>
      <c r="G699" t="s">
        <v>71</v>
      </c>
      <c r="H699" t="s">
        <v>73</v>
      </c>
      <c r="I699">
        <v>5</v>
      </c>
      <c r="J699">
        <v>3223</v>
      </c>
      <c r="K699">
        <v>0.05</v>
      </c>
      <c r="L699">
        <v>15309.25</v>
      </c>
      <c r="M699">
        <v>10632.7</v>
      </c>
      <c r="N699">
        <v>4676.55</v>
      </c>
      <c r="O699" t="s">
        <v>79</v>
      </c>
      <c r="P699" t="s">
        <v>85</v>
      </c>
    </row>
    <row r="700" spans="1:16" x14ac:dyDescent="0.25">
      <c r="A700">
        <v>699</v>
      </c>
      <c r="B700" s="2">
        <v>45678</v>
      </c>
      <c r="C700" t="s">
        <v>19</v>
      </c>
      <c r="D700" t="s">
        <v>26</v>
      </c>
      <c r="E700" t="s">
        <v>30</v>
      </c>
      <c r="F700" t="s">
        <v>64</v>
      </c>
      <c r="G700" t="s">
        <v>72</v>
      </c>
      <c r="H700" t="s">
        <v>74</v>
      </c>
      <c r="I700">
        <v>2</v>
      </c>
      <c r="J700">
        <v>34399</v>
      </c>
      <c r="K700">
        <v>0.05</v>
      </c>
      <c r="L700">
        <v>65358.1</v>
      </c>
      <c r="M700">
        <v>53962.99</v>
      </c>
      <c r="N700">
        <v>11395.11</v>
      </c>
      <c r="O700" t="s">
        <v>79</v>
      </c>
      <c r="P700" t="s">
        <v>85</v>
      </c>
    </row>
    <row r="701" spans="1:16" x14ac:dyDescent="0.25">
      <c r="A701">
        <v>700</v>
      </c>
      <c r="B701" s="2">
        <v>45887</v>
      </c>
      <c r="C701" t="s">
        <v>21</v>
      </c>
      <c r="D701" t="s">
        <v>24</v>
      </c>
      <c r="E701" t="s">
        <v>34</v>
      </c>
      <c r="F701" t="s">
        <v>65</v>
      </c>
      <c r="G701" t="s">
        <v>71</v>
      </c>
      <c r="H701" t="s">
        <v>73</v>
      </c>
      <c r="I701">
        <v>1</v>
      </c>
      <c r="J701">
        <v>1439</v>
      </c>
      <c r="K701">
        <v>0.15</v>
      </c>
      <c r="L701">
        <v>1223.1500000000001</v>
      </c>
      <c r="M701">
        <v>924.5</v>
      </c>
      <c r="N701">
        <v>298.64999999999998</v>
      </c>
      <c r="O701" t="s">
        <v>80</v>
      </c>
      <c r="P701" t="s">
        <v>86</v>
      </c>
    </row>
    <row r="702" spans="1:16" x14ac:dyDescent="0.25">
      <c r="A702">
        <v>701</v>
      </c>
      <c r="B702" s="2">
        <v>45966</v>
      </c>
      <c r="C702" t="s">
        <v>23</v>
      </c>
      <c r="D702" t="s">
        <v>27</v>
      </c>
      <c r="E702" t="s">
        <v>28</v>
      </c>
      <c r="F702" t="s">
        <v>54</v>
      </c>
      <c r="G702" t="s">
        <v>72</v>
      </c>
      <c r="H702" t="s">
        <v>75</v>
      </c>
      <c r="I702">
        <v>8</v>
      </c>
      <c r="J702">
        <v>1869</v>
      </c>
      <c r="K702">
        <v>0.05</v>
      </c>
      <c r="L702">
        <v>14204.4</v>
      </c>
      <c r="M702">
        <v>10134.200000000001</v>
      </c>
      <c r="N702">
        <v>4070.2</v>
      </c>
      <c r="O702" t="s">
        <v>76</v>
      </c>
      <c r="P702" t="s">
        <v>86</v>
      </c>
    </row>
    <row r="703" spans="1:16" x14ac:dyDescent="0.25">
      <c r="A703">
        <v>702</v>
      </c>
      <c r="B703" s="2">
        <v>45908</v>
      </c>
      <c r="C703" t="s">
        <v>16</v>
      </c>
      <c r="D703" t="s">
        <v>24</v>
      </c>
      <c r="E703" t="s">
        <v>29</v>
      </c>
      <c r="F703" t="s">
        <v>53</v>
      </c>
      <c r="G703" t="s">
        <v>70</v>
      </c>
      <c r="H703" t="s">
        <v>73</v>
      </c>
      <c r="I703">
        <v>1</v>
      </c>
      <c r="J703">
        <v>1268</v>
      </c>
      <c r="K703">
        <v>0.1</v>
      </c>
      <c r="L703">
        <v>1141.2</v>
      </c>
      <c r="M703">
        <v>828.13</v>
      </c>
      <c r="N703">
        <v>313.07</v>
      </c>
      <c r="O703" t="s">
        <v>79</v>
      </c>
      <c r="P703" t="s">
        <v>83</v>
      </c>
    </row>
    <row r="704" spans="1:16" x14ac:dyDescent="0.25">
      <c r="A704">
        <v>703</v>
      </c>
      <c r="B704" s="2">
        <v>45741</v>
      </c>
      <c r="C704" t="s">
        <v>23</v>
      </c>
      <c r="D704" t="s">
        <v>27</v>
      </c>
      <c r="E704" t="s">
        <v>32</v>
      </c>
      <c r="F704" t="s">
        <v>48</v>
      </c>
      <c r="G704" t="s">
        <v>71</v>
      </c>
      <c r="H704" t="s">
        <v>73</v>
      </c>
      <c r="I704">
        <v>6</v>
      </c>
      <c r="J704">
        <v>20259</v>
      </c>
      <c r="K704">
        <v>0.05</v>
      </c>
      <c r="L704">
        <v>115476.3</v>
      </c>
      <c r="M704">
        <v>77359.09</v>
      </c>
      <c r="N704">
        <v>38117.21</v>
      </c>
      <c r="O704" t="s">
        <v>76</v>
      </c>
      <c r="P704" t="s">
        <v>83</v>
      </c>
    </row>
    <row r="705" spans="1:16" x14ac:dyDescent="0.25">
      <c r="A705">
        <v>704</v>
      </c>
      <c r="B705" s="2">
        <v>45714</v>
      </c>
      <c r="C705" t="s">
        <v>22</v>
      </c>
      <c r="D705" t="s">
        <v>24</v>
      </c>
      <c r="E705" t="s">
        <v>32</v>
      </c>
      <c r="F705" t="s">
        <v>66</v>
      </c>
      <c r="G705" t="s">
        <v>70</v>
      </c>
      <c r="H705" t="s">
        <v>74</v>
      </c>
      <c r="I705">
        <v>5</v>
      </c>
      <c r="J705">
        <v>9466</v>
      </c>
      <c r="K705">
        <v>0.1</v>
      </c>
      <c r="L705">
        <v>42597</v>
      </c>
      <c r="M705">
        <v>23903.32</v>
      </c>
      <c r="N705">
        <v>18693.68</v>
      </c>
      <c r="O705" t="s">
        <v>77</v>
      </c>
      <c r="P705" t="s">
        <v>82</v>
      </c>
    </row>
    <row r="706" spans="1:16" x14ac:dyDescent="0.25">
      <c r="A706">
        <v>705</v>
      </c>
      <c r="B706" s="2">
        <v>45877</v>
      </c>
      <c r="C706" t="s">
        <v>23</v>
      </c>
      <c r="D706" t="s">
        <v>27</v>
      </c>
      <c r="E706" t="s">
        <v>32</v>
      </c>
      <c r="F706" t="s">
        <v>66</v>
      </c>
      <c r="G706" t="s">
        <v>72</v>
      </c>
      <c r="H706" t="s">
        <v>73</v>
      </c>
      <c r="I706">
        <v>7</v>
      </c>
      <c r="J706">
        <v>12838</v>
      </c>
      <c r="K706">
        <v>0.1</v>
      </c>
      <c r="L706">
        <v>80879.399999999994</v>
      </c>
      <c r="M706">
        <v>53503.51</v>
      </c>
      <c r="N706">
        <v>27375.89</v>
      </c>
      <c r="O706" t="s">
        <v>78</v>
      </c>
      <c r="P706" t="s">
        <v>88</v>
      </c>
    </row>
    <row r="707" spans="1:16" x14ac:dyDescent="0.25">
      <c r="A707">
        <v>706</v>
      </c>
      <c r="B707" s="2">
        <v>45750</v>
      </c>
      <c r="C707" t="s">
        <v>22</v>
      </c>
      <c r="D707" t="s">
        <v>24</v>
      </c>
      <c r="E707" t="s">
        <v>31</v>
      </c>
      <c r="F707" t="s">
        <v>47</v>
      </c>
      <c r="G707" t="s">
        <v>71</v>
      </c>
      <c r="H707" t="s">
        <v>73</v>
      </c>
      <c r="I707">
        <v>5</v>
      </c>
      <c r="J707">
        <v>1643</v>
      </c>
      <c r="K707">
        <v>0.05</v>
      </c>
      <c r="L707">
        <v>7804.25</v>
      </c>
      <c r="M707">
        <v>5168.68</v>
      </c>
      <c r="N707">
        <v>2635.57</v>
      </c>
      <c r="O707" t="s">
        <v>78</v>
      </c>
      <c r="P707" t="s">
        <v>82</v>
      </c>
    </row>
    <row r="708" spans="1:16" x14ac:dyDescent="0.25">
      <c r="A708">
        <v>707</v>
      </c>
      <c r="B708" s="2">
        <v>45825</v>
      </c>
      <c r="C708" t="s">
        <v>21</v>
      </c>
      <c r="D708" t="s">
        <v>24</v>
      </c>
      <c r="E708" t="s">
        <v>28</v>
      </c>
      <c r="F708" t="s">
        <v>58</v>
      </c>
      <c r="G708" t="s">
        <v>70</v>
      </c>
      <c r="H708" t="s">
        <v>73</v>
      </c>
      <c r="I708">
        <v>1</v>
      </c>
      <c r="J708">
        <v>2273</v>
      </c>
      <c r="K708">
        <v>0</v>
      </c>
      <c r="L708">
        <v>2273</v>
      </c>
      <c r="M708">
        <v>1439.37</v>
      </c>
      <c r="N708">
        <v>833.63</v>
      </c>
      <c r="O708" t="s">
        <v>76</v>
      </c>
      <c r="P708" t="s">
        <v>86</v>
      </c>
    </row>
    <row r="709" spans="1:16" x14ac:dyDescent="0.25">
      <c r="A709">
        <v>708</v>
      </c>
      <c r="B709" s="2">
        <v>45791</v>
      </c>
      <c r="C709" t="s">
        <v>23</v>
      </c>
      <c r="D709" t="s">
        <v>27</v>
      </c>
      <c r="E709" t="s">
        <v>33</v>
      </c>
      <c r="F709" t="s">
        <v>41</v>
      </c>
      <c r="G709" t="s">
        <v>71</v>
      </c>
      <c r="H709" t="s">
        <v>73</v>
      </c>
      <c r="I709">
        <v>5</v>
      </c>
      <c r="J709">
        <v>18361</v>
      </c>
      <c r="K709">
        <v>0.05</v>
      </c>
      <c r="L709">
        <v>87214.75</v>
      </c>
      <c r="M709">
        <v>70047.88</v>
      </c>
      <c r="N709">
        <v>17166.87</v>
      </c>
      <c r="O709" t="s">
        <v>78</v>
      </c>
      <c r="P709" t="s">
        <v>86</v>
      </c>
    </row>
    <row r="710" spans="1:16" x14ac:dyDescent="0.25">
      <c r="A710">
        <v>709</v>
      </c>
      <c r="B710" s="2">
        <v>45919</v>
      </c>
      <c r="C710" t="s">
        <v>16</v>
      </c>
      <c r="D710" t="s">
        <v>24</v>
      </c>
      <c r="E710" t="s">
        <v>30</v>
      </c>
      <c r="F710" t="s">
        <v>44</v>
      </c>
      <c r="G710" t="s">
        <v>72</v>
      </c>
      <c r="H710" t="s">
        <v>73</v>
      </c>
      <c r="I710">
        <v>7</v>
      </c>
      <c r="J710">
        <v>45897</v>
      </c>
      <c r="K710">
        <v>0.1</v>
      </c>
      <c r="L710">
        <v>289151.09999999998</v>
      </c>
      <c r="M710">
        <v>234218.32</v>
      </c>
      <c r="N710">
        <v>54932.78</v>
      </c>
      <c r="O710" t="s">
        <v>76</v>
      </c>
      <c r="P710" t="s">
        <v>83</v>
      </c>
    </row>
    <row r="711" spans="1:16" x14ac:dyDescent="0.25">
      <c r="A711">
        <v>710</v>
      </c>
      <c r="B711" s="2">
        <v>45992</v>
      </c>
      <c r="C711" t="s">
        <v>16</v>
      </c>
      <c r="D711" t="s">
        <v>24</v>
      </c>
      <c r="E711" t="s">
        <v>33</v>
      </c>
      <c r="F711" t="s">
        <v>46</v>
      </c>
      <c r="G711" t="s">
        <v>72</v>
      </c>
      <c r="H711" t="s">
        <v>73</v>
      </c>
      <c r="I711">
        <v>2</v>
      </c>
      <c r="J711">
        <v>28468</v>
      </c>
      <c r="K711">
        <v>0.15</v>
      </c>
      <c r="L711">
        <v>48395.6</v>
      </c>
      <c r="M711">
        <v>37898.68</v>
      </c>
      <c r="N711">
        <v>10496.92</v>
      </c>
      <c r="O711" t="s">
        <v>78</v>
      </c>
      <c r="P711" t="s">
        <v>83</v>
      </c>
    </row>
    <row r="712" spans="1:16" x14ac:dyDescent="0.25">
      <c r="A712">
        <v>711</v>
      </c>
      <c r="B712" s="2">
        <v>45937</v>
      </c>
      <c r="C712" t="s">
        <v>20</v>
      </c>
      <c r="D712" t="s">
        <v>26</v>
      </c>
      <c r="E712" t="s">
        <v>34</v>
      </c>
      <c r="F712" t="s">
        <v>65</v>
      </c>
      <c r="G712" t="s">
        <v>70</v>
      </c>
      <c r="H712" t="s">
        <v>74</v>
      </c>
      <c r="I712">
        <v>8</v>
      </c>
      <c r="J712">
        <v>5032</v>
      </c>
      <c r="K712">
        <v>0</v>
      </c>
      <c r="L712">
        <v>40256</v>
      </c>
      <c r="M712">
        <v>27261.57</v>
      </c>
      <c r="N712">
        <v>12994.43</v>
      </c>
      <c r="O712" t="s">
        <v>78</v>
      </c>
      <c r="P712" t="s">
        <v>85</v>
      </c>
    </row>
    <row r="713" spans="1:16" x14ac:dyDescent="0.25">
      <c r="A713">
        <v>712</v>
      </c>
      <c r="B713" s="2">
        <v>45723</v>
      </c>
      <c r="C713" t="s">
        <v>22</v>
      </c>
      <c r="D713" t="s">
        <v>24</v>
      </c>
      <c r="E713" t="s">
        <v>28</v>
      </c>
      <c r="F713" t="s">
        <v>58</v>
      </c>
      <c r="G713" t="s">
        <v>70</v>
      </c>
      <c r="H713" t="s">
        <v>73</v>
      </c>
      <c r="I713">
        <v>3</v>
      </c>
      <c r="J713">
        <v>2471</v>
      </c>
      <c r="K713">
        <v>0.1</v>
      </c>
      <c r="L713">
        <v>6671.7</v>
      </c>
      <c r="M713">
        <v>4377.63</v>
      </c>
      <c r="N713">
        <v>2294.0700000000002</v>
      </c>
      <c r="O713" t="s">
        <v>78</v>
      </c>
      <c r="P713" t="s">
        <v>88</v>
      </c>
    </row>
    <row r="714" spans="1:16" x14ac:dyDescent="0.25">
      <c r="A714">
        <v>713</v>
      </c>
      <c r="B714" s="2">
        <v>45692</v>
      </c>
      <c r="C714" t="s">
        <v>21</v>
      </c>
      <c r="D714" t="s">
        <v>24</v>
      </c>
      <c r="E714" t="s">
        <v>28</v>
      </c>
      <c r="F714" t="s">
        <v>63</v>
      </c>
      <c r="G714" t="s">
        <v>70</v>
      </c>
      <c r="H714" t="s">
        <v>73</v>
      </c>
      <c r="I714">
        <v>5</v>
      </c>
      <c r="J714">
        <v>825</v>
      </c>
      <c r="K714">
        <v>0.15</v>
      </c>
      <c r="L714">
        <v>3506.25</v>
      </c>
      <c r="M714">
        <v>2989.99</v>
      </c>
      <c r="N714">
        <v>516.26</v>
      </c>
      <c r="O714" t="s">
        <v>76</v>
      </c>
      <c r="P714" t="s">
        <v>83</v>
      </c>
    </row>
    <row r="715" spans="1:16" x14ac:dyDescent="0.25">
      <c r="A715">
        <v>714</v>
      </c>
      <c r="B715" s="2">
        <v>45987</v>
      </c>
      <c r="C715" t="s">
        <v>17</v>
      </c>
      <c r="D715" t="s">
        <v>25</v>
      </c>
      <c r="E715" t="s">
        <v>33</v>
      </c>
      <c r="F715" t="s">
        <v>60</v>
      </c>
      <c r="G715" t="s">
        <v>72</v>
      </c>
      <c r="H715" t="s">
        <v>73</v>
      </c>
      <c r="I715">
        <v>8</v>
      </c>
      <c r="J715">
        <v>4973</v>
      </c>
      <c r="K715">
        <v>0.1</v>
      </c>
      <c r="L715">
        <v>35805.599999999999</v>
      </c>
      <c r="M715">
        <v>24277.06</v>
      </c>
      <c r="N715">
        <v>11528.54</v>
      </c>
      <c r="O715" t="s">
        <v>76</v>
      </c>
      <c r="P715" t="s">
        <v>82</v>
      </c>
    </row>
    <row r="716" spans="1:16" x14ac:dyDescent="0.25">
      <c r="A716">
        <v>715</v>
      </c>
      <c r="B716" s="2">
        <v>45787</v>
      </c>
      <c r="C716" t="s">
        <v>18</v>
      </c>
      <c r="D716" t="s">
        <v>26</v>
      </c>
      <c r="E716" t="s">
        <v>29</v>
      </c>
      <c r="F716" t="s">
        <v>42</v>
      </c>
      <c r="G716" t="s">
        <v>72</v>
      </c>
      <c r="H716" t="s">
        <v>73</v>
      </c>
      <c r="I716">
        <v>7</v>
      </c>
      <c r="J716">
        <v>2067</v>
      </c>
      <c r="K716">
        <v>0.15</v>
      </c>
      <c r="L716">
        <v>12298.65</v>
      </c>
      <c r="M716">
        <v>9012.4599999999991</v>
      </c>
      <c r="N716">
        <v>3286.19</v>
      </c>
      <c r="O716" t="s">
        <v>78</v>
      </c>
      <c r="P716" t="s">
        <v>86</v>
      </c>
    </row>
    <row r="717" spans="1:16" x14ac:dyDescent="0.25">
      <c r="A717">
        <v>716</v>
      </c>
      <c r="B717" s="2">
        <v>45832</v>
      </c>
      <c r="C717" t="s">
        <v>23</v>
      </c>
      <c r="D717" t="s">
        <v>27</v>
      </c>
      <c r="E717" t="s">
        <v>32</v>
      </c>
      <c r="F717" t="s">
        <v>48</v>
      </c>
      <c r="G717" t="s">
        <v>71</v>
      </c>
      <c r="H717" t="s">
        <v>75</v>
      </c>
      <c r="I717">
        <v>3</v>
      </c>
      <c r="J717">
        <v>19004</v>
      </c>
      <c r="K717">
        <v>0.1</v>
      </c>
      <c r="L717">
        <v>51310.8</v>
      </c>
      <c r="M717">
        <v>41919.97</v>
      </c>
      <c r="N717">
        <v>9390.83</v>
      </c>
      <c r="O717" t="s">
        <v>76</v>
      </c>
      <c r="P717" t="s">
        <v>82</v>
      </c>
    </row>
    <row r="718" spans="1:16" x14ac:dyDescent="0.25">
      <c r="A718">
        <v>717</v>
      </c>
      <c r="B718" s="2">
        <v>45709</v>
      </c>
      <c r="C718" t="s">
        <v>22</v>
      </c>
      <c r="D718" t="s">
        <v>24</v>
      </c>
      <c r="E718" t="s">
        <v>33</v>
      </c>
      <c r="F718" t="s">
        <v>41</v>
      </c>
      <c r="G718" t="s">
        <v>72</v>
      </c>
      <c r="H718" t="s">
        <v>73</v>
      </c>
      <c r="I718">
        <v>6</v>
      </c>
      <c r="J718">
        <v>35313</v>
      </c>
      <c r="K718">
        <v>0</v>
      </c>
      <c r="L718">
        <v>211878</v>
      </c>
      <c r="M718">
        <v>176640.49</v>
      </c>
      <c r="N718">
        <v>35237.51</v>
      </c>
      <c r="O718" t="s">
        <v>76</v>
      </c>
      <c r="P718" t="s">
        <v>81</v>
      </c>
    </row>
    <row r="719" spans="1:16" x14ac:dyDescent="0.25">
      <c r="A719">
        <v>718</v>
      </c>
      <c r="B719" s="2">
        <v>46014</v>
      </c>
      <c r="C719" t="s">
        <v>20</v>
      </c>
      <c r="D719" t="s">
        <v>26</v>
      </c>
      <c r="E719" t="s">
        <v>33</v>
      </c>
      <c r="F719" t="s">
        <v>46</v>
      </c>
      <c r="G719" t="s">
        <v>71</v>
      </c>
      <c r="H719" t="s">
        <v>73</v>
      </c>
      <c r="I719">
        <v>7</v>
      </c>
      <c r="J719">
        <v>38865</v>
      </c>
      <c r="K719">
        <v>0.1</v>
      </c>
      <c r="L719">
        <v>244849.5</v>
      </c>
      <c r="M719">
        <v>155726.5</v>
      </c>
      <c r="N719">
        <v>89123</v>
      </c>
      <c r="O719" t="s">
        <v>80</v>
      </c>
      <c r="P719" t="s">
        <v>86</v>
      </c>
    </row>
    <row r="720" spans="1:16" x14ac:dyDescent="0.25">
      <c r="A720">
        <v>719</v>
      </c>
      <c r="B720" s="2">
        <v>45970</v>
      </c>
      <c r="C720" t="s">
        <v>21</v>
      </c>
      <c r="D720" t="s">
        <v>24</v>
      </c>
      <c r="E720" t="s">
        <v>31</v>
      </c>
      <c r="F720" t="s">
        <v>38</v>
      </c>
      <c r="G720" t="s">
        <v>71</v>
      </c>
      <c r="H720" t="s">
        <v>75</v>
      </c>
      <c r="I720">
        <v>4</v>
      </c>
      <c r="J720">
        <v>1571</v>
      </c>
      <c r="K720">
        <v>0.1</v>
      </c>
      <c r="L720">
        <v>5655.6</v>
      </c>
      <c r="M720">
        <v>4062.53</v>
      </c>
      <c r="N720">
        <v>1593.07</v>
      </c>
      <c r="O720" t="s">
        <v>77</v>
      </c>
      <c r="P720" t="s">
        <v>87</v>
      </c>
    </row>
    <row r="721" spans="1:16" x14ac:dyDescent="0.25">
      <c r="A721">
        <v>720</v>
      </c>
      <c r="B721" s="2">
        <v>45912</v>
      </c>
      <c r="C721" t="s">
        <v>20</v>
      </c>
      <c r="D721" t="s">
        <v>26</v>
      </c>
      <c r="E721" t="s">
        <v>31</v>
      </c>
      <c r="F721" t="s">
        <v>38</v>
      </c>
      <c r="G721" t="s">
        <v>71</v>
      </c>
      <c r="H721" t="s">
        <v>74</v>
      </c>
      <c r="I721">
        <v>4</v>
      </c>
      <c r="J721">
        <v>1459</v>
      </c>
      <c r="K721">
        <v>0.1</v>
      </c>
      <c r="L721">
        <v>5252.4</v>
      </c>
      <c r="M721">
        <v>3420.58</v>
      </c>
      <c r="N721">
        <v>1831.82</v>
      </c>
      <c r="O721" t="s">
        <v>80</v>
      </c>
      <c r="P721" t="s">
        <v>88</v>
      </c>
    </row>
    <row r="722" spans="1:16" x14ac:dyDescent="0.25">
      <c r="A722">
        <v>721</v>
      </c>
      <c r="B722" s="2">
        <v>45899</v>
      </c>
      <c r="C722" t="s">
        <v>20</v>
      </c>
      <c r="D722" t="s">
        <v>26</v>
      </c>
      <c r="E722" t="s">
        <v>33</v>
      </c>
      <c r="F722" t="s">
        <v>52</v>
      </c>
      <c r="G722" t="s">
        <v>70</v>
      </c>
      <c r="H722" t="s">
        <v>74</v>
      </c>
      <c r="I722">
        <v>4</v>
      </c>
      <c r="J722">
        <v>22159</v>
      </c>
      <c r="K722">
        <v>0.1</v>
      </c>
      <c r="L722">
        <v>79772.399999999994</v>
      </c>
      <c r="M722">
        <v>68232.31</v>
      </c>
      <c r="N722">
        <v>11540.09</v>
      </c>
      <c r="O722" t="s">
        <v>80</v>
      </c>
      <c r="P722" t="s">
        <v>85</v>
      </c>
    </row>
    <row r="723" spans="1:16" x14ac:dyDescent="0.25">
      <c r="A723">
        <v>722</v>
      </c>
      <c r="B723" s="2">
        <v>45698</v>
      </c>
      <c r="C723" t="s">
        <v>16</v>
      </c>
      <c r="D723" t="s">
        <v>24</v>
      </c>
      <c r="E723" t="s">
        <v>33</v>
      </c>
      <c r="F723" t="s">
        <v>59</v>
      </c>
      <c r="G723" t="s">
        <v>70</v>
      </c>
      <c r="H723" t="s">
        <v>75</v>
      </c>
      <c r="I723">
        <v>8</v>
      </c>
      <c r="J723">
        <v>19238</v>
      </c>
      <c r="K723">
        <v>0</v>
      </c>
      <c r="L723">
        <v>153904</v>
      </c>
      <c r="M723">
        <v>106048.23</v>
      </c>
      <c r="N723">
        <v>47855.77</v>
      </c>
      <c r="O723" t="s">
        <v>78</v>
      </c>
      <c r="P723" t="s">
        <v>86</v>
      </c>
    </row>
    <row r="724" spans="1:16" x14ac:dyDescent="0.25">
      <c r="A724">
        <v>723</v>
      </c>
      <c r="B724" s="2">
        <v>45760</v>
      </c>
      <c r="C724" t="s">
        <v>20</v>
      </c>
      <c r="D724" t="s">
        <v>26</v>
      </c>
      <c r="E724" t="s">
        <v>31</v>
      </c>
      <c r="F724" t="s">
        <v>69</v>
      </c>
      <c r="G724" t="s">
        <v>71</v>
      </c>
      <c r="H724" t="s">
        <v>75</v>
      </c>
      <c r="I724">
        <v>4</v>
      </c>
      <c r="J724">
        <v>925</v>
      </c>
      <c r="K724">
        <v>0.1</v>
      </c>
      <c r="L724">
        <v>3330</v>
      </c>
      <c r="M724">
        <v>2675.89</v>
      </c>
      <c r="N724">
        <v>654.11</v>
      </c>
      <c r="O724" t="s">
        <v>79</v>
      </c>
      <c r="P724" t="s">
        <v>83</v>
      </c>
    </row>
    <row r="725" spans="1:16" x14ac:dyDescent="0.25">
      <c r="A725">
        <v>724</v>
      </c>
      <c r="B725" s="2">
        <v>45794</v>
      </c>
      <c r="C725" t="s">
        <v>16</v>
      </c>
      <c r="D725" t="s">
        <v>24</v>
      </c>
      <c r="E725" t="s">
        <v>32</v>
      </c>
      <c r="F725" t="s">
        <v>62</v>
      </c>
      <c r="G725" t="s">
        <v>72</v>
      </c>
      <c r="H725" t="s">
        <v>73</v>
      </c>
      <c r="I725">
        <v>1</v>
      </c>
      <c r="J725">
        <v>2219</v>
      </c>
      <c r="K725">
        <v>0.1</v>
      </c>
      <c r="L725">
        <v>1997.1</v>
      </c>
      <c r="M725">
        <v>1738.65</v>
      </c>
      <c r="N725">
        <v>258.45</v>
      </c>
      <c r="O725" t="s">
        <v>79</v>
      </c>
      <c r="P725" t="s">
        <v>82</v>
      </c>
    </row>
    <row r="726" spans="1:16" x14ac:dyDescent="0.25">
      <c r="A726">
        <v>725</v>
      </c>
      <c r="B726" s="2">
        <v>45938</v>
      </c>
      <c r="C726" t="s">
        <v>16</v>
      </c>
      <c r="D726" t="s">
        <v>24</v>
      </c>
      <c r="E726" t="s">
        <v>28</v>
      </c>
      <c r="F726" t="s">
        <v>58</v>
      </c>
      <c r="G726" t="s">
        <v>71</v>
      </c>
      <c r="H726" t="s">
        <v>75</v>
      </c>
      <c r="I726">
        <v>5</v>
      </c>
      <c r="J726">
        <v>2233</v>
      </c>
      <c r="K726">
        <v>0.15</v>
      </c>
      <c r="L726">
        <v>9490.25</v>
      </c>
      <c r="M726">
        <v>7615.09</v>
      </c>
      <c r="N726">
        <v>1875.16</v>
      </c>
      <c r="O726" t="s">
        <v>78</v>
      </c>
      <c r="P726" t="s">
        <v>82</v>
      </c>
    </row>
    <row r="727" spans="1:16" x14ac:dyDescent="0.25">
      <c r="A727">
        <v>726</v>
      </c>
      <c r="B727" s="2">
        <v>46019</v>
      </c>
      <c r="C727" t="s">
        <v>23</v>
      </c>
      <c r="D727" t="s">
        <v>27</v>
      </c>
      <c r="E727" t="s">
        <v>34</v>
      </c>
      <c r="F727" t="s">
        <v>68</v>
      </c>
      <c r="G727" t="s">
        <v>72</v>
      </c>
      <c r="H727" t="s">
        <v>75</v>
      </c>
      <c r="I727">
        <v>5</v>
      </c>
      <c r="J727">
        <v>3337</v>
      </c>
      <c r="K727">
        <v>0.05</v>
      </c>
      <c r="L727">
        <v>15850.75</v>
      </c>
      <c r="M727">
        <v>10623.93</v>
      </c>
      <c r="N727">
        <v>5226.82</v>
      </c>
      <c r="O727" t="s">
        <v>80</v>
      </c>
      <c r="P727" t="s">
        <v>83</v>
      </c>
    </row>
    <row r="728" spans="1:16" x14ac:dyDescent="0.25">
      <c r="A728">
        <v>727</v>
      </c>
      <c r="B728" s="2">
        <v>45662</v>
      </c>
      <c r="C728" t="s">
        <v>18</v>
      </c>
      <c r="D728" t="s">
        <v>26</v>
      </c>
      <c r="E728" t="s">
        <v>34</v>
      </c>
      <c r="F728" t="s">
        <v>55</v>
      </c>
      <c r="G728" t="s">
        <v>72</v>
      </c>
      <c r="H728" t="s">
        <v>74</v>
      </c>
      <c r="I728">
        <v>6</v>
      </c>
      <c r="J728">
        <v>469</v>
      </c>
      <c r="K728">
        <v>0.1</v>
      </c>
      <c r="L728">
        <v>2532.6</v>
      </c>
      <c r="M728">
        <v>1734.54</v>
      </c>
      <c r="N728">
        <v>798.06</v>
      </c>
      <c r="O728" t="s">
        <v>80</v>
      </c>
      <c r="P728" t="s">
        <v>82</v>
      </c>
    </row>
    <row r="729" spans="1:16" x14ac:dyDescent="0.25">
      <c r="A729">
        <v>728</v>
      </c>
      <c r="B729" s="2">
        <v>45978</v>
      </c>
      <c r="C729" t="s">
        <v>16</v>
      </c>
      <c r="D729" t="s">
        <v>24</v>
      </c>
      <c r="E729" t="s">
        <v>30</v>
      </c>
      <c r="F729" t="s">
        <v>37</v>
      </c>
      <c r="G729" t="s">
        <v>70</v>
      </c>
      <c r="H729" t="s">
        <v>74</v>
      </c>
      <c r="I729">
        <v>1</v>
      </c>
      <c r="J729">
        <v>28789</v>
      </c>
      <c r="K729">
        <v>0.15</v>
      </c>
      <c r="L729">
        <v>24470.65</v>
      </c>
      <c r="M729">
        <v>17361.75</v>
      </c>
      <c r="N729">
        <v>7108.9</v>
      </c>
      <c r="O729" t="s">
        <v>76</v>
      </c>
      <c r="P729" t="s">
        <v>88</v>
      </c>
    </row>
    <row r="730" spans="1:16" x14ac:dyDescent="0.25">
      <c r="A730">
        <v>729</v>
      </c>
      <c r="B730" s="2">
        <v>45919</v>
      </c>
      <c r="C730" t="s">
        <v>16</v>
      </c>
      <c r="D730" t="s">
        <v>24</v>
      </c>
      <c r="E730" t="s">
        <v>29</v>
      </c>
      <c r="F730" t="s">
        <v>57</v>
      </c>
      <c r="G730" t="s">
        <v>72</v>
      </c>
      <c r="H730" t="s">
        <v>73</v>
      </c>
      <c r="I730">
        <v>5</v>
      </c>
      <c r="J730">
        <v>506</v>
      </c>
      <c r="K730">
        <v>0.1</v>
      </c>
      <c r="L730">
        <v>2277</v>
      </c>
      <c r="M730">
        <v>1450.24</v>
      </c>
      <c r="N730">
        <v>826.76</v>
      </c>
      <c r="O730" t="s">
        <v>80</v>
      </c>
      <c r="P730" t="s">
        <v>88</v>
      </c>
    </row>
    <row r="731" spans="1:16" x14ac:dyDescent="0.25">
      <c r="A731">
        <v>730</v>
      </c>
      <c r="B731" s="2">
        <v>45872</v>
      </c>
      <c r="C731" t="s">
        <v>20</v>
      </c>
      <c r="D731" t="s">
        <v>26</v>
      </c>
      <c r="E731" t="s">
        <v>32</v>
      </c>
      <c r="F731" t="s">
        <v>49</v>
      </c>
      <c r="G731" t="s">
        <v>70</v>
      </c>
      <c r="H731" t="s">
        <v>75</v>
      </c>
      <c r="I731">
        <v>1</v>
      </c>
      <c r="J731">
        <v>7377</v>
      </c>
      <c r="K731">
        <v>0.05</v>
      </c>
      <c r="L731">
        <v>7008.15</v>
      </c>
      <c r="M731">
        <v>4499.6400000000003</v>
      </c>
      <c r="N731">
        <v>2508.5100000000002</v>
      </c>
      <c r="O731" t="s">
        <v>76</v>
      </c>
      <c r="P731" t="s">
        <v>82</v>
      </c>
    </row>
    <row r="732" spans="1:16" x14ac:dyDescent="0.25">
      <c r="A732">
        <v>731</v>
      </c>
      <c r="B732" s="2">
        <v>45991</v>
      </c>
      <c r="C732" t="s">
        <v>18</v>
      </c>
      <c r="D732" t="s">
        <v>26</v>
      </c>
      <c r="E732" t="s">
        <v>33</v>
      </c>
      <c r="F732" t="s">
        <v>46</v>
      </c>
      <c r="G732" t="s">
        <v>71</v>
      </c>
      <c r="H732" t="s">
        <v>73</v>
      </c>
      <c r="I732">
        <v>2</v>
      </c>
      <c r="J732">
        <v>24543</v>
      </c>
      <c r="K732">
        <v>0.05</v>
      </c>
      <c r="L732">
        <v>46631.7</v>
      </c>
      <c r="M732">
        <v>32934.94</v>
      </c>
      <c r="N732">
        <v>13696.76</v>
      </c>
      <c r="O732" t="s">
        <v>79</v>
      </c>
      <c r="P732" t="s">
        <v>86</v>
      </c>
    </row>
    <row r="733" spans="1:16" x14ac:dyDescent="0.25">
      <c r="A733">
        <v>732</v>
      </c>
      <c r="B733" s="2">
        <v>45907</v>
      </c>
      <c r="C733" t="s">
        <v>18</v>
      </c>
      <c r="D733" t="s">
        <v>26</v>
      </c>
      <c r="E733" t="s">
        <v>31</v>
      </c>
      <c r="F733" t="s">
        <v>38</v>
      </c>
      <c r="G733" t="s">
        <v>71</v>
      </c>
      <c r="H733" t="s">
        <v>74</v>
      </c>
      <c r="I733">
        <v>8</v>
      </c>
      <c r="J733">
        <v>177</v>
      </c>
      <c r="K733">
        <v>0.05</v>
      </c>
      <c r="L733">
        <v>1345.2</v>
      </c>
      <c r="M733">
        <v>863.19</v>
      </c>
      <c r="N733">
        <v>482.01</v>
      </c>
      <c r="O733" t="s">
        <v>79</v>
      </c>
      <c r="P733" t="s">
        <v>88</v>
      </c>
    </row>
    <row r="734" spans="1:16" x14ac:dyDescent="0.25">
      <c r="A734">
        <v>733</v>
      </c>
      <c r="B734" s="2">
        <v>45843</v>
      </c>
      <c r="C734" t="s">
        <v>19</v>
      </c>
      <c r="D734" t="s">
        <v>26</v>
      </c>
      <c r="E734" t="s">
        <v>31</v>
      </c>
      <c r="F734" t="s">
        <v>47</v>
      </c>
      <c r="G734" t="s">
        <v>71</v>
      </c>
      <c r="H734" t="s">
        <v>74</v>
      </c>
      <c r="I734">
        <v>7</v>
      </c>
      <c r="J734">
        <v>1845</v>
      </c>
      <c r="K734">
        <v>0.05</v>
      </c>
      <c r="L734">
        <v>12269.25</v>
      </c>
      <c r="M734">
        <v>9934.24</v>
      </c>
      <c r="N734">
        <v>2335.0100000000002</v>
      </c>
      <c r="O734" t="s">
        <v>76</v>
      </c>
      <c r="P734" t="s">
        <v>87</v>
      </c>
    </row>
    <row r="735" spans="1:16" x14ac:dyDescent="0.25">
      <c r="A735">
        <v>734</v>
      </c>
      <c r="B735" s="2">
        <v>45994</v>
      </c>
      <c r="C735" t="s">
        <v>20</v>
      </c>
      <c r="D735" t="s">
        <v>26</v>
      </c>
      <c r="E735" t="s">
        <v>31</v>
      </c>
      <c r="F735" t="s">
        <v>50</v>
      </c>
      <c r="G735" t="s">
        <v>70</v>
      </c>
      <c r="H735" t="s">
        <v>73</v>
      </c>
      <c r="I735">
        <v>8</v>
      </c>
      <c r="J735">
        <v>133</v>
      </c>
      <c r="K735">
        <v>0.1</v>
      </c>
      <c r="L735">
        <v>957.6</v>
      </c>
      <c r="M735">
        <v>739.26</v>
      </c>
      <c r="N735">
        <v>218.34</v>
      </c>
      <c r="O735" t="s">
        <v>80</v>
      </c>
      <c r="P735" t="s">
        <v>81</v>
      </c>
    </row>
    <row r="736" spans="1:16" x14ac:dyDescent="0.25">
      <c r="A736">
        <v>735</v>
      </c>
      <c r="B736" s="2">
        <v>45749</v>
      </c>
      <c r="C736" t="s">
        <v>23</v>
      </c>
      <c r="D736" t="s">
        <v>27</v>
      </c>
      <c r="E736" t="s">
        <v>33</v>
      </c>
      <c r="F736" t="s">
        <v>52</v>
      </c>
      <c r="G736" t="s">
        <v>71</v>
      </c>
      <c r="H736" t="s">
        <v>74</v>
      </c>
      <c r="I736">
        <v>2</v>
      </c>
      <c r="J736">
        <v>20215</v>
      </c>
      <c r="K736">
        <v>0.1</v>
      </c>
      <c r="L736">
        <v>36387</v>
      </c>
      <c r="M736">
        <v>25918.13</v>
      </c>
      <c r="N736">
        <v>10468.870000000001</v>
      </c>
      <c r="O736" t="s">
        <v>78</v>
      </c>
      <c r="P736" t="s">
        <v>85</v>
      </c>
    </row>
    <row r="737" spans="1:16" x14ac:dyDescent="0.25">
      <c r="A737">
        <v>736</v>
      </c>
      <c r="B737" s="2">
        <v>45974</v>
      </c>
      <c r="C737" t="s">
        <v>19</v>
      </c>
      <c r="D737" t="s">
        <v>26</v>
      </c>
      <c r="E737" t="s">
        <v>32</v>
      </c>
      <c r="F737" t="s">
        <v>49</v>
      </c>
      <c r="G737" t="s">
        <v>71</v>
      </c>
      <c r="H737" t="s">
        <v>73</v>
      </c>
      <c r="I737">
        <v>2</v>
      </c>
      <c r="J737">
        <v>9450</v>
      </c>
      <c r="K737">
        <v>0</v>
      </c>
      <c r="L737">
        <v>18900</v>
      </c>
      <c r="M737">
        <v>13422.1</v>
      </c>
      <c r="N737">
        <v>5477.9</v>
      </c>
      <c r="O737" t="s">
        <v>77</v>
      </c>
      <c r="P737" t="s">
        <v>82</v>
      </c>
    </row>
    <row r="738" spans="1:16" x14ac:dyDescent="0.25">
      <c r="A738">
        <v>737</v>
      </c>
      <c r="B738" s="2">
        <v>45937</v>
      </c>
      <c r="C738" t="s">
        <v>21</v>
      </c>
      <c r="D738" t="s">
        <v>24</v>
      </c>
      <c r="E738" t="s">
        <v>31</v>
      </c>
      <c r="F738" t="s">
        <v>67</v>
      </c>
      <c r="G738" t="s">
        <v>70</v>
      </c>
      <c r="H738" t="s">
        <v>74</v>
      </c>
      <c r="I738">
        <v>3</v>
      </c>
      <c r="J738">
        <v>1379</v>
      </c>
      <c r="K738">
        <v>0.1</v>
      </c>
      <c r="L738">
        <v>3723.3</v>
      </c>
      <c r="M738">
        <v>3212.45</v>
      </c>
      <c r="N738">
        <v>510.85</v>
      </c>
      <c r="O738" t="s">
        <v>80</v>
      </c>
      <c r="P738" t="s">
        <v>83</v>
      </c>
    </row>
    <row r="739" spans="1:16" x14ac:dyDescent="0.25">
      <c r="A739">
        <v>738</v>
      </c>
      <c r="B739" s="2">
        <v>45671</v>
      </c>
      <c r="C739" t="s">
        <v>17</v>
      </c>
      <c r="D739" t="s">
        <v>25</v>
      </c>
      <c r="E739" t="s">
        <v>32</v>
      </c>
      <c r="F739" t="s">
        <v>48</v>
      </c>
      <c r="G739" t="s">
        <v>72</v>
      </c>
      <c r="H739" t="s">
        <v>74</v>
      </c>
      <c r="I739">
        <v>5</v>
      </c>
      <c r="J739">
        <v>2071</v>
      </c>
      <c r="K739">
        <v>0.1</v>
      </c>
      <c r="L739">
        <v>9319.5</v>
      </c>
      <c r="M739">
        <v>7996.26</v>
      </c>
      <c r="N739">
        <v>1323.24</v>
      </c>
      <c r="O739" t="s">
        <v>79</v>
      </c>
      <c r="P739" t="s">
        <v>84</v>
      </c>
    </row>
    <row r="740" spans="1:16" x14ac:dyDescent="0.25">
      <c r="A740">
        <v>739</v>
      </c>
      <c r="B740" s="2">
        <v>45701</v>
      </c>
      <c r="C740" t="s">
        <v>20</v>
      </c>
      <c r="D740" t="s">
        <v>26</v>
      </c>
      <c r="E740" t="s">
        <v>30</v>
      </c>
      <c r="F740" t="s">
        <v>37</v>
      </c>
      <c r="G740" t="s">
        <v>70</v>
      </c>
      <c r="H740" t="s">
        <v>75</v>
      </c>
      <c r="I740">
        <v>6</v>
      </c>
      <c r="J740">
        <v>47020</v>
      </c>
      <c r="K740">
        <v>0.2</v>
      </c>
      <c r="L740">
        <v>225696</v>
      </c>
      <c r="M740">
        <v>169126.64</v>
      </c>
      <c r="N740">
        <v>56569.36</v>
      </c>
      <c r="O740" t="s">
        <v>80</v>
      </c>
      <c r="P740" t="s">
        <v>86</v>
      </c>
    </row>
    <row r="741" spans="1:16" x14ac:dyDescent="0.25">
      <c r="A741">
        <v>740</v>
      </c>
      <c r="B741" s="2">
        <v>45947</v>
      </c>
      <c r="C741" t="s">
        <v>20</v>
      </c>
      <c r="D741" t="s">
        <v>26</v>
      </c>
      <c r="E741" t="s">
        <v>30</v>
      </c>
      <c r="F741" t="s">
        <v>44</v>
      </c>
      <c r="G741" t="s">
        <v>72</v>
      </c>
      <c r="H741" t="s">
        <v>75</v>
      </c>
      <c r="I741">
        <v>7</v>
      </c>
      <c r="J741">
        <v>16551</v>
      </c>
      <c r="K741">
        <v>0.1</v>
      </c>
      <c r="L741">
        <v>104271.3</v>
      </c>
      <c r="M741">
        <v>89561.63</v>
      </c>
      <c r="N741">
        <v>14709.67</v>
      </c>
      <c r="O741" t="s">
        <v>77</v>
      </c>
      <c r="P741" t="s">
        <v>88</v>
      </c>
    </row>
    <row r="742" spans="1:16" x14ac:dyDescent="0.25">
      <c r="A742">
        <v>741</v>
      </c>
      <c r="B742" s="2">
        <v>45754</v>
      </c>
      <c r="C742" t="s">
        <v>16</v>
      </c>
      <c r="D742" t="s">
        <v>24</v>
      </c>
      <c r="E742" t="s">
        <v>34</v>
      </c>
      <c r="F742" t="s">
        <v>43</v>
      </c>
      <c r="G742" t="s">
        <v>70</v>
      </c>
      <c r="H742" t="s">
        <v>75</v>
      </c>
      <c r="I742">
        <v>1</v>
      </c>
      <c r="J742">
        <v>2036</v>
      </c>
      <c r="K742">
        <v>0.1</v>
      </c>
      <c r="L742">
        <v>1832.4</v>
      </c>
      <c r="M742">
        <v>1148.19</v>
      </c>
      <c r="N742">
        <v>684.21</v>
      </c>
      <c r="O742" t="s">
        <v>80</v>
      </c>
      <c r="P742" t="s">
        <v>84</v>
      </c>
    </row>
    <row r="743" spans="1:16" x14ac:dyDescent="0.25">
      <c r="A743">
        <v>742</v>
      </c>
      <c r="B743" s="2">
        <v>45661</v>
      </c>
      <c r="C743" t="s">
        <v>17</v>
      </c>
      <c r="D743" t="s">
        <v>25</v>
      </c>
      <c r="E743" t="s">
        <v>34</v>
      </c>
      <c r="F743" t="s">
        <v>55</v>
      </c>
      <c r="G743" t="s">
        <v>71</v>
      </c>
      <c r="H743" t="s">
        <v>74</v>
      </c>
      <c r="I743">
        <v>3</v>
      </c>
      <c r="J743">
        <v>3511</v>
      </c>
      <c r="K743">
        <v>0.1</v>
      </c>
      <c r="L743">
        <v>9479.7000000000007</v>
      </c>
      <c r="M743">
        <v>6861.73</v>
      </c>
      <c r="N743">
        <v>2617.9699999999998</v>
      </c>
      <c r="O743" t="s">
        <v>79</v>
      </c>
      <c r="P743" t="s">
        <v>81</v>
      </c>
    </row>
    <row r="744" spans="1:16" x14ac:dyDescent="0.25">
      <c r="A744">
        <v>743</v>
      </c>
      <c r="B744" s="2">
        <v>45909</v>
      </c>
      <c r="C744" t="s">
        <v>20</v>
      </c>
      <c r="D744" t="s">
        <v>26</v>
      </c>
      <c r="E744" t="s">
        <v>32</v>
      </c>
      <c r="F744" t="s">
        <v>49</v>
      </c>
      <c r="G744" t="s">
        <v>72</v>
      </c>
      <c r="H744" t="s">
        <v>73</v>
      </c>
      <c r="I744">
        <v>7</v>
      </c>
      <c r="J744">
        <v>10687</v>
      </c>
      <c r="K744">
        <v>0.15</v>
      </c>
      <c r="L744">
        <v>63587.65</v>
      </c>
      <c r="M744">
        <v>55755.15</v>
      </c>
      <c r="N744">
        <v>7832.5</v>
      </c>
      <c r="O744" t="s">
        <v>80</v>
      </c>
      <c r="P744" t="s">
        <v>87</v>
      </c>
    </row>
    <row r="745" spans="1:16" x14ac:dyDescent="0.25">
      <c r="A745">
        <v>744</v>
      </c>
      <c r="B745" s="2">
        <v>45900</v>
      </c>
      <c r="C745" t="s">
        <v>19</v>
      </c>
      <c r="D745" t="s">
        <v>26</v>
      </c>
      <c r="E745" t="s">
        <v>31</v>
      </c>
      <c r="F745" t="s">
        <v>47</v>
      </c>
      <c r="G745" t="s">
        <v>72</v>
      </c>
      <c r="H745" t="s">
        <v>73</v>
      </c>
      <c r="I745">
        <v>3</v>
      </c>
      <c r="J745">
        <v>357</v>
      </c>
      <c r="K745">
        <v>0.1</v>
      </c>
      <c r="L745">
        <v>963.9</v>
      </c>
      <c r="M745">
        <v>688.24</v>
      </c>
      <c r="N745">
        <v>275.66000000000003</v>
      </c>
      <c r="O745" t="s">
        <v>79</v>
      </c>
      <c r="P745" t="s">
        <v>81</v>
      </c>
    </row>
    <row r="746" spans="1:16" x14ac:dyDescent="0.25">
      <c r="A746">
        <v>745</v>
      </c>
      <c r="B746" s="2">
        <v>45933</v>
      </c>
      <c r="C746" t="s">
        <v>16</v>
      </c>
      <c r="D746" t="s">
        <v>24</v>
      </c>
      <c r="E746" t="s">
        <v>30</v>
      </c>
      <c r="F746" t="s">
        <v>40</v>
      </c>
      <c r="G746" t="s">
        <v>71</v>
      </c>
      <c r="H746" t="s">
        <v>75</v>
      </c>
      <c r="I746">
        <v>8</v>
      </c>
      <c r="J746">
        <v>8950</v>
      </c>
      <c r="K746">
        <v>0.2</v>
      </c>
      <c r="L746">
        <v>57280</v>
      </c>
      <c r="M746">
        <v>43177.32</v>
      </c>
      <c r="N746">
        <v>14102.68</v>
      </c>
      <c r="O746" t="s">
        <v>79</v>
      </c>
      <c r="P746" t="s">
        <v>87</v>
      </c>
    </row>
    <row r="747" spans="1:16" x14ac:dyDescent="0.25">
      <c r="A747">
        <v>746</v>
      </c>
      <c r="B747" s="2">
        <v>45839</v>
      </c>
      <c r="C747" t="s">
        <v>21</v>
      </c>
      <c r="D747" t="s">
        <v>24</v>
      </c>
      <c r="E747" t="s">
        <v>28</v>
      </c>
      <c r="F747" t="s">
        <v>54</v>
      </c>
      <c r="G747" t="s">
        <v>72</v>
      </c>
      <c r="H747" t="s">
        <v>73</v>
      </c>
      <c r="I747">
        <v>7</v>
      </c>
      <c r="J747">
        <v>1325</v>
      </c>
      <c r="K747">
        <v>0.1</v>
      </c>
      <c r="L747">
        <v>8347.5</v>
      </c>
      <c r="M747">
        <v>5946.75</v>
      </c>
      <c r="N747">
        <v>2400.75</v>
      </c>
      <c r="O747" t="s">
        <v>79</v>
      </c>
      <c r="P747" t="s">
        <v>81</v>
      </c>
    </row>
    <row r="748" spans="1:16" x14ac:dyDescent="0.25">
      <c r="A748">
        <v>747</v>
      </c>
      <c r="B748" s="2">
        <v>45913</v>
      </c>
      <c r="C748" t="s">
        <v>21</v>
      </c>
      <c r="D748" t="s">
        <v>24</v>
      </c>
      <c r="E748" t="s">
        <v>34</v>
      </c>
      <c r="F748" t="s">
        <v>55</v>
      </c>
      <c r="G748" t="s">
        <v>72</v>
      </c>
      <c r="H748" t="s">
        <v>74</v>
      </c>
      <c r="I748">
        <v>3</v>
      </c>
      <c r="J748">
        <v>3604</v>
      </c>
      <c r="K748">
        <v>0</v>
      </c>
      <c r="L748">
        <v>10812</v>
      </c>
      <c r="M748">
        <v>8934.16</v>
      </c>
      <c r="N748">
        <v>1877.84</v>
      </c>
      <c r="O748" t="s">
        <v>80</v>
      </c>
      <c r="P748" t="s">
        <v>86</v>
      </c>
    </row>
    <row r="749" spans="1:16" x14ac:dyDescent="0.25">
      <c r="A749">
        <v>748</v>
      </c>
      <c r="B749" s="2">
        <v>45728</v>
      </c>
      <c r="C749" t="s">
        <v>20</v>
      </c>
      <c r="D749" t="s">
        <v>26</v>
      </c>
      <c r="E749" t="s">
        <v>30</v>
      </c>
      <c r="F749" t="s">
        <v>40</v>
      </c>
      <c r="G749" t="s">
        <v>70</v>
      </c>
      <c r="H749" t="s">
        <v>74</v>
      </c>
      <c r="I749">
        <v>1</v>
      </c>
      <c r="J749">
        <v>24287</v>
      </c>
      <c r="K749">
        <v>0</v>
      </c>
      <c r="L749">
        <v>24287</v>
      </c>
      <c r="M749">
        <v>17119.18</v>
      </c>
      <c r="N749">
        <v>7167.82</v>
      </c>
      <c r="O749" t="s">
        <v>80</v>
      </c>
      <c r="P749" t="s">
        <v>88</v>
      </c>
    </row>
    <row r="750" spans="1:16" x14ac:dyDescent="0.25">
      <c r="A750">
        <v>749</v>
      </c>
      <c r="B750" s="2">
        <v>46006</v>
      </c>
      <c r="C750" t="s">
        <v>20</v>
      </c>
      <c r="D750" t="s">
        <v>26</v>
      </c>
      <c r="E750" t="s">
        <v>31</v>
      </c>
      <c r="F750" t="s">
        <v>47</v>
      </c>
      <c r="G750" t="s">
        <v>71</v>
      </c>
      <c r="H750" t="s">
        <v>73</v>
      </c>
      <c r="I750">
        <v>3</v>
      </c>
      <c r="J750">
        <v>1653</v>
      </c>
      <c r="K750">
        <v>0.05</v>
      </c>
      <c r="L750">
        <v>4711.05</v>
      </c>
      <c r="M750">
        <v>2673.66</v>
      </c>
      <c r="N750">
        <v>2037.39</v>
      </c>
      <c r="O750" t="s">
        <v>77</v>
      </c>
      <c r="P750" t="s">
        <v>83</v>
      </c>
    </row>
    <row r="751" spans="1:16" x14ac:dyDescent="0.25">
      <c r="A751">
        <v>750</v>
      </c>
      <c r="B751" s="2">
        <v>45858</v>
      </c>
      <c r="C751" t="s">
        <v>17</v>
      </c>
      <c r="D751" t="s">
        <v>25</v>
      </c>
      <c r="E751" t="s">
        <v>31</v>
      </c>
      <c r="F751" t="s">
        <v>50</v>
      </c>
      <c r="G751" t="s">
        <v>72</v>
      </c>
      <c r="H751" t="s">
        <v>74</v>
      </c>
      <c r="I751">
        <v>7</v>
      </c>
      <c r="J751">
        <v>478</v>
      </c>
      <c r="K751">
        <v>0.05</v>
      </c>
      <c r="L751">
        <v>3178.7</v>
      </c>
      <c r="M751">
        <v>2215.58</v>
      </c>
      <c r="N751">
        <v>963.12</v>
      </c>
      <c r="O751" t="s">
        <v>78</v>
      </c>
      <c r="P751" t="s">
        <v>86</v>
      </c>
    </row>
    <row r="752" spans="1:16" x14ac:dyDescent="0.25">
      <c r="A752">
        <v>751</v>
      </c>
      <c r="B752" s="2">
        <v>45900</v>
      </c>
      <c r="C752" t="s">
        <v>19</v>
      </c>
      <c r="D752" t="s">
        <v>26</v>
      </c>
      <c r="E752" t="s">
        <v>34</v>
      </c>
      <c r="F752" t="s">
        <v>65</v>
      </c>
      <c r="G752" t="s">
        <v>71</v>
      </c>
      <c r="H752" t="s">
        <v>75</v>
      </c>
      <c r="I752">
        <v>5</v>
      </c>
      <c r="J752">
        <v>3901</v>
      </c>
      <c r="K752">
        <v>0.05</v>
      </c>
      <c r="L752">
        <v>18529.75</v>
      </c>
      <c r="M752">
        <v>13484.7</v>
      </c>
      <c r="N752">
        <v>5045.05</v>
      </c>
      <c r="O752" t="s">
        <v>80</v>
      </c>
      <c r="P752" t="s">
        <v>84</v>
      </c>
    </row>
    <row r="753" spans="1:16" x14ac:dyDescent="0.25">
      <c r="A753">
        <v>752</v>
      </c>
      <c r="B753" s="2">
        <v>45964</v>
      </c>
      <c r="C753" t="s">
        <v>20</v>
      </c>
      <c r="D753" t="s">
        <v>26</v>
      </c>
      <c r="E753" t="s">
        <v>28</v>
      </c>
      <c r="F753" t="s">
        <v>61</v>
      </c>
      <c r="G753" t="s">
        <v>71</v>
      </c>
      <c r="H753" t="s">
        <v>75</v>
      </c>
      <c r="I753">
        <v>1</v>
      </c>
      <c r="J753">
        <v>1956</v>
      </c>
      <c r="K753">
        <v>0.15</v>
      </c>
      <c r="L753">
        <v>1662.6</v>
      </c>
      <c r="M753">
        <v>1308.06</v>
      </c>
      <c r="N753">
        <v>354.54</v>
      </c>
      <c r="O753" t="s">
        <v>77</v>
      </c>
      <c r="P753" t="s">
        <v>85</v>
      </c>
    </row>
    <row r="754" spans="1:16" x14ac:dyDescent="0.25">
      <c r="A754">
        <v>753</v>
      </c>
      <c r="B754" s="2">
        <v>45772</v>
      </c>
      <c r="C754" t="s">
        <v>22</v>
      </c>
      <c r="D754" t="s">
        <v>24</v>
      </c>
      <c r="E754" t="s">
        <v>33</v>
      </c>
      <c r="F754" t="s">
        <v>59</v>
      </c>
      <c r="G754" t="s">
        <v>70</v>
      </c>
      <c r="H754" t="s">
        <v>75</v>
      </c>
      <c r="I754">
        <v>8</v>
      </c>
      <c r="J754">
        <v>13495</v>
      </c>
      <c r="K754">
        <v>0.1</v>
      </c>
      <c r="L754">
        <v>97164</v>
      </c>
      <c r="M754">
        <v>80733.42</v>
      </c>
      <c r="N754">
        <v>16430.580000000002</v>
      </c>
      <c r="O754" t="s">
        <v>78</v>
      </c>
      <c r="P754" t="s">
        <v>87</v>
      </c>
    </row>
    <row r="755" spans="1:16" x14ac:dyDescent="0.25">
      <c r="A755">
        <v>754</v>
      </c>
      <c r="B755" s="2">
        <v>45734</v>
      </c>
      <c r="C755" t="s">
        <v>18</v>
      </c>
      <c r="D755" t="s">
        <v>26</v>
      </c>
      <c r="E755" t="s">
        <v>34</v>
      </c>
      <c r="F755" t="s">
        <v>43</v>
      </c>
      <c r="G755" t="s">
        <v>72</v>
      </c>
      <c r="H755" t="s">
        <v>74</v>
      </c>
      <c r="I755">
        <v>5</v>
      </c>
      <c r="J755">
        <v>1304</v>
      </c>
      <c r="K755">
        <v>0.15</v>
      </c>
      <c r="L755">
        <v>5542</v>
      </c>
      <c r="M755">
        <v>4202.0600000000004</v>
      </c>
      <c r="N755">
        <v>1339.94</v>
      </c>
      <c r="O755" t="s">
        <v>79</v>
      </c>
      <c r="P755" t="s">
        <v>84</v>
      </c>
    </row>
    <row r="756" spans="1:16" x14ac:dyDescent="0.25">
      <c r="A756">
        <v>755</v>
      </c>
      <c r="B756" s="2">
        <v>45978</v>
      </c>
      <c r="C756" t="s">
        <v>19</v>
      </c>
      <c r="D756" t="s">
        <v>26</v>
      </c>
      <c r="E756" t="s">
        <v>31</v>
      </c>
      <c r="F756" t="s">
        <v>50</v>
      </c>
      <c r="G756" t="s">
        <v>70</v>
      </c>
      <c r="H756" t="s">
        <v>75</v>
      </c>
      <c r="I756">
        <v>5</v>
      </c>
      <c r="J756">
        <v>2374</v>
      </c>
      <c r="K756">
        <v>0.05</v>
      </c>
      <c r="L756">
        <v>11276.5</v>
      </c>
      <c r="M756">
        <v>9295.98</v>
      </c>
      <c r="N756">
        <v>1980.52</v>
      </c>
      <c r="O756" t="s">
        <v>80</v>
      </c>
      <c r="P756" t="s">
        <v>81</v>
      </c>
    </row>
    <row r="757" spans="1:16" x14ac:dyDescent="0.25">
      <c r="A757">
        <v>756</v>
      </c>
      <c r="B757" s="2">
        <v>45957</v>
      </c>
      <c r="C757" t="s">
        <v>23</v>
      </c>
      <c r="D757" t="s">
        <v>27</v>
      </c>
      <c r="E757" t="s">
        <v>33</v>
      </c>
      <c r="F757" t="s">
        <v>60</v>
      </c>
      <c r="G757" t="s">
        <v>72</v>
      </c>
      <c r="H757" t="s">
        <v>73</v>
      </c>
      <c r="I757">
        <v>7</v>
      </c>
      <c r="J757">
        <v>3725</v>
      </c>
      <c r="K757">
        <v>0.05</v>
      </c>
      <c r="L757">
        <v>24771.25</v>
      </c>
      <c r="M757">
        <v>21194.95</v>
      </c>
      <c r="N757">
        <v>3576.3</v>
      </c>
      <c r="O757" t="s">
        <v>80</v>
      </c>
      <c r="P757" t="s">
        <v>83</v>
      </c>
    </row>
    <row r="758" spans="1:16" x14ac:dyDescent="0.25">
      <c r="A758">
        <v>757</v>
      </c>
      <c r="B758" s="2">
        <v>45904</v>
      </c>
      <c r="C758" t="s">
        <v>21</v>
      </c>
      <c r="D758" t="s">
        <v>24</v>
      </c>
      <c r="E758" t="s">
        <v>29</v>
      </c>
      <c r="F758" t="s">
        <v>42</v>
      </c>
      <c r="G758" t="s">
        <v>70</v>
      </c>
      <c r="H758" t="s">
        <v>74</v>
      </c>
      <c r="I758">
        <v>7</v>
      </c>
      <c r="J758">
        <v>9660</v>
      </c>
      <c r="K758">
        <v>0.15</v>
      </c>
      <c r="L758">
        <v>57477</v>
      </c>
      <c r="M758">
        <v>33289.78</v>
      </c>
      <c r="N758">
        <v>24187.22</v>
      </c>
      <c r="O758" t="s">
        <v>79</v>
      </c>
      <c r="P758" t="s">
        <v>81</v>
      </c>
    </row>
    <row r="759" spans="1:16" x14ac:dyDescent="0.25">
      <c r="A759">
        <v>758</v>
      </c>
      <c r="B759" s="2">
        <v>45907</v>
      </c>
      <c r="C759" t="s">
        <v>23</v>
      </c>
      <c r="D759" t="s">
        <v>27</v>
      </c>
      <c r="E759" t="s">
        <v>29</v>
      </c>
      <c r="F759" t="s">
        <v>53</v>
      </c>
      <c r="G759" t="s">
        <v>72</v>
      </c>
      <c r="H759" t="s">
        <v>73</v>
      </c>
      <c r="I759">
        <v>3</v>
      </c>
      <c r="J759">
        <v>1451</v>
      </c>
      <c r="K759">
        <v>0</v>
      </c>
      <c r="L759">
        <v>4353</v>
      </c>
      <c r="M759">
        <v>3261.4</v>
      </c>
      <c r="N759">
        <v>1091.5999999999999</v>
      </c>
      <c r="O759" t="s">
        <v>78</v>
      </c>
      <c r="P759" t="s">
        <v>85</v>
      </c>
    </row>
    <row r="760" spans="1:16" x14ac:dyDescent="0.25">
      <c r="A760">
        <v>759</v>
      </c>
      <c r="B760" s="2">
        <v>45840</v>
      </c>
      <c r="C760" t="s">
        <v>18</v>
      </c>
      <c r="D760" t="s">
        <v>26</v>
      </c>
      <c r="E760" t="s">
        <v>31</v>
      </c>
      <c r="F760" t="s">
        <v>67</v>
      </c>
      <c r="G760" t="s">
        <v>70</v>
      </c>
      <c r="H760" t="s">
        <v>73</v>
      </c>
      <c r="I760">
        <v>5</v>
      </c>
      <c r="J760">
        <v>769</v>
      </c>
      <c r="K760">
        <v>0.1</v>
      </c>
      <c r="L760">
        <v>3460.5</v>
      </c>
      <c r="M760">
        <v>2911.77</v>
      </c>
      <c r="N760">
        <v>548.73</v>
      </c>
      <c r="O760" t="s">
        <v>78</v>
      </c>
      <c r="P760" t="s">
        <v>88</v>
      </c>
    </row>
    <row r="761" spans="1:16" x14ac:dyDescent="0.25">
      <c r="A761">
        <v>760</v>
      </c>
      <c r="B761" s="2">
        <v>45756</v>
      </c>
      <c r="C761" t="s">
        <v>16</v>
      </c>
      <c r="D761" t="s">
        <v>24</v>
      </c>
      <c r="E761" t="s">
        <v>30</v>
      </c>
      <c r="F761" t="s">
        <v>40</v>
      </c>
      <c r="G761" t="s">
        <v>71</v>
      </c>
      <c r="H761" t="s">
        <v>73</v>
      </c>
      <c r="I761">
        <v>4</v>
      </c>
      <c r="J761">
        <v>67441</v>
      </c>
      <c r="K761">
        <v>0.05</v>
      </c>
      <c r="L761">
        <v>256275.8</v>
      </c>
      <c r="M761">
        <v>147517.1</v>
      </c>
      <c r="N761">
        <v>108758.7</v>
      </c>
      <c r="O761" t="s">
        <v>79</v>
      </c>
      <c r="P761" t="s">
        <v>81</v>
      </c>
    </row>
    <row r="762" spans="1:16" x14ac:dyDescent="0.25">
      <c r="A762">
        <v>761</v>
      </c>
      <c r="B762" s="2">
        <v>45964</v>
      </c>
      <c r="C762" t="s">
        <v>19</v>
      </c>
      <c r="D762" t="s">
        <v>26</v>
      </c>
      <c r="E762" t="s">
        <v>28</v>
      </c>
      <c r="F762" t="s">
        <v>63</v>
      </c>
      <c r="G762" t="s">
        <v>71</v>
      </c>
      <c r="H762" t="s">
        <v>75</v>
      </c>
      <c r="I762">
        <v>2</v>
      </c>
      <c r="J762">
        <v>1655</v>
      </c>
      <c r="K762">
        <v>0.1</v>
      </c>
      <c r="L762">
        <v>2979</v>
      </c>
      <c r="M762">
        <v>2108.2399999999998</v>
      </c>
      <c r="N762">
        <v>870.76</v>
      </c>
      <c r="O762" t="s">
        <v>79</v>
      </c>
      <c r="P762" t="s">
        <v>85</v>
      </c>
    </row>
    <row r="763" spans="1:16" x14ac:dyDescent="0.25">
      <c r="A763">
        <v>762</v>
      </c>
      <c r="B763" s="2">
        <v>45990</v>
      </c>
      <c r="C763" t="s">
        <v>21</v>
      </c>
      <c r="D763" t="s">
        <v>24</v>
      </c>
      <c r="E763" t="s">
        <v>30</v>
      </c>
      <c r="F763" t="s">
        <v>56</v>
      </c>
      <c r="G763" t="s">
        <v>72</v>
      </c>
      <c r="H763" t="s">
        <v>74</v>
      </c>
      <c r="I763">
        <v>6</v>
      </c>
      <c r="J763">
        <v>5015</v>
      </c>
      <c r="K763">
        <v>0.15</v>
      </c>
      <c r="L763">
        <v>25576.5</v>
      </c>
      <c r="M763">
        <v>20077.060000000001</v>
      </c>
      <c r="N763">
        <v>5499.44</v>
      </c>
      <c r="O763" t="s">
        <v>78</v>
      </c>
      <c r="P763" t="s">
        <v>84</v>
      </c>
    </row>
    <row r="764" spans="1:16" x14ac:dyDescent="0.25">
      <c r="A764">
        <v>763</v>
      </c>
      <c r="B764" s="2">
        <v>45768</v>
      </c>
      <c r="C764" t="s">
        <v>20</v>
      </c>
      <c r="D764" t="s">
        <v>26</v>
      </c>
      <c r="E764" t="s">
        <v>30</v>
      </c>
      <c r="F764" t="s">
        <v>64</v>
      </c>
      <c r="G764" t="s">
        <v>72</v>
      </c>
      <c r="H764" t="s">
        <v>73</v>
      </c>
      <c r="I764">
        <v>6</v>
      </c>
      <c r="J764">
        <v>14375</v>
      </c>
      <c r="K764">
        <v>0.1</v>
      </c>
      <c r="L764">
        <v>77625</v>
      </c>
      <c r="M764">
        <v>65878.460000000006</v>
      </c>
      <c r="N764">
        <v>11746.54</v>
      </c>
      <c r="O764" t="s">
        <v>78</v>
      </c>
      <c r="P764" t="s">
        <v>86</v>
      </c>
    </row>
    <row r="765" spans="1:16" x14ac:dyDescent="0.25">
      <c r="A765">
        <v>764</v>
      </c>
      <c r="B765" s="2">
        <v>45927</v>
      </c>
      <c r="C765" t="s">
        <v>21</v>
      </c>
      <c r="D765" t="s">
        <v>24</v>
      </c>
      <c r="E765" t="s">
        <v>31</v>
      </c>
      <c r="F765" t="s">
        <v>67</v>
      </c>
      <c r="G765" t="s">
        <v>72</v>
      </c>
      <c r="H765" t="s">
        <v>75</v>
      </c>
      <c r="I765">
        <v>7</v>
      </c>
      <c r="J765">
        <v>607</v>
      </c>
      <c r="K765">
        <v>0.1</v>
      </c>
      <c r="L765">
        <v>3824.1</v>
      </c>
      <c r="M765">
        <v>3074.2</v>
      </c>
      <c r="N765">
        <v>749.9</v>
      </c>
      <c r="O765" t="s">
        <v>77</v>
      </c>
      <c r="P765" t="s">
        <v>85</v>
      </c>
    </row>
    <row r="766" spans="1:16" x14ac:dyDescent="0.25">
      <c r="A766">
        <v>765</v>
      </c>
      <c r="B766" s="2">
        <v>45948</v>
      </c>
      <c r="C766" t="s">
        <v>17</v>
      </c>
      <c r="D766" t="s">
        <v>25</v>
      </c>
      <c r="E766" t="s">
        <v>30</v>
      </c>
      <c r="F766" t="s">
        <v>64</v>
      </c>
      <c r="G766" t="s">
        <v>70</v>
      </c>
      <c r="H766" t="s">
        <v>75</v>
      </c>
      <c r="I766">
        <v>1</v>
      </c>
      <c r="J766">
        <v>62455</v>
      </c>
      <c r="K766">
        <v>0.1</v>
      </c>
      <c r="L766">
        <v>56209.5</v>
      </c>
      <c r="M766">
        <v>39536.57</v>
      </c>
      <c r="N766">
        <v>16672.93</v>
      </c>
      <c r="O766" t="s">
        <v>77</v>
      </c>
      <c r="P766" t="s">
        <v>87</v>
      </c>
    </row>
    <row r="767" spans="1:16" x14ac:dyDescent="0.25">
      <c r="A767">
        <v>766</v>
      </c>
      <c r="B767" s="2">
        <v>45851</v>
      </c>
      <c r="C767" t="s">
        <v>21</v>
      </c>
      <c r="D767" t="s">
        <v>24</v>
      </c>
      <c r="E767" t="s">
        <v>32</v>
      </c>
      <c r="F767" t="s">
        <v>49</v>
      </c>
      <c r="G767" t="s">
        <v>72</v>
      </c>
      <c r="H767" t="s">
        <v>74</v>
      </c>
      <c r="I767">
        <v>4</v>
      </c>
      <c r="J767">
        <v>7122</v>
      </c>
      <c r="K767">
        <v>0.15</v>
      </c>
      <c r="L767">
        <v>24214.799999999999</v>
      </c>
      <c r="M767">
        <v>14869.59</v>
      </c>
      <c r="N767">
        <v>9345.2099999999991</v>
      </c>
      <c r="O767" t="s">
        <v>76</v>
      </c>
      <c r="P767" t="s">
        <v>88</v>
      </c>
    </row>
    <row r="768" spans="1:16" x14ac:dyDescent="0.25">
      <c r="A768">
        <v>767</v>
      </c>
      <c r="B768" s="2">
        <v>45845</v>
      </c>
      <c r="C768" t="s">
        <v>21</v>
      </c>
      <c r="D768" t="s">
        <v>24</v>
      </c>
      <c r="E768" t="s">
        <v>28</v>
      </c>
      <c r="F768" t="s">
        <v>63</v>
      </c>
      <c r="G768" t="s">
        <v>71</v>
      </c>
      <c r="H768" t="s">
        <v>73</v>
      </c>
      <c r="I768">
        <v>7</v>
      </c>
      <c r="J768">
        <v>1079</v>
      </c>
      <c r="K768">
        <v>0.1</v>
      </c>
      <c r="L768">
        <v>6797.7</v>
      </c>
      <c r="M768">
        <v>4841.99</v>
      </c>
      <c r="N768">
        <v>1955.71</v>
      </c>
      <c r="O768" t="s">
        <v>80</v>
      </c>
      <c r="P768" t="s">
        <v>83</v>
      </c>
    </row>
    <row r="769" spans="1:16" x14ac:dyDescent="0.25">
      <c r="A769">
        <v>768</v>
      </c>
      <c r="B769" s="2">
        <v>45898</v>
      </c>
      <c r="C769" t="s">
        <v>18</v>
      </c>
      <c r="D769" t="s">
        <v>26</v>
      </c>
      <c r="E769" t="s">
        <v>28</v>
      </c>
      <c r="F769" t="s">
        <v>58</v>
      </c>
      <c r="G769" t="s">
        <v>71</v>
      </c>
      <c r="H769" t="s">
        <v>73</v>
      </c>
      <c r="I769">
        <v>7</v>
      </c>
      <c r="J769">
        <v>1564</v>
      </c>
      <c r="K769">
        <v>0</v>
      </c>
      <c r="L769">
        <v>10948</v>
      </c>
      <c r="M769">
        <v>7064.31</v>
      </c>
      <c r="N769">
        <v>3883.69</v>
      </c>
      <c r="O769" t="s">
        <v>80</v>
      </c>
      <c r="P769" t="s">
        <v>81</v>
      </c>
    </row>
    <row r="770" spans="1:16" x14ac:dyDescent="0.25">
      <c r="A770">
        <v>769</v>
      </c>
      <c r="B770" s="2">
        <v>45680</v>
      </c>
      <c r="C770" t="s">
        <v>23</v>
      </c>
      <c r="D770" t="s">
        <v>27</v>
      </c>
      <c r="E770" t="s">
        <v>33</v>
      </c>
      <c r="F770" t="s">
        <v>59</v>
      </c>
      <c r="G770" t="s">
        <v>70</v>
      </c>
      <c r="H770" t="s">
        <v>73</v>
      </c>
      <c r="I770">
        <v>7</v>
      </c>
      <c r="J770">
        <v>48781</v>
      </c>
      <c r="K770">
        <v>0.05</v>
      </c>
      <c r="L770">
        <v>324393.65000000002</v>
      </c>
      <c r="M770">
        <v>258353.5</v>
      </c>
      <c r="N770">
        <v>66040.149999999994</v>
      </c>
      <c r="O770" t="s">
        <v>80</v>
      </c>
      <c r="P770" t="s">
        <v>88</v>
      </c>
    </row>
    <row r="771" spans="1:16" x14ac:dyDescent="0.25">
      <c r="A771">
        <v>770</v>
      </c>
      <c r="B771" s="2">
        <v>45725</v>
      </c>
      <c r="C771" t="s">
        <v>20</v>
      </c>
      <c r="D771" t="s">
        <v>26</v>
      </c>
      <c r="E771" t="s">
        <v>34</v>
      </c>
      <c r="F771" t="s">
        <v>51</v>
      </c>
      <c r="G771" t="s">
        <v>70</v>
      </c>
      <c r="H771" t="s">
        <v>74</v>
      </c>
      <c r="I771">
        <v>6</v>
      </c>
      <c r="J771">
        <v>3597</v>
      </c>
      <c r="K771">
        <v>0.1</v>
      </c>
      <c r="L771">
        <v>19423.8</v>
      </c>
      <c r="M771">
        <v>13605.64</v>
      </c>
      <c r="N771">
        <v>5818.16</v>
      </c>
      <c r="O771" t="s">
        <v>78</v>
      </c>
      <c r="P771" t="s">
        <v>87</v>
      </c>
    </row>
    <row r="772" spans="1:16" x14ac:dyDescent="0.25">
      <c r="A772">
        <v>771</v>
      </c>
      <c r="B772" s="2">
        <v>45716</v>
      </c>
      <c r="C772" t="s">
        <v>17</v>
      </c>
      <c r="D772" t="s">
        <v>25</v>
      </c>
      <c r="E772" t="s">
        <v>32</v>
      </c>
      <c r="F772" t="s">
        <v>49</v>
      </c>
      <c r="G772" t="s">
        <v>72</v>
      </c>
      <c r="H772" t="s">
        <v>74</v>
      </c>
      <c r="I772">
        <v>7</v>
      </c>
      <c r="J772">
        <v>11912</v>
      </c>
      <c r="K772">
        <v>0.05</v>
      </c>
      <c r="L772">
        <v>79214.8</v>
      </c>
      <c r="M772">
        <v>51142.14</v>
      </c>
      <c r="N772">
        <v>28072.66</v>
      </c>
      <c r="O772" t="s">
        <v>76</v>
      </c>
      <c r="P772" t="s">
        <v>87</v>
      </c>
    </row>
    <row r="773" spans="1:16" x14ac:dyDescent="0.25">
      <c r="A773">
        <v>772</v>
      </c>
      <c r="B773" s="2">
        <v>45794</v>
      </c>
      <c r="C773" t="s">
        <v>23</v>
      </c>
      <c r="D773" t="s">
        <v>27</v>
      </c>
      <c r="E773" t="s">
        <v>34</v>
      </c>
      <c r="F773" t="s">
        <v>43</v>
      </c>
      <c r="G773" t="s">
        <v>72</v>
      </c>
      <c r="H773" t="s">
        <v>73</v>
      </c>
      <c r="I773">
        <v>1</v>
      </c>
      <c r="J773">
        <v>1284</v>
      </c>
      <c r="K773">
        <v>0</v>
      </c>
      <c r="L773">
        <v>1284</v>
      </c>
      <c r="M773">
        <v>728.27</v>
      </c>
      <c r="N773">
        <v>555.73</v>
      </c>
      <c r="O773" t="s">
        <v>79</v>
      </c>
      <c r="P773" t="s">
        <v>84</v>
      </c>
    </row>
    <row r="774" spans="1:16" x14ac:dyDescent="0.25">
      <c r="A774">
        <v>773</v>
      </c>
      <c r="B774" s="2">
        <v>45964</v>
      </c>
      <c r="C774" t="s">
        <v>23</v>
      </c>
      <c r="D774" t="s">
        <v>27</v>
      </c>
      <c r="E774" t="s">
        <v>32</v>
      </c>
      <c r="F774" t="s">
        <v>48</v>
      </c>
      <c r="G774" t="s">
        <v>71</v>
      </c>
      <c r="H774" t="s">
        <v>73</v>
      </c>
      <c r="I774">
        <v>6</v>
      </c>
      <c r="J774">
        <v>20418</v>
      </c>
      <c r="K774">
        <v>0.05</v>
      </c>
      <c r="L774">
        <v>116382.6</v>
      </c>
      <c r="M774">
        <v>79937.429999999993</v>
      </c>
      <c r="N774">
        <v>36445.17</v>
      </c>
      <c r="O774" t="s">
        <v>79</v>
      </c>
      <c r="P774" t="s">
        <v>84</v>
      </c>
    </row>
    <row r="775" spans="1:16" x14ac:dyDescent="0.25">
      <c r="A775">
        <v>774</v>
      </c>
      <c r="B775" s="2">
        <v>45843</v>
      </c>
      <c r="C775" t="s">
        <v>17</v>
      </c>
      <c r="D775" t="s">
        <v>25</v>
      </c>
      <c r="E775" t="s">
        <v>31</v>
      </c>
      <c r="F775" t="s">
        <v>47</v>
      </c>
      <c r="G775" t="s">
        <v>70</v>
      </c>
      <c r="H775" t="s">
        <v>75</v>
      </c>
      <c r="I775">
        <v>5</v>
      </c>
      <c r="J775">
        <v>599</v>
      </c>
      <c r="K775">
        <v>0.1</v>
      </c>
      <c r="L775">
        <v>2695.5</v>
      </c>
      <c r="M775">
        <v>2007.44</v>
      </c>
      <c r="N775">
        <v>688.06</v>
      </c>
      <c r="O775" t="s">
        <v>79</v>
      </c>
      <c r="P775" t="s">
        <v>82</v>
      </c>
    </row>
    <row r="776" spans="1:16" x14ac:dyDescent="0.25">
      <c r="A776">
        <v>775</v>
      </c>
      <c r="B776" s="2">
        <v>45900</v>
      </c>
      <c r="C776" t="s">
        <v>20</v>
      </c>
      <c r="D776" t="s">
        <v>26</v>
      </c>
      <c r="E776" t="s">
        <v>30</v>
      </c>
      <c r="F776" t="s">
        <v>40</v>
      </c>
      <c r="G776" t="s">
        <v>71</v>
      </c>
      <c r="H776" t="s">
        <v>74</v>
      </c>
      <c r="I776">
        <v>1</v>
      </c>
      <c r="J776">
        <v>4275</v>
      </c>
      <c r="K776">
        <v>0.15</v>
      </c>
      <c r="L776">
        <v>3633.75</v>
      </c>
      <c r="M776">
        <v>2198.98</v>
      </c>
      <c r="N776">
        <v>1434.77</v>
      </c>
      <c r="O776" t="s">
        <v>79</v>
      </c>
      <c r="P776" t="s">
        <v>83</v>
      </c>
    </row>
    <row r="777" spans="1:16" x14ac:dyDescent="0.25">
      <c r="A777">
        <v>776</v>
      </c>
      <c r="B777" s="2">
        <v>45726</v>
      </c>
      <c r="C777" t="s">
        <v>22</v>
      </c>
      <c r="D777" t="s">
        <v>24</v>
      </c>
      <c r="E777" t="s">
        <v>31</v>
      </c>
      <c r="F777" t="s">
        <v>38</v>
      </c>
      <c r="G777" t="s">
        <v>70</v>
      </c>
      <c r="H777" t="s">
        <v>75</v>
      </c>
      <c r="I777">
        <v>5</v>
      </c>
      <c r="J777">
        <v>2034</v>
      </c>
      <c r="K777">
        <v>0</v>
      </c>
      <c r="L777">
        <v>10170</v>
      </c>
      <c r="M777">
        <v>8367.7900000000009</v>
      </c>
      <c r="N777">
        <v>1802.21</v>
      </c>
      <c r="O777" t="s">
        <v>80</v>
      </c>
      <c r="P777" t="s">
        <v>84</v>
      </c>
    </row>
    <row r="778" spans="1:16" x14ac:dyDescent="0.25">
      <c r="A778">
        <v>777</v>
      </c>
      <c r="B778" s="2">
        <v>45687</v>
      </c>
      <c r="C778" t="s">
        <v>20</v>
      </c>
      <c r="D778" t="s">
        <v>26</v>
      </c>
      <c r="E778" t="s">
        <v>34</v>
      </c>
      <c r="F778" t="s">
        <v>55</v>
      </c>
      <c r="G778" t="s">
        <v>70</v>
      </c>
      <c r="H778" t="s">
        <v>74</v>
      </c>
      <c r="I778">
        <v>6</v>
      </c>
      <c r="J778">
        <v>2174</v>
      </c>
      <c r="K778">
        <v>0.05</v>
      </c>
      <c r="L778">
        <v>12391.8</v>
      </c>
      <c r="M778">
        <v>7243.04</v>
      </c>
      <c r="N778">
        <v>5148.76</v>
      </c>
      <c r="O778" t="s">
        <v>80</v>
      </c>
      <c r="P778" t="s">
        <v>83</v>
      </c>
    </row>
    <row r="779" spans="1:16" x14ac:dyDescent="0.25">
      <c r="A779">
        <v>778</v>
      </c>
      <c r="B779" s="2">
        <v>45971</v>
      </c>
      <c r="C779" t="s">
        <v>23</v>
      </c>
      <c r="D779" t="s">
        <v>27</v>
      </c>
      <c r="E779" t="s">
        <v>28</v>
      </c>
      <c r="F779" t="s">
        <v>63</v>
      </c>
      <c r="G779" t="s">
        <v>70</v>
      </c>
      <c r="H779" t="s">
        <v>73</v>
      </c>
      <c r="I779">
        <v>7</v>
      </c>
      <c r="J779">
        <v>554</v>
      </c>
      <c r="K779">
        <v>0.1</v>
      </c>
      <c r="L779">
        <v>3490.2</v>
      </c>
      <c r="M779">
        <v>2506.88</v>
      </c>
      <c r="N779">
        <v>983.32</v>
      </c>
      <c r="O779" t="s">
        <v>78</v>
      </c>
      <c r="P779" t="s">
        <v>83</v>
      </c>
    </row>
    <row r="780" spans="1:16" x14ac:dyDescent="0.25">
      <c r="A780">
        <v>779</v>
      </c>
      <c r="B780" s="2">
        <v>46005</v>
      </c>
      <c r="C780" t="s">
        <v>21</v>
      </c>
      <c r="D780" t="s">
        <v>24</v>
      </c>
      <c r="E780" t="s">
        <v>32</v>
      </c>
      <c r="F780" t="s">
        <v>66</v>
      </c>
      <c r="G780" t="s">
        <v>72</v>
      </c>
      <c r="H780" t="s">
        <v>73</v>
      </c>
      <c r="I780">
        <v>8</v>
      </c>
      <c r="J780">
        <v>4457</v>
      </c>
      <c r="K780">
        <v>0.15</v>
      </c>
      <c r="L780">
        <v>30307.599999999999</v>
      </c>
      <c r="M780">
        <v>21010.55</v>
      </c>
      <c r="N780">
        <v>9297.0499999999993</v>
      </c>
      <c r="O780" t="s">
        <v>78</v>
      </c>
      <c r="P780" t="s">
        <v>87</v>
      </c>
    </row>
    <row r="781" spans="1:16" x14ac:dyDescent="0.25">
      <c r="A781">
        <v>780</v>
      </c>
      <c r="B781" s="2">
        <v>45908</v>
      </c>
      <c r="C781" t="s">
        <v>19</v>
      </c>
      <c r="D781" t="s">
        <v>26</v>
      </c>
      <c r="E781" t="s">
        <v>31</v>
      </c>
      <c r="F781" t="s">
        <v>50</v>
      </c>
      <c r="G781" t="s">
        <v>71</v>
      </c>
      <c r="H781" t="s">
        <v>74</v>
      </c>
      <c r="I781">
        <v>8</v>
      </c>
      <c r="J781">
        <v>1171</v>
      </c>
      <c r="K781">
        <v>0.2</v>
      </c>
      <c r="L781">
        <v>7494.4</v>
      </c>
      <c r="M781">
        <v>5289.94</v>
      </c>
      <c r="N781">
        <v>2204.46</v>
      </c>
      <c r="O781" t="s">
        <v>76</v>
      </c>
      <c r="P781" t="s">
        <v>81</v>
      </c>
    </row>
    <row r="782" spans="1:16" x14ac:dyDescent="0.25">
      <c r="A782">
        <v>781</v>
      </c>
      <c r="B782" s="2">
        <v>45957</v>
      </c>
      <c r="C782" t="s">
        <v>20</v>
      </c>
      <c r="D782" t="s">
        <v>26</v>
      </c>
      <c r="E782" t="s">
        <v>29</v>
      </c>
      <c r="F782" t="s">
        <v>42</v>
      </c>
      <c r="G782" t="s">
        <v>70</v>
      </c>
      <c r="H782" t="s">
        <v>73</v>
      </c>
      <c r="I782">
        <v>4</v>
      </c>
      <c r="J782">
        <v>10034</v>
      </c>
      <c r="K782">
        <v>0.05</v>
      </c>
      <c r="L782">
        <v>38129.199999999997</v>
      </c>
      <c r="M782">
        <v>31788.71</v>
      </c>
      <c r="N782">
        <v>6340.49</v>
      </c>
      <c r="O782" t="s">
        <v>80</v>
      </c>
      <c r="P782" t="s">
        <v>87</v>
      </c>
    </row>
    <row r="783" spans="1:16" x14ac:dyDescent="0.25">
      <c r="A783">
        <v>782</v>
      </c>
      <c r="B783" s="2">
        <v>45901</v>
      </c>
      <c r="C783" t="s">
        <v>22</v>
      </c>
      <c r="D783" t="s">
        <v>24</v>
      </c>
      <c r="E783" t="s">
        <v>32</v>
      </c>
      <c r="F783" t="s">
        <v>66</v>
      </c>
      <c r="G783" t="s">
        <v>71</v>
      </c>
      <c r="H783" t="s">
        <v>75</v>
      </c>
      <c r="I783">
        <v>8</v>
      </c>
      <c r="J783">
        <v>9889</v>
      </c>
      <c r="K783">
        <v>0.05</v>
      </c>
      <c r="L783">
        <v>75156.399999999994</v>
      </c>
      <c r="M783">
        <v>46488.54</v>
      </c>
      <c r="N783">
        <v>28667.86</v>
      </c>
      <c r="O783" t="s">
        <v>76</v>
      </c>
      <c r="P783" t="s">
        <v>85</v>
      </c>
    </row>
    <row r="784" spans="1:16" x14ac:dyDescent="0.25">
      <c r="A784">
        <v>783</v>
      </c>
      <c r="B784" s="2">
        <v>45720</v>
      </c>
      <c r="C784" t="s">
        <v>19</v>
      </c>
      <c r="D784" t="s">
        <v>26</v>
      </c>
      <c r="E784" t="s">
        <v>30</v>
      </c>
      <c r="F784" t="s">
        <v>44</v>
      </c>
      <c r="G784" t="s">
        <v>72</v>
      </c>
      <c r="H784" t="s">
        <v>75</v>
      </c>
      <c r="I784">
        <v>5</v>
      </c>
      <c r="J784">
        <v>58935</v>
      </c>
      <c r="K784">
        <v>0</v>
      </c>
      <c r="L784">
        <v>294675</v>
      </c>
      <c r="M784">
        <v>178873.79</v>
      </c>
      <c r="N784">
        <v>115801.21</v>
      </c>
      <c r="O784" t="s">
        <v>78</v>
      </c>
      <c r="P784" t="s">
        <v>86</v>
      </c>
    </row>
    <row r="785" spans="1:16" x14ac:dyDescent="0.25">
      <c r="A785">
        <v>784</v>
      </c>
      <c r="B785" s="2">
        <v>45865</v>
      </c>
      <c r="C785" t="s">
        <v>20</v>
      </c>
      <c r="D785" t="s">
        <v>26</v>
      </c>
      <c r="E785" t="s">
        <v>28</v>
      </c>
      <c r="F785" t="s">
        <v>58</v>
      </c>
      <c r="G785" t="s">
        <v>72</v>
      </c>
      <c r="H785" t="s">
        <v>75</v>
      </c>
      <c r="I785">
        <v>1</v>
      </c>
      <c r="J785">
        <v>1999</v>
      </c>
      <c r="K785">
        <v>0.15</v>
      </c>
      <c r="L785">
        <v>1699.15</v>
      </c>
      <c r="M785">
        <v>1323.46</v>
      </c>
      <c r="N785">
        <v>375.69</v>
      </c>
      <c r="O785" t="s">
        <v>79</v>
      </c>
      <c r="P785" t="s">
        <v>82</v>
      </c>
    </row>
    <row r="786" spans="1:16" x14ac:dyDescent="0.25">
      <c r="A786">
        <v>785</v>
      </c>
      <c r="B786" s="2">
        <v>45704</v>
      </c>
      <c r="C786" t="s">
        <v>20</v>
      </c>
      <c r="D786" t="s">
        <v>26</v>
      </c>
      <c r="E786" t="s">
        <v>32</v>
      </c>
      <c r="F786" t="s">
        <v>62</v>
      </c>
      <c r="G786" t="s">
        <v>71</v>
      </c>
      <c r="H786" t="s">
        <v>75</v>
      </c>
      <c r="I786">
        <v>1</v>
      </c>
      <c r="J786">
        <v>15679</v>
      </c>
      <c r="K786">
        <v>0.15</v>
      </c>
      <c r="L786">
        <v>13327.15</v>
      </c>
      <c r="M786">
        <v>11695.3</v>
      </c>
      <c r="N786">
        <v>1631.85</v>
      </c>
      <c r="O786" t="s">
        <v>78</v>
      </c>
      <c r="P786" t="s">
        <v>85</v>
      </c>
    </row>
    <row r="787" spans="1:16" x14ac:dyDescent="0.25">
      <c r="A787">
        <v>786</v>
      </c>
      <c r="B787" s="2">
        <v>45780</v>
      </c>
      <c r="C787" t="s">
        <v>19</v>
      </c>
      <c r="D787" t="s">
        <v>26</v>
      </c>
      <c r="E787" t="s">
        <v>30</v>
      </c>
      <c r="F787" t="s">
        <v>40</v>
      </c>
      <c r="G787" t="s">
        <v>72</v>
      </c>
      <c r="H787" t="s">
        <v>74</v>
      </c>
      <c r="I787">
        <v>5</v>
      </c>
      <c r="J787">
        <v>37450</v>
      </c>
      <c r="K787">
        <v>0.1</v>
      </c>
      <c r="L787">
        <v>168525</v>
      </c>
      <c r="M787">
        <v>118855.07</v>
      </c>
      <c r="N787">
        <v>49669.93</v>
      </c>
      <c r="O787" t="s">
        <v>76</v>
      </c>
      <c r="P787" t="s">
        <v>87</v>
      </c>
    </row>
    <row r="788" spans="1:16" x14ac:dyDescent="0.25">
      <c r="A788">
        <v>787</v>
      </c>
      <c r="B788" s="2">
        <v>45915</v>
      </c>
      <c r="C788" t="s">
        <v>22</v>
      </c>
      <c r="D788" t="s">
        <v>24</v>
      </c>
      <c r="E788" t="s">
        <v>33</v>
      </c>
      <c r="F788" t="s">
        <v>60</v>
      </c>
      <c r="G788" t="s">
        <v>71</v>
      </c>
      <c r="H788" t="s">
        <v>74</v>
      </c>
      <c r="I788">
        <v>7</v>
      </c>
      <c r="J788">
        <v>41529</v>
      </c>
      <c r="K788">
        <v>0.15</v>
      </c>
      <c r="L788">
        <v>247097.55</v>
      </c>
      <c r="M788">
        <v>153437.06</v>
      </c>
      <c r="N788">
        <v>93660.49</v>
      </c>
      <c r="O788" t="s">
        <v>80</v>
      </c>
      <c r="P788" t="s">
        <v>85</v>
      </c>
    </row>
    <row r="789" spans="1:16" x14ac:dyDescent="0.25">
      <c r="A789">
        <v>788</v>
      </c>
      <c r="B789" s="2">
        <v>45700</v>
      </c>
      <c r="C789" t="s">
        <v>16</v>
      </c>
      <c r="D789" t="s">
        <v>24</v>
      </c>
      <c r="E789" t="s">
        <v>31</v>
      </c>
      <c r="F789" t="s">
        <v>69</v>
      </c>
      <c r="G789" t="s">
        <v>72</v>
      </c>
      <c r="H789" t="s">
        <v>73</v>
      </c>
      <c r="I789">
        <v>7</v>
      </c>
      <c r="J789">
        <v>1100</v>
      </c>
      <c r="K789">
        <v>0.15</v>
      </c>
      <c r="L789">
        <v>6545</v>
      </c>
      <c r="M789">
        <v>3824.4</v>
      </c>
      <c r="N789">
        <v>2720.6</v>
      </c>
      <c r="O789" t="s">
        <v>79</v>
      </c>
      <c r="P789" t="s">
        <v>88</v>
      </c>
    </row>
    <row r="790" spans="1:16" x14ac:dyDescent="0.25">
      <c r="A790">
        <v>789</v>
      </c>
      <c r="B790" s="2">
        <v>45803</v>
      </c>
      <c r="C790" t="s">
        <v>19</v>
      </c>
      <c r="D790" t="s">
        <v>26</v>
      </c>
      <c r="E790" t="s">
        <v>31</v>
      </c>
      <c r="F790" t="s">
        <v>38</v>
      </c>
      <c r="G790" t="s">
        <v>70</v>
      </c>
      <c r="H790" t="s">
        <v>73</v>
      </c>
      <c r="I790">
        <v>2</v>
      </c>
      <c r="J790">
        <v>1427</v>
      </c>
      <c r="K790">
        <v>0</v>
      </c>
      <c r="L790">
        <v>2854</v>
      </c>
      <c r="M790">
        <v>1600.27</v>
      </c>
      <c r="N790">
        <v>1253.73</v>
      </c>
      <c r="O790" t="s">
        <v>79</v>
      </c>
      <c r="P790" t="s">
        <v>82</v>
      </c>
    </row>
    <row r="791" spans="1:16" x14ac:dyDescent="0.25">
      <c r="A791">
        <v>790</v>
      </c>
      <c r="B791" s="2">
        <v>45693</v>
      </c>
      <c r="C791" t="s">
        <v>23</v>
      </c>
      <c r="D791" t="s">
        <v>27</v>
      </c>
      <c r="E791" t="s">
        <v>30</v>
      </c>
      <c r="F791" t="s">
        <v>56</v>
      </c>
      <c r="G791" t="s">
        <v>72</v>
      </c>
      <c r="H791" t="s">
        <v>73</v>
      </c>
      <c r="I791">
        <v>7</v>
      </c>
      <c r="J791">
        <v>14617</v>
      </c>
      <c r="K791">
        <v>0.05</v>
      </c>
      <c r="L791">
        <v>97203.05</v>
      </c>
      <c r="M791">
        <v>77511.509999999995</v>
      </c>
      <c r="N791">
        <v>19691.54</v>
      </c>
      <c r="O791" t="s">
        <v>79</v>
      </c>
      <c r="P791" t="s">
        <v>81</v>
      </c>
    </row>
    <row r="792" spans="1:16" x14ac:dyDescent="0.25">
      <c r="A792">
        <v>791</v>
      </c>
      <c r="B792" s="2">
        <v>45713</v>
      </c>
      <c r="C792" t="s">
        <v>20</v>
      </c>
      <c r="D792" t="s">
        <v>26</v>
      </c>
      <c r="E792" t="s">
        <v>29</v>
      </c>
      <c r="F792" t="s">
        <v>57</v>
      </c>
      <c r="G792" t="s">
        <v>72</v>
      </c>
      <c r="H792" t="s">
        <v>75</v>
      </c>
      <c r="I792">
        <v>4</v>
      </c>
      <c r="J792">
        <v>11401</v>
      </c>
      <c r="K792">
        <v>0</v>
      </c>
      <c r="L792">
        <v>45604</v>
      </c>
      <c r="M792">
        <v>40084.1</v>
      </c>
      <c r="N792">
        <v>5519.9</v>
      </c>
      <c r="O792" t="s">
        <v>78</v>
      </c>
      <c r="P792" t="s">
        <v>88</v>
      </c>
    </row>
    <row r="793" spans="1:16" x14ac:dyDescent="0.25">
      <c r="A793">
        <v>792</v>
      </c>
      <c r="B793" s="2">
        <v>45697</v>
      </c>
      <c r="C793" t="s">
        <v>21</v>
      </c>
      <c r="D793" t="s">
        <v>24</v>
      </c>
      <c r="E793" t="s">
        <v>30</v>
      </c>
      <c r="F793" t="s">
        <v>40</v>
      </c>
      <c r="G793" t="s">
        <v>70</v>
      </c>
      <c r="H793" t="s">
        <v>74</v>
      </c>
      <c r="I793">
        <v>7</v>
      </c>
      <c r="J793">
        <v>41824</v>
      </c>
      <c r="K793">
        <v>0.05</v>
      </c>
      <c r="L793">
        <v>278129.59999999998</v>
      </c>
      <c r="M793">
        <v>224857.51</v>
      </c>
      <c r="N793">
        <v>53272.09</v>
      </c>
      <c r="O793" t="s">
        <v>76</v>
      </c>
      <c r="P793" t="s">
        <v>88</v>
      </c>
    </row>
    <row r="794" spans="1:16" x14ac:dyDescent="0.25">
      <c r="A794">
        <v>793</v>
      </c>
      <c r="B794" s="2">
        <v>45847</v>
      </c>
      <c r="C794" t="s">
        <v>21</v>
      </c>
      <c r="D794" t="s">
        <v>24</v>
      </c>
      <c r="E794" t="s">
        <v>30</v>
      </c>
      <c r="F794" t="s">
        <v>64</v>
      </c>
      <c r="G794" t="s">
        <v>71</v>
      </c>
      <c r="H794" t="s">
        <v>74</v>
      </c>
      <c r="I794">
        <v>8</v>
      </c>
      <c r="J794">
        <v>3299</v>
      </c>
      <c r="K794">
        <v>0.15</v>
      </c>
      <c r="L794">
        <v>22433.200000000001</v>
      </c>
      <c r="M794">
        <v>13631.55</v>
      </c>
      <c r="N794">
        <v>8801.65</v>
      </c>
      <c r="O794" t="s">
        <v>78</v>
      </c>
      <c r="P794" t="s">
        <v>86</v>
      </c>
    </row>
    <row r="795" spans="1:16" x14ac:dyDescent="0.25">
      <c r="A795">
        <v>794</v>
      </c>
      <c r="B795" s="2">
        <v>45859</v>
      </c>
      <c r="C795" t="s">
        <v>21</v>
      </c>
      <c r="D795" t="s">
        <v>24</v>
      </c>
      <c r="E795" t="s">
        <v>34</v>
      </c>
      <c r="F795" t="s">
        <v>51</v>
      </c>
      <c r="G795" t="s">
        <v>71</v>
      </c>
      <c r="H795" t="s">
        <v>74</v>
      </c>
      <c r="I795">
        <v>1</v>
      </c>
      <c r="J795">
        <v>4810</v>
      </c>
      <c r="K795">
        <v>0</v>
      </c>
      <c r="L795">
        <v>4810</v>
      </c>
      <c r="M795">
        <v>4128.8900000000003</v>
      </c>
      <c r="N795">
        <v>681.11</v>
      </c>
      <c r="O795" t="s">
        <v>79</v>
      </c>
      <c r="P795" t="s">
        <v>84</v>
      </c>
    </row>
    <row r="796" spans="1:16" x14ac:dyDescent="0.25">
      <c r="A796">
        <v>795</v>
      </c>
      <c r="B796" s="2">
        <v>45738</v>
      </c>
      <c r="C796" t="s">
        <v>21</v>
      </c>
      <c r="D796" t="s">
        <v>24</v>
      </c>
      <c r="E796" t="s">
        <v>30</v>
      </c>
      <c r="F796" t="s">
        <v>64</v>
      </c>
      <c r="G796" t="s">
        <v>70</v>
      </c>
      <c r="H796" t="s">
        <v>74</v>
      </c>
      <c r="I796">
        <v>2</v>
      </c>
      <c r="J796">
        <v>9403</v>
      </c>
      <c r="K796">
        <v>0</v>
      </c>
      <c r="L796">
        <v>18806</v>
      </c>
      <c r="M796">
        <v>10379.32</v>
      </c>
      <c r="N796">
        <v>8426.68</v>
      </c>
      <c r="O796" t="s">
        <v>80</v>
      </c>
      <c r="P796" t="s">
        <v>88</v>
      </c>
    </row>
    <row r="797" spans="1:16" x14ac:dyDescent="0.25">
      <c r="A797">
        <v>796</v>
      </c>
      <c r="B797" s="2">
        <v>45957</v>
      </c>
      <c r="C797" t="s">
        <v>20</v>
      </c>
      <c r="D797" t="s">
        <v>26</v>
      </c>
      <c r="E797" t="s">
        <v>28</v>
      </c>
      <c r="F797" t="s">
        <v>58</v>
      </c>
      <c r="G797" t="s">
        <v>71</v>
      </c>
      <c r="H797" t="s">
        <v>73</v>
      </c>
      <c r="I797">
        <v>8</v>
      </c>
      <c r="J797">
        <v>585</v>
      </c>
      <c r="K797">
        <v>0</v>
      </c>
      <c r="L797">
        <v>4680</v>
      </c>
      <c r="M797">
        <v>2587.61</v>
      </c>
      <c r="N797">
        <v>2092.39</v>
      </c>
      <c r="O797" t="s">
        <v>76</v>
      </c>
      <c r="P797" t="s">
        <v>85</v>
      </c>
    </row>
    <row r="798" spans="1:16" x14ac:dyDescent="0.25">
      <c r="A798">
        <v>797</v>
      </c>
      <c r="B798" s="2">
        <v>45986</v>
      </c>
      <c r="C798" t="s">
        <v>23</v>
      </c>
      <c r="D798" t="s">
        <v>27</v>
      </c>
      <c r="E798" t="s">
        <v>34</v>
      </c>
      <c r="F798" t="s">
        <v>65</v>
      </c>
      <c r="G798" t="s">
        <v>72</v>
      </c>
      <c r="H798" t="s">
        <v>75</v>
      </c>
      <c r="I798">
        <v>1</v>
      </c>
      <c r="J798">
        <v>5451</v>
      </c>
      <c r="K798">
        <v>0</v>
      </c>
      <c r="L798">
        <v>5451</v>
      </c>
      <c r="M798">
        <v>3629.83</v>
      </c>
      <c r="N798">
        <v>1821.17</v>
      </c>
      <c r="O798" t="s">
        <v>78</v>
      </c>
      <c r="P798" t="s">
        <v>85</v>
      </c>
    </row>
    <row r="799" spans="1:16" x14ac:dyDescent="0.25">
      <c r="A799">
        <v>798</v>
      </c>
      <c r="B799" s="2">
        <v>45824</v>
      </c>
      <c r="C799" t="s">
        <v>22</v>
      </c>
      <c r="D799" t="s">
        <v>24</v>
      </c>
      <c r="E799" t="s">
        <v>28</v>
      </c>
      <c r="F799" t="s">
        <v>54</v>
      </c>
      <c r="G799" t="s">
        <v>70</v>
      </c>
      <c r="H799" t="s">
        <v>75</v>
      </c>
      <c r="I799">
        <v>3</v>
      </c>
      <c r="J799">
        <v>1893</v>
      </c>
      <c r="K799">
        <v>0.05</v>
      </c>
      <c r="L799">
        <v>5395.05</v>
      </c>
      <c r="M799">
        <v>4656.6000000000004</v>
      </c>
      <c r="N799">
        <v>738.45</v>
      </c>
      <c r="O799" t="s">
        <v>76</v>
      </c>
      <c r="P799" t="s">
        <v>88</v>
      </c>
    </row>
    <row r="800" spans="1:16" x14ac:dyDescent="0.25">
      <c r="A800">
        <v>799</v>
      </c>
      <c r="B800" s="2">
        <v>45849</v>
      </c>
      <c r="C800" t="s">
        <v>23</v>
      </c>
      <c r="D800" t="s">
        <v>27</v>
      </c>
      <c r="E800" t="s">
        <v>32</v>
      </c>
      <c r="F800" t="s">
        <v>66</v>
      </c>
      <c r="G800" t="s">
        <v>72</v>
      </c>
      <c r="H800" t="s">
        <v>74</v>
      </c>
      <c r="I800">
        <v>2</v>
      </c>
      <c r="J800">
        <v>9331</v>
      </c>
      <c r="K800">
        <v>0.05</v>
      </c>
      <c r="L800">
        <v>17728.900000000001</v>
      </c>
      <c r="M800">
        <v>10828.85</v>
      </c>
      <c r="N800">
        <v>6900.05</v>
      </c>
      <c r="O800" t="s">
        <v>77</v>
      </c>
      <c r="P800" t="s">
        <v>87</v>
      </c>
    </row>
    <row r="801" spans="1:16" x14ac:dyDescent="0.25">
      <c r="A801">
        <v>800</v>
      </c>
      <c r="B801" s="2">
        <v>45784</v>
      </c>
      <c r="C801" t="s">
        <v>20</v>
      </c>
      <c r="D801" t="s">
        <v>26</v>
      </c>
      <c r="E801" t="s">
        <v>33</v>
      </c>
      <c r="F801" t="s">
        <v>41</v>
      </c>
      <c r="G801" t="s">
        <v>71</v>
      </c>
      <c r="H801" t="s">
        <v>73</v>
      </c>
      <c r="I801">
        <v>5</v>
      </c>
      <c r="J801">
        <v>48083</v>
      </c>
      <c r="K801">
        <v>0.05</v>
      </c>
      <c r="L801">
        <v>228394.25</v>
      </c>
      <c r="M801">
        <v>190028.7</v>
      </c>
      <c r="N801">
        <v>38365.550000000003</v>
      </c>
      <c r="O801" t="s">
        <v>79</v>
      </c>
      <c r="P801" t="s">
        <v>84</v>
      </c>
    </row>
    <row r="802" spans="1:16" x14ac:dyDescent="0.25">
      <c r="A802">
        <v>801</v>
      </c>
      <c r="B802" s="2">
        <v>45854</v>
      </c>
      <c r="C802" t="s">
        <v>20</v>
      </c>
      <c r="D802" t="s">
        <v>26</v>
      </c>
      <c r="E802" t="s">
        <v>31</v>
      </c>
      <c r="F802" t="s">
        <v>47</v>
      </c>
      <c r="G802" t="s">
        <v>71</v>
      </c>
      <c r="H802" t="s">
        <v>75</v>
      </c>
      <c r="I802">
        <v>2</v>
      </c>
      <c r="J802">
        <v>1685</v>
      </c>
      <c r="K802">
        <v>0.1</v>
      </c>
      <c r="L802">
        <v>3033</v>
      </c>
      <c r="M802">
        <v>2462.4499999999998</v>
      </c>
      <c r="N802">
        <v>570.54999999999995</v>
      </c>
      <c r="O802" t="s">
        <v>76</v>
      </c>
      <c r="P802" t="s">
        <v>83</v>
      </c>
    </row>
    <row r="803" spans="1:16" x14ac:dyDescent="0.25">
      <c r="A803">
        <v>802</v>
      </c>
      <c r="B803" s="2">
        <v>46009</v>
      </c>
      <c r="C803" t="s">
        <v>21</v>
      </c>
      <c r="D803" t="s">
        <v>24</v>
      </c>
      <c r="E803" t="s">
        <v>33</v>
      </c>
      <c r="F803" t="s">
        <v>52</v>
      </c>
      <c r="G803" t="s">
        <v>72</v>
      </c>
      <c r="H803" t="s">
        <v>73</v>
      </c>
      <c r="I803">
        <v>8</v>
      </c>
      <c r="J803">
        <v>48031</v>
      </c>
      <c r="K803">
        <v>0.1</v>
      </c>
      <c r="L803">
        <v>345823.2</v>
      </c>
      <c r="M803">
        <v>286750.07</v>
      </c>
      <c r="N803">
        <v>59073.13</v>
      </c>
      <c r="O803" t="s">
        <v>78</v>
      </c>
      <c r="P803" t="s">
        <v>86</v>
      </c>
    </row>
    <row r="804" spans="1:16" x14ac:dyDescent="0.25">
      <c r="A804">
        <v>803</v>
      </c>
      <c r="B804" s="2">
        <v>45792</v>
      </c>
      <c r="C804" t="s">
        <v>19</v>
      </c>
      <c r="D804" t="s">
        <v>26</v>
      </c>
      <c r="E804" t="s">
        <v>32</v>
      </c>
      <c r="F804" t="s">
        <v>62</v>
      </c>
      <c r="G804" t="s">
        <v>70</v>
      </c>
      <c r="H804" t="s">
        <v>75</v>
      </c>
      <c r="I804">
        <v>5</v>
      </c>
      <c r="J804">
        <v>2267</v>
      </c>
      <c r="K804">
        <v>0.1</v>
      </c>
      <c r="L804">
        <v>10201.5</v>
      </c>
      <c r="M804">
        <v>6974.78</v>
      </c>
      <c r="N804">
        <v>3226.72</v>
      </c>
      <c r="O804" t="s">
        <v>77</v>
      </c>
      <c r="P804" t="s">
        <v>86</v>
      </c>
    </row>
    <row r="805" spans="1:16" x14ac:dyDescent="0.25">
      <c r="A805">
        <v>804</v>
      </c>
      <c r="B805" s="2">
        <v>45981</v>
      </c>
      <c r="C805" t="s">
        <v>19</v>
      </c>
      <c r="D805" t="s">
        <v>26</v>
      </c>
      <c r="E805" t="s">
        <v>34</v>
      </c>
      <c r="F805" t="s">
        <v>68</v>
      </c>
      <c r="G805" t="s">
        <v>71</v>
      </c>
      <c r="H805" t="s">
        <v>75</v>
      </c>
      <c r="I805">
        <v>5</v>
      </c>
      <c r="J805">
        <v>395</v>
      </c>
      <c r="K805">
        <v>0</v>
      </c>
      <c r="L805">
        <v>1975</v>
      </c>
      <c r="M805">
        <v>1169.58</v>
      </c>
      <c r="N805">
        <v>805.42</v>
      </c>
      <c r="O805" t="s">
        <v>79</v>
      </c>
      <c r="P805" t="s">
        <v>81</v>
      </c>
    </row>
    <row r="806" spans="1:16" x14ac:dyDescent="0.25">
      <c r="A806">
        <v>805</v>
      </c>
      <c r="B806" s="2">
        <v>45837</v>
      </c>
      <c r="C806" t="s">
        <v>22</v>
      </c>
      <c r="D806" t="s">
        <v>24</v>
      </c>
      <c r="E806" t="s">
        <v>29</v>
      </c>
      <c r="F806" t="s">
        <v>53</v>
      </c>
      <c r="G806" t="s">
        <v>72</v>
      </c>
      <c r="H806" t="s">
        <v>73</v>
      </c>
      <c r="I806">
        <v>5</v>
      </c>
      <c r="J806">
        <v>3404</v>
      </c>
      <c r="K806">
        <v>0.15</v>
      </c>
      <c r="L806">
        <v>14467</v>
      </c>
      <c r="M806">
        <v>9360.07</v>
      </c>
      <c r="N806">
        <v>5106.93</v>
      </c>
      <c r="O806" t="s">
        <v>77</v>
      </c>
      <c r="P806" t="s">
        <v>82</v>
      </c>
    </row>
    <row r="807" spans="1:16" x14ac:dyDescent="0.25">
      <c r="A807">
        <v>806</v>
      </c>
      <c r="B807" s="2">
        <v>45893</v>
      </c>
      <c r="C807" t="s">
        <v>20</v>
      </c>
      <c r="D807" t="s">
        <v>26</v>
      </c>
      <c r="E807" t="s">
        <v>28</v>
      </c>
      <c r="F807" t="s">
        <v>54</v>
      </c>
      <c r="G807" t="s">
        <v>71</v>
      </c>
      <c r="H807" t="s">
        <v>73</v>
      </c>
      <c r="I807">
        <v>2</v>
      </c>
      <c r="J807">
        <v>110</v>
      </c>
      <c r="K807">
        <v>0</v>
      </c>
      <c r="L807">
        <v>220</v>
      </c>
      <c r="M807">
        <v>175.46</v>
      </c>
      <c r="N807">
        <v>44.54</v>
      </c>
      <c r="O807" t="s">
        <v>77</v>
      </c>
      <c r="P807" t="s">
        <v>85</v>
      </c>
    </row>
    <row r="808" spans="1:16" x14ac:dyDescent="0.25">
      <c r="A808">
        <v>807</v>
      </c>
      <c r="B808" s="2">
        <v>45763</v>
      </c>
      <c r="C808" t="s">
        <v>16</v>
      </c>
      <c r="D808" t="s">
        <v>24</v>
      </c>
      <c r="E808" t="s">
        <v>33</v>
      </c>
      <c r="F808" t="s">
        <v>59</v>
      </c>
      <c r="G808" t="s">
        <v>72</v>
      </c>
      <c r="H808" t="s">
        <v>74</v>
      </c>
      <c r="I808">
        <v>4</v>
      </c>
      <c r="J808">
        <v>46726</v>
      </c>
      <c r="K808">
        <v>0</v>
      </c>
      <c r="L808">
        <v>186904</v>
      </c>
      <c r="M808">
        <v>158580.64000000001</v>
      </c>
      <c r="N808">
        <v>28323.360000000001</v>
      </c>
      <c r="O808" t="s">
        <v>78</v>
      </c>
      <c r="P808" t="s">
        <v>88</v>
      </c>
    </row>
    <row r="809" spans="1:16" x14ac:dyDescent="0.25">
      <c r="A809">
        <v>808</v>
      </c>
      <c r="B809" s="2">
        <v>45666</v>
      </c>
      <c r="C809" t="s">
        <v>19</v>
      </c>
      <c r="D809" t="s">
        <v>26</v>
      </c>
      <c r="E809" t="s">
        <v>32</v>
      </c>
      <c r="F809" t="s">
        <v>49</v>
      </c>
      <c r="G809" t="s">
        <v>71</v>
      </c>
      <c r="H809" t="s">
        <v>74</v>
      </c>
      <c r="I809">
        <v>1</v>
      </c>
      <c r="J809">
        <v>24545</v>
      </c>
      <c r="K809">
        <v>0.05</v>
      </c>
      <c r="L809">
        <v>23317.75</v>
      </c>
      <c r="M809">
        <v>14829.7</v>
      </c>
      <c r="N809">
        <v>8488.0499999999993</v>
      </c>
      <c r="O809" t="s">
        <v>77</v>
      </c>
      <c r="P809" t="s">
        <v>84</v>
      </c>
    </row>
    <row r="810" spans="1:16" x14ac:dyDescent="0.25">
      <c r="A810">
        <v>809</v>
      </c>
      <c r="B810" s="2">
        <v>46005</v>
      </c>
      <c r="C810" t="s">
        <v>18</v>
      </c>
      <c r="D810" t="s">
        <v>26</v>
      </c>
      <c r="E810" t="s">
        <v>34</v>
      </c>
      <c r="F810" t="s">
        <v>68</v>
      </c>
      <c r="G810" t="s">
        <v>72</v>
      </c>
      <c r="H810" t="s">
        <v>73</v>
      </c>
      <c r="I810">
        <v>2</v>
      </c>
      <c r="J810">
        <v>3042</v>
      </c>
      <c r="K810">
        <v>0.05</v>
      </c>
      <c r="L810">
        <v>5779.8</v>
      </c>
      <c r="M810">
        <v>4879.1899999999996</v>
      </c>
      <c r="N810">
        <v>900.61</v>
      </c>
      <c r="O810" t="s">
        <v>80</v>
      </c>
      <c r="P810" t="s">
        <v>81</v>
      </c>
    </row>
    <row r="811" spans="1:16" x14ac:dyDescent="0.25">
      <c r="A811">
        <v>810</v>
      </c>
      <c r="B811" s="2">
        <v>45904</v>
      </c>
      <c r="C811" t="s">
        <v>23</v>
      </c>
      <c r="D811" t="s">
        <v>27</v>
      </c>
      <c r="E811" t="s">
        <v>33</v>
      </c>
      <c r="F811" t="s">
        <v>59</v>
      </c>
      <c r="G811" t="s">
        <v>72</v>
      </c>
      <c r="H811" t="s">
        <v>73</v>
      </c>
      <c r="I811">
        <v>1</v>
      </c>
      <c r="J811">
        <v>39355</v>
      </c>
      <c r="K811">
        <v>0.05</v>
      </c>
      <c r="L811">
        <v>37387.25</v>
      </c>
      <c r="M811">
        <v>29252.3</v>
      </c>
      <c r="N811">
        <v>8134.95</v>
      </c>
      <c r="O811" t="s">
        <v>79</v>
      </c>
      <c r="P811" t="s">
        <v>88</v>
      </c>
    </row>
    <row r="812" spans="1:16" x14ac:dyDescent="0.25">
      <c r="A812">
        <v>811</v>
      </c>
      <c r="B812" s="2">
        <v>45977</v>
      </c>
      <c r="C812" t="s">
        <v>19</v>
      </c>
      <c r="D812" t="s">
        <v>26</v>
      </c>
      <c r="E812" t="s">
        <v>32</v>
      </c>
      <c r="F812" t="s">
        <v>66</v>
      </c>
      <c r="G812" t="s">
        <v>70</v>
      </c>
      <c r="H812" t="s">
        <v>75</v>
      </c>
      <c r="I812">
        <v>7</v>
      </c>
      <c r="J812">
        <v>12532</v>
      </c>
      <c r="K812">
        <v>0.05</v>
      </c>
      <c r="L812">
        <v>83337.8</v>
      </c>
      <c r="M812">
        <v>69773.37</v>
      </c>
      <c r="N812">
        <v>13564.43</v>
      </c>
      <c r="O812" t="s">
        <v>76</v>
      </c>
      <c r="P812" t="s">
        <v>84</v>
      </c>
    </row>
    <row r="813" spans="1:16" x14ac:dyDescent="0.25">
      <c r="A813">
        <v>812</v>
      </c>
      <c r="B813" s="2">
        <v>45952</v>
      </c>
      <c r="C813" t="s">
        <v>21</v>
      </c>
      <c r="D813" t="s">
        <v>24</v>
      </c>
      <c r="E813" t="s">
        <v>33</v>
      </c>
      <c r="F813" t="s">
        <v>60</v>
      </c>
      <c r="G813" t="s">
        <v>72</v>
      </c>
      <c r="H813" t="s">
        <v>74</v>
      </c>
      <c r="I813">
        <v>4</v>
      </c>
      <c r="J813">
        <v>10882</v>
      </c>
      <c r="K813">
        <v>0.15</v>
      </c>
      <c r="L813">
        <v>36998.800000000003</v>
      </c>
      <c r="M813">
        <v>28601.71</v>
      </c>
      <c r="N813">
        <v>8397.09</v>
      </c>
      <c r="O813" t="s">
        <v>77</v>
      </c>
      <c r="P813" t="s">
        <v>82</v>
      </c>
    </row>
    <row r="814" spans="1:16" x14ac:dyDescent="0.25">
      <c r="A814">
        <v>813</v>
      </c>
      <c r="B814" s="2">
        <v>45843</v>
      </c>
      <c r="C814" t="s">
        <v>22</v>
      </c>
      <c r="D814" t="s">
        <v>24</v>
      </c>
      <c r="E814" t="s">
        <v>32</v>
      </c>
      <c r="F814" t="s">
        <v>48</v>
      </c>
      <c r="G814" t="s">
        <v>70</v>
      </c>
      <c r="H814" t="s">
        <v>74</v>
      </c>
      <c r="I814">
        <v>7</v>
      </c>
      <c r="J814">
        <v>13124</v>
      </c>
      <c r="K814">
        <v>0.2</v>
      </c>
      <c r="L814">
        <v>73494.399999999994</v>
      </c>
      <c r="M814">
        <v>57466.62</v>
      </c>
      <c r="N814">
        <v>16027.78</v>
      </c>
      <c r="O814" t="s">
        <v>80</v>
      </c>
      <c r="P814" t="s">
        <v>84</v>
      </c>
    </row>
    <row r="815" spans="1:16" x14ac:dyDescent="0.25">
      <c r="A815">
        <v>814</v>
      </c>
      <c r="B815" s="2">
        <v>45998</v>
      </c>
      <c r="C815" t="s">
        <v>20</v>
      </c>
      <c r="D815" t="s">
        <v>26</v>
      </c>
      <c r="E815" t="s">
        <v>31</v>
      </c>
      <c r="F815" t="s">
        <v>67</v>
      </c>
      <c r="G815" t="s">
        <v>72</v>
      </c>
      <c r="H815" t="s">
        <v>73</v>
      </c>
      <c r="I815">
        <v>7</v>
      </c>
      <c r="J815">
        <v>2294</v>
      </c>
      <c r="K815">
        <v>0</v>
      </c>
      <c r="L815">
        <v>16058</v>
      </c>
      <c r="M815">
        <v>9330.92</v>
      </c>
      <c r="N815">
        <v>6727.08</v>
      </c>
      <c r="O815" t="s">
        <v>80</v>
      </c>
      <c r="P815" t="s">
        <v>82</v>
      </c>
    </row>
    <row r="816" spans="1:16" x14ac:dyDescent="0.25">
      <c r="A816">
        <v>815</v>
      </c>
      <c r="B816" s="2">
        <v>45893</v>
      </c>
      <c r="C816" t="s">
        <v>16</v>
      </c>
      <c r="D816" t="s">
        <v>24</v>
      </c>
      <c r="E816" t="s">
        <v>33</v>
      </c>
      <c r="F816" t="s">
        <v>52</v>
      </c>
      <c r="G816" t="s">
        <v>72</v>
      </c>
      <c r="H816" t="s">
        <v>75</v>
      </c>
      <c r="I816">
        <v>4</v>
      </c>
      <c r="J816">
        <v>32315</v>
      </c>
      <c r="K816">
        <v>0.05</v>
      </c>
      <c r="L816">
        <v>122797</v>
      </c>
      <c r="M816">
        <v>87409.13</v>
      </c>
      <c r="N816">
        <v>35387.870000000003</v>
      </c>
      <c r="O816" t="s">
        <v>79</v>
      </c>
      <c r="P816" t="s">
        <v>81</v>
      </c>
    </row>
    <row r="817" spans="1:16" x14ac:dyDescent="0.25">
      <c r="A817">
        <v>816</v>
      </c>
      <c r="B817" s="2">
        <v>45830</v>
      </c>
      <c r="C817" t="s">
        <v>20</v>
      </c>
      <c r="D817" t="s">
        <v>26</v>
      </c>
      <c r="E817" t="s">
        <v>30</v>
      </c>
      <c r="F817" t="s">
        <v>44</v>
      </c>
      <c r="G817" t="s">
        <v>70</v>
      </c>
      <c r="H817" t="s">
        <v>75</v>
      </c>
      <c r="I817">
        <v>2</v>
      </c>
      <c r="J817">
        <v>11211</v>
      </c>
      <c r="K817">
        <v>0</v>
      </c>
      <c r="L817">
        <v>22422</v>
      </c>
      <c r="M817">
        <v>17642.150000000001</v>
      </c>
      <c r="N817">
        <v>4779.8500000000004</v>
      </c>
      <c r="O817" t="s">
        <v>79</v>
      </c>
      <c r="P817" t="s">
        <v>82</v>
      </c>
    </row>
    <row r="818" spans="1:16" x14ac:dyDescent="0.25">
      <c r="A818">
        <v>817</v>
      </c>
      <c r="B818" s="2">
        <v>45887</v>
      </c>
      <c r="C818" t="s">
        <v>22</v>
      </c>
      <c r="D818" t="s">
        <v>24</v>
      </c>
      <c r="E818" t="s">
        <v>28</v>
      </c>
      <c r="F818" t="s">
        <v>63</v>
      </c>
      <c r="G818" t="s">
        <v>72</v>
      </c>
      <c r="H818" t="s">
        <v>73</v>
      </c>
      <c r="I818">
        <v>7</v>
      </c>
      <c r="J818">
        <v>1380</v>
      </c>
      <c r="K818">
        <v>0.15</v>
      </c>
      <c r="L818">
        <v>8211</v>
      </c>
      <c r="M818">
        <v>5513.91</v>
      </c>
      <c r="N818">
        <v>2697.09</v>
      </c>
      <c r="O818" t="s">
        <v>80</v>
      </c>
      <c r="P818" t="s">
        <v>81</v>
      </c>
    </row>
    <row r="819" spans="1:16" x14ac:dyDescent="0.25">
      <c r="A819">
        <v>818</v>
      </c>
      <c r="B819" s="2">
        <v>45996</v>
      </c>
      <c r="C819" t="s">
        <v>19</v>
      </c>
      <c r="D819" t="s">
        <v>26</v>
      </c>
      <c r="E819" t="s">
        <v>29</v>
      </c>
      <c r="F819" t="s">
        <v>45</v>
      </c>
      <c r="G819" t="s">
        <v>70</v>
      </c>
      <c r="H819" t="s">
        <v>74</v>
      </c>
      <c r="I819">
        <v>3</v>
      </c>
      <c r="J819">
        <v>2406</v>
      </c>
      <c r="K819">
        <v>0.15</v>
      </c>
      <c r="L819">
        <v>6135.3</v>
      </c>
      <c r="M819">
        <v>4508.2299999999996</v>
      </c>
      <c r="N819">
        <v>1627.07</v>
      </c>
      <c r="O819" t="s">
        <v>76</v>
      </c>
      <c r="P819" t="s">
        <v>85</v>
      </c>
    </row>
    <row r="820" spans="1:16" x14ac:dyDescent="0.25">
      <c r="A820">
        <v>819</v>
      </c>
      <c r="B820" s="2">
        <v>46018</v>
      </c>
      <c r="C820" t="s">
        <v>16</v>
      </c>
      <c r="D820" t="s">
        <v>24</v>
      </c>
      <c r="E820" t="s">
        <v>29</v>
      </c>
      <c r="F820" t="s">
        <v>42</v>
      </c>
      <c r="G820" t="s">
        <v>71</v>
      </c>
      <c r="H820" t="s">
        <v>75</v>
      </c>
      <c r="I820">
        <v>7</v>
      </c>
      <c r="J820">
        <v>3539</v>
      </c>
      <c r="K820">
        <v>0.15</v>
      </c>
      <c r="L820">
        <v>21057.05</v>
      </c>
      <c r="M820">
        <v>16908.509999999998</v>
      </c>
      <c r="N820">
        <v>4148.54</v>
      </c>
      <c r="O820" t="s">
        <v>77</v>
      </c>
      <c r="P820" t="s">
        <v>85</v>
      </c>
    </row>
    <row r="821" spans="1:16" x14ac:dyDescent="0.25">
      <c r="A821">
        <v>820</v>
      </c>
      <c r="B821" s="2">
        <v>45814</v>
      </c>
      <c r="C821" t="s">
        <v>16</v>
      </c>
      <c r="D821" t="s">
        <v>24</v>
      </c>
      <c r="E821" t="s">
        <v>33</v>
      </c>
      <c r="F821" t="s">
        <v>46</v>
      </c>
      <c r="G821" t="s">
        <v>71</v>
      </c>
      <c r="H821" t="s">
        <v>74</v>
      </c>
      <c r="I821">
        <v>2</v>
      </c>
      <c r="J821">
        <v>16147</v>
      </c>
      <c r="K821">
        <v>0.05</v>
      </c>
      <c r="L821">
        <v>30679.3</v>
      </c>
      <c r="M821">
        <v>22639.45</v>
      </c>
      <c r="N821">
        <v>8039.85</v>
      </c>
      <c r="O821" t="s">
        <v>76</v>
      </c>
      <c r="P821" t="s">
        <v>88</v>
      </c>
    </row>
    <row r="822" spans="1:16" x14ac:dyDescent="0.25">
      <c r="A822">
        <v>821</v>
      </c>
      <c r="B822" s="2">
        <v>46013</v>
      </c>
      <c r="C822" t="s">
        <v>18</v>
      </c>
      <c r="D822" t="s">
        <v>26</v>
      </c>
      <c r="E822" t="s">
        <v>31</v>
      </c>
      <c r="F822" t="s">
        <v>69</v>
      </c>
      <c r="G822" t="s">
        <v>72</v>
      </c>
      <c r="H822" t="s">
        <v>73</v>
      </c>
      <c r="I822">
        <v>5</v>
      </c>
      <c r="J822">
        <v>2392</v>
      </c>
      <c r="K822">
        <v>0.05</v>
      </c>
      <c r="L822">
        <v>11362</v>
      </c>
      <c r="M822">
        <v>9440.9500000000007</v>
      </c>
      <c r="N822">
        <v>1921.05</v>
      </c>
      <c r="O822" t="s">
        <v>77</v>
      </c>
      <c r="P822" t="s">
        <v>84</v>
      </c>
    </row>
    <row r="823" spans="1:16" x14ac:dyDescent="0.25">
      <c r="A823">
        <v>822</v>
      </c>
      <c r="B823" s="2">
        <v>45847</v>
      </c>
      <c r="C823" t="s">
        <v>18</v>
      </c>
      <c r="D823" t="s">
        <v>26</v>
      </c>
      <c r="E823" t="s">
        <v>28</v>
      </c>
      <c r="F823" t="s">
        <v>54</v>
      </c>
      <c r="G823" t="s">
        <v>72</v>
      </c>
      <c r="H823" t="s">
        <v>74</v>
      </c>
      <c r="I823">
        <v>5</v>
      </c>
      <c r="J823">
        <v>917</v>
      </c>
      <c r="K823">
        <v>0.15</v>
      </c>
      <c r="L823">
        <v>3897.25</v>
      </c>
      <c r="M823">
        <v>2421.5300000000002</v>
      </c>
      <c r="N823">
        <v>1475.72</v>
      </c>
      <c r="O823" t="s">
        <v>79</v>
      </c>
      <c r="P823" t="s">
        <v>81</v>
      </c>
    </row>
    <row r="824" spans="1:16" x14ac:dyDescent="0.25">
      <c r="A824">
        <v>823</v>
      </c>
      <c r="B824" s="2">
        <v>45762</v>
      </c>
      <c r="C824" t="s">
        <v>23</v>
      </c>
      <c r="D824" t="s">
        <v>27</v>
      </c>
      <c r="E824" t="s">
        <v>29</v>
      </c>
      <c r="F824" t="s">
        <v>57</v>
      </c>
      <c r="G824" t="s">
        <v>70</v>
      </c>
      <c r="H824" t="s">
        <v>75</v>
      </c>
      <c r="I824">
        <v>5</v>
      </c>
      <c r="J824">
        <v>1025</v>
      </c>
      <c r="K824">
        <v>0.15</v>
      </c>
      <c r="L824">
        <v>4356.25</v>
      </c>
      <c r="M824">
        <v>2841.35</v>
      </c>
      <c r="N824">
        <v>1514.9</v>
      </c>
      <c r="O824" t="s">
        <v>76</v>
      </c>
      <c r="P824" t="s">
        <v>81</v>
      </c>
    </row>
    <row r="825" spans="1:16" x14ac:dyDescent="0.25">
      <c r="A825">
        <v>824</v>
      </c>
      <c r="B825" s="2">
        <v>45958</v>
      </c>
      <c r="C825" t="s">
        <v>18</v>
      </c>
      <c r="D825" t="s">
        <v>26</v>
      </c>
      <c r="E825" t="s">
        <v>31</v>
      </c>
      <c r="F825" t="s">
        <v>38</v>
      </c>
      <c r="G825" t="s">
        <v>72</v>
      </c>
      <c r="H825" t="s">
        <v>75</v>
      </c>
      <c r="I825">
        <v>3</v>
      </c>
      <c r="J825">
        <v>185</v>
      </c>
      <c r="K825">
        <v>0</v>
      </c>
      <c r="L825">
        <v>555</v>
      </c>
      <c r="M825">
        <v>394.23</v>
      </c>
      <c r="N825">
        <v>160.77000000000001</v>
      </c>
      <c r="O825" t="s">
        <v>79</v>
      </c>
      <c r="P825" t="s">
        <v>86</v>
      </c>
    </row>
    <row r="826" spans="1:16" x14ac:dyDescent="0.25">
      <c r="A826">
        <v>825</v>
      </c>
      <c r="B826" s="2">
        <v>45840</v>
      </c>
      <c r="C826" t="s">
        <v>18</v>
      </c>
      <c r="D826" t="s">
        <v>26</v>
      </c>
      <c r="E826" t="s">
        <v>32</v>
      </c>
      <c r="F826" t="s">
        <v>39</v>
      </c>
      <c r="G826" t="s">
        <v>71</v>
      </c>
      <c r="H826" t="s">
        <v>75</v>
      </c>
      <c r="I826">
        <v>2</v>
      </c>
      <c r="J826">
        <v>2732</v>
      </c>
      <c r="K826">
        <v>0.05</v>
      </c>
      <c r="L826">
        <v>5190.8</v>
      </c>
      <c r="M826">
        <v>3196.57</v>
      </c>
      <c r="N826">
        <v>1994.23</v>
      </c>
      <c r="O826" t="s">
        <v>78</v>
      </c>
      <c r="P826" t="s">
        <v>86</v>
      </c>
    </row>
    <row r="827" spans="1:16" x14ac:dyDescent="0.25">
      <c r="A827">
        <v>826</v>
      </c>
      <c r="B827" s="2">
        <v>45809</v>
      </c>
      <c r="C827" t="s">
        <v>18</v>
      </c>
      <c r="D827" t="s">
        <v>26</v>
      </c>
      <c r="E827" t="s">
        <v>28</v>
      </c>
      <c r="F827" t="s">
        <v>58</v>
      </c>
      <c r="G827" t="s">
        <v>71</v>
      </c>
      <c r="H827" t="s">
        <v>73</v>
      </c>
      <c r="I827">
        <v>6</v>
      </c>
      <c r="J827">
        <v>1301</v>
      </c>
      <c r="K827">
        <v>0.1</v>
      </c>
      <c r="L827">
        <v>7025.4</v>
      </c>
      <c r="M827">
        <v>5578.44</v>
      </c>
      <c r="N827">
        <v>1446.96</v>
      </c>
      <c r="O827" t="s">
        <v>78</v>
      </c>
      <c r="P827" t="s">
        <v>82</v>
      </c>
    </row>
    <row r="828" spans="1:16" x14ac:dyDescent="0.25">
      <c r="A828">
        <v>827</v>
      </c>
      <c r="B828" s="2">
        <v>45918</v>
      </c>
      <c r="C828" t="s">
        <v>21</v>
      </c>
      <c r="D828" t="s">
        <v>24</v>
      </c>
      <c r="E828" t="s">
        <v>29</v>
      </c>
      <c r="F828" t="s">
        <v>36</v>
      </c>
      <c r="G828" t="s">
        <v>72</v>
      </c>
      <c r="H828" t="s">
        <v>73</v>
      </c>
      <c r="I828">
        <v>6</v>
      </c>
      <c r="J828">
        <v>10510</v>
      </c>
      <c r="K828">
        <v>0.05</v>
      </c>
      <c r="L828">
        <v>59907</v>
      </c>
      <c r="M828">
        <v>35747.17</v>
      </c>
      <c r="N828">
        <v>24159.83</v>
      </c>
      <c r="O828" t="s">
        <v>76</v>
      </c>
      <c r="P828" t="s">
        <v>86</v>
      </c>
    </row>
    <row r="829" spans="1:16" x14ac:dyDescent="0.25">
      <c r="A829">
        <v>828</v>
      </c>
      <c r="B829" s="2">
        <v>45808</v>
      </c>
      <c r="C829" t="s">
        <v>19</v>
      </c>
      <c r="D829" t="s">
        <v>26</v>
      </c>
      <c r="E829" t="s">
        <v>30</v>
      </c>
      <c r="F829" t="s">
        <v>56</v>
      </c>
      <c r="G829" t="s">
        <v>70</v>
      </c>
      <c r="H829" t="s">
        <v>73</v>
      </c>
      <c r="I829">
        <v>8</v>
      </c>
      <c r="J829">
        <v>27011</v>
      </c>
      <c r="K829">
        <v>0.1</v>
      </c>
      <c r="L829">
        <v>194479.2</v>
      </c>
      <c r="M829">
        <v>165697.87</v>
      </c>
      <c r="N829">
        <v>28781.33</v>
      </c>
      <c r="O829" t="s">
        <v>78</v>
      </c>
      <c r="P829" t="s">
        <v>88</v>
      </c>
    </row>
    <row r="830" spans="1:16" x14ac:dyDescent="0.25">
      <c r="A830">
        <v>829</v>
      </c>
      <c r="B830" s="2">
        <v>45857</v>
      </c>
      <c r="C830" t="s">
        <v>18</v>
      </c>
      <c r="D830" t="s">
        <v>26</v>
      </c>
      <c r="E830" t="s">
        <v>34</v>
      </c>
      <c r="F830" t="s">
        <v>68</v>
      </c>
      <c r="G830" t="s">
        <v>70</v>
      </c>
      <c r="H830" t="s">
        <v>73</v>
      </c>
      <c r="I830">
        <v>3</v>
      </c>
      <c r="J830">
        <v>2498</v>
      </c>
      <c r="K830">
        <v>0.1</v>
      </c>
      <c r="L830">
        <v>6744.6</v>
      </c>
      <c r="M830">
        <v>4887.16</v>
      </c>
      <c r="N830">
        <v>1857.44</v>
      </c>
      <c r="O830" t="s">
        <v>78</v>
      </c>
      <c r="P830" t="s">
        <v>86</v>
      </c>
    </row>
    <row r="831" spans="1:16" x14ac:dyDescent="0.25">
      <c r="A831">
        <v>830</v>
      </c>
      <c r="B831" s="2">
        <v>45919</v>
      </c>
      <c r="C831" t="s">
        <v>19</v>
      </c>
      <c r="D831" t="s">
        <v>26</v>
      </c>
      <c r="E831" t="s">
        <v>34</v>
      </c>
      <c r="F831" t="s">
        <v>51</v>
      </c>
      <c r="G831" t="s">
        <v>71</v>
      </c>
      <c r="H831" t="s">
        <v>75</v>
      </c>
      <c r="I831">
        <v>4</v>
      </c>
      <c r="J831">
        <v>4283</v>
      </c>
      <c r="K831">
        <v>0.05</v>
      </c>
      <c r="L831">
        <v>16275.4</v>
      </c>
      <c r="M831">
        <v>13528.61</v>
      </c>
      <c r="N831">
        <v>2746.79</v>
      </c>
      <c r="O831" t="s">
        <v>79</v>
      </c>
      <c r="P831" t="s">
        <v>88</v>
      </c>
    </row>
    <row r="832" spans="1:16" x14ac:dyDescent="0.25">
      <c r="A832">
        <v>831</v>
      </c>
      <c r="B832" s="2">
        <v>45866</v>
      </c>
      <c r="C832" t="s">
        <v>17</v>
      </c>
      <c r="D832" t="s">
        <v>25</v>
      </c>
      <c r="E832" t="s">
        <v>28</v>
      </c>
      <c r="F832" t="s">
        <v>63</v>
      </c>
      <c r="G832" t="s">
        <v>72</v>
      </c>
      <c r="H832" t="s">
        <v>75</v>
      </c>
      <c r="I832">
        <v>1</v>
      </c>
      <c r="J832">
        <v>1984</v>
      </c>
      <c r="K832">
        <v>0.1</v>
      </c>
      <c r="L832">
        <v>1785.6</v>
      </c>
      <c r="M832">
        <v>1181.33</v>
      </c>
      <c r="N832">
        <v>604.27</v>
      </c>
      <c r="O832" t="s">
        <v>80</v>
      </c>
      <c r="P832" t="s">
        <v>85</v>
      </c>
    </row>
    <row r="833" spans="1:16" x14ac:dyDescent="0.25">
      <c r="A833">
        <v>832</v>
      </c>
      <c r="B833" s="2">
        <v>45701</v>
      </c>
      <c r="C833" t="s">
        <v>22</v>
      </c>
      <c r="D833" t="s">
        <v>24</v>
      </c>
      <c r="E833" t="s">
        <v>29</v>
      </c>
      <c r="F833" t="s">
        <v>45</v>
      </c>
      <c r="G833" t="s">
        <v>70</v>
      </c>
      <c r="H833" t="s">
        <v>75</v>
      </c>
      <c r="I833">
        <v>6</v>
      </c>
      <c r="J833">
        <v>6665</v>
      </c>
      <c r="K833">
        <v>0.1</v>
      </c>
      <c r="L833">
        <v>35991</v>
      </c>
      <c r="M833">
        <v>21146.21</v>
      </c>
      <c r="N833">
        <v>14844.79</v>
      </c>
      <c r="O833" t="s">
        <v>76</v>
      </c>
      <c r="P833" t="s">
        <v>88</v>
      </c>
    </row>
    <row r="834" spans="1:16" x14ac:dyDescent="0.25">
      <c r="A834">
        <v>833</v>
      </c>
      <c r="B834" s="2">
        <v>45948</v>
      </c>
      <c r="C834" t="s">
        <v>21</v>
      </c>
      <c r="D834" t="s">
        <v>24</v>
      </c>
      <c r="E834" t="s">
        <v>33</v>
      </c>
      <c r="F834" t="s">
        <v>52</v>
      </c>
      <c r="G834" t="s">
        <v>72</v>
      </c>
      <c r="H834" t="s">
        <v>73</v>
      </c>
      <c r="I834">
        <v>6</v>
      </c>
      <c r="J834">
        <v>9943</v>
      </c>
      <c r="K834">
        <v>0</v>
      </c>
      <c r="L834">
        <v>59658</v>
      </c>
      <c r="M834">
        <v>51461.22</v>
      </c>
      <c r="N834">
        <v>8196.7800000000007</v>
      </c>
      <c r="O834" t="s">
        <v>80</v>
      </c>
      <c r="P834" t="s">
        <v>87</v>
      </c>
    </row>
    <row r="835" spans="1:16" x14ac:dyDescent="0.25">
      <c r="A835">
        <v>834</v>
      </c>
      <c r="B835" s="2">
        <v>45807</v>
      </c>
      <c r="C835" t="s">
        <v>17</v>
      </c>
      <c r="D835" t="s">
        <v>25</v>
      </c>
      <c r="E835" t="s">
        <v>32</v>
      </c>
      <c r="F835" t="s">
        <v>62</v>
      </c>
      <c r="G835" t="s">
        <v>72</v>
      </c>
      <c r="H835" t="s">
        <v>75</v>
      </c>
      <c r="I835">
        <v>3</v>
      </c>
      <c r="J835">
        <v>19374</v>
      </c>
      <c r="K835">
        <v>0</v>
      </c>
      <c r="L835">
        <v>58122</v>
      </c>
      <c r="M835">
        <v>32713.13</v>
      </c>
      <c r="N835">
        <v>25408.87</v>
      </c>
      <c r="O835" t="s">
        <v>80</v>
      </c>
      <c r="P835" t="s">
        <v>83</v>
      </c>
    </row>
    <row r="836" spans="1:16" x14ac:dyDescent="0.25">
      <c r="A836">
        <v>835</v>
      </c>
      <c r="B836" s="2">
        <v>45706</v>
      </c>
      <c r="C836" t="s">
        <v>20</v>
      </c>
      <c r="D836" t="s">
        <v>26</v>
      </c>
      <c r="E836" t="s">
        <v>28</v>
      </c>
      <c r="F836" t="s">
        <v>63</v>
      </c>
      <c r="G836" t="s">
        <v>70</v>
      </c>
      <c r="H836" t="s">
        <v>75</v>
      </c>
      <c r="I836">
        <v>7</v>
      </c>
      <c r="J836">
        <v>440</v>
      </c>
      <c r="K836">
        <v>0.1</v>
      </c>
      <c r="L836">
        <v>2772</v>
      </c>
      <c r="M836">
        <v>2075.38</v>
      </c>
      <c r="N836">
        <v>696.62</v>
      </c>
      <c r="O836" t="s">
        <v>76</v>
      </c>
      <c r="P836" t="s">
        <v>84</v>
      </c>
    </row>
    <row r="837" spans="1:16" x14ac:dyDescent="0.25">
      <c r="A837">
        <v>836</v>
      </c>
      <c r="B837" s="2">
        <v>45738</v>
      </c>
      <c r="C837" t="s">
        <v>16</v>
      </c>
      <c r="D837" t="s">
        <v>24</v>
      </c>
      <c r="E837" t="s">
        <v>30</v>
      </c>
      <c r="F837" t="s">
        <v>64</v>
      </c>
      <c r="G837" t="s">
        <v>72</v>
      </c>
      <c r="H837" t="s">
        <v>73</v>
      </c>
      <c r="I837">
        <v>7</v>
      </c>
      <c r="J837">
        <v>26944</v>
      </c>
      <c r="K837">
        <v>0</v>
      </c>
      <c r="L837">
        <v>188608</v>
      </c>
      <c r="M837">
        <v>155825.10999999999</v>
      </c>
      <c r="N837">
        <v>32782.89</v>
      </c>
      <c r="O837" t="s">
        <v>77</v>
      </c>
      <c r="P837" t="s">
        <v>83</v>
      </c>
    </row>
    <row r="838" spans="1:16" x14ac:dyDescent="0.25">
      <c r="A838">
        <v>837</v>
      </c>
      <c r="B838" s="2">
        <v>45769</v>
      </c>
      <c r="C838" t="s">
        <v>17</v>
      </c>
      <c r="D838" t="s">
        <v>25</v>
      </c>
      <c r="E838" t="s">
        <v>34</v>
      </c>
      <c r="F838" t="s">
        <v>51</v>
      </c>
      <c r="G838" t="s">
        <v>70</v>
      </c>
      <c r="H838" t="s">
        <v>75</v>
      </c>
      <c r="I838">
        <v>1</v>
      </c>
      <c r="J838">
        <v>1328</v>
      </c>
      <c r="K838">
        <v>0.15</v>
      </c>
      <c r="L838">
        <v>1128.8</v>
      </c>
      <c r="M838">
        <v>810.82</v>
      </c>
      <c r="N838">
        <v>317.98</v>
      </c>
      <c r="O838" t="s">
        <v>79</v>
      </c>
      <c r="P838" t="s">
        <v>84</v>
      </c>
    </row>
    <row r="839" spans="1:16" x14ac:dyDescent="0.25">
      <c r="A839">
        <v>838</v>
      </c>
      <c r="B839" s="2">
        <v>45852</v>
      </c>
      <c r="C839" t="s">
        <v>23</v>
      </c>
      <c r="D839" t="s">
        <v>27</v>
      </c>
      <c r="E839" t="s">
        <v>30</v>
      </c>
      <c r="F839" t="s">
        <v>44</v>
      </c>
      <c r="G839" t="s">
        <v>70</v>
      </c>
      <c r="H839" t="s">
        <v>75</v>
      </c>
      <c r="I839">
        <v>5</v>
      </c>
      <c r="J839">
        <v>15121</v>
      </c>
      <c r="K839">
        <v>0.1</v>
      </c>
      <c r="L839">
        <v>68044.5</v>
      </c>
      <c r="M839">
        <v>37848.25</v>
      </c>
      <c r="N839">
        <v>30196.25</v>
      </c>
      <c r="O839" t="s">
        <v>77</v>
      </c>
      <c r="P839" t="s">
        <v>85</v>
      </c>
    </row>
    <row r="840" spans="1:16" x14ac:dyDescent="0.25">
      <c r="A840">
        <v>839</v>
      </c>
      <c r="B840" s="2">
        <v>45760</v>
      </c>
      <c r="C840" t="s">
        <v>16</v>
      </c>
      <c r="D840" t="s">
        <v>24</v>
      </c>
      <c r="E840" t="s">
        <v>29</v>
      </c>
      <c r="F840" t="s">
        <v>36</v>
      </c>
      <c r="G840" t="s">
        <v>71</v>
      </c>
      <c r="H840" t="s">
        <v>74</v>
      </c>
      <c r="I840">
        <v>7</v>
      </c>
      <c r="J840">
        <v>8510</v>
      </c>
      <c r="K840">
        <v>0.05</v>
      </c>
      <c r="L840">
        <v>56591.5</v>
      </c>
      <c r="M840">
        <v>49452.73</v>
      </c>
      <c r="N840">
        <v>7138.77</v>
      </c>
      <c r="O840" t="s">
        <v>78</v>
      </c>
      <c r="P840" t="s">
        <v>86</v>
      </c>
    </row>
    <row r="841" spans="1:16" x14ac:dyDescent="0.25">
      <c r="A841">
        <v>840</v>
      </c>
      <c r="B841" s="2">
        <v>45707</v>
      </c>
      <c r="C841" t="s">
        <v>21</v>
      </c>
      <c r="D841" t="s">
        <v>24</v>
      </c>
      <c r="E841" t="s">
        <v>32</v>
      </c>
      <c r="F841" t="s">
        <v>39</v>
      </c>
      <c r="G841" t="s">
        <v>70</v>
      </c>
      <c r="H841" t="s">
        <v>74</v>
      </c>
      <c r="I841">
        <v>5</v>
      </c>
      <c r="J841">
        <v>11907</v>
      </c>
      <c r="K841">
        <v>0.15</v>
      </c>
      <c r="L841">
        <v>50604.75</v>
      </c>
      <c r="M841">
        <v>34236.28</v>
      </c>
      <c r="N841">
        <v>16368.47</v>
      </c>
      <c r="O841" t="s">
        <v>78</v>
      </c>
      <c r="P841" t="s">
        <v>81</v>
      </c>
    </row>
    <row r="842" spans="1:16" x14ac:dyDescent="0.25">
      <c r="A842">
        <v>841</v>
      </c>
      <c r="B842" s="2">
        <v>45935</v>
      </c>
      <c r="C842" t="s">
        <v>22</v>
      </c>
      <c r="D842" t="s">
        <v>24</v>
      </c>
      <c r="E842" t="s">
        <v>34</v>
      </c>
      <c r="F842" t="s">
        <v>51</v>
      </c>
      <c r="G842" t="s">
        <v>72</v>
      </c>
      <c r="H842" t="s">
        <v>73</v>
      </c>
      <c r="I842">
        <v>8</v>
      </c>
      <c r="J842">
        <v>1064</v>
      </c>
      <c r="K842">
        <v>0.05</v>
      </c>
      <c r="L842">
        <v>8086.4</v>
      </c>
      <c r="M842">
        <v>7090.93</v>
      </c>
      <c r="N842">
        <v>995.47</v>
      </c>
      <c r="O842" t="s">
        <v>80</v>
      </c>
      <c r="P842" t="s">
        <v>85</v>
      </c>
    </row>
    <row r="843" spans="1:16" x14ac:dyDescent="0.25">
      <c r="A843">
        <v>842</v>
      </c>
      <c r="B843" s="2">
        <v>45788</v>
      </c>
      <c r="C843" t="s">
        <v>19</v>
      </c>
      <c r="D843" t="s">
        <v>26</v>
      </c>
      <c r="E843" t="s">
        <v>34</v>
      </c>
      <c r="F843" t="s">
        <v>43</v>
      </c>
      <c r="G843" t="s">
        <v>70</v>
      </c>
      <c r="H843" t="s">
        <v>73</v>
      </c>
      <c r="I843">
        <v>8</v>
      </c>
      <c r="J843">
        <v>4955</v>
      </c>
      <c r="K843">
        <v>0.15</v>
      </c>
      <c r="L843">
        <v>33694</v>
      </c>
      <c r="M843">
        <v>25531.24</v>
      </c>
      <c r="N843">
        <v>8162.76</v>
      </c>
      <c r="O843" t="s">
        <v>79</v>
      </c>
      <c r="P843" t="s">
        <v>85</v>
      </c>
    </row>
    <row r="844" spans="1:16" x14ac:dyDescent="0.25">
      <c r="A844">
        <v>843</v>
      </c>
      <c r="B844" s="2">
        <v>45954</v>
      </c>
      <c r="C844" t="s">
        <v>23</v>
      </c>
      <c r="D844" t="s">
        <v>27</v>
      </c>
      <c r="E844" t="s">
        <v>29</v>
      </c>
      <c r="F844" t="s">
        <v>36</v>
      </c>
      <c r="G844" t="s">
        <v>72</v>
      </c>
      <c r="H844" t="s">
        <v>74</v>
      </c>
      <c r="I844">
        <v>4</v>
      </c>
      <c r="J844">
        <v>10748</v>
      </c>
      <c r="K844">
        <v>0.15</v>
      </c>
      <c r="L844">
        <v>36543.199999999997</v>
      </c>
      <c r="M844">
        <v>24629.49</v>
      </c>
      <c r="N844">
        <v>11913.71</v>
      </c>
      <c r="O844" t="s">
        <v>77</v>
      </c>
      <c r="P844" t="s">
        <v>85</v>
      </c>
    </row>
    <row r="845" spans="1:16" x14ac:dyDescent="0.25">
      <c r="A845">
        <v>844</v>
      </c>
      <c r="B845" s="2">
        <v>45742</v>
      </c>
      <c r="C845" t="s">
        <v>19</v>
      </c>
      <c r="D845" t="s">
        <v>26</v>
      </c>
      <c r="E845" t="s">
        <v>29</v>
      </c>
      <c r="F845" t="s">
        <v>42</v>
      </c>
      <c r="G845" t="s">
        <v>71</v>
      </c>
      <c r="H845" t="s">
        <v>73</v>
      </c>
      <c r="I845">
        <v>4</v>
      </c>
      <c r="J845">
        <v>7864</v>
      </c>
      <c r="K845">
        <v>0</v>
      </c>
      <c r="L845">
        <v>31456</v>
      </c>
      <c r="M845">
        <v>27296.720000000001</v>
      </c>
      <c r="N845">
        <v>4159.28</v>
      </c>
      <c r="O845" t="s">
        <v>78</v>
      </c>
      <c r="P845" t="s">
        <v>86</v>
      </c>
    </row>
    <row r="846" spans="1:16" x14ac:dyDescent="0.25">
      <c r="A846">
        <v>845</v>
      </c>
      <c r="B846" s="2">
        <v>45694</v>
      </c>
      <c r="C846" t="s">
        <v>20</v>
      </c>
      <c r="D846" t="s">
        <v>26</v>
      </c>
      <c r="E846" t="s">
        <v>29</v>
      </c>
      <c r="F846" t="s">
        <v>42</v>
      </c>
      <c r="G846" t="s">
        <v>72</v>
      </c>
      <c r="H846" t="s">
        <v>75</v>
      </c>
      <c r="I846">
        <v>5</v>
      </c>
      <c r="J846">
        <v>7303</v>
      </c>
      <c r="K846">
        <v>0.05</v>
      </c>
      <c r="L846">
        <v>34689.25</v>
      </c>
      <c r="M846">
        <v>28538.84</v>
      </c>
      <c r="N846">
        <v>6150.41</v>
      </c>
      <c r="O846" t="s">
        <v>79</v>
      </c>
      <c r="P846" t="s">
        <v>88</v>
      </c>
    </row>
    <row r="847" spans="1:16" x14ac:dyDescent="0.25">
      <c r="A847">
        <v>846</v>
      </c>
      <c r="B847" s="2">
        <v>45901</v>
      </c>
      <c r="C847" t="s">
        <v>18</v>
      </c>
      <c r="D847" t="s">
        <v>26</v>
      </c>
      <c r="E847" t="s">
        <v>31</v>
      </c>
      <c r="F847" t="s">
        <v>38</v>
      </c>
      <c r="G847" t="s">
        <v>71</v>
      </c>
      <c r="H847" t="s">
        <v>75</v>
      </c>
      <c r="I847">
        <v>4</v>
      </c>
      <c r="J847">
        <v>983</v>
      </c>
      <c r="K847">
        <v>0.05</v>
      </c>
      <c r="L847">
        <v>3735.4</v>
      </c>
      <c r="M847">
        <v>3202.6</v>
      </c>
      <c r="N847">
        <v>532.79999999999995</v>
      </c>
      <c r="O847" t="s">
        <v>76</v>
      </c>
      <c r="P847" t="s">
        <v>85</v>
      </c>
    </row>
    <row r="848" spans="1:16" x14ac:dyDescent="0.25">
      <c r="A848">
        <v>847</v>
      </c>
      <c r="B848" s="2">
        <v>45667</v>
      </c>
      <c r="C848" t="s">
        <v>20</v>
      </c>
      <c r="D848" t="s">
        <v>26</v>
      </c>
      <c r="E848" t="s">
        <v>33</v>
      </c>
      <c r="F848" t="s">
        <v>52</v>
      </c>
      <c r="G848" t="s">
        <v>71</v>
      </c>
      <c r="H848" t="s">
        <v>75</v>
      </c>
      <c r="I848">
        <v>4</v>
      </c>
      <c r="J848">
        <v>39056</v>
      </c>
      <c r="K848">
        <v>0.1</v>
      </c>
      <c r="L848">
        <v>140601.60000000001</v>
      </c>
      <c r="M848">
        <v>104014.04</v>
      </c>
      <c r="N848">
        <v>36587.56</v>
      </c>
      <c r="O848" t="s">
        <v>80</v>
      </c>
      <c r="P848" t="s">
        <v>82</v>
      </c>
    </row>
    <row r="849" spans="1:16" x14ac:dyDescent="0.25">
      <c r="A849">
        <v>848</v>
      </c>
      <c r="B849" s="2">
        <v>45672</v>
      </c>
      <c r="C849" t="s">
        <v>21</v>
      </c>
      <c r="D849" t="s">
        <v>24</v>
      </c>
      <c r="E849" t="s">
        <v>33</v>
      </c>
      <c r="F849" t="s">
        <v>46</v>
      </c>
      <c r="G849" t="s">
        <v>71</v>
      </c>
      <c r="H849" t="s">
        <v>73</v>
      </c>
      <c r="I849">
        <v>3</v>
      </c>
      <c r="J849">
        <v>6046</v>
      </c>
      <c r="K849">
        <v>0.1</v>
      </c>
      <c r="L849">
        <v>16324.2</v>
      </c>
      <c r="M849">
        <v>12692.5</v>
      </c>
      <c r="N849">
        <v>3631.7</v>
      </c>
      <c r="O849" t="s">
        <v>76</v>
      </c>
      <c r="P849" t="s">
        <v>86</v>
      </c>
    </row>
    <row r="850" spans="1:16" x14ac:dyDescent="0.25">
      <c r="A850">
        <v>849</v>
      </c>
      <c r="B850" s="2">
        <v>45828</v>
      </c>
      <c r="C850" t="s">
        <v>21</v>
      </c>
      <c r="D850" t="s">
        <v>24</v>
      </c>
      <c r="E850" t="s">
        <v>31</v>
      </c>
      <c r="F850" t="s">
        <v>50</v>
      </c>
      <c r="G850" t="s">
        <v>72</v>
      </c>
      <c r="H850" t="s">
        <v>73</v>
      </c>
      <c r="I850">
        <v>3</v>
      </c>
      <c r="J850">
        <v>1656</v>
      </c>
      <c r="K850">
        <v>0.1</v>
      </c>
      <c r="L850">
        <v>4471.2</v>
      </c>
      <c r="M850">
        <v>2962.18</v>
      </c>
      <c r="N850">
        <v>1509.02</v>
      </c>
      <c r="O850" t="s">
        <v>78</v>
      </c>
      <c r="P850" t="s">
        <v>87</v>
      </c>
    </row>
    <row r="851" spans="1:16" x14ac:dyDescent="0.25">
      <c r="A851">
        <v>850</v>
      </c>
      <c r="B851" s="2">
        <v>45711</v>
      </c>
      <c r="C851" t="s">
        <v>20</v>
      </c>
      <c r="D851" t="s">
        <v>26</v>
      </c>
      <c r="E851" t="s">
        <v>30</v>
      </c>
      <c r="F851" t="s">
        <v>37</v>
      </c>
      <c r="G851" t="s">
        <v>71</v>
      </c>
      <c r="H851" t="s">
        <v>74</v>
      </c>
      <c r="I851">
        <v>7</v>
      </c>
      <c r="J851">
        <v>65266</v>
      </c>
      <c r="K851">
        <v>0.15</v>
      </c>
      <c r="L851">
        <v>388332.7</v>
      </c>
      <c r="M851">
        <v>316101.75</v>
      </c>
      <c r="N851">
        <v>72230.95</v>
      </c>
      <c r="O851" t="s">
        <v>78</v>
      </c>
      <c r="P851" t="s">
        <v>82</v>
      </c>
    </row>
    <row r="852" spans="1:16" x14ac:dyDescent="0.25">
      <c r="A852">
        <v>851</v>
      </c>
      <c r="B852" s="2">
        <v>45958</v>
      </c>
      <c r="C852" t="s">
        <v>21</v>
      </c>
      <c r="D852" t="s">
        <v>24</v>
      </c>
      <c r="E852" t="s">
        <v>28</v>
      </c>
      <c r="F852" t="s">
        <v>58</v>
      </c>
      <c r="G852" t="s">
        <v>72</v>
      </c>
      <c r="H852" t="s">
        <v>73</v>
      </c>
      <c r="I852">
        <v>2</v>
      </c>
      <c r="J852">
        <v>1630</v>
      </c>
      <c r="K852">
        <v>0.2</v>
      </c>
      <c r="L852">
        <v>2608</v>
      </c>
      <c r="M852">
        <v>1606.59</v>
      </c>
      <c r="N852">
        <v>1001.41</v>
      </c>
      <c r="O852" t="s">
        <v>76</v>
      </c>
      <c r="P852" t="s">
        <v>81</v>
      </c>
    </row>
    <row r="853" spans="1:16" x14ac:dyDescent="0.25">
      <c r="A853">
        <v>852</v>
      </c>
      <c r="B853" s="2">
        <v>45881</v>
      </c>
      <c r="C853" t="s">
        <v>19</v>
      </c>
      <c r="D853" t="s">
        <v>26</v>
      </c>
      <c r="E853" t="s">
        <v>32</v>
      </c>
      <c r="F853" t="s">
        <v>66</v>
      </c>
      <c r="G853" t="s">
        <v>71</v>
      </c>
      <c r="H853" t="s">
        <v>73</v>
      </c>
      <c r="I853">
        <v>4</v>
      </c>
      <c r="J853">
        <v>17027</v>
      </c>
      <c r="K853">
        <v>0.15</v>
      </c>
      <c r="L853">
        <v>57891.8</v>
      </c>
      <c r="M853">
        <v>41034.93</v>
      </c>
      <c r="N853">
        <v>16856.87</v>
      </c>
      <c r="O853" t="s">
        <v>79</v>
      </c>
      <c r="P853" t="s">
        <v>86</v>
      </c>
    </row>
    <row r="854" spans="1:16" x14ac:dyDescent="0.25">
      <c r="A854">
        <v>853</v>
      </c>
      <c r="B854" s="2">
        <v>45790</v>
      </c>
      <c r="C854" t="s">
        <v>18</v>
      </c>
      <c r="D854" t="s">
        <v>26</v>
      </c>
      <c r="E854" t="s">
        <v>29</v>
      </c>
      <c r="F854" t="s">
        <v>36</v>
      </c>
      <c r="G854" t="s">
        <v>70</v>
      </c>
      <c r="H854" t="s">
        <v>74</v>
      </c>
      <c r="I854">
        <v>1</v>
      </c>
      <c r="J854">
        <v>4532</v>
      </c>
      <c r="K854">
        <v>0.05</v>
      </c>
      <c r="L854">
        <v>4305.3999999999996</v>
      </c>
      <c r="M854">
        <v>3064.65</v>
      </c>
      <c r="N854">
        <v>1240.75</v>
      </c>
      <c r="O854" t="s">
        <v>79</v>
      </c>
      <c r="P854" t="s">
        <v>83</v>
      </c>
    </row>
    <row r="855" spans="1:16" x14ac:dyDescent="0.25">
      <c r="A855">
        <v>854</v>
      </c>
      <c r="B855" s="2">
        <v>45804</v>
      </c>
      <c r="C855" t="s">
        <v>20</v>
      </c>
      <c r="D855" t="s">
        <v>26</v>
      </c>
      <c r="E855" t="s">
        <v>28</v>
      </c>
      <c r="F855" t="s">
        <v>54</v>
      </c>
      <c r="G855" t="s">
        <v>71</v>
      </c>
      <c r="H855" t="s">
        <v>75</v>
      </c>
      <c r="I855">
        <v>3</v>
      </c>
      <c r="J855">
        <v>2212</v>
      </c>
      <c r="K855">
        <v>0.15</v>
      </c>
      <c r="L855">
        <v>5640.6</v>
      </c>
      <c r="M855">
        <v>4071.24</v>
      </c>
      <c r="N855">
        <v>1569.36</v>
      </c>
      <c r="O855" t="s">
        <v>80</v>
      </c>
      <c r="P855" t="s">
        <v>84</v>
      </c>
    </row>
    <row r="856" spans="1:16" x14ac:dyDescent="0.25">
      <c r="A856">
        <v>855</v>
      </c>
      <c r="B856" s="2">
        <v>45948</v>
      </c>
      <c r="C856" t="s">
        <v>20</v>
      </c>
      <c r="D856" t="s">
        <v>26</v>
      </c>
      <c r="E856" t="s">
        <v>34</v>
      </c>
      <c r="F856" t="s">
        <v>68</v>
      </c>
      <c r="G856" t="s">
        <v>71</v>
      </c>
      <c r="H856" t="s">
        <v>74</v>
      </c>
      <c r="I856">
        <v>6</v>
      </c>
      <c r="J856">
        <v>3384</v>
      </c>
      <c r="K856">
        <v>0</v>
      </c>
      <c r="L856">
        <v>20304</v>
      </c>
      <c r="M856">
        <v>16423.21</v>
      </c>
      <c r="N856">
        <v>3880.79</v>
      </c>
      <c r="O856" t="s">
        <v>76</v>
      </c>
      <c r="P856" t="s">
        <v>87</v>
      </c>
    </row>
    <row r="857" spans="1:16" x14ac:dyDescent="0.25">
      <c r="A857">
        <v>856</v>
      </c>
      <c r="B857" s="2">
        <v>45985</v>
      </c>
      <c r="C857" t="s">
        <v>23</v>
      </c>
      <c r="D857" t="s">
        <v>27</v>
      </c>
      <c r="E857" t="s">
        <v>34</v>
      </c>
      <c r="F857" t="s">
        <v>55</v>
      </c>
      <c r="G857" t="s">
        <v>70</v>
      </c>
      <c r="H857" t="s">
        <v>74</v>
      </c>
      <c r="I857">
        <v>8</v>
      </c>
      <c r="J857">
        <v>260</v>
      </c>
      <c r="K857">
        <v>0</v>
      </c>
      <c r="L857">
        <v>2080</v>
      </c>
      <c r="M857">
        <v>1626.75</v>
      </c>
      <c r="N857">
        <v>453.25</v>
      </c>
      <c r="O857" t="s">
        <v>76</v>
      </c>
      <c r="P857" t="s">
        <v>84</v>
      </c>
    </row>
    <row r="858" spans="1:16" x14ac:dyDescent="0.25">
      <c r="A858">
        <v>857</v>
      </c>
      <c r="B858" s="2">
        <v>45743</v>
      </c>
      <c r="C858" t="s">
        <v>20</v>
      </c>
      <c r="D858" t="s">
        <v>26</v>
      </c>
      <c r="E858" t="s">
        <v>29</v>
      </c>
      <c r="F858" t="s">
        <v>45</v>
      </c>
      <c r="G858" t="s">
        <v>72</v>
      </c>
      <c r="H858" t="s">
        <v>75</v>
      </c>
      <c r="I858">
        <v>3</v>
      </c>
      <c r="J858">
        <v>11506</v>
      </c>
      <c r="K858">
        <v>0.1</v>
      </c>
      <c r="L858">
        <v>31066.2</v>
      </c>
      <c r="M858">
        <v>20381.05</v>
      </c>
      <c r="N858">
        <v>10685.15</v>
      </c>
      <c r="O858" t="s">
        <v>78</v>
      </c>
      <c r="P858" t="s">
        <v>86</v>
      </c>
    </row>
    <row r="859" spans="1:16" x14ac:dyDescent="0.25">
      <c r="A859">
        <v>858</v>
      </c>
      <c r="B859" s="2">
        <v>45744</v>
      </c>
      <c r="C859" t="s">
        <v>21</v>
      </c>
      <c r="D859" t="s">
        <v>24</v>
      </c>
      <c r="E859" t="s">
        <v>28</v>
      </c>
      <c r="F859" t="s">
        <v>61</v>
      </c>
      <c r="G859" t="s">
        <v>72</v>
      </c>
      <c r="H859" t="s">
        <v>75</v>
      </c>
      <c r="I859">
        <v>4</v>
      </c>
      <c r="J859">
        <v>1779</v>
      </c>
      <c r="K859">
        <v>0.05</v>
      </c>
      <c r="L859">
        <v>6760.2</v>
      </c>
      <c r="M859">
        <v>5020.3900000000003</v>
      </c>
      <c r="N859">
        <v>1739.81</v>
      </c>
      <c r="O859" t="s">
        <v>77</v>
      </c>
      <c r="P859" t="s">
        <v>87</v>
      </c>
    </row>
    <row r="860" spans="1:16" x14ac:dyDescent="0.25">
      <c r="A860">
        <v>859</v>
      </c>
      <c r="B860" s="2">
        <v>45658</v>
      </c>
      <c r="C860" t="s">
        <v>20</v>
      </c>
      <c r="D860" t="s">
        <v>26</v>
      </c>
      <c r="E860" t="s">
        <v>34</v>
      </c>
      <c r="F860" t="s">
        <v>55</v>
      </c>
      <c r="G860" t="s">
        <v>72</v>
      </c>
      <c r="H860" t="s">
        <v>73</v>
      </c>
      <c r="I860">
        <v>1</v>
      </c>
      <c r="J860">
        <v>4277</v>
      </c>
      <c r="K860">
        <v>0.1</v>
      </c>
      <c r="L860">
        <v>3849.3</v>
      </c>
      <c r="M860">
        <v>3241.97</v>
      </c>
      <c r="N860">
        <v>607.33000000000004</v>
      </c>
      <c r="O860" t="s">
        <v>78</v>
      </c>
      <c r="P860" t="s">
        <v>82</v>
      </c>
    </row>
    <row r="861" spans="1:16" x14ac:dyDescent="0.25">
      <c r="A861">
        <v>860</v>
      </c>
      <c r="B861" s="2">
        <v>45909</v>
      </c>
      <c r="C861" t="s">
        <v>19</v>
      </c>
      <c r="D861" t="s">
        <v>26</v>
      </c>
      <c r="E861" t="s">
        <v>30</v>
      </c>
      <c r="F861" t="s">
        <v>64</v>
      </c>
      <c r="G861" t="s">
        <v>70</v>
      </c>
      <c r="H861" t="s">
        <v>74</v>
      </c>
      <c r="I861">
        <v>3</v>
      </c>
      <c r="J861">
        <v>20169</v>
      </c>
      <c r="K861">
        <v>0.05</v>
      </c>
      <c r="L861">
        <v>57481.65</v>
      </c>
      <c r="M861">
        <v>47052.33</v>
      </c>
      <c r="N861">
        <v>10429.32</v>
      </c>
      <c r="O861" t="s">
        <v>80</v>
      </c>
      <c r="P861" t="s">
        <v>84</v>
      </c>
    </row>
    <row r="862" spans="1:16" x14ac:dyDescent="0.25">
      <c r="A862">
        <v>861</v>
      </c>
      <c r="B862" s="2">
        <v>45971</v>
      </c>
      <c r="C862" t="s">
        <v>16</v>
      </c>
      <c r="D862" t="s">
        <v>24</v>
      </c>
      <c r="E862" t="s">
        <v>34</v>
      </c>
      <c r="F862" t="s">
        <v>55</v>
      </c>
      <c r="G862" t="s">
        <v>72</v>
      </c>
      <c r="H862" t="s">
        <v>73</v>
      </c>
      <c r="I862">
        <v>2</v>
      </c>
      <c r="J862">
        <v>4976</v>
      </c>
      <c r="K862">
        <v>0.15</v>
      </c>
      <c r="L862">
        <v>8459.2000000000007</v>
      </c>
      <c r="M862">
        <v>4755.55</v>
      </c>
      <c r="N862">
        <v>3703.65</v>
      </c>
      <c r="O862" t="s">
        <v>77</v>
      </c>
      <c r="P862" t="s">
        <v>83</v>
      </c>
    </row>
    <row r="863" spans="1:16" x14ac:dyDescent="0.25">
      <c r="A863">
        <v>862</v>
      </c>
      <c r="B863" s="2">
        <v>45916</v>
      </c>
      <c r="C863" t="s">
        <v>21</v>
      </c>
      <c r="D863" t="s">
        <v>24</v>
      </c>
      <c r="E863" t="s">
        <v>30</v>
      </c>
      <c r="F863" t="s">
        <v>44</v>
      </c>
      <c r="G863" t="s">
        <v>71</v>
      </c>
      <c r="H863" t="s">
        <v>74</v>
      </c>
      <c r="I863">
        <v>2</v>
      </c>
      <c r="J863">
        <v>53685</v>
      </c>
      <c r="K863">
        <v>0.05</v>
      </c>
      <c r="L863">
        <v>102001.5</v>
      </c>
      <c r="M863">
        <v>58079.93</v>
      </c>
      <c r="N863">
        <v>43921.57</v>
      </c>
      <c r="O863" t="s">
        <v>80</v>
      </c>
      <c r="P863" t="s">
        <v>81</v>
      </c>
    </row>
    <row r="864" spans="1:16" x14ac:dyDescent="0.25">
      <c r="A864">
        <v>863</v>
      </c>
      <c r="B864" s="2">
        <v>45970</v>
      </c>
      <c r="C864" t="s">
        <v>20</v>
      </c>
      <c r="D864" t="s">
        <v>26</v>
      </c>
      <c r="E864" t="s">
        <v>34</v>
      </c>
      <c r="F864" t="s">
        <v>55</v>
      </c>
      <c r="G864" t="s">
        <v>71</v>
      </c>
      <c r="H864" t="s">
        <v>75</v>
      </c>
      <c r="I864">
        <v>8</v>
      </c>
      <c r="J864">
        <v>5417</v>
      </c>
      <c r="K864">
        <v>0</v>
      </c>
      <c r="L864">
        <v>43336</v>
      </c>
      <c r="M864">
        <v>25721.51</v>
      </c>
      <c r="N864">
        <v>17614.490000000002</v>
      </c>
      <c r="O864" t="s">
        <v>78</v>
      </c>
      <c r="P864" t="s">
        <v>85</v>
      </c>
    </row>
    <row r="865" spans="1:16" x14ac:dyDescent="0.25">
      <c r="A865">
        <v>864</v>
      </c>
      <c r="B865" s="2">
        <v>45744</v>
      </c>
      <c r="C865" t="s">
        <v>20</v>
      </c>
      <c r="D865" t="s">
        <v>26</v>
      </c>
      <c r="E865" t="s">
        <v>32</v>
      </c>
      <c r="F865" t="s">
        <v>62</v>
      </c>
      <c r="G865" t="s">
        <v>70</v>
      </c>
      <c r="H865" t="s">
        <v>73</v>
      </c>
      <c r="I865">
        <v>4</v>
      </c>
      <c r="J865">
        <v>17873</v>
      </c>
      <c r="K865">
        <v>0</v>
      </c>
      <c r="L865">
        <v>71492</v>
      </c>
      <c r="M865">
        <v>48822.51</v>
      </c>
      <c r="N865">
        <v>22669.49</v>
      </c>
      <c r="O865" t="s">
        <v>78</v>
      </c>
      <c r="P865" t="s">
        <v>88</v>
      </c>
    </row>
    <row r="866" spans="1:16" x14ac:dyDescent="0.25">
      <c r="A866">
        <v>865</v>
      </c>
      <c r="B866" s="2">
        <v>45750</v>
      </c>
      <c r="C866" t="s">
        <v>16</v>
      </c>
      <c r="D866" t="s">
        <v>24</v>
      </c>
      <c r="E866" t="s">
        <v>31</v>
      </c>
      <c r="F866" t="s">
        <v>47</v>
      </c>
      <c r="G866" t="s">
        <v>72</v>
      </c>
      <c r="H866" t="s">
        <v>74</v>
      </c>
      <c r="I866">
        <v>2</v>
      </c>
      <c r="J866">
        <v>1909</v>
      </c>
      <c r="K866">
        <v>0</v>
      </c>
      <c r="L866">
        <v>3818</v>
      </c>
      <c r="M866">
        <v>3038.72</v>
      </c>
      <c r="N866">
        <v>779.28</v>
      </c>
      <c r="O866" t="s">
        <v>77</v>
      </c>
      <c r="P866" t="s">
        <v>81</v>
      </c>
    </row>
    <row r="867" spans="1:16" x14ac:dyDescent="0.25">
      <c r="A867">
        <v>866</v>
      </c>
      <c r="B867" s="2">
        <v>45838</v>
      </c>
      <c r="C867" t="s">
        <v>22</v>
      </c>
      <c r="D867" t="s">
        <v>24</v>
      </c>
      <c r="E867" t="s">
        <v>32</v>
      </c>
      <c r="F867" t="s">
        <v>62</v>
      </c>
      <c r="G867" t="s">
        <v>70</v>
      </c>
      <c r="H867" t="s">
        <v>74</v>
      </c>
      <c r="I867">
        <v>3</v>
      </c>
      <c r="J867">
        <v>16001</v>
      </c>
      <c r="K867">
        <v>0.05</v>
      </c>
      <c r="L867">
        <v>45602.85</v>
      </c>
      <c r="M867">
        <v>29708.55</v>
      </c>
      <c r="N867">
        <v>15894.3</v>
      </c>
      <c r="O867" t="s">
        <v>79</v>
      </c>
      <c r="P867" t="s">
        <v>88</v>
      </c>
    </row>
    <row r="868" spans="1:16" x14ac:dyDescent="0.25">
      <c r="A868">
        <v>867</v>
      </c>
      <c r="B868" s="2">
        <v>45743</v>
      </c>
      <c r="C868" t="s">
        <v>17</v>
      </c>
      <c r="D868" t="s">
        <v>25</v>
      </c>
      <c r="E868" t="s">
        <v>28</v>
      </c>
      <c r="F868" t="s">
        <v>61</v>
      </c>
      <c r="G868" t="s">
        <v>72</v>
      </c>
      <c r="H868" t="s">
        <v>74</v>
      </c>
      <c r="I868">
        <v>4</v>
      </c>
      <c r="J868">
        <v>1761</v>
      </c>
      <c r="K868">
        <v>0.05</v>
      </c>
      <c r="L868">
        <v>6691.8</v>
      </c>
      <c r="M868">
        <v>3867.37</v>
      </c>
      <c r="N868">
        <v>2824.43</v>
      </c>
      <c r="O868" t="s">
        <v>80</v>
      </c>
      <c r="P868" t="s">
        <v>88</v>
      </c>
    </row>
    <row r="869" spans="1:16" x14ac:dyDescent="0.25">
      <c r="A869">
        <v>868</v>
      </c>
      <c r="B869" s="2">
        <v>45936</v>
      </c>
      <c r="C869" t="s">
        <v>20</v>
      </c>
      <c r="D869" t="s">
        <v>26</v>
      </c>
      <c r="E869" t="s">
        <v>34</v>
      </c>
      <c r="F869" t="s">
        <v>65</v>
      </c>
      <c r="G869" t="s">
        <v>72</v>
      </c>
      <c r="H869" t="s">
        <v>73</v>
      </c>
      <c r="I869">
        <v>3</v>
      </c>
      <c r="J869">
        <v>4132</v>
      </c>
      <c r="K869">
        <v>0</v>
      </c>
      <c r="L869">
        <v>12396</v>
      </c>
      <c r="M869">
        <v>7269.23</v>
      </c>
      <c r="N869">
        <v>5126.7700000000004</v>
      </c>
      <c r="O869" t="s">
        <v>77</v>
      </c>
      <c r="P869" t="s">
        <v>86</v>
      </c>
    </row>
    <row r="870" spans="1:16" x14ac:dyDescent="0.25">
      <c r="A870">
        <v>869</v>
      </c>
      <c r="B870" s="2">
        <v>45896</v>
      </c>
      <c r="C870" t="s">
        <v>19</v>
      </c>
      <c r="D870" t="s">
        <v>26</v>
      </c>
      <c r="E870" t="s">
        <v>34</v>
      </c>
      <c r="F870" t="s">
        <v>55</v>
      </c>
      <c r="G870" t="s">
        <v>71</v>
      </c>
      <c r="H870" t="s">
        <v>73</v>
      </c>
      <c r="I870">
        <v>8</v>
      </c>
      <c r="J870">
        <v>5150</v>
      </c>
      <c r="K870">
        <v>0.1</v>
      </c>
      <c r="L870">
        <v>37080</v>
      </c>
      <c r="M870">
        <v>31049.58</v>
      </c>
      <c r="N870">
        <v>6030.42</v>
      </c>
      <c r="O870" t="s">
        <v>80</v>
      </c>
      <c r="P870" t="s">
        <v>83</v>
      </c>
    </row>
    <row r="871" spans="1:16" x14ac:dyDescent="0.25">
      <c r="A871">
        <v>870</v>
      </c>
      <c r="B871" s="2">
        <v>46022</v>
      </c>
      <c r="C871" t="s">
        <v>17</v>
      </c>
      <c r="D871" t="s">
        <v>25</v>
      </c>
      <c r="E871" t="s">
        <v>31</v>
      </c>
      <c r="F871" t="s">
        <v>69</v>
      </c>
      <c r="G871" t="s">
        <v>71</v>
      </c>
      <c r="H871" t="s">
        <v>73</v>
      </c>
      <c r="I871">
        <v>7</v>
      </c>
      <c r="J871">
        <v>1935</v>
      </c>
      <c r="K871">
        <v>0</v>
      </c>
      <c r="L871">
        <v>13545</v>
      </c>
      <c r="M871">
        <v>9215.68</v>
      </c>
      <c r="N871">
        <v>4329.32</v>
      </c>
      <c r="O871" t="s">
        <v>76</v>
      </c>
      <c r="P871" t="s">
        <v>82</v>
      </c>
    </row>
    <row r="872" spans="1:16" x14ac:dyDescent="0.25">
      <c r="A872">
        <v>871</v>
      </c>
      <c r="B872" s="2">
        <v>45720</v>
      </c>
      <c r="C872" t="s">
        <v>21</v>
      </c>
      <c r="D872" t="s">
        <v>24</v>
      </c>
      <c r="E872" t="s">
        <v>33</v>
      </c>
      <c r="F872" t="s">
        <v>41</v>
      </c>
      <c r="G872" t="s">
        <v>70</v>
      </c>
      <c r="H872" t="s">
        <v>73</v>
      </c>
      <c r="I872">
        <v>8</v>
      </c>
      <c r="J872">
        <v>13111</v>
      </c>
      <c r="K872">
        <v>0</v>
      </c>
      <c r="L872">
        <v>104888</v>
      </c>
      <c r="M872">
        <v>63284.37</v>
      </c>
      <c r="N872">
        <v>41603.629999999997</v>
      </c>
      <c r="O872" t="s">
        <v>76</v>
      </c>
      <c r="P872" t="s">
        <v>86</v>
      </c>
    </row>
    <row r="873" spans="1:16" x14ac:dyDescent="0.25">
      <c r="A873">
        <v>872</v>
      </c>
      <c r="B873" s="2">
        <v>45906</v>
      </c>
      <c r="C873" t="s">
        <v>19</v>
      </c>
      <c r="D873" t="s">
        <v>26</v>
      </c>
      <c r="E873" t="s">
        <v>31</v>
      </c>
      <c r="F873" t="s">
        <v>38</v>
      </c>
      <c r="G873" t="s">
        <v>72</v>
      </c>
      <c r="H873" t="s">
        <v>75</v>
      </c>
      <c r="I873">
        <v>5</v>
      </c>
      <c r="J873">
        <v>1671</v>
      </c>
      <c r="K873">
        <v>0.15</v>
      </c>
      <c r="L873">
        <v>7101.75</v>
      </c>
      <c r="M873">
        <v>4586.7299999999996</v>
      </c>
      <c r="N873">
        <v>2515.02</v>
      </c>
      <c r="O873" t="s">
        <v>78</v>
      </c>
      <c r="P873" t="s">
        <v>87</v>
      </c>
    </row>
    <row r="874" spans="1:16" x14ac:dyDescent="0.25">
      <c r="A874">
        <v>873</v>
      </c>
      <c r="B874" s="2">
        <v>45763</v>
      </c>
      <c r="C874" t="s">
        <v>18</v>
      </c>
      <c r="D874" t="s">
        <v>26</v>
      </c>
      <c r="E874" t="s">
        <v>32</v>
      </c>
      <c r="F874" t="s">
        <v>39</v>
      </c>
      <c r="G874" t="s">
        <v>70</v>
      </c>
      <c r="H874" t="s">
        <v>74</v>
      </c>
      <c r="I874">
        <v>7</v>
      </c>
      <c r="J874">
        <v>21876</v>
      </c>
      <c r="K874">
        <v>0.1</v>
      </c>
      <c r="L874">
        <v>137818.79999999999</v>
      </c>
      <c r="M874">
        <v>116129.2</v>
      </c>
      <c r="N874">
        <v>21689.599999999999</v>
      </c>
      <c r="O874" t="s">
        <v>77</v>
      </c>
      <c r="P874" t="s">
        <v>82</v>
      </c>
    </row>
    <row r="875" spans="1:16" x14ac:dyDescent="0.25">
      <c r="A875">
        <v>874</v>
      </c>
      <c r="B875" s="2">
        <v>45672</v>
      </c>
      <c r="C875" t="s">
        <v>16</v>
      </c>
      <c r="D875" t="s">
        <v>24</v>
      </c>
      <c r="E875" t="s">
        <v>29</v>
      </c>
      <c r="F875" t="s">
        <v>57</v>
      </c>
      <c r="G875" t="s">
        <v>71</v>
      </c>
      <c r="H875" t="s">
        <v>74</v>
      </c>
      <c r="I875">
        <v>7</v>
      </c>
      <c r="J875">
        <v>9127</v>
      </c>
      <c r="K875">
        <v>0.05</v>
      </c>
      <c r="L875">
        <v>60694.55</v>
      </c>
      <c r="M875">
        <v>49249.48</v>
      </c>
      <c r="N875">
        <v>11445.07</v>
      </c>
      <c r="O875" t="s">
        <v>79</v>
      </c>
      <c r="P875" t="s">
        <v>83</v>
      </c>
    </row>
    <row r="876" spans="1:16" x14ac:dyDescent="0.25">
      <c r="A876">
        <v>875</v>
      </c>
      <c r="B876" s="2">
        <v>45689</v>
      </c>
      <c r="C876" t="s">
        <v>18</v>
      </c>
      <c r="D876" t="s">
        <v>26</v>
      </c>
      <c r="E876" t="s">
        <v>33</v>
      </c>
      <c r="F876" t="s">
        <v>46</v>
      </c>
      <c r="G876" t="s">
        <v>71</v>
      </c>
      <c r="H876" t="s">
        <v>75</v>
      </c>
      <c r="I876">
        <v>8</v>
      </c>
      <c r="J876">
        <v>31781</v>
      </c>
      <c r="K876">
        <v>0.05</v>
      </c>
      <c r="L876">
        <v>241535.6</v>
      </c>
      <c r="M876">
        <v>159299.75</v>
      </c>
      <c r="N876">
        <v>82235.850000000006</v>
      </c>
      <c r="O876" t="s">
        <v>80</v>
      </c>
      <c r="P876" t="s">
        <v>84</v>
      </c>
    </row>
    <row r="877" spans="1:16" x14ac:dyDescent="0.25">
      <c r="A877">
        <v>876</v>
      </c>
      <c r="B877" s="2">
        <v>46010</v>
      </c>
      <c r="C877" t="s">
        <v>23</v>
      </c>
      <c r="D877" t="s">
        <v>27</v>
      </c>
      <c r="E877" t="s">
        <v>30</v>
      </c>
      <c r="F877" t="s">
        <v>64</v>
      </c>
      <c r="G877" t="s">
        <v>71</v>
      </c>
      <c r="H877" t="s">
        <v>73</v>
      </c>
      <c r="I877">
        <v>1</v>
      </c>
      <c r="J877">
        <v>40597</v>
      </c>
      <c r="K877">
        <v>0.15</v>
      </c>
      <c r="L877">
        <v>34507.449999999997</v>
      </c>
      <c r="M877">
        <v>29893.41</v>
      </c>
      <c r="N877">
        <v>4614.04</v>
      </c>
      <c r="O877" t="s">
        <v>78</v>
      </c>
      <c r="P877" t="s">
        <v>81</v>
      </c>
    </row>
    <row r="878" spans="1:16" x14ac:dyDescent="0.25">
      <c r="A878">
        <v>877</v>
      </c>
      <c r="B878" s="2">
        <v>45998</v>
      </c>
      <c r="C878" t="s">
        <v>23</v>
      </c>
      <c r="D878" t="s">
        <v>27</v>
      </c>
      <c r="E878" t="s">
        <v>33</v>
      </c>
      <c r="F878" t="s">
        <v>60</v>
      </c>
      <c r="G878" t="s">
        <v>70</v>
      </c>
      <c r="H878" t="s">
        <v>73</v>
      </c>
      <c r="I878">
        <v>7</v>
      </c>
      <c r="J878">
        <v>22104</v>
      </c>
      <c r="K878">
        <v>0.15</v>
      </c>
      <c r="L878">
        <v>131518.79999999999</v>
      </c>
      <c r="M878">
        <v>102363.81</v>
      </c>
      <c r="N878">
        <v>29154.99</v>
      </c>
      <c r="O878" t="s">
        <v>76</v>
      </c>
      <c r="P878" t="s">
        <v>88</v>
      </c>
    </row>
    <row r="879" spans="1:16" x14ac:dyDescent="0.25">
      <c r="A879">
        <v>878</v>
      </c>
      <c r="B879" s="2">
        <v>45782</v>
      </c>
      <c r="C879" t="s">
        <v>23</v>
      </c>
      <c r="D879" t="s">
        <v>27</v>
      </c>
      <c r="E879" t="s">
        <v>28</v>
      </c>
      <c r="F879" t="s">
        <v>35</v>
      </c>
      <c r="G879" t="s">
        <v>72</v>
      </c>
      <c r="H879" t="s">
        <v>73</v>
      </c>
      <c r="I879">
        <v>3</v>
      </c>
      <c r="J879">
        <v>2202</v>
      </c>
      <c r="K879">
        <v>0</v>
      </c>
      <c r="L879">
        <v>6606</v>
      </c>
      <c r="M879">
        <v>5638.02</v>
      </c>
      <c r="N879">
        <v>967.98</v>
      </c>
      <c r="O879" t="s">
        <v>80</v>
      </c>
      <c r="P879" t="s">
        <v>84</v>
      </c>
    </row>
    <row r="880" spans="1:16" x14ac:dyDescent="0.25">
      <c r="A880">
        <v>879</v>
      </c>
      <c r="B880" s="2">
        <v>45886</v>
      </c>
      <c r="C880" t="s">
        <v>18</v>
      </c>
      <c r="D880" t="s">
        <v>26</v>
      </c>
      <c r="E880" t="s">
        <v>31</v>
      </c>
      <c r="F880" t="s">
        <v>47</v>
      </c>
      <c r="G880" t="s">
        <v>72</v>
      </c>
      <c r="H880" t="s">
        <v>75</v>
      </c>
      <c r="I880">
        <v>6</v>
      </c>
      <c r="J880">
        <v>2369</v>
      </c>
      <c r="K880">
        <v>0.15</v>
      </c>
      <c r="L880">
        <v>12081.9</v>
      </c>
      <c r="M880">
        <v>9011.7999999999993</v>
      </c>
      <c r="N880">
        <v>3070.1</v>
      </c>
      <c r="O880" t="s">
        <v>79</v>
      </c>
      <c r="P880" t="s">
        <v>83</v>
      </c>
    </row>
    <row r="881" spans="1:16" x14ac:dyDescent="0.25">
      <c r="A881">
        <v>880</v>
      </c>
      <c r="B881" s="2">
        <v>45817</v>
      </c>
      <c r="C881" t="s">
        <v>20</v>
      </c>
      <c r="D881" t="s">
        <v>26</v>
      </c>
      <c r="E881" t="s">
        <v>28</v>
      </c>
      <c r="F881" t="s">
        <v>63</v>
      </c>
      <c r="G881" t="s">
        <v>72</v>
      </c>
      <c r="H881" t="s">
        <v>75</v>
      </c>
      <c r="I881">
        <v>6</v>
      </c>
      <c r="J881">
        <v>2415</v>
      </c>
      <c r="K881">
        <v>0</v>
      </c>
      <c r="L881">
        <v>14490</v>
      </c>
      <c r="M881">
        <v>9218.9</v>
      </c>
      <c r="N881">
        <v>5271.1</v>
      </c>
      <c r="O881" t="s">
        <v>79</v>
      </c>
      <c r="P881" t="s">
        <v>86</v>
      </c>
    </row>
    <row r="882" spans="1:16" x14ac:dyDescent="0.25">
      <c r="A882">
        <v>881</v>
      </c>
      <c r="B882" s="2">
        <v>45844</v>
      </c>
      <c r="C882" t="s">
        <v>19</v>
      </c>
      <c r="D882" t="s">
        <v>26</v>
      </c>
      <c r="E882" t="s">
        <v>31</v>
      </c>
      <c r="F882" t="s">
        <v>50</v>
      </c>
      <c r="G882" t="s">
        <v>71</v>
      </c>
      <c r="H882" t="s">
        <v>75</v>
      </c>
      <c r="I882">
        <v>6</v>
      </c>
      <c r="J882">
        <v>1779</v>
      </c>
      <c r="K882">
        <v>0.05</v>
      </c>
      <c r="L882">
        <v>10140.299999999999</v>
      </c>
      <c r="M882">
        <v>5871.48</v>
      </c>
      <c r="N882">
        <v>4268.82</v>
      </c>
      <c r="O882" t="s">
        <v>78</v>
      </c>
      <c r="P882" t="s">
        <v>82</v>
      </c>
    </row>
    <row r="883" spans="1:16" x14ac:dyDescent="0.25">
      <c r="A883">
        <v>882</v>
      </c>
      <c r="B883" s="2">
        <v>46004</v>
      </c>
      <c r="C883" t="s">
        <v>20</v>
      </c>
      <c r="D883" t="s">
        <v>26</v>
      </c>
      <c r="E883" t="s">
        <v>33</v>
      </c>
      <c r="F883" t="s">
        <v>60</v>
      </c>
      <c r="G883" t="s">
        <v>72</v>
      </c>
      <c r="H883" t="s">
        <v>73</v>
      </c>
      <c r="I883">
        <v>4</v>
      </c>
      <c r="J883">
        <v>33647</v>
      </c>
      <c r="K883">
        <v>0.05</v>
      </c>
      <c r="L883">
        <v>127858.6</v>
      </c>
      <c r="M883">
        <v>80705.97</v>
      </c>
      <c r="N883">
        <v>47152.63</v>
      </c>
      <c r="O883" t="s">
        <v>79</v>
      </c>
      <c r="P883" t="s">
        <v>82</v>
      </c>
    </row>
    <row r="884" spans="1:16" x14ac:dyDescent="0.25">
      <c r="A884">
        <v>883</v>
      </c>
      <c r="B884" s="2">
        <v>45836</v>
      </c>
      <c r="C884" t="s">
        <v>20</v>
      </c>
      <c r="D884" t="s">
        <v>26</v>
      </c>
      <c r="E884" t="s">
        <v>31</v>
      </c>
      <c r="F884" t="s">
        <v>47</v>
      </c>
      <c r="G884" t="s">
        <v>72</v>
      </c>
      <c r="H884" t="s">
        <v>75</v>
      </c>
      <c r="I884">
        <v>6</v>
      </c>
      <c r="J884">
        <v>1376</v>
      </c>
      <c r="K884">
        <v>0.05</v>
      </c>
      <c r="L884">
        <v>7843.2</v>
      </c>
      <c r="M884">
        <v>5838.95</v>
      </c>
      <c r="N884">
        <v>2004.25</v>
      </c>
      <c r="O884" t="s">
        <v>76</v>
      </c>
      <c r="P884" t="s">
        <v>83</v>
      </c>
    </row>
    <row r="885" spans="1:16" x14ac:dyDescent="0.25">
      <c r="A885">
        <v>884</v>
      </c>
      <c r="B885" s="2">
        <v>45664</v>
      </c>
      <c r="C885" t="s">
        <v>20</v>
      </c>
      <c r="D885" t="s">
        <v>26</v>
      </c>
      <c r="E885" t="s">
        <v>28</v>
      </c>
      <c r="F885" t="s">
        <v>63</v>
      </c>
      <c r="G885" t="s">
        <v>72</v>
      </c>
      <c r="H885" t="s">
        <v>73</v>
      </c>
      <c r="I885">
        <v>3</v>
      </c>
      <c r="J885">
        <v>597</v>
      </c>
      <c r="K885">
        <v>0.15</v>
      </c>
      <c r="L885">
        <v>1522.35</v>
      </c>
      <c r="M885">
        <v>991.69</v>
      </c>
      <c r="N885">
        <v>530.66</v>
      </c>
      <c r="O885" t="s">
        <v>79</v>
      </c>
      <c r="P885" t="s">
        <v>82</v>
      </c>
    </row>
    <row r="886" spans="1:16" x14ac:dyDescent="0.25">
      <c r="A886">
        <v>885</v>
      </c>
      <c r="B886" s="2">
        <v>45775</v>
      </c>
      <c r="C886" t="s">
        <v>17</v>
      </c>
      <c r="D886" t="s">
        <v>25</v>
      </c>
      <c r="E886" t="s">
        <v>33</v>
      </c>
      <c r="F886" t="s">
        <v>41</v>
      </c>
      <c r="G886" t="s">
        <v>72</v>
      </c>
      <c r="H886" t="s">
        <v>75</v>
      </c>
      <c r="I886">
        <v>1</v>
      </c>
      <c r="J886">
        <v>27452</v>
      </c>
      <c r="K886">
        <v>0</v>
      </c>
      <c r="L886">
        <v>27452</v>
      </c>
      <c r="M886">
        <v>23502.26</v>
      </c>
      <c r="N886">
        <v>3949.74</v>
      </c>
      <c r="O886" t="s">
        <v>78</v>
      </c>
      <c r="P886" t="s">
        <v>81</v>
      </c>
    </row>
    <row r="887" spans="1:16" x14ac:dyDescent="0.25">
      <c r="A887">
        <v>886</v>
      </c>
      <c r="B887" s="2">
        <v>45705</v>
      </c>
      <c r="C887" t="s">
        <v>20</v>
      </c>
      <c r="D887" t="s">
        <v>26</v>
      </c>
      <c r="E887" t="s">
        <v>33</v>
      </c>
      <c r="F887" t="s">
        <v>60</v>
      </c>
      <c r="G887" t="s">
        <v>70</v>
      </c>
      <c r="H887" t="s">
        <v>73</v>
      </c>
      <c r="I887">
        <v>8</v>
      </c>
      <c r="J887">
        <v>5053</v>
      </c>
      <c r="K887">
        <v>0.15</v>
      </c>
      <c r="L887">
        <v>34360.400000000001</v>
      </c>
      <c r="M887">
        <v>29945.09</v>
      </c>
      <c r="N887">
        <v>4415.3100000000004</v>
      </c>
      <c r="O887" t="s">
        <v>77</v>
      </c>
      <c r="P887" t="s">
        <v>87</v>
      </c>
    </row>
    <row r="888" spans="1:16" x14ac:dyDescent="0.25">
      <c r="A888">
        <v>887</v>
      </c>
      <c r="B888" s="2">
        <v>45723</v>
      </c>
      <c r="C888" t="s">
        <v>21</v>
      </c>
      <c r="D888" t="s">
        <v>24</v>
      </c>
      <c r="E888" t="s">
        <v>33</v>
      </c>
      <c r="F888" t="s">
        <v>59</v>
      </c>
      <c r="G888" t="s">
        <v>70</v>
      </c>
      <c r="H888" t="s">
        <v>73</v>
      </c>
      <c r="I888">
        <v>2</v>
      </c>
      <c r="J888">
        <v>45467</v>
      </c>
      <c r="K888">
        <v>0.15</v>
      </c>
      <c r="L888">
        <v>77293.899999999994</v>
      </c>
      <c r="M888">
        <v>56375.81</v>
      </c>
      <c r="N888">
        <v>20918.09</v>
      </c>
      <c r="O888" t="s">
        <v>78</v>
      </c>
      <c r="P888" t="s">
        <v>85</v>
      </c>
    </row>
    <row r="889" spans="1:16" x14ac:dyDescent="0.25">
      <c r="A889">
        <v>888</v>
      </c>
      <c r="B889" s="2">
        <v>45947</v>
      </c>
      <c r="C889" t="s">
        <v>22</v>
      </c>
      <c r="D889" t="s">
        <v>24</v>
      </c>
      <c r="E889" t="s">
        <v>28</v>
      </c>
      <c r="F889" t="s">
        <v>35</v>
      </c>
      <c r="G889" t="s">
        <v>72</v>
      </c>
      <c r="H889" t="s">
        <v>75</v>
      </c>
      <c r="I889">
        <v>3</v>
      </c>
      <c r="J889">
        <v>1177</v>
      </c>
      <c r="K889">
        <v>0</v>
      </c>
      <c r="L889">
        <v>3531</v>
      </c>
      <c r="M889">
        <v>2265.71</v>
      </c>
      <c r="N889">
        <v>1265.29</v>
      </c>
      <c r="O889" t="s">
        <v>78</v>
      </c>
      <c r="P889" t="s">
        <v>82</v>
      </c>
    </row>
    <row r="890" spans="1:16" x14ac:dyDescent="0.25">
      <c r="A890">
        <v>889</v>
      </c>
      <c r="B890" s="2">
        <v>45959</v>
      </c>
      <c r="C890" t="s">
        <v>21</v>
      </c>
      <c r="D890" t="s">
        <v>24</v>
      </c>
      <c r="E890" t="s">
        <v>33</v>
      </c>
      <c r="F890" t="s">
        <v>46</v>
      </c>
      <c r="G890" t="s">
        <v>70</v>
      </c>
      <c r="H890" t="s">
        <v>73</v>
      </c>
      <c r="I890">
        <v>1</v>
      </c>
      <c r="J890">
        <v>24793</v>
      </c>
      <c r="K890">
        <v>0.15</v>
      </c>
      <c r="L890">
        <v>21074.05</v>
      </c>
      <c r="M890">
        <v>14569.61</v>
      </c>
      <c r="N890">
        <v>6504.44</v>
      </c>
      <c r="O890" t="s">
        <v>79</v>
      </c>
      <c r="P890" t="s">
        <v>87</v>
      </c>
    </row>
    <row r="891" spans="1:16" x14ac:dyDescent="0.25">
      <c r="A891">
        <v>890</v>
      </c>
      <c r="B891" s="2">
        <v>45995</v>
      </c>
      <c r="C891" t="s">
        <v>20</v>
      </c>
      <c r="D891" t="s">
        <v>26</v>
      </c>
      <c r="E891" t="s">
        <v>29</v>
      </c>
      <c r="F891" t="s">
        <v>42</v>
      </c>
      <c r="G891" t="s">
        <v>72</v>
      </c>
      <c r="H891" t="s">
        <v>73</v>
      </c>
      <c r="I891">
        <v>7</v>
      </c>
      <c r="J891">
        <v>2253</v>
      </c>
      <c r="K891">
        <v>0.05</v>
      </c>
      <c r="L891">
        <v>14982.45</v>
      </c>
      <c r="M891">
        <v>11558.47</v>
      </c>
      <c r="N891">
        <v>3423.98</v>
      </c>
      <c r="O891" t="s">
        <v>79</v>
      </c>
      <c r="P891" t="s">
        <v>85</v>
      </c>
    </row>
    <row r="892" spans="1:16" x14ac:dyDescent="0.25">
      <c r="A892">
        <v>891</v>
      </c>
      <c r="B892" s="2">
        <v>45930</v>
      </c>
      <c r="C892" t="s">
        <v>20</v>
      </c>
      <c r="D892" t="s">
        <v>26</v>
      </c>
      <c r="E892" t="s">
        <v>32</v>
      </c>
      <c r="F892" t="s">
        <v>39</v>
      </c>
      <c r="G892" t="s">
        <v>71</v>
      </c>
      <c r="H892" t="s">
        <v>73</v>
      </c>
      <c r="I892">
        <v>3</v>
      </c>
      <c r="J892">
        <v>23682</v>
      </c>
      <c r="K892">
        <v>0.05</v>
      </c>
      <c r="L892">
        <v>67493.7</v>
      </c>
      <c r="M892">
        <v>42567.43</v>
      </c>
      <c r="N892">
        <v>24926.27</v>
      </c>
      <c r="O892" t="s">
        <v>77</v>
      </c>
      <c r="P892" t="s">
        <v>81</v>
      </c>
    </row>
    <row r="893" spans="1:16" x14ac:dyDescent="0.25">
      <c r="A893">
        <v>892</v>
      </c>
      <c r="B893" s="2">
        <v>45854</v>
      </c>
      <c r="C893" t="s">
        <v>20</v>
      </c>
      <c r="D893" t="s">
        <v>26</v>
      </c>
      <c r="E893" t="s">
        <v>32</v>
      </c>
      <c r="F893" t="s">
        <v>48</v>
      </c>
      <c r="G893" t="s">
        <v>70</v>
      </c>
      <c r="H893" t="s">
        <v>73</v>
      </c>
      <c r="I893">
        <v>4</v>
      </c>
      <c r="J893">
        <v>2063</v>
      </c>
      <c r="K893">
        <v>0</v>
      </c>
      <c r="L893">
        <v>8252</v>
      </c>
      <c r="M893">
        <v>5712.95</v>
      </c>
      <c r="N893">
        <v>2539.0500000000002</v>
      </c>
      <c r="O893" t="s">
        <v>80</v>
      </c>
      <c r="P893" t="s">
        <v>87</v>
      </c>
    </row>
    <row r="894" spans="1:16" x14ac:dyDescent="0.25">
      <c r="A894">
        <v>893</v>
      </c>
      <c r="B894" s="2">
        <v>45786</v>
      </c>
      <c r="C894" t="s">
        <v>23</v>
      </c>
      <c r="D894" t="s">
        <v>27</v>
      </c>
      <c r="E894" t="s">
        <v>32</v>
      </c>
      <c r="F894" t="s">
        <v>48</v>
      </c>
      <c r="G894" t="s">
        <v>72</v>
      </c>
      <c r="H894" t="s">
        <v>73</v>
      </c>
      <c r="I894">
        <v>8</v>
      </c>
      <c r="J894">
        <v>9491</v>
      </c>
      <c r="K894">
        <v>0.05</v>
      </c>
      <c r="L894">
        <v>72131.600000000006</v>
      </c>
      <c r="M894">
        <v>58764.22</v>
      </c>
      <c r="N894">
        <v>13367.38</v>
      </c>
      <c r="O894" t="s">
        <v>77</v>
      </c>
      <c r="P894" t="s">
        <v>82</v>
      </c>
    </row>
    <row r="895" spans="1:16" x14ac:dyDescent="0.25">
      <c r="A895">
        <v>894</v>
      </c>
      <c r="B895" s="2">
        <v>45732</v>
      </c>
      <c r="C895" t="s">
        <v>23</v>
      </c>
      <c r="D895" t="s">
        <v>27</v>
      </c>
      <c r="E895" t="s">
        <v>29</v>
      </c>
      <c r="F895" t="s">
        <v>57</v>
      </c>
      <c r="G895" t="s">
        <v>72</v>
      </c>
      <c r="H895" t="s">
        <v>74</v>
      </c>
      <c r="I895">
        <v>3</v>
      </c>
      <c r="J895">
        <v>9978</v>
      </c>
      <c r="K895">
        <v>0</v>
      </c>
      <c r="L895">
        <v>29934</v>
      </c>
      <c r="M895">
        <v>24323.22</v>
      </c>
      <c r="N895">
        <v>5610.78</v>
      </c>
      <c r="O895" t="s">
        <v>78</v>
      </c>
      <c r="P895" t="s">
        <v>81</v>
      </c>
    </row>
    <row r="896" spans="1:16" x14ac:dyDescent="0.25">
      <c r="A896">
        <v>895</v>
      </c>
      <c r="B896" s="2">
        <v>45921</v>
      </c>
      <c r="C896" t="s">
        <v>17</v>
      </c>
      <c r="D896" t="s">
        <v>25</v>
      </c>
      <c r="E896" t="s">
        <v>29</v>
      </c>
      <c r="F896" t="s">
        <v>42</v>
      </c>
      <c r="G896" t="s">
        <v>71</v>
      </c>
      <c r="H896" t="s">
        <v>73</v>
      </c>
      <c r="I896">
        <v>3</v>
      </c>
      <c r="J896">
        <v>2017</v>
      </c>
      <c r="K896">
        <v>0</v>
      </c>
      <c r="L896">
        <v>6051</v>
      </c>
      <c r="M896">
        <v>4232.93</v>
      </c>
      <c r="N896">
        <v>1818.07</v>
      </c>
      <c r="O896" t="s">
        <v>79</v>
      </c>
      <c r="P896" t="s">
        <v>86</v>
      </c>
    </row>
    <row r="897" spans="1:16" x14ac:dyDescent="0.25">
      <c r="A897">
        <v>896</v>
      </c>
      <c r="B897" s="2">
        <v>45674</v>
      </c>
      <c r="C897" t="s">
        <v>16</v>
      </c>
      <c r="D897" t="s">
        <v>24</v>
      </c>
      <c r="E897" t="s">
        <v>29</v>
      </c>
      <c r="F897" t="s">
        <v>57</v>
      </c>
      <c r="G897" t="s">
        <v>72</v>
      </c>
      <c r="H897" t="s">
        <v>73</v>
      </c>
      <c r="I897">
        <v>8</v>
      </c>
      <c r="J897">
        <v>682</v>
      </c>
      <c r="K897">
        <v>0.1</v>
      </c>
      <c r="L897">
        <v>4910.3999999999996</v>
      </c>
      <c r="M897">
        <v>3968.96</v>
      </c>
      <c r="N897">
        <v>941.44</v>
      </c>
      <c r="O897" t="s">
        <v>78</v>
      </c>
      <c r="P897" t="s">
        <v>87</v>
      </c>
    </row>
    <row r="898" spans="1:16" x14ac:dyDescent="0.25">
      <c r="A898">
        <v>897</v>
      </c>
      <c r="B898" s="2">
        <v>45946</v>
      </c>
      <c r="C898" t="s">
        <v>18</v>
      </c>
      <c r="D898" t="s">
        <v>26</v>
      </c>
      <c r="E898" t="s">
        <v>29</v>
      </c>
      <c r="F898" t="s">
        <v>53</v>
      </c>
      <c r="G898" t="s">
        <v>72</v>
      </c>
      <c r="H898" t="s">
        <v>75</v>
      </c>
      <c r="I898">
        <v>6</v>
      </c>
      <c r="J898">
        <v>6676</v>
      </c>
      <c r="K898">
        <v>0.1</v>
      </c>
      <c r="L898">
        <v>36050.400000000001</v>
      </c>
      <c r="M898">
        <v>24137.79</v>
      </c>
      <c r="N898">
        <v>11912.61</v>
      </c>
      <c r="O898" t="s">
        <v>79</v>
      </c>
      <c r="P898" t="s">
        <v>81</v>
      </c>
    </row>
    <row r="899" spans="1:16" x14ac:dyDescent="0.25">
      <c r="A899">
        <v>898</v>
      </c>
      <c r="B899" s="2">
        <v>45716</v>
      </c>
      <c r="C899" t="s">
        <v>22</v>
      </c>
      <c r="D899" t="s">
        <v>24</v>
      </c>
      <c r="E899" t="s">
        <v>33</v>
      </c>
      <c r="F899" t="s">
        <v>52</v>
      </c>
      <c r="G899" t="s">
        <v>71</v>
      </c>
      <c r="H899" t="s">
        <v>74</v>
      </c>
      <c r="I899">
        <v>7</v>
      </c>
      <c r="J899">
        <v>23883</v>
      </c>
      <c r="K899">
        <v>0.1</v>
      </c>
      <c r="L899">
        <v>150462.9</v>
      </c>
      <c r="M899">
        <v>112737.28</v>
      </c>
      <c r="N899">
        <v>37725.620000000003</v>
      </c>
      <c r="O899" t="s">
        <v>77</v>
      </c>
      <c r="P899" t="s">
        <v>84</v>
      </c>
    </row>
    <row r="900" spans="1:16" x14ac:dyDescent="0.25">
      <c r="A900">
        <v>899</v>
      </c>
      <c r="B900" s="2">
        <v>45786</v>
      </c>
      <c r="C900" t="s">
        <v>22</v>
      </c>
      <c r="D900" t="s">
        <v>24</v>
      </c>
      <c r="E900" t="s">
        <v>30</v>
      </c>
      <c r="F900" t="s">
        <v>40</v>
      </c>
      <c r="G900" t="s">
        <v>70</v>
      </c>
      <c r="H900" t="s">
        <v>74</v>
      </c>
      <c r="I900">
        <v>1</v>
      </c>
      <c r="J900">
        <v>33906</v>
      </c>
      <c r="K900">
        <v>0.05</v>
      </c>
      <c r="L900">
        <v>32210.7</v>
      </c>
      <c r="M900">
        <v>26279.94</v>
      </c>
      <c r="N900">
        <v>5930.76</v>
      </c>
      <c r="O900" t="s">
        <v>76</v>
      </c>
      <c r="P900" t="s">
        <v>81</v>
      </c>
    </row>
    <row r="901" spans="1:16" x14ac:dyDescent="0.25">
      <c r="A901">
        <v>900</v>
      </c>
      <c r="B901" s="2">
        <v>45892</v>
      </c>
      <c r="C901" t="s">
        <v>19</v>
      </c>
      <c r="D901" t="s">
        <v>26</v>
      </c>
      <c r="E901" t="s">
        <v>30</v>
      </c>
      <c r="F901" t="s">
        <v>44</v>
      </c>
      <c r="G901" t="s">
        <v>70</v>
      </c>
      <c r="H901" t="s">
        <v>73</v>
      </c>
      <c r="I901">
        <v>5</v>
      </c>
      <c r="J901">
        <v>22736</v>
      </c>
      <c r="K901">
        <v>0.1</v>
      </c>
      <c r="L901">
        <v>102312</v>
      </c>
      <c r="M901">
        <v>80522.62</v>
      </c>
      <c r="N901">
        <v>21789.38</v>
      </c>
      <c r="O901" t="s">
        <v>78</v>
      </c>
      <c r="P901" t="s">
        <v>84</v>
      </c>
    </row>
    <row r="902" spans="1:16" x14ac:dyDescent="0.25">
      <c r="A902">
        <v>901</v>
      </c>
      <c r="B902" s="2">
        <v>45964</v>
      </c>
      <c r="C902" t="s">
        <v>18</v>
      </c>
      <c r="D902" t="s">
        <v>26</v>
      </c>
      <c r="E902" t="s">
        <v>30</v>
      </c>
      <c r="F902" t="s">
        <v>64</v>
      </c>
      <c r="G902" t="s">
        <v>71</v>
      </c>
      <c r="H902" t="s">
        <v>75</v>
      </c>
      <c r="I902">
        <v>5</v>
      </c>
      <c r="J902">
        <v>63626</v>
      </c>
      <c r="K902">
        <v>0</v>
      </c>
      <c r="L902">
        <v>318130</v>
      </c>
      <c r="M902">
        <v>210257.14</v>
      </c>
      <c r="N902">
        <v>107872.86</v>
      </c>
      <c r="O902" t="s">
        <v>80</v>
      </c>
      <c r="P902" t="s">
        <v>83</v>
      </c>
    </row>
    <row r="903" spans="1:16" x14ac:dyDescent="0.25">
      <c r="A903">
        <v>902</v>
      </c>
      <c r="B903" s="2">
        <v>45953</v>
      </c>
      <c r="C903" t="s">
        <v>21</v>
      </c>
      <c r="D903" t="s">
        <v>24</v>
      </c>
      <c r="E903" t="s">
        <v>29</v>
      </c>
      <c r="F903" t="s">
        <v>57</v>
      </c>
      <c r="G903" t="s">
        <v>71</v>
      </c>
      <c r="H903" t="s">
        <v>73</v>
      </c>
      <c r="I903">
        <v>4</v>
      </c>
      <c r="J903">
        <v>5323</v>
      </c>
      <c r="K903">
        <v>0.1</v>
      </c>
      <c r="L903">
        <v>19162.8</v>
      </c>
      <c r="M903">
        <v>16219.69</v>
      </c>
      <c r="N903">
        <v>2943.11</v>
      </c>
      <c r="O903" t="s">
        <v>80</v>
      </c>
      <c r="P903" t="s">
        <v>81</v>
      </c>
    </row>
    <row r="904" spans="1:16" x14ac:dyDescent="0.25">
      <c r="A904">
        <v>903</v>
      </c>
      <c r="B904" s="2">
        <v>45920</v>
      </c>
      <c r="C904" t="s">
        <v>20</v>
      </c>
      <c r="D904" t="s">
        <v>26</v>
      </c>
      <c r="E904" t="s">
        <v>29</v>
      </c>
      <c r="F904" t="s">
        <v>57</v>
      </c>
      <c r="G904" t="s">
        <v>71</v>
      </c>
      <c r="H904" t="s">
        <v>74</v>
      </c>
      <c r="I904">
        <v>1</v>
      </c>
      <c r="J904">
        <v>9014</v>
      </c>
      <c r="K904">
        <v>0.2</v>
      </c>
      <c r="L904">
        <v>7211.2</v>
      </c>
      <c r="M904">
        <v>5555.46</v>
      </c>
      <c r="N904">
        <v>1655.74</v>
      </c>
      <c r="O904" t="s">
        <v>76</v>
      </c>
      <c r="P904" t="s">
        <v>88</v>
      </c>
    </row>
    <row r="905" spans="1:16" x14ac:dyDescent="0.25">
      <c r="A905">
        <v>904</v>
      </c>
      <c r="B905" s="2">
        <v>45815</v>
      </c>
      <c r="C905" t="s">
        <v>16</v>
      </c>
      <c r="D905" t="s">
        <v>24</v>
      </c>
      <c r="E905" t="s">
        <v>29</v>
      </c>
      <c r="F905" t="s">
        <v>53</v>
      </c>
      <c r="G905" t="s">
        <v>71</v>
      </c>
      <c r="H905" t="s">
        <v>73</v>
      </c>
      <c r="I905">
        <v>7</v>
      </c>
      <c r="J905">
        <v>4870</v>
      </c>
      <c r="K905">
        <v>0.1</v>
      </c>
      <c r="L905">
        <v>30681</v>
      </c>
      <c r="M905">
        <v>20635.05</v>
      </c>
      <c r="N905">
        <v>10045.950000000001</v>
      </c>
      <c r="O905" t="s">
        <v>78</v>
      </c>
      <c r="P905" t="s">
        <v>85</v>
      </c>
    </row>
    <row r="906" spans="1:16" x14ac:dyDescent="0.25">
      <c r="A906">
        <v>905</v>
      </c>
      <c r="B906" s="2">
        <v>45979</v>
      </c>
      <c r="C906" t="s">
        <v>22</v>
      </c>
      <c r="D906" t="s">
        <v>24</v>
      </c>
      <c r="E906" t="s">
        <v>29</v>
      </c>
      <c r="F906" t="s">
        <v>36</v>
      </c>
      <c r="G906" t="s">
        <v>70</v>
      </c>
      <c r="H906" t="s">
        <v>75</v>
      </c>
      <c r="I906">
        <v>2</v>
      </c>
      <c r="J906">
        <v>3997</v>
      </c>
      <c r="K906">
        <v>0.1</v>
      </c>
      <c r="L906">
        <v>7194.6</v>
      </c>
      <c r="M906">
        <v>5551.66</v>
      </c>
      <c r="N906">
        <v>1642.94</v>
      </c>
      <c r="O906" t="s">
        <v>78</v>
      </c>
      <c r="P906" t="s">
        <v>85</v>
      </c>
    </row>
    <row r="907" spans="1:16" x14ac:dyDescent="0.25">
      <c r="A907">
        <v>906</v>
      </c>
      <c r="B907" s="2">
        <v>45693</v>
      </c>
      <c r="C907" t="s">
        <v>22</v>
      </c>
      <c r="D907" t="s">
        <v>24</v>
      </c>
      <c r="E907" t="s">
        <v>31</v>
      </c>
      <c r="F907" t="s">
        <v>38</v>
      </c>
      <c r="G907" t="s">
        <v>71</v>
      </c>
      <c r="H907" t="s">
        <v>73</v>
      </c>
      <c r="I907">
        <v>4</v>
      </c>
      <c r="J907">
        <v>1308</v>
      </c>
      <c r="K907">
        <v>0.05</v>
      </c>
      <c r="L907">
        <v>4970.3999999999996</v>
      </c>
      <c r="M907">
        <v>3406.77</v>
      </c>
      <c r="N907">
        <v>1563.63</v>
      </c>
      <c r="O907" t="s">
        <v>78</v>
      </c>
      <c r="P907" t="s">
        <v>84</v>
      </c>
    </row>
    <row r="908" spans="1:16" x14ac:dyDescent="0.25">
      <c r="A908">
        <v>907</v>
      </c>
      <c r="B908" s="2">
        <v>45875</v>
      </c>
      <c r="C908" t="s">
        <v>22</v>
      </c>
      <c r="D908" t="s">
        <v>24</v>
      </c>
      <c r="E908" t="s">
        <v>33</v>
      </c>
      <c r="F908" t="s">
        <v>52</v>
      </c>
      <c r="G908" t="s">
        <v>72</v>
      </c>
      <c r="H908" t="s">
        <v>75</v>
      </c>
      <c r="I908">
        <v>3</v>
      </c>
      <c r="J908">
        <v>33566</v>
      </c>
      <c r="K908">
        <v>0.1</v>
      </c>
      <c r="L908">
        <v>90628.2</v>
      </c>
      <c r="M908">
        <v>77073.45</v>
      </c>
      <c r="N908">
        <v>13554.75</v>
      </c>
      <c r="O908" t="s">
        <v>80</v>
      </c>
      <c r="P908" t="s">
        <v>86</v>
      </c>
    </row>
    <row r="909" spans="1:16" x14ac:dyDescent="0.25">
      <c r="A909">
        <v>908</v>
      </c>
      <c r="B909" s="2">
        <v>45698</v>
      </c>
      <c r="C909" t="s">
        <v>23</v>
      </c>
      <c r="D909" t="s">
        <v>27</v>
      </c>
      <c r="E909" t="s">
        <v>34</v>
      </c>
      <c r="F909" t="s">
        <v>43</v>
      </c>
      <c r="G909" t="s">
        <v>70</v>
      </c>
      <c r="H909" t="s">
        <v>75</v>
      </c>
      <c r="I909">
        <v>2</v>
      </c>
      <c r="J909">
        <v>2091</v>
      </c>
      <c r="K909">
        <v>0.1</v>
      </c>
      <c r="L909">
        <v>3763.8</v>
      </c>
      <c r="M909">
        <v>2337.81</v>
      </c>
      <c r="N909">
        <v>1425.99</v>
      </c>
      <c r="O909" t="s">
        <v>76</v>
      </c>
      <c r="P909" t="s">
        <v>81</v>
      </c>
    </row>
    <row r="910" spans="1:16" x14ac:dyDescent="0.25">
      <c r="A910">
        <v>909</v>
      </c>
      <c r="B910" s="2">
        <v>45662</v>
      </c>
      <c r="C910" t="s">
        <v>17</v>
      </c>
      <c r="D910" t="s">
        <v>25</v>
      </c>
      <c r="E910" t="s">
        <v>32</v>
      </c>
      <c r="F910" t="s">
        <v>48</v>
      </c>
      <c r="G910" t="s">
        <v>72</v>
      </c>
      <c r="H910" t="s">
        <v>74</v>
      </c>
      <c r="I910">
        <v>8</v>
      </c>
      <c r="J910">
        <v>17073</v>
      </c>
      <c r="K910">
        <v>0.1</v>
      </c>
      <c r="L910">
        <v>122925.6</v>
      </c>
      <c r="M910">
        <v>96029.79</v>
      </c>
      <c r="N910">
        <v>26895.81</v>
      </c>
      <c r="O910" t="s">
        <v>76</v>
      </c>
      <c r="P910" t="s">
        <v>85</v>
      </c>
    </row>
    <row r="911" spans="1:16" x14ac:dyDescent="0.25">
      <c r="A911">
        <v>910</v>
      </c>
      <c r="B911" s="2">
        <v>45754</v>
      </c>
      <c r="C911" t="s">
        <v>18</v>
      </c>
      <c r="D911" t="s">
        <v>26</v>
      </c>
      <c r="E911" t="s">
        <v>32</v>
      </c>
      <c r="F911" t="s">
        <v>66</v>
      </c>
      <c r="G911" t="s">
        <v>71</v>
      </c>
      <c r="H911" t="s">
        <v>74</v>
      </c>
      <c r="I911">
        <v>1</v>
      </c>
      <c r="J911">
        <v>16674</v>
      </c>
      <c r="K911">
        <v>0.1</v>
      </c>
      <c r="L911">
        <v>15006.6</v>
      </c>
      <c r="M911">
        <v>8997.2199999999993</v>
      </c>
      <c r="N911">
        <v>6009.38</v>
      </c>
      <c r="O911" t="s">
        <v>77</v>
      </c>
      <c r="P911" t="s">
        <v>83</v>
      </c>
    </row>
    <row r="912" spans="1:16" x14ac:dyDescent="0.25">
      <c r="A912">
        <v>911</v>
      </c>
      <c r="B912" s="2">
        <v>45818</v>
      </c>
      <c r="C912" t="s">
        <v>17</v>
      </c>
      <c r="D912" t="s">
        <v>25</v>
      </c>
      <c r="E912" t="s">
        <v>32</v>
      </c>
      <c r="F912" t="s">
        <v>48</v>
      </c>
      <c r="G912" t="s">
        <v>72</v>
      </c>
      <c r="H912" t="s">
        <v>74</v>
      </c>
      <c r="I912">
        <v>8</v>
      </c>
      <c r="J912">
        <v>4491</v>
      </c>
      <c r="K912">
        <v>0.1</v>
      </c>
      <c r="L912">
        <v>32335.200000000001</v>
      </c>
      <c r="M912">
        <v>26906.94</v>
      </c>
      <c r="N912">
        <v>5428.26</v>
      </c>
      <c r="O912" t="s">
        <v>78</v>
      </c>
      <c r="P912" t="s">
        <v>81</v>
      </c>
    </row>
    <row r="913" spans="1:16" x14ac:dyDescent="0.25">
      <c r="A913">
        <v>912</v>
      </c>
      <c r="B913" s="2">
        <v>45856</v>
      </c>
      <c r="C913" t="s">
        <v>21</v>
      </c>
      <c r="D913" t="s">
        <v>24</v>
      </c>
      <c r="E913" t="s">
        <v>32</v>
      </c>
      <c r="F913" t="s">
        <v>49</v>
      </c>
      <c r="G913" t="s">
        <v>70</v>
      </c>
      <c r="H913" t="s">
        <v>73</v>
      </c>
      <c r="I913">
        <v>6</v>
      </c>
      <c r="J913">
        <v>4151</v>
      </c>
      <c r="K913">
        <v>0</v>
      </c>
      <c r="L913">
        <v>24906</v>
      </c>
      <c r="M913">
        <v>18701.099999999999</v>
      </c>
      <c r="N913">
        <v>6204.9</v>
      </c>
      <c r="O913" t="s">
        <v>79</v>
      </c>
      <c r="P913" t="s">
        <v>83</v>
      </c>
    </row>
    <row r="914" spans="1:16" x14ac:dyDescent="0.25">
      <c r="A914">
        <v>913</v>
      </c>
      <c r="B914" s="2">
        <v>45890</v>
      </c>
      <c r="C914" t="s">
        <v>19</v>
      </c>
      <c r="D914" t="s">
        <v>26</v>
      </c>
      <c r="E914" t="s">
        <v>33</v>
      </c>
      <c r="F914" t="s">
        <v>41</v>
      </c>
      <c r="G914" t="s">
        <v>70</v>
      </c>
      <c r="H914" t="s">
        <v>75</v>
      </c>
      <c r="I914">
        <v>5</v>
      </c>
      <c r="J914">
        <v>38680</v>
      </c>
      <c r="K914">
        <v>0.1</v>
      </c>
      <c r="L914">
        <v>174060</v>
      </c>
      <c r="M914">
        <v>131628.07</v>
      </c>
      <c r="N914">
        <v>42431.93</v>
      </c>
      <c r="O914" t="s">
        <v>78</v>
      </c>
      <c r="P914" t="s">
        <v>81</v>
      </c>
    </row>
    <row r="915" spans="1:16" x14ac:dyDescent="0.25">
      <c r="A915">
        <v>914</v>
      </c>
      <c r="B915" s="2">
        <v>45778</v>
      </c>
      <c r="C915" t="s">
        <v>21</v>
      </c>
      <c r="D915" t="s">
        <v>24</v>
      </c>
      <c r="E915" t="s">
        <v>29</v>
      </c>
      <c r="F915" t="s">
        <v>36</v>
      </c>
      <c r="G915" t="s">
        <v>71</v>
      </c>
      <c r="H915" t="s">
        <v>75</v>
      </c>
      <c r="I915">
        <v>8</v>
      </c>
      <c r="J915">
        <v>6359</v>
      </c>
      <c r="K915">
        <v>0</v>
      </c>
      <c r="L915">
        <v>50872</v>
      </c>
      <c r="M915">
        <v>40367.46</v>
      </c>
      <c r="N915">
        <v>10504.54</v>
      </c>
      <c r="O915" t="s">
        <v>76</v>
      </c>
      <c r="P915" t="s">
        <v>82</v>
      </c>
    </row>
    <row r="916" spans="1:16" x14ac:dyDescent="0.25">
      <c r="A916">
        <v>915</v>
      </c>
      <c r="B916" s="2">
        <v>45896</v>
      </c>
      <c r="C916" t="s">
        <v>16</v>
      </c>
      <c r="D916" t="s">
        <v>24</v>
      </c>
      <c r="E916" t="s">
        <v>34</v>
      </c>
      <c r="F916" t="s">
        <v>68</v>
      </c>
      <c r="G916" t="s">
        <v>72</v>
      </c>
      <c r="H916" t="s">
        <v>74</v>
      </c>
      <c r="I916">
        <v>8</v>
      </c>
      <c r="J916">
        <v>903</v>
      </c>
      <c r="K916">
        <v>0</v>
      </c>
      <c r="L916">
        <v>7224</v>
      </c>
      <c r="M916">
        <v>4418.6899999999996</v>
      </c>
      <c r="N916">
        <v>2805.31</v>
      </c>
      <c r="O916" t="s">
        <v>77</v>
      </c>
      <c r="P916" t="s">
        <v>84</v>
      </c>
    </row>
    <row r="917" spans="1:16" x14ac:dyDescent="0.25">
      <c r="A917">
        <v>916</v>
      </c>
      <c r="B917" s="2">
        <v>45696</v>
      </c>
      <c r="C917" t="s">
        <v>18</v>
      </c>
      <c r="D917" t="s">
        <v>26</v>
      </c>
      <c r="E917" t="s">
        <v>31</v>
      </c>
      <c r="F917" t="s">
        <v>69</v>
      </c>
      <c r="G917" t="s">
        <v>71</v>
      </c>
      <c r="H917" t="s">
        <v>74</v>
      </c>
      <c r="I917">
        <v>7</v>
      </c>
      <c r="J917">
        <v>162</v>
      </c>
      <c r="K917">
        <v>0</v>
      </c>
      <c r="L917">
        <v>1134</v>
      </c>
      <c r="M917">
        <v>665.69</v>
      </c>
      <c r="N917">
        <v>468.31</v>
      </c>
      <c r="O917" t="s">
        <v>78</v>
      </c>
      <c r="P917" t="s">
        <v>88</v>
      </c>
    </row>
    <row r="918" spans="1:16" x14ac:dyDescent="0.25">
      <c r="A918">
        <v>917</v>
      </c>
      <c r="B918" s="2">
        <v>45846</v>
      </c>
      <c r="C918" t="s">
        <v>18</v>
      </c>
      <c r="D918" t="s">
        <v>26</v>
      </c>
      <c r="E918" t="s">
        <v>34</v>
      </c>
      <c r="F918" t="s">
        <v>43</v>
      </c>
      <c r="G918" t="s">
        <v>71</v>
      </c>
      <c r="H918" t="s">
        <v>73</v>
      </c>
      <c r="I918">
        <v>1</v>
      </c>
      <c r="J918">
        <v>5263</v>
      </c>
      <c r="K918">
        <v>0</v>
      </c>
      <c r="L918">
        <v>5263</v>
      </c>
      <c r="M918">
        <v>3004.1</v>
      </c>
      <c r="N918">
        <v>2258.9</v>
      </c>
      <c r="O918" t="s">
        <v>79</v>
      </c>
      <c r="P918" t="s">
        <v>85</v>
      </c>
    </row>
    <row r="919" spans="1:16" x14ac:dyDescent="0.25">
      <c r="A919">
        <v>918</v>
      </c>
      <c r="B919" s="2">
        <v>45897</v>
      </c>
      <c r="C919" t="s">
        <v>23</v>
      </c>
      <c r="D919" t="s">
        <v>27</v>
      </c>
      <c r="E919" t="s">
        <v>31</v>
      </c>
      <c r="F919" t="s">
        <v>47</v>
      </c>
      <c r="G919" t="s">
        <v>70</v>
      </c>
      <c r="H919" t="s">
        <v>74</v>
      </c>
      <c r="I919">
        <v>6</v>
      </c>
      <c r="J919">
        <v>1914</v>
      </c>
      <c r="K919">
        <v>0</v>
      </c>
      <c r="L919">
        <v>11484</v>
      </c>
      <c r="M919">
        <v>8501.6299999999992</v>
      </c>
      <c r="N919">
        <v>2982.37</v>
      </c>
      <c r="O919" t="s">
        <v>78</v>
      </c>
      <c r="P919" t="s">
        <v>82</v>
      </c>
    </row>
    <row r="920" spans="1:16" x14ac:dyDescent="0.25">
      <c r="A920">
        <v>919</v>
      </c>
      <c r="B920" s="2">
        <v>45693</v>
      </c>
      <c r="C920" t="s">
        <v>16</v>
      </c>
      <c r="D920" t="s">
        <v>24</v>
      </c>
      <c r="E920" t="s">
        <v>29</v>
      </c>
      <c r="F920" t="s">
        <v>53</v>
      </c>
      <c r="G920" t="s">
        <v>70</v>
      </c>
      <c r="H920" t="s">
        <v>74</v>
      </c>
      <c r="I920">
        <v>5</v>
      </c>
      <c r="J920">
        <v>4877</v>
      </c>
      <c r="K920">
        <v>0.05</v>
      </c>
      <c r="L920">
        <v>23165.75</v>
      </c>
      <c r="M920">
        <v>15989.15</v>
      </c>
      <c r="N920">
        <v>7176.6</v>
      </c>
      <c r="O920" t="s">
        <v>77</v>
      </c>
      <c r="P920" t="s">
        <v>88</v>
      </c>
    </row>
    <row r="921" spans="1:16" x14ac:dyDescent="0.25">
      <c r="A921">
        <v>920</v>
      </c>
      <c r="B921" s="2">
        <v>45780</v>
      </c>
      <c r="C921" t="s">
        <v>18</v>
      </c>
      <c r="D921" t="s">
        <v>26</v>
      </c>
      <c r="E921" t="s">
        <v>29</v>
      </c>
      <c r="F921" t="s">
        <v>42</v>
      </c>
      <c r="G921" t="s">
        <v>71</v>
      </c>
      <c r="H921" t="s">
        <v>74</v>
      </c>
      <c r="I921">
        <v>6</v>
      </c>
      <c r="J921">
        <v>3803</v>
      </c>
      <c r="K921">
        <v>0.05</v>
      </c>
      <c r="L921">
        <v>21677.1</v>
      </c>
      <c r="M921">
        <v>13440.09</v>
      </c>
      <c r="N921">
        <v>8237.01</v>
      </c>
      <c r="O921" t="s">
        <v>78</v>
      </c>
      <c r="P921" t="s">
        <v>83</v>
      </c>
    </row>
    <row r="922" spans="1:16" x14ac:dyDescent="0.25">
      <c r="A922">
        <v>921</v>
      </c>
      <c r="B922" s="2">
        <v>45804</v>
      </c>
      <c r="C922" t="s">
        <v>21</v>
      </c>
      <c r="D922" t="s">
        <v>24</v>
      </c>
      <c r="E922" t="s">
        <v>30</v>
      </c>
      <c r="F922" t="s">
        <v>56</v>
      </c>
      <c r="G922" t="s">
        <v>72</v>
      </c>
      <c r="H922" t="s">
        <v>75</v>
      </c>
      <c r="I922">
        <v>3</v>
      </c>
      <c r="J922">
        <v>33898</v>
      </c>
      <c r="K922">
        <v>0</v>
      </c>
      <c r="L922">
        <v>101694</v>
      </c>
      <c r="M922">
        <v>80726.02</v>
      </c>
      <c r="N922">
        <v>20967.98</v>
      </c>
      <c r="O922" t="s">
        <v>78</v>
      </c>
      <c r="P922" t="s">
        <v>84</v>
      </c>
    </row>
    <row r="923" spans="1:16" x14ac:dyDescent="0.25">
      <c r="A923">
        <v>922</v>
      </c>
      <c r="B923" s="2">
        <v>45683</v>
      </c>
      <c r="C923" t="s">
        <v>19</v>
      </c>
      <c r="D923" t="s">
        <v>26</v>
      </c>
      <c r="E923" t="s">
        <v>34</v>
      </c>
      <c r="F923" t="s">
        <v>68</v>
      </c>
      <c r="G923" t="s">
        <v>70</v>
      </c>
      <c r="H923" t="s">
        <v>75</v>
      </c>
      <c r="I923">
        <v>3</v>
      </c>
      <c r="J923">
        <v>1449</v>
      </c>
      <c r="K923">
        <v>0.1</v>
      </c>
      <c r="L923">
        <v>3912.3</v>
      </c>
      <c r="M923">
        <v>3212.15</v>
      </c>
      <c r="N923">
        <v>700.15</v>
      </c>
      <c r="O923" t="s">
        <v>77</v>
      </c>
      <c r="P923" t="s">
        <v>87</v>
      </c>
    </row>
    <row r="924" spans="1:16" x14ac:dyDescent="0.25">
      <c r="A924">
        <v>923</v>
      </c>
      <c r="B924" s="2">
        <v>45861</v>
      </c>
      <c r="C924" t="s">
        <v>20</v>
      </c>
      <c r="D924" t="s">
        <v>26</v>
      </c>
      <c r="E924" t="s">
        <v>28</v>
      </c>
      <c r="F924" t="s">
        <v>58</v>
      </c>
      <c r="G924" t="s">
        <v>70</v>
      </c>
      <c r="H924" t="s">
        <v>74</v>
      </c>
      <c r="I924">
        <v>6</v>
      </c>
      <c r="J924">
        <v>1383</v>
      </c>
      <c r="K924">
        <v>0.05</v>
      </c>
      <c r="L924">
        <v>7883.1</v>
      </c>
      <c r="M924">
        <v>5039.22</v>
      </c>
      <c r="N924">
        <v>2843.88</v>
      </c>
      <c r="O924" t="s">
        <v>77</v>
      </c>
      <c r="P924" t="s">
        <v>87</v>
      </c>
    </row>
    <row r="925" spans="1:16" x14ac:dyDescent="0.25">
      <c r="A925">
        <v>924</v>
      </c>
      <c r="B925" s="2">
        <v>45993</v>
      </c>
      <c r="C925" t="s">
        <v>18</v>
      </c>
      <c r="D925" t="s">
        <v>26</v>
      </c>
      <c r="E925" t="s">
        <v>28</v>
      </c>
      <c r="F925" t="s">
        <v>54</v>
      </c>
      <c r="G925" t="s">
        <v>72</v>
      </c>
      <c r="H925" t="s">
        <v>74</v>
      </c>
      <c r="I925">
        <v>1</v>
      </c>
      <c r="J925">
        <v>1084</v>
      </c>
      <c r="K925">
        <v>0.1</v>
      </c>
      <c r="L925">
        <v>975.6</v>
      </c>
      <c r="M925">
        <v>540.66</v>
      </c>
      <c r="N925">
        <v>434.94</v>
      </c>
      <c r="O925" t="s">
        <v>79</v>
      </c>
      <c r="P925" t="s">
        <v>82</v>
      </c>
    </row>
    <row r="926" spans="1:16" x14ac:dyDescent="0.25">
      <c r="A926">
        <v>925</v>
      </c>
      <c r="B926" s="2">
        <v>45698</v>
      </c>
      <c r="C926" t="s">
        <v>23</v>
      </c>
      <c r="D926" t="s">
        <v>27</v>
      </c>
      <c r="E926" t="s">
        <v>33</v>
      </c>
      <c r="F926" t="s">
        <v>41</v>
      </c>
      <c r="G926" t="s">
        <v>72</v>
      </c>
      <c r="H926" t="s">
        <v>73</v>
      </c>
      <c r="I926">
        <v>4</v>
      </c>
      <c r="J926">
        <v>31416</v>
      </c>
      <c r="K926">
        <v>0.1</v>
      </c>
      <c r="L926">
        <v>113097.60000000001</v>
      </c>
      <c r="M926">
        <v>85563.66</v>
      </c>
      <c r="N926">
        <v>27533.94</v>
      </c>
      <c r="O926" t="s">
        <v>78</v>
      </c>
      <c r="P926" t="s">
        <v>88</v>
      </c>
    </row>
    <row r="927" spans="1:16" x14ac:dyDescent="0.25">
      <c r="A927">
        <v>926</v>
      </c>
      <c r="B927" s="2">
        <v>45926</v>
      </c>
      <c r="C927" t="s">
        <v>21</v>
      </c>
      <c r="D927" t="s">
        <v>24</v>
      </c>
      <c r="E927" t="s">
        <v>30</v>
      </c>
      <c r="F927" t="s">
        <v>44</v>
      </c>
      <c r="G927" t="s">
        <v>72</v>
      </c>
      <c r="H927" t="s">
        <v>73</v>
      </c>
      <c r="I927">
        <v>8</v>
      </c>
      <c r="J927">
        <v>42170</v>
      </c>
      <c r="K927">
        <v>0</v>
      </c>
      <c r="L927">
        <v>337360</v>
      </c>
      <c r="M927">
        <v>295954.36</v>
      </c>
      <c r="N927">
        <v>41405.64</v>
      </c>
      <c r="O927" t="s">
        <v>78</v>
      </c>
      <c r="P927" t="s">
        <v>84</v>
      </c>
    </row>
    <row r="928" spans="1:16" x14ac:dyDescent="0.25">
      <c r="A928">
        <v>927</v>
      </c>
      <c r="B928" s="2">
        <v>45668</v>
      </c>
      <c r="C928" t="s">
        <v>19</v>
      </c>
      <c r="D928" t="s">
        <v>26</v>
      </c>
      <c r="E928" t="s">
        <v>33</v>
      </c>
      <c r="F928" t="s">
        <v>52</v>
      </c>
      <c r="G928" t="s">
        <v>71</v>
      </c>
      <c r="H928" t="s">
        <v>75</v>
      </c>
      <c r="I928">
        <v>6</v>
      </c>
      <c r="J928">
        <v>25695</v>
      </c>
      <c r="K928">
        <v>0.1</v>
      </c>
      <c r="L928">
        <v>138753</v>
      </c>
      <c r="M928">
        <v>82275.320000000007</v>
      </c>
      <c r="N928">
        <v>56477.68</v>
      </c>
      <c r="O928" t="s">
        <v>79</v>
      </c>
      <c r="P928" t="s">
        <v>86</v>
      </c>
    </row>
    <row r="929" spans="1:16" x14ac:dyDescent="0.25">
      <c r="A929">
        <v>928</v>
      </c>
      <c r="B929" s="2">
        <v>45729</v>
      </c>
      <c r="C929" t="s">
        <v>20</v>
      </c>
      <c r="D929" t="s">
        <v>26</v>
      </c>
      <c r="E929" t="s">
        <v>28</v>
      </c>
      <c r="F929" t="s">
        <v>63</v>
      </c>
      <c r="G929" t="s">
        <v>72</v>
      </c>
      <c r="H929" t="s">
        <v>75</v>
      </c>
      <c r="I929">
        <v>1</v>
      </c>
      <c r="J929">
        <v>2264</v>
      </c>
      <c r="K929">
        <v>0.05</v>
      </c>
      <c r="L929">
        <v>2150.8000000000002</v>
      </c>
      <c r="M929">
        <v>1780.53</v>
      </c>
      <c r="N929">
        <v>370.27</v>
      </c>
      <c r="O929" t="s">
        <v>77</v>
      </c>
      <c r="P929" t="s">
        <v>86</v>
      </c>
    </row>
    <row r="930" spans="1:16" x14ac:dyDescent="0.25">
      <c r="A930">
        <v>929</v>
      </c>
      <c r="B930" s="2">
        <v>45854</v>
      </c>
      <c r="C930" t="s">
        <v>20</v>
      </c>
      <c r="D930" t="s">
        <v>26</v>
      </c>
      <c r="E930" t="s">
        <v>33</v>
      </c>
      <c r="F930" t="s">
        <v>41</v>
      </c>
      <c r="G930" t="s">
        <v>70</v>
      </c>
      <c r="H930" t="s">
        <v>74</v>
      </c>
      <c r="I930">
        <v>3</v>
      </c>
      <c r="J930">
        <v>9090</v>
      </c>
      <c r="K930">
        <v>0.05</v>
      </c>
      <c r="L930">
        <v>25906.5</v>
      </c>
      <c r="M930">
        <v>18298.18</v>
      </c>
      <c r="N930">
        <v>7608.32</v>
      </c>
      <c r="O930" t="s">
        <v>77</v>
      </c>
      <c r="P930" t="s">
        <v>86</v>
      </c>
    </row>
    <row r="931" spans="1:16" x14ac:dyDescent="0.25">
      <c r="A931">
        <v>930</v>
      </c>
      <c r="B931" s="2">
        <v>45660</v>
      </c>
      <c r="C931" t="s">
        <v>23</v>
      </c>
      <c r="D931" t="s">
        <v>27</v>
      </c>
      <c r="E931" t="s">
        <v>31</v>
      </c>
      <c r="F931" t="s">
        <v>38</v>
      </c>
      <c r="G931" t="s">
        <v>71</v>
      </c>
      <c r="H931" t="s">
        <v>73</v>
      </c>
      <c r="I931">
        <v>2</v>
      </c>
      <c r="J931">
        <v>889</v>
      </c>
      <c r="K931">
        <v>0</v>
      </c>
      <c r="L931">
        <v>1778</v>
      </c>
      <c r="M931">
        <v>1131.08</v>
      </c>
      <c r="N931">
        <v>646.91999999999996</v>
      </c>
      <c r="O931" t="s">
        <v>79</v>
      </c>
      <c r="P931" t="s">
        <v>88</v>
      </c>
    </row>
    <row r="932" spans="1:16" x14ac:dyDescent="0.25">
      <c r="A932">
        <v>931</v>
      </c>
      <c r="B932" s="2">
        <v>45903</v>
      </c>
      <c r="C932" t="s">
        <v>16</v>
      </c>
      <c r="D932" t="s">
        <v>24</v>
      </c>
      <c r="E932" t="s">
        <v>34</v>
      </c>
      <c r="F932" t="s">
        <v>51</v>
      </c>
      <c r="G932" t="s">
        <v>70</v>
      </c>
      <c r="H932" t="s">
        <v>74</v>
      </c>
      <c r="I932">
        <v>4</v>
      </c>
      <c r="J932">
        <v>3881</v>
      </c>
      <c r="K932">
        <v>0.05</v>
      </c>
      <c r="L932">
        <v>14747.8</v>
      </c>
      <c r="M932">
        <v>8581.31</v>
      </c>
      <c r="N932">
        <v>6166.49</v>
      </c>
      <c r="O932" t="s">
        <v>79</v>
      </c>
      <c r="P932" t="s">
        <v>88</v>
      </c>
    </row>
    <row r="933" spans="1:16" x14ac:dyDescent="0.25">
      <c r="A933">
        <v>932</v>
      </c>
      <c r="B933" s="2">
        <v>45950</v>
      </c>
      <c r="C933" t="s">
        <v>16</v>
      </c>
      <c r="D933" t="s">
        <v>24</v>
      </c>
      <c r="E933" t="s">
        <v>32</v>
      </c>
      <c r="F933" t="s">
        <v>49</v>
      </c>
      <c r="G933" t="s">
        <v>71</v>
      </c>
      <c r="H933" t="s">
        <v>73</v>
      </c>
      <c r="I933">
        <v>8</v>
      </c>
      <c r="J933">
        <v>22419</v>
      </c>
      <c r="K933">
        <v>0.1</v>
      </c>
      <c r="L933">
        <v>161416.79999999999</v>
      </c>
      <c r="M933">
        <v>140823.69</v>
      </c>
      <c r="N933">
        <v>20593.11</v>
      </c>
      <c r="O933" t="s">
        <v>79</v>
      </c>
      <c r="P933" t="s">
        <v>88</v>
      </c>
    </row>
    <row r="934" spans="1:16" x14ac:dyDescent="0.25">
      <c r="A934">
        <v>933</v>
      </c>
      <c r="B934" s="2">
        <v>45934</v>
      </c>
      <c r="C934" t="s">
        <v>20</v>
      </c>
      <c r="D934" t="s">
        <v>26</v>
      </c>
      <c r="E934" t="s">
        <v>32</v>
      </c>
      <c r="F934" t="s">
        <v>62</v>
      </c>
      <c r="G934" t="s">
        <v>70</v>
      </c>
      <c r="H934" t="s">
        <v>74</v>
      </c>
      <c r="I934">
        <v>8</v>
      </c>
      <c r="J934">
        <v>22863</v>
      </c>
      <c r="K934">
        <v>0.15</v>
      </c>
      <c r="L934">
        <v>155468.4</v>
      </c>
      <c r="M934">
        <v>129109.91</v>
      </c>
      <c r="N934">
        <v>26358.49</v>
      </c>
      <c r="O934" t="s">
        <v>76</v>
      </c>
      <c r="P934" t="s">
        <v>85</v>
      </c>
    </row>
    <row r="935" spans="1:16" x14ac:dyDescent="0.25">
      <c r="A935">
        <v>934</v>
      </c>
      <c r="B935" s="2">
        <v>45923</v>
      </c>
      <c r="C935" t="s">
        <v>19</v>
      </c>
      <c r="D935" t="s">
        <v>26</v>
      </c>
      <c r="E935" t="s">
        <v>32</v>
      </c>
      <c r="F935" t="s">
        <v>49</v>
      </c>
      <c r="G935" t="s">
        <v>72</v>
      </c>
      <c r="H935" t="s">
        <v>74</v>
      </c>
      <c r="I935">
        <v>3</v>
      </c>
      <c r="J935">
        <v>9004</v>
      </c>
      <c r="K935">
        <v>0.15</v>
      </c>
      <c r="L935">
        <v>22960.2</v>
      </c>
      <c r="M935">
        <v>18374.75</v>
      </c>
      <c r="N935">
        <v>4585.45</v>
      </c>
      <c r="O935" t="s">
        <v>76</v>
      </c>
      <c r="P935" t="s">
        <v>81</v>
      </c>
    </row>
    <row r="936" spans="1:16" x14ac:dyDescent="0.25">
      <c r="A936">
        <v>935</v>
      </c>
      <c r="B936" s="2">
        <v>45785</v>
      </c>
      <c r="C936" t="s">
        <v>21</v>
      </c>
      <c r="D936" t="s">
        <v>24</v>
      </c>
      <c r="E936" t="s">
        <v>30</v>
      </c>
      <c r="F936" t="s">
        <v>44</v>
      </c>
      <c r="G936" t="s">
        <v>72</v>
      </c>
      <c r="H936" t="s">
        <v>74</v>
      </c>
      <c r="I936">
        <v>4</v>
      </c>
      <c r="J936">
        <v>56537</v>
      </c>
      <c r="K936">
        <v>0.15</v>
      </c>
      <c r="L936">
        <v>192225.8</v>
      </c>
      <c r="M936">
        <v>116320.3</v>
      </c>
      <c r="N936">
        <v>75905.5</v>
      </c>
      <c r="O936" t="s">
        <v>77</v>
      </c>
      <c r="P936" t="s">
        <v>86</v>
      </c>
    </row>
    <row r="937" spans="1:16" x14ac:dyDescent="0.25">
      <c r="A937">
        <v>936</v>
      </c>
      <c r="B937" s="2">
        <v>45728</v>
      </c>
      <c r="C937" t="s">
        <v>17</v>
      </c>
      <c r="D937" t="s">
        <v>25</v>
      </c>
      <c r="E937" t="s">
        <v>29</v>
      </c>
      <c r="F937" t="s">
        <v>57</v>
      </c>
      <c r="G937" t="s">
        <v>71</v>
      </c>
      <c r="H937" t="s">
        <v>75</v>
      </c>
      <c r="I937">
        <v>4</v>
      </c>
      <c r="J937">
        <v>8299</v>
      </c>
      <c r="K937">
        <v>0.1</v>
      </c>
      <c r="L937">
        <v>29876.400000000001</v>
      </c>
      <c r="M937">
        <v>23290.47</v>
      </c>
      <c r="N937">
        <v>6585.93</v>
      </c>
      <c r="O937" t="s">
        <v>76</v>
      </c>
      <c r="P937" t="s">
        <v>82</v>
      </c>
    </row>
    <row r="938" spans="1:16" x14ac:dyDescent="0.25">
      <c r="A938">
        <v>937</v>
      </c>
      <c r="B938" s="2">
        <v>45729</v>
      </c>
      <c r="C938" t="s">
        <v>18</v>
      </c>
      <c r="D938" t="s">
        <v>26</v>
      </c>
      <c r="E938" t="s">
        <v>33</v>
      </c>
      <c r="F938" t="s">
        <v>59</v>
      </c>
      <c r="G938" t="s">
        <v>70</v>
      </c>
      <c r="H938" t="s">
        <v>75</v>
      </c>
      <c r="I938">
        <v>1</v>
      </c>
      <c r="J938">
        <v>31307</v>
      </c>
      <c r="K938">
        <v>0.15</v>
      </c>
      <c r="L938">
        <v>26610.95</v>
      </c>
      <c r="M938">
        <v>16225.26</v>
      </c>
      <c r="N938">
        <v>10385.69</v>
      </c>
      <c r="O938" t="s">
        <v>80</v>
      </c>
      <c r="P938" t="s">
        <v>87</v>
      </c>
    </row>
    <row r="939" spans="1:16" x14ac:dyDescent="0.25">
      <c r="A939">
        <v>938</v>
      </c>
      <c r="B939" s="2">
        <v>45721</v>
      </c>
      <c r="C939" t="s">
        <v>20</v>
      </c>
      <c r="D939" t="s">
        <v>26</v>
      </c>
      <c r="E939" t="s">
        <v>29</v>
      </c>
      <c r="F939" t="s">
        <v>36</v>
      </c>
      <c r="G939" t="s">
        <v>71</v>
      </c>
      <c r="H939" t="s">
        <v>74</v>
      </c>
      <c r="I939">
        <v>7</v>
      </c>
      <c r="J939">
        <v>2816</v>
      </c>
      <c r="K939">
        <v>0.1</v>
      </c>
      <c r="L939">
        <v>17740.8</v>
      </c>
      <c r="M939">
        <v>10099.52</v>
      </c>
      <c r="N939">
        <v>7641.28</v>
      </c>
      <c r="O939" t="s">
        <v>79</v>
      </c>
      <c r="P939" t="s">
        <v>88</v>
      </c>
    </row>
    <row r="940" spans="1:16" x14ac:dyDescent="0.25">
      <c r="A940">
        <v>939</v>
      </c>
      <c r="B940" s="2">
        <v>45661</v>
      </c>
      <c r="C940" t="s">
        <v>20</v>
      </c>
      <c r="D940" t="s">
        <v>26</v>
      </c>
      <c r="E940" t="s">
        <v>30</v>
      </c>
      <c r="F940" t="s">
        <v>56</v>
      </c>
      <c r="G940" t="s">
        <v>71</v>
      </c>
      <c r="H940" t="s">
        <v>75</v>
      </c>
      <c r="I940">
        <v>7</v>
      </c>
      <c r="J940">
        <v>48478</v>
      </c>
      <c r="K940">
        <v>0.1</v>
      </c>
      <c r="L940">
        <v>305411.40000000002</v>
      </c>
      <c r="M940">
        <v>237008.14</v>
      </c>
      <c r="N940">
        <v>68403.259999999995</v>
      </c>
      <c r="O940" t="s">
        <v>78</v>
      </c>
      <c r="P940" t="s">
        <v>82</v>
      </c>
    </row>
    <row r="941" spans="1:16" x14ac:dyDescent="0.25">
      <c r="A941">
        <v>940</v>
      </c>
      <c r="B941" s="2">
        <v>45672</v>
      </c>
      <c r="C941" t="s">
        <v>21</v>
      </c>
      <c r="D941" t="s">
        <v>24</v>
      </c>
      <c r="E941" t="s">
        <v>33</v>
      </c>
      <c r="F941" t="s">
        <v>41</v>
      </c>
      <c r="G941" t="s">
        <v>72</v>
      </c>
      <c r="H941" t="s">
        <v>74</v>
      </c>
      <c r="I941">
        <v>3</v>
      </c>
      <c r="J941">
        <v>46001</v>
      </c>
      <c r="K941">
        <v>0</v>
      </c>
      <c r="L941">
        <v>138003</v>
      </c>
      <c r="M941">
        <v>110058.08</v>
      </c>
      <c r="N941">
        <v>27944.92</v>
      </c>
      <c r="O941" t="s">
        <v>79</v>
      </c>
      <c r="P941" t="s">
        <v>85</v>
      </c>
    </row>
    <row r="942" spans="1:16" x14ac:dyDescent="0.25">
      <c r="A942">
        <v>941</v>
      </c>
      <c r="B942" s="2">
        <v>46010</v>
      </c>
      <c r="C942" t="s">
        <v>20</v>
      </c>
      <c r="D942" t="s">
        <v>26</v>
      </c>
      <c r="E942" t="s">
        <v>28</v>
      </c>
      <c r="F942" t="s">
        <v>63</v>
      </c>
      <c r="G942" t="s">
        <v>71</v>
      </c>
      <c r="H942" t="s">
        <v>74</v>
      </c>
      <c r="I942">
        <v>5</v>
      </c>
      <c r="J942">
        <v>2487</v>
      </c>
      <c r="K942">
        <v>0.05</v>
      </c>
      <c r="L942">
        <v>11813.25</v>
      </c>
      <c r="M942">
        <v>9343.86</v>
      </c>
      <c r="N942">
        <v>2469.39</v>
      </c>
      <c r="O942" t="s">
        <v>76</v>
      </c>
      <c r="P942" t="s">
        <v>88</v>
      </c>
    </row>
    <row r="943" spans="1:16" x14ac:dyDescent="0.25">
      <c r="A943">
        <v>942</v>
      </c>
      <c r="B943" s="2">
        <v>45881</v>
      </c>
      <c r="C943" t="s">
        <v>16</v>
      </c>
      <c r="D943" t="s">
        <v>24</v>
      </c>
      <c r="E943" t="s">
        <v>33</v>
      </c>
      <c r="F943" t="s">
        <v>46</v>
      </c>
      <c r="G943" t="s">
        <v>71</v>
      </c>
      <c r="H943" t="s">
        <v>73</v>
      </c>
      <c r="I943">
        <v>4</v>
      </c>
      <c r="J943">
        <v>33876</v>
      </c>
      <c r="K943">
        <v>0.15</v>
      </c>
      <c r="L943">
        <v>115178.4</v>
      </c>
      <c r="M943">
        <v>76382.11</v>
      </c>
      <c r="N943">
        <v>38796.29</v>
      </c>
      <c r="O943" t="s">
        <v>78</v>
      </c>
      <c r="P943" t="s">
        <v>87</v>
      </c>
    </row>
    <row r="944" spans="1:16" x14ac:dyDescent="0.25">
      <c r="A944">
        <v>943</v>
      </c>
      <c r="B944" s="2">
        <v>45891</v>
      </c>
      <c r="C944" t="s">
        <v>18</v>
      </c>
      <c r="D944" t="s">
        <v>26</v>
      </c>
      <c r="E944" t="s">
        <v>28</v>
      </c>
      <c r="F944" t="s">
        <v>63</v>
      </c>
      <c r="G944" t="s">
        <v>70</v>
      </c>
      <c r="H944" t="s">
        <v>73</v>
      </c>
      <c r="I944">
        <v>8</v>
      </c>
      <c r="J944">
        <v>2148</v>
      </c>
      <c r="K944">
        <v>0.05</v>
      </c>
      <c r="L944">
        <v>16324.8</v>
      </c>
      <c r="M944">
        <v>12703.07</v>
      </c>
      <c r="N944">
        <v>3621.73</v>
      </c>
      <c r="O944" t="s">
        <v>77</v>
      </c>
      <c r="P944" t="s">
        <v>84</v>
      </c>
    </row>
    <row r="945" spans="1:16" x14ac:dyDescent="0.25">
      <c r="A945">
        <v>944</v>
      </c>
      <c r="B945" s="2">
        <v>45963</v>
      </c>
      <c r="C945" t="s">
        <v>23</v>
      </c>
      <c r="D945" t="s">
        <v>27</v>
      </c>
      <c r="E945" t="s">
        <v>29</v>
      </c>
      <c r="F945" t="s">
        <v>45</v>
      </c>
      <c r="G945" t="s">
        <v>70</v>
      </c>
      <c r="H945" t="s">
        <v>75</v>
      </c>
      <c r="I945">
        <v>1</v>
      </c>
      <c r="J945">
        <v>8432</v>
      </c>
      <c r="K945">
        <v>0.1</v>
      </c>
      <c r="L945">
        <v>7588.8</v>
      </c>
      <c r="M945">
        <v>4863.8</v>
      </c>
      <c r="N945">
        <v>2725</v>
      </c>
      <c r="O945" t="s">
        <v>80</v>
      </c>
      <c r="P945" t="s">
        <v>84</v>
      </c>
    </row>
    <row r="946" spans="1:16" x14ac:dyDescent="0.25">
      <c r="A946">
        <v>945</v>
      </c>
      <c r="B946" s="2">
        <v>45971</v>
      </c>
      <c r="C946" t="s">
        <v>21</v>
      </c>
      <c r="D946" t="s">
        <v>24</v>
      </c>
      <c r="E946" t="s">
        <v>30</v>
      </c>
      <c r="F946" t="s">
        <v>44</v>
      </c>
      <c r="G946" t="s">
        <v>72</v>
      </c>
      <c r="H946" t="s">
        <v>75</v>
      </c>
      <c r="I946">
        <v>6</v>
      </c>
      <c r="J946">
        <v>32915</v>
      </c>
      <c r="K946">
        <v>0.1</v>
      </c>
      <c r="L946">
        <v>177741</v>
      </c>
      <c r="M946">
        <v>114612.14</v>
      </c>
      <c r="N946">
        <v>63128.86</v>
      </c>
      <c r="O946" t="s">
        <v>80</v>
      </c>
      <c r="P946" t="s">
        <v>83</v>
      </c>
    </row>
    <row r="947" spans="1:16" x14ac:dyDescent="0.25">
      <c r="A947">
        <v>946</v>
      </c>
      <c r="B947" s="2">
        <v>45846</v>
      </c>
      <c r="C947" t="s">
        <v>20</v>
      </c>
      <c r="D947" t="s">
        <v>26</v>
      </c>
      <c r="E947" t="s">
        <v>31</v>
      </c>
      <c r="F947" t="s">
        <v>50</v>
      </c>
      <c r="G947" t="s">
        <v>72</v>
      </c>
      <c r="H947" t="s">
        <v>74</v>
      </c>
      <c r="I947">
        <v>6</v>
      </c>
      <c r="J947">
        <v>1129</v>
      </c>
      <c r="K947">
        <v>0.1</v>
      </c>
      <c r="L947">
        <v>6096.6</v>
      </c>
      <c r="M947">
        <v>3782.66</v>
      </c>
      <c r="N947">
        <v>2313.94</v>
      </c>
      <c r="O947" t="s">
        <v>80</v>
      </c>
      <c r="P947" t="s">
        <v>87</v>
      </c>
    </row>
    <row r="948" spans="1:16" x14ac:dyDescent="0.25">
      <c r="A948">
        <v>947</v>
      </c>
      <c r="B948" s="2">
        <v>45843</v>
      </c>
      <c r="C948" t="s">
        <v>20</v>
      </c>
      <c r="D948" t="s">
        <v>26</v>
      </c>
      <c r="E948" t="s">
        <v>31</v>
      </c>
      <c r="F948" t="s">
        <v>38</v>
      </c>
      <c r="G948" t="s">
        <v>72</v>
      </c>
      <c r="H948" t="s">
        <v>75</v>
      </c>
      <c r="I948">
        <v>7</v>
      </c>
      <c r="J948">
        <v>1730</v>
      </c>
      <c r="K948">
        <v>0.1</v>
      </c>
      <c r="L948">
        <v>10899</v>
      </c>
      <c r="M948">
        <v>9299.26</v>
      </c>
      <c r="N948">
        <v>1599.74</v>
      </c>
      <c r="O948" t="s">
        <v>77</v>
      </c>
      <c r="P948" t="s">
        <v>88</v>
      </c>
    </row>
    <row r="949" spans="1:16" x14ac:dyDescent="0.25">
      <c r="A949">
        <v>948</v>
      </c>
      <c r="B949" s="2">
        <v>45717</v>
      </c>
      <c r="C949" t="s">
        <v>21</v>
      </c>
      <c r="D949" t="s">
        <v>24</v>
      </c>
      <c r="E949" t="s">
        <v>30</v>
      </c>
      <c r="F949" t="s">
        <v>37</v>
      </c>
      <c r="G949" t="s">
        <v>72</v>
      </c>
      <c r="H949" t="s">
        <v>74</v>
      </c>
      <c r="I949">
        <v>1</v>
      </c>
      <c r="J949">
        <v>59551</v>
      </c>
      <c r="K949">
        <v>0</v>
      </c>
      <c r="L949">
        <v>59551</v>
      </c>
      <c r="M949">
        <v>42156.27</v>
      </c>
      <c r="N949">
        <v>17394.73</v>
      </c>
      <c r="O949" t="s">
        <v>77</v>
      </c>
      <c r="P949" t="s">
        <v>85</v>
      </c>
    </row>
    <row r="950" spans="1:16" x14ac:dyDescent="0.25">
      <c r="A950">
        <v>949</v>
      </c>
      <c r="B950" s="2">
        <v>45664</v>
      </c>
      <c r="C950" t="s">
        <v>17</v>
      </c>
      <c r="D950" t="s">
        <v>25</v>
      </c>
      <c r="E950" t="s">
        <v>33</v>
      </c>
      <c r="F950" t="s">
        <v>59</v>
      </c>
      <c r="G950" t="s">
        <v>71</v>
      </c>
      <c r="H950" t="s">
        <v>74</v>
      </c>
      <c r="I950">
        <v>7</v>
      </c>
      <c r="J950">
        <v>8402</v>
      </c>
      <c r="K950">
        <v>0.1</v>
      </c>
      <c r="L950">
        <v>52932.6</v>
      </c>
      <c r="M950">
        <v>43978.64</v>
      </c>
      <c r="N950">
        <v>8953.9599999999991</v>
      </c>
      <c r="O950" t="s">
        <v>76</v>
      </c>
      <c r="P950" t="s">
        <v>81</v>
      </c>
    </row>
    <row r="951" spans="1:16" x14ac:dyDescent="0.25">
      <c r="A951">
        <v>950</v>
      </c>
      <c r="B951" s="2">
        <v>45772</v>
      </c>
      <c r="C951" t="s">
        <v>20</v>
      </c>
      <c r="D951" t="s">
        <v>26</v>
      </c>
      <c r="E951" t="s">
        <v>31</v>
      </c>
      <c r="F951" t="s">
        <v>50</v>
      </c>
      <c r="G951" t="s">
        <v>70</v>
      </c>
      <c r="H951" t="s">
        <v>74</v>
      </c>
      <c r="I951">
        <v>5</v>
      </c>
      <c r="J951">
        <v>2174</v>
      </c>
      <c r="K951">
        <v>0</v>
      </c>
      <c r="L951">
        <v>10870</v>
      </c>
      <c r="M951">
        <v>9416.19</v>
      </c>
      <c r="N951">
        <v>1453.81</v>
      </c>
      <c r="O951" t="s">
        <v>79</v>
      </c>
      <c r="P951" t="s">
        <v>82</v>
      </c>
    </row>
    <row r="952" spans="1:16" x14ac:dyDescent="0.25">
      <c r="A952">
        <v>951</v>
      </c>
      <c r="B952" s="2">
        <v>45733</v>
      </c>
      <c r="C952" t="s">
        <v>22</v>
      </c>
      <c r="D952" t="s">
        <v>24</v>
      </c>
      <c r="E952" t="s">
        <v>32</v>
      </c>
      <c r="F952" t="s">
        <v>39</v>
      </c>
      <c r="G952" t="s">
        <v>70</v>
      </c>
      <c r="H952" t="s">
        <v>73</v>
      </c>
      <c r="I952">
        <v>8</v>
      </c>
      <c r="J952">
        <v>3613</v>
      </c>
      <c r="K952">
        <v>0</v>
      </c>
      <c r="L952">
        <v>28904</v>
      </c>
      <c r="M952">
        <v>19136.080000000002</v>
      </c>
      <c r="N952">
        <v>9767.92</v>
      </c>
      <c r="O952" t="s">
        <v>77</v>
      </c>
      <c r="P952" t="s">
        <v>83</v>
      </c>
    </row>
    <row r="953" spans="1:16" x14ac:dyDescent="0.25">
      <c r="A953">
        <v>952</v>
      </c>
      <c r="B953" s="2">
        <v>45764</v>
      </c>
      <c r="C953" t="s">
        <v>21</v>
      </c>
      <c r="D953" t="s">
        <v>24</v>
      </c>
      <c r="E953" t="s">
        <v>32</v>
      </c>
      <c r="F953" t="s">
        <v>66</v>
      </c>
      <c r="G953" t="s">
        <v>71</v>
      </c>
      <c r="H953" t="s">
        <v>75</v>
      </c>
      <c r="I953">
        <v>6</v>
      </c>
      <c r="J953">
        <v>12171</v>
      </c>
      <c r="K953">
        <v>0.15</v>
      </c>
      <c r="L953">
        <v>62072.1</v>
      </c>
      <c r="M953">
        <v>34364.28</v>
      </c>
      <c r="N953">
        <v>27707.82</v>
      </c>
      <c r="O953" t="s">
        <v>78</v>
      </c>
      <c r="P953" t="s">
        <v>86</v>
      </c>
    </row>
    <row r="954" spans="1:16" x14ac:dyDescent="0.25">
      <c r="A954">
        <v>953</v>
      </c>
      <c r="B954" s="2">
        <v>45794</v>
      </c>
      <c r="C954" t="s">
        <v>17</v>
      </c>
      <c r="D954" t="s">
        <v>25</v>
      </c>
      <c r="E954" t="s">
        <v>34</v>
      </c>
      <c r="F954" t="s">
        <v>51</v>
      </c>
      <c r="G954" t="s">
        <v>72</v>
      </c>
      <c r="H954" t="s">
        <v>74</v>
      </c>
      <c r="I954">
        <v>8</v>
      </c>
      <c r="J954">
        <v>5227</v>
      </c>
      <c r="K954">
        <v>0.2</v>
      </c>
      <c r="L954">
        <v>33452.800000000003</v>
      </c>
      <c r="M954">
        <v>29395.93</v>
      </c>
      <c r="N954">
        <v>4056.87</v>
      </c>
      <c r="O954" t="s">
        <v>78</v>
      </c>
      <c r="P954" t="s">
        <v>84</v>
      </c>
    </row>
    <row r="955" spans="1:16" x14ac:dyDescent="0.25">
      <c r="A955">
        <v>954</v>
      </c>
      <c r="B955" s="2">
        <v>45876</v>
      </c>
      <c r="C955" t="s">
        <v>23</v>
      </c>
      <c r="D955" t="s">
        <v>27</v>
      </c>
      <c r="E955" t="s">
        <v>33</v>
      </c>
      <c r="F955" t="s">
        <v>59</v>
      </c>
      <c r="G955" t="s">
        <v>70</v>
      </c>
      <c r="H955" t="s">
        <v>75</v>
      </c>
      <c r="I955">
        <v>6</v>
      </c>
      <c r="J955">
        <v>47346</v>
      </c>
      <c r="K955">
        <v>0.05</v>
      </c>
      <c r="L955">
        <v>269872.2</v>
      </c>
      <c r="M955">
        <v>187662.95</v>
      </c>
      <c r="N955">
        <v>82209.25</v>
      </c>
      <c r="O955" t="s">
        <v>80</v>
      </c>
      <c r="P955" t="s">
        <v>86</v>
      </c>
    </row>
    <row r="956" spans="1:16" x14ac:dyDescent="0.25">
      <c r="A956">
        <v>955</v>
      </c>
      <c r="B956" s="2">
        <v>45802</v>
      </c>
      <c r="C956" t="s">
        <v>23</v>
      </c>
      <c r="D956" t="s">
        <v>27</v>
      </c>
      <c r="E956" t="s">
        <v>28</v>
      </c>
      <c r="F956" t="s">
        <v>54</v>
      </c>
      <c r="G956" t="s">
        <v>71</v>
      </c>
      <c r="H956" t="s">
        <v>74</v>
      </c>
      <c r="I956">
        <v>2</v>
      </c>
      <c r="J956">
        <v>1484</v>
      </c>
      <c r="K956">
        <v>0.15</v>
      </c>
      <c r="L956">
        <v>2522.8000000000002</v>
      </c>
      <c r="M956">
        <v>1974.83</v>
      </c>
      <c r="N956">
        <v>547.97</v>
      </c>
      <c r="O956" t="s">
        <v>80</v>
      </c>
      <c r="P956" t="s">
        <v>85</v>
      </c>
    </row>
    <row r="957" spans="1:16" x14ac:dyDescent="0.25">
      <c r="A957">
        <v>956</v>
      </c>
      <c r="B957" s="2">
        <v>45893</v>
      </c>
      <c r="C957" t="s">
        <v>19</v>
      </c>
      <c r="D957" t="s">
        <v>26</v>
      </c>
      <c r="E957" t="s">
        <v>34</v>
      </c>
      <c r="F957" t="s">
        <v>68</v>
      </c>
      <c r="G957" t="s">
        <v>71</v>
      </c>
      <c r="H957" t="s">
        <v>73</v>
      </c>
      <c r="I957">
        <v>4</v>
      </c>
      <c r="J957">
        <v>4778</v>
      </c>
      <c r="K957">
        <v>0.05</v>
      </c>
      <c r="L957">
        <v>18156.400000000001</v>
      </c>
      <c r="M957">
        <v>14220.26</v>
      </c>
      <c r="N957">
        <v>3936.14</v>
      </c>
      <c r="O957" t="s">
        <v>80</v>
      </c>
      <c r="P957" t="s">
        <v>87</v>
      </c>
    </row>
    <row r="958" spans="1:16" x14ac:dyDescent="0.25">
      <c r="A958">
        <v>957</v>
      </c>
      <c r="B958" s="2">
        <v>46018</v>
      </c>
      <c r="C958" t="s">
        <v>23</v>
      </c>
      <c r="D958" t="s">
        <v>27</v>
      </c>
      <c r="E958" t="s">
        <v>34</v>
      </c>
      <c r="F958" t="s">
        <v>43</v>
      </c>
      <c r="G958" t="s">
        <v>71</v>
      </c>
      <c r="H958" t="s">
        <v>73</v>
      </c>
      <c r="I958">
        <v>2</v>
      </c>
      <c r="J958">
        <v>3412</v>
      </c>
      <c r="K958">
        <v>0.15</v>
      </c>
      <c r="L958">
        <v>5800.4</v>
      </c>
      <c r="M958">
        <v>5000.13</v>
      </c>
      <c r="N958">
        <v>800.27</v>
      </c>
      <c r="O958" t="s">
        <v>76</v>
      </c>
      <c r="P958" t="s">
        <v>87</v>
      </c>
    </row>
    <row r="959" spans="1:16" x14ac:dyDescent="0.25">
      <c r="A959">
        <v>958</v>
      </c>
      <c r="B959" s="2">
        <v>45877</v>
      </c>
      <c r="C959" t="s">
        <v>22</v>
      </c>
      <c r="D959" t="s">
        <v>24</v>
      </c>
      <c r="E959" t="s">
        <v>29</v>
      </c>
      <c r="F959" t="s">
        <v>57</v>
      </c>
      <c r="G959" t="s">
        <v>72</v>
      </c>
      <c r="H959" t="s">
        <v>74</v>
      </c>
      <c r="I959">
        <v>5</v>
      </c>
      <c r="J959">
        <v>1329</v>
      </c>
      <c r="K959">
        <v>0.1</v>
      </c>
      <c r="L959">
        <v>5980.5</v>
      </c>
      <c r="M959">
        <v>3473.33</v>
      </c>
      <c r="N959">
        <v>2507.17</v>
      </c>
      <c r="O959" t="s">
        <v>80</v>
      </c>
      <c r="P959" t="s">
        <v>81</v>
      </c>
    </row>
    <row r="960" spans="1:16" x14ac:dyDescent="0.25">
      <c r="A960">
        <v>959</v>
      </c>
      <c r="B960" s="2">
        <v>45970</v>
      </c>
      <c r="C960" t="s">
        <v>23</v>
      </c>
      <c r="D960" t="s">
        <v>27</v>
      </c>
      <c r="E960" t="s">
        <v>31</v>
      </c>
      <c r="F960" t="s">
        <v>69</v>
      </c>
      <c r="G960" t="s">
        <v>71</v>
      </c>
      <c r="H960" t="s">
        <v>73</v>
      </c>
      <c r="I960">
        <v>2</v>
      </c>
      <c r="J960">
        <v>1137</v>
      </c>
      <c r="K960">
        <v>0.15</v>
      </c>
      <c r="L960">
        <v>1932.9</v>
      </c>
      <c r="M960">
        <v>1505.07</v>
      </c>
      <c r="N960">
        <v>427.83</v>
      </c>
      <c r="O960" t="s">
        <v>79</v>
      </c>
      <c r="P960" t="s">
        <v>85</v>
      </c>
    </row>
    <row r="961" spans="1:16" x14ac:dyDescent="0.25">
      <c r="A961">
        <v>960</v>
      </c>
      <c r="B961" s="2">
        <v>45865</v>
      </c>
      <c r="C961" t="s">
        <v>20</v>
      </c>
      <c r="D961" t="s">
        <v>26</v>
      </c>
      <c r="E961" t="s">
        <v>31</v>
      </c>
      <c r="F961" t="s">
        <v>38</v>
      </c>
      <c r="G961" t="s">
        <v>70</v>
      </c>
      <c r="H961" t="s">
        <v>73</v>
      </c>
      <c r="I961">
        <v>2</v>
      </c>
      <c r="J961">
        <v>211</v>
      </c>
      <c r="K961">
        <v>0.1</v>
      </c>
      <c r="L961">
        <v>379.8</v>
      </c>
      <c r="M961">
        <v>235.94</v>
      </c>
      <c r="N961">
        <v>143.86000000000001</v>
      </c>
      <c r="O961" t="s">
        <v>76</v>
      </c>
      <c r="P961" t="s">
        <v>82</v>
      </c>
    </row>
    <row r="962" spans="1:16" x14ac:dyDescent="0.25">
      <c r="A962">
        <v>961</v>
      </c>
      <c r="B962" s="2">
        <v>45934</v>
      </c>
      <c r="C962" t="s">
        <v>23</v>
      </c>
      <c r="D962" t="s">
        <v>27</v>
      </c>
      <c r="E962" t="s">
        <v>29</v>
      </c>
      <c r="F962" t="s">
        <v>42</v>
      </c>
      <c r="G962" t="s">
        <v>72</v>
      </c>
      <c r="H962" t="s">
        <v>73</v>
      </c>
      <c r="I962">
        <v>7</v>
      </c>
      <c r="J962">
        <v>10637</v>
      </c>
      <c r="K962">
        <v>0.15</v>
      </c>
      <c r="L962">
        <v>63290.15</v>
      </c>
      <c r="M962">
        <v>54719.81</v>
      </c>
      <c r="N962">
        <v>8570.34</v>
      </c>
      <c r="O962" t="s">
        <v>77</v>
      </c>
      <c r="P962" t="s">
        <v>87</v>
      </c>
    </row>
    <row r="963" spans="1:16" x14ac:dyDescent="0.25">
      <c r="A963">
        <v>962</v>
      </c>
      <c r="B963" s="2">
        <v>45701</v>
      </c>
      <c r="C963" t="s">
        <v>19</v>
      </c>
      <c r="D963" t="s">
        <v>26</v>
      </c>
      <c r="E963" t="s">
        <v>32</v>
      </c>
      <c r="F963" t="s">
        <v>39</v>
      </c>
      <c r="G963" t="s">
        <v>70</v>
      </c>
      <c r="H963" t="s">
        <v>74</v>
      </c>
      <c r="I963">
        <v>7</v>
      </c>
      <c r="J963">
        <v>17712</v>
      </c>
      <c r="K963">
        <v>0.1</v>
      </c>
      <c r="L963">
        <v>111585.60000000001</v>
      </c>
      <c r="M963">
        <v>77726.91</v>
      </c>
      <c r="N963">
        <v>33858.69</v>
      </c>
      <c r="O963" t="s">
        <v>80</v>
      </c>
      <c r="P963" t="s">
        <v>85</v>
      </c>
    </row>
    <row r="964" spans="1:16" x14ac:dyDescent="0.25">
      <c r="A964">
        <v>963</v>
      </c>
      <c r="B964" s="2">
        <v>45988</v>
      </c>
      <c r="C964" t="s">
        <v>22</v>
      </c>
      <c r="D964" t="s">
        <v>24</v>
      </c>
      <c r="E964" t="s">
        <v>29</v>
      </c>
      <c r="F964" t="s">
        <v>45</v>
      </c>
      <c r="G964" t="s">
        <v>70</v>
      </c>
      <c r="H964" t="s">
        <v>75</v>
      </c>
      <c r="I964">
        <v>4</v>
      </c>
      <c r="J964">
        <v>10767</v>
      </c>
      <c r="K964">
        <v>0.15</v>
      </c>
      <c r="L964">
        <v>36607.800000000003</v>
      </c>
      <c r="M964">
        <v>25055.13</v>
      </c>
      <c r="N964">
        <v>11552.67</v>
      </c>
      <c r="O964" t="s">
        <v>78</v>
      </c>
      <c r="P964" t="s">
        <v>84</v>
      </c>
    </row>
    <row r="965" spans="1:16" x14ac:dyDescent="0.25">
      <c r="A965">
        <v>964</v>
      </c>
      <c r="B965" s="2">
        <v>46021</v>
      </c>
      <c r="C965" t="s">
        <v>19</v>
      </c>
      <c r="D965" t="s">
        <v>26</v>
      </c>
      <c r="E965" t="s">
        <v>28</v>
      </c>
      <c r="F965" t="s">
        <v>35</v>
      </c>
      <c r="G965" t="s">
        <v>70</v>
      </c>
      <c r="H965" t="s">
        <v>75</v>
      </c>
      <c r="I965">
        <v>4</v>
      </c>
      <c r="J965">
        <v>1999</v>
      </c>
      <c r="K965">
        <v>0.2</v>
      </c>
      <c r="L965">
        <v>6396.8</v>
      </c>
      <c r="M965">
        <v>4010.29</v>
      </c>
      <c r="N965">
        <v>2386.5100000000002</v>
      </c>
      <c r="O965" t="s">
        <v>77</v>
      </c>
      <c r="P965" t="s">
        <v>85</v>
      </c>
    </row>
    <row r="966" spans="1:16" x14ac:dyDescent="0.25">
      <c r="A966">
        <v>965</v>
      </c>
      <c r="B966" s="2">
        <v>45685</v>
      </c>
      <c r="C966" t="s">
        <v>21</v>
      </c>
      <c r="D966" t="s">
        <v>24</v>
      </c>
      <c r="E966" t="s">
        <v>34</v>
      </c>
      <c r="F966" t="s">
        <v>51</v>
      </c>
      <c r="G966" t="s">
        <v>72</v>
      </c>
      <c r="H966" t="s">
        <v>75</v>
      </c>
      <c r="I966">
        <v>8</v>
      </c>
      <c r="J966">
        <v>4754</v>
      </c>
      <c r="K966">
        <v>0.15</v>
      </c>
      <c r="L966">
        <v>32327.200000000001</v>
      </c>
      <c r="M966">
        <v>24752.13</v>
      </c>
      <c r="N966">
        <v>7575.07</v>
      </c>
      <c r="O966" t="s">
        <v>80</v>
      </c>
      <c r="P966" t="s">
        <v>81</v>
      </c>
    </row>
    <row r="967" spans="1:16" x14ac:dyDescent="0.25">
      <c r="A967">
        <v>966</v>
      </c>
      <c r="B967" s="2">
        <v>45804</v>
      </c>
      <c r="C967" t="s">
        <v>17</v>
      </c>
      <c r="D967" t="s">
        <v>25</v>
      </c>
      <c r="E967" t="s">
        <v>29</v>
      </c>
      <c r="F967" t="s">
        <v>45</v>
      </c>
      <c r="G967" t="s">
        <v>70</v>
      </c>
      <c r="H967" t="s">
        <v>74</v>
      </c>
      <c r="I967">
        <v>3</v>
      </c>
      <c r="J967">
        <v>1344</v>
      </c>
      <c r="K967">
        <v>0.05</v>
      </c>
      <c r="L967">
        <v>3830.4</v>
      </c>
      <c r="M967">
        <v>2321.4</v>
      </c>
      <c r="N967">
        <v>1509</v>
      </c>
      <c r="O967" t="s">
        <v>76</v>
      </c>
      <c r="P967" t="s">
        <v>86</v>
      </c>
    </row>
    <row r="968" spans="1:16" x14ac:dyDescent="0.25">
      <c r="A968">
        <v>967</v>
      </c>
      <c r="B968" s="2">
        <v>45659</v>
      </c>
      <c r="C968" t="s">
        <v>20</v>
      </c>
      <c r="D968" t="s">
        <v>26</v>
      </c>
      <c r="E968" t="s">
        <v>34</v>
      </c>
      <c r="F968" t="s">
        <v>65</v>
      </c>
      <c r="G968" t="s">
        <v>70</v>
      </c>
      <c r="H968" t="s">
        <v>74</v>
      </c>
      <c r="I968">
        <v>5</v>
      </c>
      <c r="J968">
        <v>693</v>
      </c>
      <c r="K968">
        <v>0.05</v>
      </c>
      <c r="L968">
        <v>3291.75</v>
      </c>
      <c r="M968">
        <v>2797.93</v>
      </c>
      <c r="N968">
        <v>493.82</v>
      </c>
      <c r="O968" t="s">
        <v>76</v>
      </c>
      <c r="P968" t="s">
        <v>83</v>
      </c>
    </row>
    <row r="969" spans="1:16" x14ac:dyDescent="0.25">
      <c r="A969">
        <v>968</v>
      </c>
      <c r="B969" s="2">
        <v>45978</v>
      </c>
      <c r="C969" t="s">
        <v>20</v>
      </c>
      <c r="D969" t="s">
        <v>26</v>
      </c>
      <c r="E969" t="s">
        <v>32</v>
      </c>
      <c r="F969" t="s">
        <v>49</v>
      </c>
      <c r="G969" t="s">
        <v>70</v>
      </c>
      <c r="H969" t="s">
        <v>74</v>
      </c>
      <c r="I969">
        <v>6</v>
      </c>
      <c r="J969">
        <v>19769</v>
      </c>
      <c r="K969">
        <v>0</v>
      </c>
      <c r="L969">
        <v>118614</v>
      </c>
      <c r="M969">
        <v>92337.55</v>
      </c>
      <c r="N969">
        <v>26276.45</v>
      </c>
      <c r="O969" t="s">
        <v>79</v>
      </c>
      <c r="P969" t="s">
        <v>87</v>
      </c>
    </row>
    <row r="970" spans="1:16" x14ac:dyDescent="0.25">
      <c r="A970">
        <v>969</v>
      </c>
      <c r="B970" s="2">
        <v>45888</v>
      </c>
      <c r="C970" t="s">
        <v>20</v>
      </c>
      <c r="D970" t="s">
        <v>26</v>
      </c>
      <c r="E970" t="s">
        <v>28</v>
      </c>
      <c r="F970" t="s">
        <v>58</v>
      </c>
      <c r="G970" t="s">
        <v>72</v>
      </c>
      <c r="H970" t="s">
        <v>73</v>
      </c>
      <c r="I970">
        <v>8</v>
      </c>
      <c r="J970">
        <v>241</v>
      </c>
      <c r="K970">
        <v>0.05</v>
      </c>
      <c r="L970">
        <v>1831.6</v>
      </c>
      <c r="M970">
        <v>1402.55</v>
      </c>
      <c r="N970">
        <v>429.05</v>
      </c>
      <c r="O970" t="s">
        <v>76</v>
      </c>
      <c r="P970" t="s">
        <v>84</v>
      </c>
    </row>
    <row r="971" spans="1:16" x14ac:dyDescent="0.25">
      <c r="A971">
        <v>970</v>
      </c>
      <c r="B971" s="2">
        <v>45764</v>
      </c>
      <c r="C971" t="s">
        <v>20</v>
      </c>
      <c r="D971" t="s">
        <v>26</v>
      </c>
      <c r="E971" t="s">
        <v>28</v>
      </c>
      <c r="F971" t="s">
        <v>63</v>
      </c>
      <c r="G971" t="s">
        <v>70</v>
      </c>
      <c r="H971" t="s">
        <v>75</v>
      </c>
      <c r="I971">
        <v>1</v>
      </c>
      <c r="J971">
        <v>1103</v>
      </c>
      <c r="K971">
        <v>0.1</v>
      </c>
      <c r="L971">
        <v>992.7</v>
      </c>
      <c r="M971">
        <v>795.6</v>
      </c>
      <c r="N971">
        <v>197.1</v>
      </c>
      <c r="O971" t="s">
        <v>80</v>
      </c>
      <c r="P971" t="s">
        <v>82</v>
      </c>
    </row>
    <row r="972" spans="1:16" x14ac:dyDescent="0.25">
      <c r="A972">
        <v>971</v>
      </c>
      <c r="B972" s="2">
        <v>46014</v>
      </c>
      <c r="C972" t="s">
        <v>23</v>
      </c>
      <c r="D972" t="s">
        <v>27</v>
      </c>
      <c r="E972" t="s">
        <v>29</v>
      </c>
      <c r="F972" t="s">
        <v>36</v>
      </c>
      <c r="G972" t="s">
        <v>72</v>
      </c>
      <c r="H972" t="s">
        <v>75</v>
      </c>
      <c r="I972">
        <v>6</v>
      </c>
      <c r="J972">
        <v>2325</v>
      </c>
      <c r="K972">
        <v>0.1</v>
      </c>
      <c r="L972">
        <v>12555</v>
      </c>
      <c r="M972">
        <v>9819.4599999999991</v>
      </c>
      <c r="N972">
        <v>2735.54</v>
      </c>
      <c r="O972" t="s">
        <v>77</v>
      </c>
      <c r="P972" t="s">
        <v>81</v>
      </c>
    </row>
    <row r="973" spans="1:16" x14ac:dyDescent="0.25">
      <c r="A973">
        <v>972</v>
      </c>
      <c r="B973" s="2">
        <v>45898</v>
      </c>
      <c r="C973" t="s">
        <v>19</v>
      </c>
      <c r="D973" t="s">
        <v>26</v>
      </c>
      <c r="E973" t="s">
        <v>34</v>
      </c>
      <c r="F973" t="s">
        <v>68</v>
      </c>
      <c r="G973" t="s">
        <v>72</v>
      </c>
      <c r="H973" t="s">
        <v>74</v>
      </c>
      <c r="I973">
        <v>2</v>
      </c>
      <c r="J973">
        <v>2828</v>
      </c>
      <c r="K973">
        <v>0.05</v>
      </c>
      <c r="L973">
        <v>5373.2</v>
      </c>
      <c r="M973">
        <v>4447.71</v>
      </c>
      <c r="N973">
        <v>925.49</v>
      </c>
      <c r="O973" t="s">
        <v>76</v>
      </c>
      <c r="P973" t="s">
        <v>84</v>
      </c>
    </row>
    <row r="974" spans="1:16" x14ac:dyDescent="0.25">
      <c r="A974">
        <v>973</v>
      </c>
      <c r="B974" s="2">
        <v>45932</v>
      </c>
      <c r="C974" t="s">
        <v>21</v>
      </c>
      <c r="D974" t="s">
        <v>24</v>
      </c>
      <c r="E974" t="s">
        <v>34</v>
      </c>
      <c r="F974" t="s">
        <v>55</v>
      </c>
      <c r="G974" t="s">
        <v>72</v>
      </c>
      <c r="H974" t="s">
        <v>73</v>
      </c>
      <c r="I974">
        <v>6</v>
      </c>
      <c r="J974">
        <v>2434</v>
      </c>
      <c r="K974">
        <v>0</v>
      </c>
      <c r="L974">
        <v>14604</v>
      </c>
      <c r="M974">
        <v>12539.04</v>
      </c>
      <c r="N974">
        <v>2064.96</v>
      </c>
      <c r="O974" t="s">
        <v>77</v>
      </c>
      <c r="P974" t="s">
        <v>84</v>
      </c>
    </row>
    <row r="975" spans="1:16" x14ac:dyDescent="0.25">
      <c r="A975">
        <v>974</v>
      </c>
      <c r="B975" s="2">
        <v>45986</v>
      </c>
      <c r="C975" t="s">
        <v>23</v>
      </c>
      <c r="D975" t="s">
        <v>27</v>
      </c>
      <c r="E975" t="s">
        <v>28</v>
      </c>
      <c r="F975" t="s">
        <v>54</v>
      </c>
      <c r="G975" t="s">
        <v>72</v>
      </c>
      <c r="H975" t="s">
        <v>75</v>
      </c>
      <c r="I975">
        <v>5</v>
      </c>
      <c r="J975">
        <v>372</v>
      </c>
      <c r="K975">
        <v>0.05</v>
      </c>
      <c r="L975">
        <v>1767</v>
      </c>
      <c r="M975">
        <v>1311.09</v>
      </c>
      <c r="N975">
        <v>455.91</v>
      </c>
      <c r="O975" t="s">
        <v>79</v>
      </c>
      <c r="P975" t="s">
        <v>85</v>
      </c>
    </row>
    <row r="976" spans="1:16" x14ac:dyDescent="0.25">
      <c r="A976">
        <v>975</v>
      </c>
      <c r="B976" s="2">
        <v>45875</v>
      </c>
      <c r="C976" t="s">
        <v>19</v>
      </c>
      <c r="D976" t="s">
        <v>26</v>
      </c>
      <c r="E976" t="s">
        <v>33</v>
      </c>
      <c r="F976" t="s">
        <v>46</v>
      </c>
      <c r="G976" t="s">
        <v>72</v>
      </c>
      <c r="H976" t="s">
        <v>73</v>
      </c>
      <c r="I976">
        <v>6</v>
      </c>
      <c r="J976">
        <v>22736</v>
      </c>
      <c r="K976">
        <v>0.1</v>
      </c>
      <c r="L976">
        <v>122774.39999999999</v>
      </c>
      <c r="M976">
        <v>70714.86</v>
      </c>
      <c r="N976">
        <v>52059.54</v>
      </c>
      <c r="O976" t="s">
        <v>77</v>
      </c>
      <c r="P976" t="s">
        <v>82</v>
      </c>
    </row>
    <row r="977" spans="1:16" x14ac:dyDescent="0.25">
      <c r="A977">
        <v>976</v>
      </c>
      <c r="B977" s="2">
        <v>45954</v>
      </c>
      <c r="C977" t="s">
        <v>22</v>
      </c>
      <c r="D977" t="s">
        <v>24</v>
      </c>
      <c r="E977" t="s">
        <v>32</v>
      </c>
      <c r="F977" t="s">
        <v>48</v>
      </c>
      <c r="G977" t="s">
        <v>72</v>
      </c>
      <c r="H977" t="s">
        <v>75</v>
      </c>
      <c r="I977">
        <v>8</v>
      </c>
      <c r="J977">
        <v>22713</v>
      </c>
      <c r="K977">
        <v>0.1</v>
      </c>
      <c r="L977">
        <v>163533.6</v>
      </c>
      <c r="M977">
        <v>103462.44</v>
      </c>
      <c r="N977">
        <v>60071.16</v>
      </c>
      <c r="O977" t="s">
        <v>80</v>
      </c>
      <c r="P977" t="s">
        <v>87</v>
      </c>
    </row>
    <row r="978" spans="1:16" x14ac:dyDescent="0.25">
      <c r="A978">
        <v>977</v>
      </c>
      <c r="B978" s="2">
        <v>45966</v>
      </c>
      <c r="C978" t="s">
        <v>23</v>
      </c>
      <c r="D978" t="s">
        <v>27</v>
      </c>
      <c r="E978" t="s">
        <v>32</v>
      </c>
      <c r="F978" t="s">
        <v>48</v>
      </c>
      <c r="G978" t="s">
        <v>72</v>
      </c>
      <c r="H978" t="s">
        <v>74</v>
      </c>
      <c r="I978">
        <v>3</v>
      </c>
      <c r="J978">
        <v>4439</v>
      </c>
      <c r="K978">
        <v>0.1</v>
      </c>
      <c r="L978">
        <v>11985.3</v>
      </c>
      <c r="M978">
        <v>6631.35</v>
      </c>
      <c r="N978">
        <v>5353.95</v>
      </c>
      <c r="O978" t="s">
        <v>78</v>
      </c>
      <c r="P978" t="s">
        <v>86</v>
      </c>
    </row>
    <row r="979" spans="1:16" x14ac:dyDescent="0.25">
      <c r="A979">
        <v>978</v>
      </c>
      <c r="B979" s="2">
        <v>45918</v>
      </c>
      <c r="C979" t="s">
        <v>22</v>
      </c>
      <c r="D979" t="s">
        <v>24</v>
      </c>
      <c r="E979" t="s">
        <v>29</v>
      </c>
      <c r="F979" t="s">
        <v>45</v>
      </c>
      <c r="G979" t="s">
        <v>70</v>
      </c>
      <c r="H979" t="s">
        <v>75</v>
      </c>
      <c r="I979">
        <v>8</v>
      </c>
      <c r="J979">
        <v>6383</v>
      </c>
      <c r="K979">
        <v>0.15</v>
      </c>
      <c r="L979">
        <v>43404.4</v>
      </c>
      <c r="M979">
        <v>36713.54</v>
      </c>
      <c r="N979">
        <v>6690.86</v>
      </c>
      <c r="O979" t="s">
        <v>78</v>
      </c>
      <c r="P979" t="s">
        <v>86</v>
      </c>
    </row>
    <row r="980" spans="1:16" x14ac:dyDescent="0.25">
      <c r="A980">
        <v>979</v>
      </c>
      <c r="B980" s="2">
        <v>45922</v>
      </c>
      <c r="C980" t="s">
        <v>16</v>
      </c>
      <c r="D980" t="s">
        <v>24</v>
      </c>
      <c r="E980" t="s">
        <v>33</v>
      </c>
      <c r="F980" t="s">
        <v>59</v>
      </c>
      <c r="G980" t="s">
        <v>72</v>
      </c>
      <c r="H980" t="s">
        <v>73</v>
      </c>
      <c r="I980">
        <v>8</v>
      </c>
      <c r="J980">
        <v>35881</v>
      </c>
      <c r="K980">
        <v>0.1</v>
      </c>
      <c r="L980">
        <v>258343.2</v>
      </c>
      <c r="M980">
        <v>223828.44</v>
      </c>
      <c r="N980">
        <v>34514.76</v>
      </c>
      <c r="O980" t="s">
        <v>80</v>
      </c>
      <c r="P980" t="s">
        <v>81</v>
      </c>
    </row>
    <row r="981" spans="1:16" x14ac:dyDescent="0.25">
      <c r="A981">
        <v>980</v>
      </c>
      <c r="B981" s="2">
        <v>45873</v>
      </c>
      <c r="C981" t="s">
        <v>18</v>
      </c>
      <c r="D981" t="s">
        <v>26</v>
      </c>
      <c r="E981" t="s">
        <v>28</v>
      </c>
      <c r="F981" t="s">
        <v>58</v>
      </c>
      <c r="G981" t="s">
        <v>71</v>
      </c>
      <c r="H981" t="s">
        <v>73</v>
      </c>
      <c r="I981">
        <v>3</v>
      </c>
      <c r="J981">
        <v>1092</v>
      </c>
      <c r="K981">
        <v>0</v>
      </c>
      <c r="L981">
        <v>3276</v>
      </c>
      <c r="M981">
        <v>2473.29</v>
      </c>
      <c r="N981">
        <v>802.71</v>
      </c>
      <c r="O981" t="s">
        <v>76</v>
      </c>
      <c r="P981" t="s">
        <v>87</v>
      </c>
    </row>
    <row r="982" spans="1:16" x14ac:dyDescent="0.25">
      <c r="A982">
        <v>981</v>
      </c>
      <c r="B982" s="2">
        <v>45793</v>
      </c>
      <c r="C982" t="s">
        <v>17</v>
      </c>
      <c r="D982" t="s">
        <v>25</v>
      </c>
      <c r="E982" t="s">
        <v>28</v>
      </c>
      <c r="F982" t="s">
        <v>35</v>
      </c>
      <c r="G982" t="s">
        <v>72</v>
      </c>
      <c r="H982" t="s">
        <v>74</v>
      </c>
      <c r="I982">
        <v>1</v>
      </c>
      <c r="J982">
        <v>2071</v>
      </c>
      <c r="K982">
        <v>0.2</v>
      </c>
      <c r="L982">
        <v>1656.8</v>
      </c>
      <c r="M982">
        <v>1308.8599999999999</v>
      </c>
      <c r="N982">
        <v>347.94</v>
      </c>
      <c r="O982" t="s">
        <v>78</v>
      </c>
      <c r="P982" t="s">
        <v>83</v>
      </c>
    </row>
    <row r="983" spans="1:16" x14ac:dyDescent="0.25">
      <c r="A983">
        <v>982</v>
      </c>
      <c r="B983" s="2">
        <v>45810</v>
      </c>
      <c r="C983" t="s">
        <v>20</v>
      </c>
      <c r="D983" t="s">
        <v>26</v>
      </c>
      <c r="E983" t="s">
        <v>29</v>
      </c>
      <c r="F983" t="s">
        <v>57</v>
      </c>
      <c r="G983" t="s">
        <v>71</v>
      </c>
      <c r="H983" t="s">
        <v>74</v>
      </c>
      <c r="I983">
        <v>5</v>
      </c>
      <c r="J983">
        <v>5229</v>
      </c>
      <c r="K983">
        <v>0.05</v>
      </c>
      <c r="L983">
        <v>24837.75</v>
      </c>
      <c r="M983">
        <v>13824.97</v>
      </c>
      <c r="N983">
        <v>11012.78</v>
      </c>
      <c r="O983" t="s">
        <v>80</v>
      </c>
      <c r="P983" t="s">
        <v>86</v>
      </c>
    </row>
    <row r="984" spans="1:16" x14ac:dyDescent="0.25">
      <c r="A984">
        <v>983</v>
      </c>
      <c r="B984" s="2">
        <v>45870</v>
      </c>
      <c r="C984" t="s">
        <v>20</v>
      </c>
      <c r="D984" t="s">
        <v>26</v>
      </c>
      <c r="E984" t="s">
        <v>31</v>
      </c>
      <c r="F984" t="s">
        <v>67</v>
      </c>
      <c r="G984" t="s">
        <v>72</v>
      </c>
      <c r="H984" t="s">
        <v>74</v>
      </c>
      <c r="I984">
        <v>6</v>
      </c>
      <c r="J984">
        <v>2394</v>
      </c>
      <c r="K984">
        <v>0.05</v>
      </c>
      <c r="L984">
        <v>13645.8</v>
      </c>
      <c r="M984">
        <v>10539.22</v>
      </c>
      <c r="N984">
        <v>3106.58</v>
      </c>
      <c r="O984" t="s">
        <v>78</v>
      </c>
      <c r="P984" t="s">
        <v>82</v>
      </c>
    </row>
    <row r="985" spans="1:16" x14ac:dyDescent="0.25">
      <c r="A985">
        <v>984</v>
      </c>
      <c r="B985" s="2">
        <v>45955</v>
      </c>
      <c r="C985" t="s">
        <v>20</v>
      </c>
      <c r="D985" t="s">
        <v>26</v>
      </c>
      <c r="E985" t="s">
        <v>33</v>
      </c>
      <c r="F985" t="s">
        <v>59</v>
      </c>
      <c r="G985" t="s">
        <v>71</v>
      </c>
      <c r="H985" t="s">
        <v>74</v>
      </c>
      <c r="I985">
        <v>1</v>
      </c>
      <c r="J985">
        <v>47385</v>
      </c>
      <c r="K985">
        <v>0.1</v>
      </c>
      <c r="L985">
        <v>42646.5</v>
      </c>
      <c r="M985">
        <v>35601.25</v>
      </c>
      <c r="N985">
        <v>7045.25</v>
      </c>
      <c r="O985" t="s">
        <v>78</v>
      </c>
      <c r="P985" t="s">
        <v>88</v>
      </c>
    </row>
    <row r="986" spans="1:16" x14ac:dyDescent="0.25">
      <c r="A986">
        <v>985</v>
      </c>
      <c r="B986" s="2">
        <v>45969</v>
      </c>
      <c r="C986" t="s">
        <v>16</v>
      </c>
      <c r="D986" t="s">
        <v>24</v>
      </c>
      <c r="E986" t="s">
        <v>30</v>
      </c>
      <c r="F986" t="s">
        <v>64</v>
      </c>
      <c r="G986" t="s">
        <v>71</v>
      </c>
      <c r="H986" t="s">
        <v>73</v>
      </c>
      <c r="I986">
        <v>6</v>
      </c>
      <c r="J986">
        <v>4006</v>
      </c>
      <c r="K986">
        <v>0.05</v>
      </c>
      <c r="L986">
        <v>22834.2</v>
      </c>
      <c r="M986">
        <v>16627.47</v>
      </c>
      <c r="N986">
        <v>6206.73</v>
      </c>
      <c r="O986" t="s">
        <v>78</v>
      </c>
      <c r="P986" t="s">
        <v>88</v>
      </c>
    </row>
    <row r="987" spans="1:16" x14ac:dyDescent="0.25">
      <c r="A987">
        <v>986</v>
      </c>
      <c r="B987" s="2">
        <v>46004</v>
      </c>
      <c r="C987" t="s">
        <v>17</v>
      </c>
      <c r="D987" t="s">
        <v>25</v>
      </c>
      <c r="E987" t="s">
        <v>31</v>
      </c>
      <c r="F987" t="s">
        <v>67</v>
      </c>
      <c r="G987" t="s">
        <v>71</v>
      </c>
      <c r="H987" t="s">
        <v>74</v>
      </c>
      <c r="I987">
        <v>7</v>
      </c>
      <c r="J987">
        <v>2243</v>
      </c>
      <c r="K987">
        <v>0.15</v>
      </c>
      <c r="L987">
        <v>13345.85</v>
      </c>
      <c r="M987">
        <v>7481.87</v>
      </c>
      <c r="N987">
        <v>5863.98</v>
      </c>
      <c r="O987" t="s">
        <v>78</v>
      </c>
      <c r="P987" t="s">
        <v>86</v>
      </c>
    </row>
    <row r="988" spans="1:16" x14ac:dyDescent="0.25">
      <c r="A988">
        <v>987</v>
      </c>
      <c r="B988" s="2">
        <v>45833</v>
      </c>
      <c r="C988" t="s">
        <v>23</v>
      </c>
      <c r="D988" t="s">
        <v>27</v>
      </c>
      <c r="E988" t="s">
        <v>34</v>
      </c>
      <c r="F988" t="s">
        <v>68</v>
      </c>
      <c r="G988" t="s">
        <v>71</v>
      </c>
      <c r="H988" t="s">
        <v>74</v>
      </c>
      <c r="I988">
        <v>4</v>
      </c>
      <c r="J988">
        <v>3485</v>
      </c>
      <c r="K988">
        <v>0.2</v>
      </c>
      <c r="L988">
        <v>11152</v>
      </c>
      <c r="M988">
        <v>8468.49</v>
      </c>
      <c r="N988">
        <v>2683.51</v>
      </c>
      <c r="O988" t="s">
        <v>78</v>
      </c>
      <c r="P988" t="s">
        <v>81</v>
      </c>
    </row>
    <row r="989" spans="1:16" x14ac:dyDescent="0.25">
      <c r="A989">
        <v>988</v>
      </c>
      <c r="B989" s="2">
        <v>45721</v>
      </c>
      <c r="C989" t="s">
        <v>16</v>
      </c>
      <c r="D989" t="s">
        <v>24</v>
      </c>
      <c r="E989" t="s">
        <v>29</v>
      </c>
      <c r="F989" t="s">
        <v>42</v>
      </c>
      <c r="G989" t="s">
        <v>70</v>
      </c>
      <c r="H989" t="s">
        <v>73</v>
      </c>
      <c r="I989">
        <v>4</v>
      </c>
      <c r="J989">
        <v>5994</v>
      </c>
      <c r="K989">
        <v>0.1</v>
      </c>
      <c r="L989">
        <v>21578.400000000001</v>
      </c>
      <c r="M989">
        <v>14474.27</v>
      </c>
      <c r="N989">
        <v>7104.13</v>
      </c>
      <c r="O989" t="s">
        <v>79</v>
      </c>
      <c r="P989" t="s">
        <v>82</v>
      </c>
    </row>
    <row r="990" spans="1:16" x14ac:dyDescent="0.25">
      <c r="A990">
        <v>989</v>
      </c>
      <c r="B990" s="2">
        <v>45733</v>
      </c>
      <c r="C990" t="s">
        <v>20</v>
      </c>
      <c r="D990" t="s">
        <v>26</v>
      </c>
      <c r="E990" t="s">
        <v>32</v>
      </c>
      <c r="F990" t="s">
        <v>48</v>
      </c>
      <c r="G990" t="s">
        <v>72</v>
      </c>
      <c r="H990" t="s">
        <v>74</v>
      </c>
      <c r="I990">
        <v>2</v>
      </c>
      <c r="J990">
        <v>20537</v>
      </c>
      <c r="K990">
        <v>0.05</v>
      </c>
      <c r="L990">
        <v>39020.300000000003</v>
      </c>
      <c r="M990">
        <v>27518.78</v>
      </c>
      <c r="N990">
        <v>11501.52</v>
      </c>
      <c r="O990" t="s">
        <v>78</v>
      </c>
      <c r="P990" t="s">
        <v>85</v>
      </c>
    </row>
    <row r="991" spans="1:16" x14ac:dyDescent="0.25">
      <c r="A991">
        <v>990</v>
      </c>
      <c r="B991" s="2">
        <v>45994</v>
      </c>
      <c r="C991" t="s">
        <v>17</v>
      </c>
      <c r="D991" t="s">
        <v>25</v>
      </c>
      <c r="E991" t="s">
        <v>31</v>
      </c>
      <c r="F991" t="s">
        <v>69</v>
      </c>
      <c r="G991" t="s">
        <v>71</v>
      </c>
      <c r="H991" t="s">
        <v>73</v>
      </c>
      <c r="I991">
        <v>1</v>
      </c>
      <c r="J991">
        <v>196</v>
      </c>
      <c r="K991">
        <v>0.1</v>
      </c>
      <c r="L991">
        <v>176.4</v>
      </c>
      <c r="M991">
        <v>126.77</v>
      </c>
      <c r="N991">
        <v>49.63</v>
      </c>
      <c r="O991" t="s">
        <v>79</v>
      </c>
      <c r="P991" t="s">
        <v>84</v>
      </c>
    </row>
    <row r="992" spans="1:16" x14ac:dyDescent="0.25">
      <c r="A992">
        <v>991</v>
      </c>
      <c r="B992" s="2">
        <v>45832</v>
      </c>
      <c r="C992" t="s">
        <v>19</v>
      </c>
      <c r="D992" t="s">
        <v>26</v>
      </c>
      <c r="E992" t="s">
        <v>34</v>
      </c>
      <c r="F992" t="s">
        <v>68</v>
      </c>
      <c r="G992" t="s">
        <v>71</v>
      </c>
      <c r="H992" t="s">
        <v>75</v>
      </c>
      <c r="I992">
        <v>3</v>
      </c>
      <c r="J992">
        <v>1826</v>
      </c>
      <c r="K992">
        <v>0.1</v>
      </c>
      <c r="L992">
        <v>4930.2</v>
      </c>
      <c r="M992">
        <v>3623.09</v>
      </c>
      <c r="N992">
        <v>1307.1099999999999</v>
      </c>
      <c r="O992" t="s">
        <v>76</v>
      </c>
      <c r="P992" t="s">
        <v>86</v>
      </c>
    </row>
    <row r="993" spans="1:16" x14ac:dyDescent="0.25">
      <c r="A993">
        <v>992</v>
      </c>
      <c r="B993" s="2">
        <v>45767</v>
      </c>
      <c r="C993" t="s">
        <v>18</v>
      </c>
      <c r="D993" t="s">
        <v>26</v>
      </c>
      <c r="E993" t="s">
        <v>33</v>
      </c>
      <c r="F993" t="s">
        <v>52</v>
      </c>
      <c r="G993" t="s">
        <v>70</v>
      </c>
      <c r="H993" t="s">
        <v>74</v>
      </c>
      <c r="I993">
        <v>6</v>
      </c>
      <c r="J993">
        <v>13461</v>
      </c>
      <c r="K993">
        <v>0.1</v>
      </c>
      <c r="L993">
        <v>72689.399999999994</v>
      </c>
      <c r="M993">
        <v>45427.360000000001</v>
      </c>
      <c r="N993">
        <v>27262.04</v>
      </c>
      <c r="O993" t="s">
        <v>78</v>
      </c>
      <c r="P993" t="s">
        <v>87</v>
      </c>
    </row>
    <row r="994" spans="1:16" x14ac:dyDescent="0.25">
      <c r="A994">
        <v>993</v>
      </c>
      <c r="B994" s="2">
        <v>45800</v>
      </c>
      <c r="C994" t="s">
        <v>17</v>
      </c>
      <c r="D994" t="s">
        <v>25</v>
      </c>
      <c r="E994" t="s">
        <v>34</v>
      </c>
      <c r="F994" t="s">
        <v>55</v>
      </c>
      <c r="G994" t="s">
        <v>71</v>
      </c>
      <c r="H994" t="s">
        <v>75</v>
      </c>
      <c r="I994">
        <v>8</v>
      </c>
      <c r="J994">
        <v>3042</v>
      </c>
      <c r="K994">
        <v>0.15</v>
      </c>
      <c r="L994">
        <v>20685.599999999999</v>
      </c>
      <c r="M994">
        <v>11508.36</v>
      </c>
      <c r="N994">
        <v>9177.24</v>
      </c>
      <c r="O994" t="s">
        <v>77</v>
      </c>
      <c r="P994" t="s">
        <v>88</v>
      </c>
    </row>
    <row r="995" spans="1:16" x14ac:dyDescent="0.25">
      <c r="A995">
        <v>994</v>
      </c>
      <c r="B995" s="2">
        <v>46012</v>
      </c>
      <c r="C995" t="s">
        <v>16</v>
      </c>
      <c r="D995" t="s">
        <v>24</v>
      </c>
      <c r="E995" t="s">
        <v>34</v>
      </c>
      <c r="F995" t="s">
        <v>51</v>
      </c>
      <c r="G995" t="s">
        <v>71</v>
      </c>
      <c r="H995" t="s">
        <v>75</v>
      </c>
      <c r="I995">
        <v>2</v>
      </c>
      <c r="J995">
        <v>1777</v>
      </c>
      <c r="K995">
        <v>0.05</v>
      </c>
      <c r="L995">
        <v>3376.3</v>
      </c>
      <c r="M995">
        <v>2970.78</v>
      </c>
      <c r="N995">
        <v>405.52</v>
      </c>
      <c r="O995" t="s">
        <v>78</v>
      </c>
      <c r="P995" t="s">
        <v>86</v>
      </c>
    </row>
    <row r="996" spans="1:16" x14ac:dyDescent="0.25">
      <c r="A996">
        <v>995</v>
      </c>
      <c r="B996" s="2">
        <v>45722</v>
      </c>
      <c r="C996" t="s">
        <v>20</v>
      </c>
      <c r="D996" t="s">
        <v>26</v>
      </c>
      <c r="E996" t="s">
        <v>30</v>
      </c>
      <c r="F996" t="s">
        <v>40</v>
      </c>
      <c r="G996" t="s">
        <v>70</v>
      </c>
      <c r="H996" t="s">
        <v>74</v>
      </c>
      <c r="I996">
        <v>4</v>
      </c>
      <c r="J996">
        <v>10797</v>
      </c>
      <c r="K996">
        <v>0.05</v>
      </c>
      <c r="L996">
        <v>41028.6</v>
      </c>
      <c r="M996">
        <v>25829.16</v>
      </c>
      <c r="N996">
        <v>15199.44</v>
      </c>
      <c r="O996" t="s">
        <v>76</v>
      </c>
      <c r="P996" t="s">
        <v>81</v>
      </c>
    </row>
    <row r="997" spans="1:16" x14ac:dyDescent="0.25">
      <c r="A997">
        <v>996</v>
      </c>
      <c r="B997" s="2">
        <v>45720</v>
      </c>
      <c r="C997" t="s">
        <v>22</v>
      </c>
      <c r="D997" t="s">
        <v>24</v>
      </c>
      <c r="E997" t="s">
        <v>28</v>
      </c>
      <c r="F997" t="s">
        <v>61</v>
      </c>
      <c r="G997" t="s">
        <v>71</v>
      </c>
      <c r="H997" t="s">
        <v>75</v>
      </c>
      <c r="I997">
        <v>4</v>
      </c>
      <c r="J997">
        <v>1231</v>
      </c>
      <c r="K997">
        <v>0.1</v>
      </c>
      <c r="L997">
        <v>4431.6000000000004</v>
      </c>
      <c r="M997">
        <v>2795.9</v>
      </c>
      <c r="N997">
        <v>1635.7</v>
      </c>
      <c r="O997" t="s">
        <v>80</v>
      </c>
      <c r="P997" t="s">
        <v>86</v>
      </c>
    </row>
    <row r="998" spans="1:16" x14ac:dyDescent="0.25">
      <c r="A998">
        <v>997</v>
      </c>
      <c r="B998" s="2">
        <v>45851</v>
      </c>
      <c r="C998" t="s">
        <v>21</v>
      </c>
      <c r="D998" t="s">
        <v>24</v>
      </c>
      <c r="E998" t="s">
        <v>32</v>
      </c>
      <c r="F998" t="s">
        <v>39</v>
      </c>
      <c r="G998" t="s">
        <v>72</v>
      </c>
      <c r="H998" t="s">
        <v>74</v>
      </c>
      <c r="I998">
        <v>6</v>
      </c>
      <c r="J998">
        <v>1622</v>
      </c>
      <c r="K998">
        <v>0.1</v>
      </c>
      <c r="L998">
        <v>8758.7999999999993</v>
      </c>
      <c r="M998">
        <v>6928.9</v>
      </c>
      <c r="N998">
        <v>1829.9</v>
      </c>
      <c r="O998" t="s">
        <v>77</v>
      </c>
      <c r="P998" t="s">
        <v>81</v>
      </c>
    </row>
    <row r="999" spans="1:16" x14ac:dyDescent="0.25">
      <c r="A999">
        <v>998</v>
      </c>
      <c r="B999" s="2">
        <v>45676</v>
      </c>
      <c r="C999" t="s">
        <v>18</v>
      </c>
      <c r="D999" t="s">
        <v>26</v>
      </c>
      <c r="E999" t="s">
        <v>31</v>
      </c>
      <c r="F999" t="s">
        <v>38</v>
      </c>
      <c r="G999" t="s">
        <v>70</v>
      </c>
      <c r="H999" t="s">
        <v>75</v>
      </c>
      <c r="I999">
        <v>7</v>
      </c>
      <c r="J999">
        <v>2323</v>
      </c>
      <c r="K999">
        <v>0.1</v>
      </c>
      <c r="L999">
        <v>14634.9</v>
      </c>
      <c r="M999">
        <v>8639.6200000000008</v>
      </c>
      <c r="N999">
        <v>5995.28</v>
      </c>
      <c r="O999" t="s">
        <v>80</v>
      </c>
      <c r="P999" t="s">
        <v>87</v>
      </c>
    </row>
    <row r="1000" spans="1:16" x14ac:dyDescent="0.25">
      <c r="A1000">
        <v>999</v>
      </c>
      <c r="B1000" s="2">
        <v>45798</v>
      </c>
      <c r="C1000" t="s">
        <v>23</v>
      </c>
      <c r="D1000" t="s">
        <v>27</v>
      </c>
      <c r="E1000" t="s">
        <v>30</v>
      </c>
      <c r="F1000" t="s">
        <v>40</v>
      </c>
      <c r="G1000" t="s">
        <v>72</v>
      </c>
      <c r="H1000" t="s">
        <v>74</v>
      </c>
      <c r="I1000">
        <v>7</v>
      </c>
      <c r="J1000">
        <v>39248</v>
      </c>
      <c r="K1000">
        <v>0.05</v>
      </c>
      <c r="L1000">
        <v>260999.2</v>
      </c>
      <c r="M1000">
        <v>166175.64000000001</v>
      </c>
      <c r="N1000">
        <v>94823.56</v>
      </c>
      <c r="O1000" t="s">
        <v>78</v>
      </c>
      <c r="P1000" t="s">
        <v>86</v>
      </c>
    </row>
    <row r="1001" spans="1:16" x14ac:dyDescent="0.25">
      <c r="A1001">
        <v>1000</v>
      </c>
      <c r="B1001" s="2">
        <v>45914</v>
      </c>
      <c r="C1001" t="s">
        <v>22</v>
      </c>
      <c r="D1001" t="s">
        <v>24</v>
      </c>
      <c r="E1001" t="s">
        <v>32</v>
      </c>
      <c r="F1001" t="s">
        <v>49</v>
      </c>
      <c r="G1001" t="s">
        <v>72</v>
      </c>
      <c r="H1001" t="s">
        <v>74</v>
      </c>
      <c r="I1001">
        <v>4</v>
      </c>
      <c r="J1001">
        <v>2271</v>
      </c>
      <c r="K1001">
        <v>0.05</v>
      </c>
      <c r="L1001">
        <v>8629.7999999999993</v>
      </c>
      <c r="M1001">
        <v>5064.0200000000004</v>
      </c>
      <c r="N1001">
        <v>3565.78</v>
      </c>
      <c r="O1001" t="s">
        <v>79</v>
      </c>
      <c r="P1001" t="s">
        <v>84</v>
      </c>
    </row>
    <row r="1002" spans="1:16" x14ac:dyDescent="0.25">
      <c r="A1002">
        <v>1001</v>
      </c>
      <c r="B1002" s="2">
        <v>45968</v>
      </c>
      <c r="C1002" t="s">
        <v>20</v>
      </c>
      <c r="D1002" t="s">
        <v>26</v>
      </c>
      <c r="E1002" t="s">
        <v>31</v>
      </c>
      <c r="F1002" t="s">
        <v>50</v>
      </c>
      <c r="G1002" t="s">
        <v>70</v>
      </c>
      <c r="H1002" t="s">
        <v>74</v>
      </c>
      <c r="I1002">
        <v>3</v>
      </c>
      <c r="J1002">
        <v>952</v>
      </c>
      <c r="K1002">
        <v>0.1</v>
      </c>
      <c r="L1002">
        <v>2570.4</v>
      </c>
      <c r="M1002">
        <v>1756.96</v>
      </c>
      <c r="N1002">
        <v>813.44</v>
      </c>
      <c r="O1002" t="s">
        <v>78</v>
      </c>
      <c r="P1002" t="s">
        <v>85</v>
      </c>
    </row>
    <row r="1003" spans="1:16" x14ac:dyDescent="0.25">
      <c r="A1003">
        <v>1002</v>
      </c>
      <c r="B1003" s="2">
        <v>45841</v>
      </c>
      <c r="C1003" t="s">
        <v>19</v>
      </c>
      <c r="D1003" t="s">
        <v>26</v>
      </c>
      <c r="E1003" t="s">
        <v>29</v>
      </c>
      <c r="F1003" t="s">
        <v>42</v>
      </c>
      <c r="G1003" t="s">
        <v>71</v>
      </c>
      <c r="H1003" t="s">
        <v>75</v>
      </c>
      <c r="I1003">
        <v>4</v>
      </c>
      <c r="J1003">
        <v>8375</v>
      </c>
      <c r="K1003">
        <v>0.2</v>
      </c>
      <c r="L1003">
        <v>26800</v>
      </c>
      <c r="M1003">
        <v>20684.48</v>
      </c>
      <c r="N1003">
        <v>6115.52</v>
      </c>
      <c r="O1003" t="s">
        <v>78</v>
      </c>
      <c r="P1003" t="s">
        <v>82</v>
      </c>
    </row>
    <row r="1004" spans="1:16" x14ac:dyDescent="0.25">
      <c r="A1004">
        <v>1003</v>
      </c>
      <c r="B1004" s="2">
        <v>45995</v>
      </c>
      <c r="C1004" t="s">
        <v>18</v>
      </c>
      <c r="D1004" t="s">
        <v>26</v>
      </c>
      <c r="E1004" t="s">
        <v>32</v>
      </c>
      <c r="F1004" t="s">
        <v>48</v>
      </c>
      <c r="G1004" t="s">
        <v>70</v>
      </c>
      <c r="H1004" t="s">
        <v>74</v>
      </c>
      <c r="I1004">
        <v>4</v>
      </c>
      <c r="J1004">
        <v>24479</v>
      </c>
      <c r="K1004">
        <v>0.05</v>
      </c>
      <c r="L1004">
        <v>93020.2</v>
      </c>
      <c r="M1004">
        <v>79414.009999999995</v>
      </c>
      <c r="N1004">
        <v>13606.19</v>
      </c>
      <c r="O1004" t="s">
        <v>79</v>
      </c>
      <c r="P1004" t="s">
        <v>82</v>
      </c>
    </row>
    <row r="1005" spans="1:16" x14ac:dyDescent="0.25">
      <c r="A1005">
        <v>1004</v>
      </c>
      <c r="B1005" s="2">
        <v>45775</v>
      </c>
      <c r="C1005" t="s">
        <v>22</v>
      </c>
      <c r="D1005" t="s">
        <v>24</v>
      </c>
      <c r="E1005" t="s">
        <v>33</v>
      </c>
      <c r="F1005" t="s">
        <v>46</v>
      </c>
      <c r="G1005" t="s">
        <v>72</v>
      </c>
      <c r="H1005" t="s">
        <v>75</v>
      </c>
      <c r="I1005">
        <v>5</v>
      </c>
      <c r="J1005">
        <v>29764</v>
      </c>
      <c r="K1005">
        <v>0.05</v>
      </c>
      <c r="L1005">
        <v>141379</v>
      </c>
      <c r="M1005">
        <v>109657.95</v>
      </c>
      <c r="N1005">
        <v>31721.05</v>
      </c>
      <c r="O1005" t="s">
        <v>79</v>
      </c>
      <c r="P1005" t="s">
        <v>84</v>
      </c>
    </row>
    <row r="1006" spans="1:16" x14ac:dyDescent="0.25">
      <c r="A1006">
        <v>1005</v>
      </c>
      <c r="B1006" s="2">
        <v>45801</v>
      </c>
      <c r="C1006" t="s">
        <v>19</v>
      </c>
      <c r="D1006" t="s">
        <v>26</v>
      </c>
      <c r="E1006" t="s">
        <v>33</v>
      </c>
      <c r="F1006" t="s">
        <v>59</v>
      </c>
      <c r="G1006" t="s">
        <v>71</v>
      </c>
      <c r="H1006" t="s">
        <v>74</v>
      </c>
      <c r="I1006">
        <v>2</v>
      </c>
      <c r="J1006">
        <v>12111</v>
      </c>
      <c r="K1006">
        <v>0</v>
      </c>
      <c r="L1006">
        <v>24222</v>
      </c>
      <c r="M1006">
        <v>13590.35</v>
      </c>
      <c r="N1006">
        <v>10631.65</v>
      </c>
      <c r="O1006" t="s">
        <v>77</v>
      </c>
      <c r="P1006" t="s">
        <v>81</v>
      </c>
    </row>
    <row r="1007" spans="1:16" x14ac:dyDescent="0.25">
      <c r="A1007">
        <v>1006</v>
      </c>
      <c r="B1007" s="2">
        <v>45757</v>
      </c>
      <c r="C1007" t="s">
        <v>21</v>
      </c>
      <c r="D1007" t="s">
        <v>24</v>
      </c>
      <c r="E1007" t="s">
        <v>28</v>
      </c>
      <c r="F1007" t="s">
        <v>58</v>
      </c>
      <c r="G1007" t="s">
        <v>71</v>
      </c>
      <c r="H1007" t="s">
        <v>75</v>
      </c>
      <c r="I1007">
        <v>8</v>
      </c>
      <c r="J1007">
        <v>942</v>
      </c>
      <c r="K1007">
        <v>0.1</v>
      </c>
      <c r="L1007">
        <v>6782.4</v>
      </c>
      <c r="M1007">
        <v>5210.75</v>
      </c>
      <c r="N1007">
        <v>1571.65</v>
      </c>
      <c r="O1007" t="s">
        <v>78</v>
      </c>
      <c r="P1007" t="s">
        <v>84</v>
      </c>
    </row>
    <row r="1008" spans="1:16" x14ac:dyDescent="0.25">
      <c r="A1008">
        <v>1007</v>
      </c>
      <c r="B1008" s="2">
        <v>45875</v>
      </c>
      <c r="C1008" t="s">
        <v>19</v>
      </c>
      <c r="D1008" t="s">
        <v>26</v>
      </c>
      <c r="E1008" t="s">
        <v>33</v>
      </c>
      <c r="F1008" t="s">
        <v>41</v>
      </c>
      <c r="G1008" t="s">
        <v>72</v>
      </c>
      <c r="H1008" t="s">
        <v>74</v>
      </c>
      <c r="I1008">
        <v>5</v>
      </c>
      <c r="J1008">
        <v>38354</v>
      </c>
      <c r="K1008">
        <v>0.1</v>
      </c>
      <c r="L1008">
        <v>172593</v>
      </c>
      <c r="M1008">
        <v>131537.47</v>
      </c>
      <c r="N1008">
        <v>41055.53</v>
      </c>
      <c r="O1008" t="s">
        <v>80</v>
      </c>
      <c r="P1008" t="s">
        <v>86</v>
      </c>
    </row>
    <row r="1009" spans="1:16" x14ac:dyDescent="0.25">
      <c r="A1009">
        <v>1008</v>
      </c>
      <c r="B1009" s="2">
        <v>45753</v>
      </c>
      <c r="C1009" t="s">
        <v>17</v>
      </c>
      <c r="D1009" t="s">
        <v>25</v>
      </c>
      <c r="E1009" t="s">
        <v>30</v>
      </c>
      <c r="F1009" t="s">
        <v>44</v>
      </c>
      <c r="G1009" t="s">
        <v>70</v>
      </c>
      <c r="H1009" t="s">
        <v>75</v>
      </c>
      <c r="I1009">
        <v>8</v>
      </c>
      <c r="J1009">
        <v>63923</v>
      </c>
      <c r="K1009">
        <v>0</v>
      </c>
      <c r="L1009">
        <v>511384</v>
      </c>
      <c r="M1009">
        <v>293164.34000000003</v>
      </c>
      <c r="N1009">
        <v>218219.66</v>
      </c>
      <c r="O1009" t="s">
        <v>79</v>
      </c>
      <c r="P1009" t="s">
        <v>87</v>
      </c>
    </row>
    <row r="1010" spans="1:16" x14ac:dyDescent="0.25">
      <c r="A1010">
        <v>1009</v>
      </c>
      <c r="B1010" s="2">
        <v>45766</v>
      </c>
      <c r="C1010" t="s">
        <v>20</v>
      </c>
      <c r="D1010" t="s">
        <v>26</v>
      </c>
      <c r="E1010" t="s">
        <v>32</v>
      </c>
      <c r="F1010" t="s">
        <v>39</v>
      </c>
      <c r="G1010" t="s">
        <v>70</v>
      </c>
      <c r="H1010" t="s">
        <v>75</v>
      </c>
      <c r="I1010">
        <v>2</v>
      </c>
      <c r="J1010">
        <v>15451</v>
      </c>
      <c r="K1010">
        <v>0.1</v>
      </c>
      <c r="L1010">
        <v>27811.8</v>
      </c>
      <c r="M1010">
        <v>22253.11</v>
      </c>
      <c r="N1010">
        <v>5558.69</v>
      </c>
      <c r="O1010" t="s">
        <v>79</v>
      </c>
      <c r="P1010" t="s">
        <v>84</v>
      </c>
    </row>
    <row r="1011" spans="1:16" x14ac:dyDescent="0.25">
      <c r="A1011">
        <v>1010</v>
      </c>
      <c r="B1011" s="2">
        <v>45991</v>
      </c>
      <c r="C1011" t="s">
        <v>19</v>
      </c>
      <c r="D1011" t="s">
        <v>26</v>
      </c>
      <c r="E1011" t="s">
        <v>31</v>
      </c>
      <c r="F1011" t="s">
        <v>47</v>
      </c>
      <c r="G1011" t="s">
        <v>71</v>
      </c>
      <c r="H1011" t="s">
        <v>73</v>
      </c>
      <c r="I1011">
        <v>2</v>
      </c>
      <c r="J1011">
        <v>1253</v>
      </c>
      <c r="K1011">
        <v>0.15</v>
      </c>
      <c r="L1011">
        <v>2130.1</v>
      </c>
      <c r="M1011">
        <v>1531.66</v>
      </c>
      <c r="N1011">
        <v>598.44000000000005</v>
      </c>
      <c r="O1011" t="s">
        <v>78</v>
      </c>
      <c r="P1011" t="s">
        <v>86</v>
      </c>
    </row>
    <row r="1012" spans="1:16" x14ac:dyDescent="0.25">
      <c r="A1012">
        <v>1011</v>
      </c>
      <c r="B1012" s="2">
        <v>45745</v>
      </c>
      <c r="C1012" t="s">
        <v>18</v>
      </c>
      <c r="D1012" t="s">
        <v>26</v>
      </c>
      <c r="E1012" t="s">
        <v>28</v>
      </c>
      <c r="F1012" t="s">
        <v>58</v>
      </c>
      <c r="G1012" t="s">
        <v>71</v>
      </c>
      <c r="H1012" t="s">
        <v>75</v>
      </c>
      <c r="I1012">
        <v>7</v>
      </c>
      <c r="J1012">
        <v>1802</v>
      </c>
      <c r="K1012">
        <v>0.05</v>
      </c>
      <c r="L1012">
        <v>11983.3</v>
      </c>
      <c r="M1012">
        <v>9790.7099999999991</v>
      </c>
      <c r="N1012">
        <v>2192.59</v>
      </c>
      <c r="O1012" t="s">
        <v>76</v>
      </c>
      <c r="P1012" t="s">
        <v>85</v>
      </c>
    </row>
    <row r="1013" spans="1:16" x14ac:dyDescent="0.25">
      <c r="A1013">
        <v>1012</v>
      </c>
      <c r="B1013" s="2">
        <v>45800</v>
      </c>
      <c r="C1013" t="s">
        <v>18</v>
      </c>
      <c r="D1013" t="s">
        <v>26</v>
      </c>
      <c r="E1013" t="s">
        <v>34</v>
      </c>
      <c r="F1013" t="s">
        <v>55</v>
      </c>
      <c r="G1013" t="s">
        <v>72</v>
      </c>
      <c r="H1013" t="s">
        <v>74</v>
      </c>
      <c r="I1013">
        <v>1</v>
      </c>
      <c r="J1013">
        <v>3052</v>
      </c>
      <c r="K1013">
        <v>0.05</v>
      </c>
      <c r="L1013">
        <v>2899.4</v>
      </c>
      <c r="M1013">
        <v>1739.47</v>
      </c>
      <c r="N1013">
        <v>1159.93</v>
      </c>
      <c r="O1013" t="s">
        <v>79</v>
      </c>
      <c r="P1013" t="s">
        <v>83</v>
      </c>
    </row>
    <row r="1014" spans="1:16" x14ac:dyDescent="0.25">
      <c r="A1014">
        <v>1013</v>
      </c>
      <c r="B1014" s="2">
        <v>45716</v>
      </c>
      <c r="C1014" t="s">
        <v>20</v>
      </c>
      <c r="D1014" t="s">
        <v>26</v>
      </c>
      <c r="E1014" t="s">
        <v>33</v>
      </c>
      <c r="F1014" t="s">
        <v>59</v>
      </c>
      <c r="G1014" t="s">
        <v>70</v>
      </c>
      <c r="H1014" t="s">
        <v>74</v>
      </c>
      <c r="I1014">
        <v>4</v>
      </c>
      <c r="J1014">
        <v>26740</v>
      </c>
      <c r="K1014">
        <v>0.15</v>
      </c>
      <c r="L1014">
        <v>90916</v>
      </c>
      <c r="M1014">
        <v>78630.59</v>
      </c>
      <c r="N1014">
        <v>12285.41</v>
      </c>
      <c r="O1014" t="s">
        <v>79</v>
      </c>
      <c r="P1014" t="s">
        <v>86</v>
      </c>
    </row>
    <row r="1015" spans="1:16" x14ac:dyDescent="0.25">
      <c r="A1015">
        <v>1014</v>
      </c>
      <c r="B1015" s="2">
        <v>45874</v>
      </c>
      <c r="C1015" t="s">
        <v>19</v>
      </c>
      <c r="D1015" t="s">
        <v>26</v>
      </c>
      <c r="E1015" t="s">
        <v>33</v>
      </c>
      <c r="F1015" t="s">
        <v>59</v>
      </c>
      <c r="G1015" t="s">
        <v>70</v>
      </c>
      <c r="H1015" t="s">
        <v>74</v>
      </c>
      <c r="I1015">
        <v>1</v>
      </c>
      <c r="J1015">
        <v>4921</v>
      </c>
      <c r="K1015">
        <v>0.1</v>
      </c>
      <c r="L1015">
        <v>4428.8999999999996</v>
      </c>
      <c r="M1015">
        <v>3583.56</v>
      </c>
      <c r="N1015">
        <v>845.34</v>
      </c>
      <c r="O1015" t="s">
        <v>76</v>
      </c>
      <c r="P1015" t="s">
        <v>83</v>
      </c>
    </row>
    <row r="1016" spans="1:16" x14ac:dyDescent="0.25">
      <c r="A1016">
        <v>1015</v>
      </c>
      <c r="B1016" s="2">
        <v>45856</v>
      </c>
      <c r="C1016" t="s">
        <v>20</v>
      </c>
      <c r="D1016" t="s">
        <v>26</v>
      </c>
      <c r="E1016" t="s">
        <v>32</v>
      </c>
      <c r="F1016" t="s">
        <v>66</v>
      </c>
      <c r="G1016" t="s">
        <v>72</v>
      </c>
      <c r="H1016" t="s">
        <v>73</v>
      </c>
      <c r="I1016">
        <v>4</v>
      </c>
      <c r="J1016">
        <v>17423</v>
      </c>
      <c r="K1016">
        <v>0.05</v>
      </c>
      <c r="L1016">
        <v>66207.399999999994</v>
      </c>
      <c r="M1016">
        <v>39600.86</v>
      </c>
      <c r="N1016">
        <v>26606.54</v>
      </c>
      <c r="O1016" t="s">
        <v>80</v>
      </c>
      <c r="P1016" t="s">
        <v>83</v>
      </c>
    </row>
    <row r="1017" spans="1:16" x14ac:dyDescent="0.25">
      <c r="A1017">
        <v>1016</v>
      </c>
      <c r="B1017" s="2">
        <v>45964</v>
      </c>
      <c r="C1017" t="s">
        <v>20</v>
      </c>
      <c r="D1017" t="s">
        <v>26</v>
      </c>
      <c r="E1017" t="s">
        <v>28</v>
      </c>
      <c r="F1017" t="s">
        <v>63</v>
      </c>
      <c r="G1017" t="s">
        <v>71</v>
      </c>
      <c r="H1017" t="s">
        <v>74</v>
      </c>
      <c r="I1017">
        <v>1</v>
      </c>
      <c r="J1017">
        <v>375</v>
      </c>
      <c r="K1017">
        <v>0</v>
      </c>
      <c r="L1017">
        <v>375</v>
      </c>
      <c r="M1017">
        <v>293.86</v>
      </c>
      <c r="N1017">
        <v>81.14</v>
      </c>
      <c r="O1017" t="s">
        <v>79</v>
      </c>
      <c r="P1017" t="s">
        <v>82</v>
      </c>
    </row>
    <row r="1018" spans="1:16" x14ac:dyDescent="0.25">
      <c r="A1018">
        <v>1017</v>
      </c>
      <c r="B1018" s="2">
        <v>45835</v>
      </c>
      <c r="C1018" t="s">
        <v>16</v>
      </c>
      <c r="D1018" t="s">
        <v>24</v>
      </c>
      <c r="E1018" t="s">
        <v>31</v>
      </c>
      <c r="F1018" t="s">
        <v>67</v>
      </c>
      <c r="G1018" t="s">
        <v>72</v>
      </c>
      <c r="H1018" t="s">
        <v>73</v>
      </c>
      <c r="I1018">
        <v>3</v>
      </c>
      <c r="J1018">
        <v>1396</v>
      </c>
      <c r="K1018">
        <v>0</v>
      </c>
      <c r="L1018">
        <v>4188</v>
      </c>
      <c r="M1018">
        <v>2794.21</v>
      </c>
      <c r="N1018">
        <v>1393.79</v>
      </c>
      <c r="O1018" t="s">
        <v>79</v>
      </c>
      <c r="P1018" t="s">
        <v>83</v>
      </c>
    </row>
    <row r="1019" spans="1:16" x14ac:dyDescent="0.25">
      <c r="A1019">
        <v>1018</v>
      </c>
      <c r="B1019" s="2">
        <v>45746</v>
      </c>
      <c r="C1019" t="s">
        <v>20</v>
      </c>
      <c r="D1019" t="s">
        <v>26</v>
      </c>
      <c r="E1019" t="s">
        <v>30</v>
      </c>
      <c r="F1019" t="s">
        <v>44</v>
      </c>
      <c r="G1019" t="s">
        <v>71</v>
      </c>
      <c r="H1019" t="s">
        <v>73</v>
      </c>
      <c r="I1019">
        <v>3</v>
      </c>
      <c r="J1019">
        <v>4812</v>
      </c>
      <c r="K1019">
        <v>0</v>
      </c>
      <c r="L1019">
        <v>14436</v>
      </c>
      <c r="M1019">
        <v>10861.36</v>
      </c>
      <c r="N1019">
        <v>3574.64</v>
      </c>
      <c r="O1019" t="s">
        <v>80</v>
      </c>
      <c r="P1019" t="s">
        <v>82</v>
      </c>
    </row>
    <row r="1020" spans="1:16" x14ac:dyDescent="0.25">
      <c r="A1020">
        <v>1019</v>
      </c>
      <c r="B1020" s="2">
        <v>45799</v>
      </c>
      <c r="C1020" t="s">
        <v>18</v>
      </c>
      <c r="D1020" t="s">
        <v>26</v>
      </c>
      <c r="E1020" t="s">
        <v>32</v>
      </c>
      <c r="F1020" t="s">
        <v>49</v>
      </c>
      <c r="G1020" t="s">
        <v>72</v>
      </c>
      <c r="H1020" t="s">
        <v>73</v>
      </c>
      <c r="I1020">
        <v>5</v>
      </c>
      <c r="J1020">
        <v>13742</v>
      </c>
      <c r="K1020">
        <v>0.05</v>
      </c>
      <c r="L1020">
        <v>65274.5</v>
      </c>
      <c r="M1020">
        <v>45207.61</v>
      </c>
      <c r="N1020">
        <v>20066.89</v>
      </c>
      <c r="O1020" t="s">
        <v>80</v>
      </c>
      <c r="P1020" t="s">
        <v>86</v>
      </c>
    </row>
    <row r="1021" spans="1:16" x14ac:dyDescent="0.25">
      <c r="A1021">
        <v>1020</v>
      </c>
      <c r="B1021" s="2">
        <v>45833</v>
      </c>
      <c r="C1021" t="s">
        <v>20</v>
      </c>
      <c r="D1021" t="s">
        <v>26</v>
      </c>
      <c r="E1021" t="s">
        <v>33</v>
      </c>
      <c r="F1021" t="s">
        <v>60</v>
      </c>
      <c r="G1021" t="s">
        <v>71</v>
      </c>
      <c r="H1021" t="s">
        <v>75</v>
      </c>
      <c r="I1021">
        <v>8</v>
      </c>
      <c r="J1021">
        <v>20423</v>
      </c>
      <c r="K1021">
        <v>0.05</v>
      </c>
      <c r="L1021">
        <v>155214.79999999999</v>
      </c>
      <c r="M1021">
        <v>118070.44</v>
      </c>
      <c r="N1021">
        <v>37144.36</v>
      </c>
      <c r="O1021" t="s">
        <v>78</v>
      </c>
      <c r="P1021" t="s">
        <v>82</v>
      </c>
    </row>
    <row r="1022" spans="1:16" x14ac:dyDescent="0.25">
      <c r="A1022">
        <v>1021</v>
      </c>
      <c r="B1022" s="2">
        <v>45844</v>
      </c>
      <c r="C1022" t="s">
        <v>20</v>
      </c>
      <c r="D1022" t="s">
        <v>26</v>
      </c>
      <c r="E1022" t="s">
        <v>29</v>
      </c>
      <c r="F1022" t="s">
        <v>53</v>
      </c>
      <c r="G1022" t="s">
        <v>70</v>
      </c>
      <c r="H1022" t="s">
        <v>74</v>
      </c>
      <c r="I1022">
        <v>7</v>
      </c>
      <c r="J1022">
        <v>11320</v>
      </c>
      <c r="K1022">
        <v>0</v>
      </c>
      <c r="L1022">
        <v>79240</v>
      </c>
      <c r="M1022">
        <v>46270.67</v>
      </c>
      <c r="N1022">
        <v>32969.33</v>
      </c>
      <c r="O1022" t="s">
        <v>77</v>
      </c>
      <c r="P1022" t="s">
        <v>82</v>
      </c>
    </row>
    <row r="1023" spans="1:16" x14ac:dyDescent="0.25">
      <c r="A1023">
        <v>1022</v>
      </c>
      <c r="B1023" s="2">
        <v>45884</v>
      </c>
      <c r="C1023" t="s">
        <v>18</v>
      </c>
      <c r="D1023" t="s">
        <v>26</v>
      </c>
      <c r="E1023" t="s">
        <v>32</v>
      </c>
      <c r="F1023" t="s">
        <v>49</v>
      </c>
      <c r="G1023" t="s">
        <v>71</v>
      </c>
      <c r="H1023" t="s">
        <v>75</v>
      </c>
      <c r="I1023">
        <v>7</v>
      </c>
      <c r="J1023">
        <v>14708</v>
      </c>
      <c r="K1023">
        <v>0.15</v>
      </c>
      <c r="L1023">
        <v>87512.6</v>
      </c>
      <c r="M1023">
        <v>74755.839999999997</v>
      </c>
      <c r="N1023">
        <v>12756.76</v>
      </c>
      <c r="O1023" t="s">
        <v>77</v>
      </c>
      <c r="P1023" t="s">
        <v>81</v>
      </c>
    </row>
    <row r="1024" spans="1:16" x14ac:dyDescent="0.25">
      <c r="A1024">
        <v>1023</v>
      </c>
      <c r="B1024" s="2">
        <v>45778</v>
      </c>
      <c r="C1024" t="s">
        <v>20</v>
      </c>
      <c r="D1024" t="s">
        <v>26</v>
      </c>
      <c r="E1024" t="s">
        <v>33</v>
      </c>
      <c r="F1024" t="s">
        <v>60</v>
      </c>
      <c r="G1024" t="s">
        <v>70</v>
      </c>
      <c r="H1024" t="s">
        <v>75</v>
      </c>
      <c r="I1024">
        <v>1</v>
      </c>
      <c r="J1024">
        <v>5542</v>
      </c>
      <c r="K1024">
        <v>0.05</v>
      </c>
      <c r="L1024">
        <v>5264.9</v>
      </c>
      <c r="M1024">
        <v>3427</v>
      </c>
      <c r="N1024">
        <v>1837.9</v>
      </c>
      <c r="O1024" t="s">
        <v>76</v>
      </c>
      <c r="P1024" t="s">
        <v>88</v>
      </c>
    </row>
    <row r="1025" spans="1:16" x14ac:dyDescent="0.25">
      <c r="A1025">
        <v>1024</v>
      </c>
      <c r="B1025" s="2">
        <v>45918</v>
      </c>
      <c r="C1025" t="s">
        <v>20</v>
      </c>
      <c r="D1025" t="s">
        <v>26</v>
      </c>
      <c r="E1025" t="s">
        <v>33</v>
      </c>
      <c r="F1025" t="s">
        <v>46</v>
      </c>
      <c r="G1025" t="s">
        <v>70</v>
      </c>
      <c r="H1025" t="s">
        <v>73</v>
      </c>
      <c r="I1025">
        <v>8</v>
      </c>
      <c r="J1025">
        <v>8729</v>
      </c>
      <c r="K1025">
        <v>0</v>
      </c>
      <c r="L1025">
        <v>69832</v>
      </c>
      <c r="M1025">
        <v>43041.36</v>
      </c>
      <c r="N1025">
        <v>26790.639999999999</v>
      </c>
      <c r="O1025" t="s">
        <v>77</v>
      </c>
      <c r="P1025" t="s">
        <v>86</v>
      </c>
    </row>
    <row r="1026" spans="1:16" x14ac:dyDescent="0.25">
      <c r="A1026">
        <v>1025</v>
      </c>
      <c r="B1026" s="2">
        <v>45871</v>
      </c>
      <c r="C1026" t="s">
        <v>23</v>
      </c>
      <c r="D1026" t="s">
        <v>27</v>
      </c>
      <c r="E1026" t="s">
        <v>33</v>
      </c>
      <c r="F1026" t="s">
        <v>46</v>
      </c>
      <c r="G1026" t="s">
        <v>72</v>
      </c>
      <c r="H1026" t="s">
        <v>74</v>
      </c>
      <c r="I1026">
        <v>6</v>
      </c>
      <c r="J1026">
        <v>24011</v>
      </c>
      <c r="K1026">
        <v>0</v>
      </c>
      <c r="L1026">
        <v>144066</v>
      </c>
      <c r="M1026">
        <v>111699.6</v>
      </c>
      <c r="N1026">
        <v>32366.400000000001</v>
      </c>
      <c r="O1026" t="s">
        <v>79</v>
      </c>
      <c r="P1026" t="s">
        <v>87</v>
      </c>
    </row>
    <row r="1027" spans="1:16" x14ac:dyDescent="0.25">
      <c r="A1027">
        <v>1026</v>
      </c>
      <c r="B1027" s="2">
        <v>46004</v>
      </c>
      <c r="C1027" t="s">
        <v>22</v>
      </c>
      <c r="D1027" t="s">
        <v>24</v>
      </c>
      <c r="E1027" t="s">
        <v>31</v>
      </c>
      <c r="F1027" t="s">
        <v>47</v>
      </c>
      <c r="G1027" t="s">
        <v>72</v>
      </c>
      <c r="H1027" t="s">
        <v>74</v>
      </c>
      <c r="I1027">
        <v>8</v>
      </c>
      <c r="J1027">
        <v>1235</v>
      </c>
      <c r="K1027">
        <v>0</v>
      </c>
      <c r="L1027">
        <v>9880</v>
      </c>
      <c r="M1027">
        <v>5752.55</v>
      </c>
      <c r="N1027">
        <v>4127.45</v>
      </c>
      <c r="O1027" t="s">
        <v>76</v>
      </c>
      <c r="P1027" t="s">
        <v>88</v>
      </c>
    </row>
    <row r="1028" spans="1:16" x14ac:dyDescent="0.25">
      <c r="A1028">
        <v>1027</v>
      </c>
      <c r="B1028" s="2">
        <v>45747</v>
      </c>
      <c r="C1028" t="s">
        <v>23</v>
      </c>
      <c r="D1028" t="s">
        <v>27</v>
      </c>
      <c r="E1028" t="s">
        <v>32</v>
      </c>
      <c r="F1028" t="s">
        <v>48</v>
      </c>
      <c r="G1028" t="s">
        <v>71</v>
      </c>
      <c r="H1028" t="s">
        <v>73</v>
      </c>
      <c r="I1028">
        <v>8</v>
      </c>
      <c r="J1028">
        <v>24151</v>
      </c>
      <c r="K1028">
        <v>0.1</v>
      </c>
      <c r="L1028">
        <v>173887.2</v>
      </c>
      <c r="M1028">
        <v>139157.54999999999</v>
      </c>
      <c r="N1028">
        <v>34729.65</v>
      </c>
      <c r="O1028" t="s">
        <v>76</v>
      </c>
      <c r="P1028" t="s">
        <v>88</v>
      </c>
    </row>
    <row r="1029" spans="1:16" x14ac:dyDescent="0.25">
      <c r="A1029">
        <v>1028</v>
      </c>
      <c r="B1029" s="2">
        <v>45710</v>
      </c>
      <c r="C1029" t="s">
        <v>23</v>
      </c>
      <c r="D1029" t="s">
        <v>27</v>
      </c>
      <c r="E1029" t="s">
        <v>29</v>
      </c>
      <c r="F1029" t="s">
        <v>42</v>
      </c>
      <c r="G1029" t="s">
        <v>72</v>
      </c>
      <c r="H1029" t="s">
        <v>73</v>
      </c>
      <c r="I1029">
        <v>2</v>
      </c>
      <c r="J1029">
        <v>1860</v>
      </c>
      <c r="K1029">
        <v>0</v>
      </c>
      <c r="L1029">
        <v>3720</v>
      </c>
      <c r="M1029">
        <v>2960.11</v>
      </c>
      <c r="N1029">
        <v>759.89</v>
      </c>
      <c r="O1029" t="s">
        <v>79</v>
      </c>
      <c r="P1029" t="s">
        <v>85</v>
      </c>
    </row>
    <row r="1030" spans="1:16" x14ac:dyDescent="0.25">
      <c r="A1030">
        <v>1029</v>
      </c>
      <c r="B1030" s="2">
        <v>45979</v>
      </c>
      <c r="C1030" t="s">
        <v>18</v>
      </c>
      <c r="D1030" t="s">
        <v>26</v>
      </c>
      <c r="E1030" t="s">
        <v>28</v>
      </c>
      <c r="F1030" t="s">
        <v>58</v>
      </c>
      <c r="G1030" t="s">
        <v>71</v>
      </c>
      <c r="H1030" t="s">
        <v>74</v>
      </c>
      <c r="I1030">
        <v>3</v>
      </c>
      <c r="J1030">
        <v>1674</v>
      </c>
      <c r="K1030">
        <v>0</v>
      </c>
      <c r="L1030">
        <v>5022</v>
      </c>
      <c r="M1030">
        <v>4334.5</v>
      </c>
      <c r="N1030">
        <v>687.5</v>
      </c>
      <c r="O1030" t="s">
        <v>76</v>
      </c>
      <c r="P1030" t="s">
        <v>81</v>
      </c>
    </row>
    <row r="1031" spans="1:16" x14ac:dyDescent="0.25">
      <c r="A1031">
        <v>1030</v>
      </c>
      <c r="B1031" s="2">
        <v>45735</v>
      </c>
      <c r="C1031" t="s">
        <v>20</v>
      </c>
      <c r="D1031" t="s">
        <v>26</v>
      </c>
      <c r="E1031" t="s">
        <v>28</v>
      </c>
      <c r="F1031" t="s">
        <v>58</v>
      </c>
      <c r="G1031" t="s">
        <v>70</v>
      </c>
      <c r="H1031" t="s">
        <v>74</v>
      </c>
      <c r="I1031">
        <v>7</v>
      </c>
      <c r="J1031">
        <v>812</v>
      </c>
      <c r="K1031">
        <v>0</v>
      </c>
      <c r="L1031">
        <v>5684</v>
      </c>
      <c r="M1031">
        <v>4846.5600000000004</v>
      </c>
      <c r="N1031">
        <v>837.44</v>
      </c>
      <c r="O1031" t="s">
        <v>79</v>
      </c>
      <c r="P1031" t="s">
        <v>88</v>
      </c>
    </row>
    <row r="1032" spans="1:16" x14ac:dyDescent="0.25">
      <c r="A1032">
        <v>1031</v>
      </c>
      <c r="B1032" s="2">
        <v>45746</v>
      </c>
      <c r="C1032" t="s">
        <v>23</v>
      </c>
      <c r="D1032" t="s">
        <v>27</v>
      </c>
      <c r="E1032" t="s">
        <v>28</v>
      </c>
      <c r="F1032" t="s">
        <v>35</v>
      </c>
      <c r="G1032" t="s">
        <v>71</v>
      </c>
      <c r="H1032" t="s">
        <v>74</v>
      </c>
      <c r="I1032">
        <v>1</v>
      </c>
      <c r="J1032">
        <v>1811</v>
      </c>
      <c r="K1032">
        <v>0.1</v>
      </c>
      <c r="L1032">
        <v>1629.9</v>
      </c>
      <c r="M1032">
        <v>1265.19</v>
      </c>
      <c r="N1032">
        <v>364.71</v>
      </c>
      <c r="O1032" t="s">
        <v>78</v>
      </c>
      <c r="P1032" t="s">
        <v>82</v>
      </c>
    </row>
    <row r="1033" spans="1:16" x14ac:dyDescent="0.25">
      <c r="A1033">
        <v>1032</v>
      </c>
      <c r="B1033" s="2">
        <v>45871</v>
      </c>
      <c r="C1033" t="s">
        <v>16</v>
      </c>
      <c r="D1033" t="s">
        <v>24</v>
      </c>
      <c r="E1033" t="s">
        <v>31</v>
      </c>
      <c r="F1033" t="s">
        <v>47</v>
      </c>
      <c r="G1033" t="s">
        <v>70</v>
      </c>
      <c r="H1033" t="s">
        <v>73</v>
      </c>
      <c r="I1033">
        <v>1</v>
      </c>
      <c r="J1033">
        <v>466</v>
      </c>
      <c r="K1033">
        <v>0</v>
      </c>
      <c r="L1033">
        <v>466</v>
      </c>
      <c r="M1033">
        <v>385.89</v>
      </c>
      <c r="N1033">
        <v>80.11</v>
      </c>
      <c r="O1033" t="s">
        <v>79</v>
      </c>
      <c r="P1033" t="s">
        <v>85</v>
      </c>
    </row>
    <row r="1034" spans="1:16" x14ac:dyDescent="0.25">
      <c r="A1034">
        <v>1033</v>
      </c>
      <c r="B1034" s="2">
        <v>45740</v>
      </c>
      <c r="C1034" t="s">
        <v>17</v>
      </c>
      <c r="D1034" t="s">
        <v>25</v>
      </c>
      <c r="E1034" t="s">
        <v>29</v>
      </c>
      <c r="F1034" t="s">
        <v>57</v>
      </c>
      <c r="G1034" t="s">
        <v>72</v>
      </c>
      <c r="H1034" t="s">
        <v>73</v>
      </c>
      <c r="I1034">
        <v>5</v>
      </c>
      <c r="J1034">
        <v>10739</v>
      </c>
      <c r="K1034">
        <v>0.05</v>
      </c>
      <c r="L1034">
        <v>51010.25</v>
      </c>
      <c r="M1034">
        <v>28513.55</v>
      </c>
      <c r="N1034">
        <v>22496.7</v>
      </c>
      <c r="O1034" t="s">
        <v>79</v>
      </c>
      <c r="P1034" t="s">
        <v>81</v>
      </c>
    </row>
    <row r="1035" spans="1:16" x14ac:dyDescent="0.25">
      <c r="A1035">
        <v>1034</v>
      </c>
      <c r="B1035" s="2">
        <v>45921</v>
      </c>
      <c r="C1035" t="s">
        <v>16</v>
      </c>
      <c r="D1035" t="s">
        <v>24</v>
      </c>
      <c r="E1035" t="s">
        <v>29</v>
      </c>
      <c r="F1035" t="s">
        <v>36</v>
      </c>
      <c r="G1035" t="s">
        <v>72</v>
      </c>
      <c r="H1035" t="s">
        <v>74</v>
      </c>
      <c r="I1035">
        <v>3</v>
      </c>
      <c r="J1035">
        <v>10726</v>
      </c>
      <c r="K1035">
        <v>0.1</v>
      </c>
      <c r="L1035">
        <v>28960.2</v>
      </c>
      <c r="M1035">
        <v>23573.11</v>
      </c>
      <c r="N1035">
        <v>5387.09</v>
      </c>
      <c r="O1035" t="s">
        <v>76</v>
      </c>
      <c r="P1035" t="s">
        <v>85</v>
      </c>
    </row>
    <row r="1036" spans="1:16" x14ac:dyDescent="0.25">
      <c r="A1036">
        <v>1035</v>
      </c>
      <c r="B1036" s="2">
        <v>45786</v>
      </c>
      <c r="C1036" t="s">
        <v>22</v>
      </c>
      <c r="D1036" t="s">
        <v>24</v>
      </c>
      <c r="E1036" t="s">
        <v>30</v>
      </c>
      <c r="F1036" t="s">
        <v>64</v>
      </c>
      <c r="G1036" t="s">
        <v>71</v>
      </c>
      <c r="H1036" t="s">
        <v>74</v>
      </c>
      <c r="I1036">
        <v>7</v>
      </c>
      <c r="J1036">
        <v>11364</v>
      </c>
      <c r="K1036">
        <v>0.1</v>
      </c>
      <c r="L1036">
        <v>71593.2</v>
      </c>
      <c r="M1036">
        <v>52960.38</v>
      </c>
      <c r="N1036">
        <v>18632.82</v>
      </c>
      <c r="O1036" t="s">
        <v>77</v>
      </c>
      <c r="P1036" t="s">
        <v>84</v>
      </c>
    </row>
    <row r="1037" spans="1:16" x14ac:dyDescent="0.25">
      <c r="A1037">
        <v>1036</v>
      </c>
      <c r="B1037" s="2">
        <v>45823</v>
      </c>
      <c r="C1037" t="s">
        <v>21</v>
      </c>
      <c r="D1037" t="s">
        <v>24</v>
      </c>
      <c r="E1037" t="s">
        <v>34</v>
      </c>
      <c r="F1037" t="s">
        <v>68</v>
      </c>
      <c r="G1037" t="s">
        <v>71</v>
      </c>
      <c r="H1037" t="s">
        <v>75</v>
      </c>
      <c r="I1037">
        <v>7</v>
      </c>
      <c r="J1037">
        <v>319</v>
      </c>
      <c r="K1037">
        <v>0.1</v>
      </c>
      <c r="L1037">
        <v>2009.7</v>
      </c>
      <c r="M1037">
        <v>1614.92</v>
      </c>
      <c r="N1037">
        <v>394.78</v>
      </c>
      <c r="O1037" t="s">
        <v>78</v>
      </c>
      <c r="P1037" t="s">
        <v>81</v>
      </c>
    </row>
    <row r="1038" spans="1:16" x14ac:dyDescent="0.25">
      <c r="A1038">
        <v>1037</v>
      </c>
      <c r="B1038" s="2">
        <v>45758</v>
      </c>
      <c r="C1038" t="s">
        <v>23</v>
      </c>
      <c r="D1038" t="s">
        <v>27</v>
      </c>
      <c r="E1038" t="s">
        <v>32</v>
      </c>
      <c r="F1038" t="s">
        <v>62</v>
      </c>
      <c r="G1038" t="s">
        <v>70</v>
      </c>
      <c r="H1038" t="s">
        <v>74</v>
      </c>
      <c r="I1038">
        <v>2</v>
      </c>
      <c r="J1038">
        <v>10794</v>
      </c>
      <c r="K1038">
        <v>0</v>
      </c>
      <c r="L1038">
        <v>21588</v>
      </c>
      <c r="M1038">
        <v>13239.07</v>
      </c>
      <c r="N1038">
        <v>8348.93</v>
      </c>
      <c r="O1038" t="s">
        <v>79</v>
      </c>
      <c r="P1038" t="s">
        <v>88</v>
      </c>
    </row>
    <row r="1039" spans="1:16" x14ac:dyDescent="0.25">
      <c r="A1039">
        <v>1038</v>
      </c>
      <c r="B1039" s="2">
        <v>45905</v>
      </c>
      <c r="C1039" t="s">
        <v>22</v>
      </c>
      <c r="D1039" t="s">
        <v>24</v>
      </c>
      <c r="E1039" t="s">
        <v>30</v>
      </c>
      <c r="F1039" t="s">
        <v>44</v>
      </c>
      <c r="G1039" t="s">
        <v>70</v>
      </c>
      <c r="H1039" t="s">
        <v>74</v>
      </c>
      <c r="I1039">
        <v>6</v>
      </c>
      <c r="J1039">
        <v>34032</v>
      </c>
      <c r="K1039">
        <v>0.2</v>
      </c>
      <c r="L1039">
        <v>163353.60000000001</v>
      </c>
      <c r="M1039">
        <v>117570.12</v>
      </c>
      <c r="N1039">
        <v>45783.48</v>
      </c>
      <c r="O1039" t="s">
        <v>77</v>
      </c>
      <c r="P1039" t="s">
        <v>81</v>
      </c>
    </row>
    <row r="1040" spans="1:16" x14ac:dyDescent="0.25">
      <c r="A1040">
        <v>1039</v>
      </c>
      <c r="B1040" s="2">
        <v>45745</v>
      </c>
      <c r="C1040" t="s">
        <v>20</v>
      </c>
      <c r="D1040" t="s">
        <v>26</v>
      </c>
      <c r="E1040" t="s">
        <v>28</v>
      </c>
      <c r="F1040" t="s">
        <v>61</v>
      </c>
      <c r="G1040" t="s">
        <v>71</v>
      </c>
      <c r="H1040" t="s">
        <v>75</v>
      </c>
      <c r="I1040">
        <v>6</v>
      </c>
      <c r="J1040">
        <v>228</v>
      </c>
      <c r="K1040">
        <v>0</v>
      </c>
      <c r="L1040">
        <v>1368</v>
      </c>
      <c r="M1040">
        <v>1116.02</v>
      </c>
      <c r="N1040">
        <v>251.98</v>
      </c>
      <c r="O1040" t="s">
        <v>80</v>
      </c>
      <c r="P1040" t="s">
        <v>84</v>
      </c>
    </row>
    <row r="1041" spans="1:16" x14ac:dyDescent="0.25">
      <c r="A1041">
        <v>1040</v>
      </c>
      <c r="B1041" s="2">
        <v>45803</v>
      </c>
      <c r="C1041" t="s">
        <v>21</v>
      </c>
      <c r="D1041" t="s">
        <v>24</v>
      </c>
      <c r="E1041" t="s">
        <v>30</v>
      </c>
      <c r="F1041" t="s">
        <v>37</v>
      </c>
      <c r="G1041" t="s">
        <v>70</v>
      </c>
      <c r="H1041" t="s">
        <v>73</v>
      </c>
      <c r="I1041">
        <v>6</v>
      </c>
      <c r="J1041">
        <v>42455</v>
      </c>
      <c r="K1041">
        <v>0.15</v>
      </c>
      <c r="L1041">
        <v>216520.5</v>
      </c>
      <c r="M1041">
        <v>158506.54999999999</v>
      </c>
      <c r="N1041">
        <v>58013.95</v>
      </c>
      <c r="O1041" t="s">
        <v>77</v>
      </c>
      <c r="P1041" t="s">
        <v>84</v>
      </c>
    </row>
    <row r="1042" spans="1:16" x14ac:dyDescent="0.25">
      <c r="A1042">
        <v>1041</v>
      </c>
      <c r="B1042" s="2">
        <v>45925</v>
      </c>
      <c r="C1042" t="s">
        <v>22</v>
      </c>
      <c r="D1042" t="s">
        <v>24</v>
      </c>
      <c r="E1042" t="s">
        <v>30</v>
      </c>
      <c r="F1042" t="s">
        <v>56</v>
      </c>
      <c r="G1042" t="s">
        <v>72</v>
      </c>
      <c r="H1042" t="s">
        <v>75</v>
      </c>
      <c r="I1042">
        <v>4</v>
      </c>
      <c r="J1042">
        <v>33833</v>
      </c>
      <c r="K1042">
        <v>0</v>
      </c>
      <c r="L1042">
        <v>135332</v>
      </c>
      <c r="M1042">
        <v>87356.22</v>
      </c>
      <c r="N1042">
        <v>47975.78</v>
      </c>
      <c r="O1042" t="s">
        <v>77</v>
      </c>
      <c r="P1042" t="s">
        <v>87</v>
      </c>
    </row>
    <row r="1043" spans="1:16" x14ac:dyDescent="0.25">
      <c r="A1043">
        <v>1042</v>
      </c>
      <c r="B1043" s="2">
        <v>45806</v>
      </c>
      <c r="C1043" t="s">
        <v>16</v>
      </c>
      <c r="D1043" t="s">
        <v>24</v>
      </c>
      <c r="E1043" t="s">
        <v>31</v>
      </c>
      <c r="F1043" t="s">
        <v>50</v>
      </c>
      <c r="G1043" t="s">
        <v>71</v>
      </c>
      <c r="H1043" t="s">
        <v>73</v>
      </c>
      <c r="I1043">
        <v>4</v>
      </c>
      <c r="J1043">
        <v>2164</v>
      </c>
      <c r="K1043">
        <v>0.05</v>
      </c>
      <c r="L1043">
        <v>8223.2000000000007</v>
      </c>
      <c r="M1043">
        <v>4694.59</v>
      </c>
      <c r="N1043">
        <v>3528.61</v>
      </c>
      <c r="O1043" t="s">
        <v>78</v>
      </c>
      <c r="P1043" t="s">
        <v>83</v>
      </c>
    </row>
    <row r="1044" spans="1:16" x14ac:dyDescent="0.25">
      <c r="A1044">
        <v>1043</v>
      </c>
      <c r="B1044" s="2">
        <v>45956</v>
      </c>
      <c r="C1044" t="s">
        <v>20</v>
      </c>
      <c r="D1044" t="s">
        <v>26</v>
      </c>
      <c r="E1044" t="s">
        <v>33</v>
      </c>
      <c r="F1044" t="s">
        <v>41</v>
      </c>
      <c r="G1044" t="s">
        <v>71</v>
      </c>
      <c r="H1044" t="s">
        <v>73</v>
      </c>
      <c r="I1044">
        <v>7</v>
      </c>
      <c r="J1044">
        <v>14187</v>
      </c>
      <c r="K1044">
        <v>0.1</v>
      </c>
      <c r="L1044">
        <v>89378.1</v>
      </c>
      <c r="M1044">
        <v>57416.12</v>
      </c>
      <c r="N1044">
        <v>31961.98</v>
      </c>
      <c r="O1044" t="s">
        <v>79</v>
      </c>
      <c r="P1044" t="s">
        <v>87</v>
      </c>
    </row>
    <row r="1045" spans="1:16" x14ac:dyDescent="0.25">
      <c r="A1045">
        <v>1044</v>
      </c>
      <c r="B1045" s="2">
        <v>45735</v>
      </c>
      <c r="C1045" t="s">
        <v>19</v>
      </c>
      <c r="D1045" t="s">
        <v>26</v>
      </c>
      <c r="E1045" t="s">
        <v>32</v>
      </c>
      <c r="F1045" t="s">
        <v>39</v>
      </c>
      <c r="G1045" t="s">
        <v>72</v>
      </c>
      <c r="H1045" t="s">
        <v>74</v>
      </c>
      <c r="I1045">
        <v>5</v>
      </c>
      <c r="J1045">
        <v>9349</v>
      </c>
      <c r="K1045">
        <v>0.05</v>
      </c>
      <c r="L1045">
        <v>44407.75</v>
      </c>
      <c r="M1045">
        <v>34758.49</v>
      </c>
      <c r="N1045">
        <v>9649.26</v>
      </c>
      <c r="O1045" t="s">
        <v>77</v>
      </c>
      <c r="P1045" t="s">
        <v>83</v>
      </c>
    </row>
    <row r="1046" spans="1:16" x14ac:dyDescent="0.25">
      <c r="A1046">
        <v>1045</v>
      </c>
      <c r="B1046" s="2">
        <v>45732</v>
      </c>
      <c r="C1046" t="s">
        <v>21</v>
      </c>
      <c r="D1046" t="s">
        <v>24</v>
      </c>
      <c r="E1046" t="s">
        <v>33</v>
      </c>
      <c r="F1046" t="s">
        <v>59</v>
      </c>
      <c r="G1046" t="s">
        <v>70</v>
      </c>
      <c r="H1046" t="s">
        <v>75</v>
      </c>
      <c r="I1046">
        <v>5</v>
      </c>
      <c r="J1046">
        <v>3067</v>
      </c>
      <c r="K1046">
        <v>0.1</v>
      </c>
      <c r="L1046">
        <v>13801.5</v>
      </c>
      <c r="M1046">
        <v>11382.39</v>
      </c>
      <c r="N1046">
        <v>2419.11</v>
      </c>
      <c r="O1046" t="s">
        <v>77</v>
      </c>
      <c r="P1046" t="s">
        <v>81</v>
      </c>
    </row>
    <row r="1047" spans="1:16" x14ac:dyDescent="0.25">
      <c r="A1047">
        <v>1046</v>
      </c>
      <c r="B1047" s="2">
        <v>45891</v>
      </c>
      <c r="C1047" t="s">
        <v>22</v>
      </c>
      <c r="D1047" t="s">
        <v>24</v>
      </c>
      <c r="E1047" t="s">
        <v>30</v>
      </c>
      <c r="F1047" t="s">
        <v>40</v>
      </c>
      <c r="G1047" t="s">
        <v>71</v>
      </c>
      <c r="H1047" t="s">
        <v>75</v>
      </c>
      <c r="I1047">
        <v>8</v>
      </c>
      <c r="J1047">
        <v>29424</v>
      </c>
      <c r="K1047">
        <v>0</v>
      </c>
      <c r="L1047">
        <v>235392</v>
      </c>
      <c r="M1047">
        <v>156582.10999999999</v>
      </c>
      <c r="N1047">
        <v>78809.89</v>
      </c>
      <c r="O1047" t="s">
        <v>80</v>
      </c>
      <c r="P1047" t="s">
        <v>82</v>
      </c>
    </row>
    <row r="1048" spans="1:16" x14ac:dyDescent="0.25">
      <c r="A1048">
        <v>1047</v>
      </c>
      <c r="B1048" s="2">
        <v>45712</v>
      </c>
      <c r="C1048" t="s">
        <v>16</v>
      </c>
      <c r="D1048" t="s">
        <v>24</v>
      </c>
      <c r="E1048" t="s">
        <v>30</v>
      </c>
      <c r="F1048" t="s">
        <v>40</v>
      </c>
      <c r="G1048" t="s">
        <v>71</v>
      </c>
      <c r="H1048" t="s">
        <v>73</v>
      </c>
      <c r="I1048">
        <v>2</v>
      </c>
      <c r="J1048">
        <v>65514</v>
      </c>
      <c r="K1048">
        <v>0.1</v>
      </c>
      <c r="L1048">
        <v>117925.2</v>
      </c>
      <c r="M1048">
        <v>102954.69</v>
      </c>
      <c r="N1048">
        <v>14970.51</v>
      </c>
      <c r="O1048" t="s">
        <v>78</v>
      </c>
      <c r="P1048" t="s">
        <v>87</v>
      </c>
    </row>
    <row r="1049" spans="1:16" x14ac:dyDescent="0.25">
      <c r="A1049">
        <v>1048</v>
      </c>
      <c r="B1049" s="2">
        <v>45760</v>
      </c>
      <c r="C1049" t="s">
        <v>23</v>
      </c>
      <c r="D1049" t="s">
        <v>27</v>
      </c>
      <c r="E1049" t="s">
        <v>33</v>
      </c>
      <c r="F1049" t="s">
        <v>46</v>
      </c>
      <c r="G1049" t="s">
        <v>71</v>
      </c>
      <c r="H1049" t="s">
        <v>73</v>
      </c>
      <c r="I1049">
        <v>5</v>
      </c>
      <c r="J1049">
        <v>17406</v>
      </c>
      <c r="K1049">
        <v>0.1</v>
      </c>
      <c r="L1049">
        <v>78327</v>
      </c>
      <c r="M1049">
        <v>45398.7</v>
      </c>
      <c r="N1049">
        <v>32928.300000000003</v>
      </c>
      <c r="O1049" t="s">
        <v>79</v>
      </c>
      <c r="P1049" t="s">
        <v>87</v>
      </c>
    </row>
    <row r="1050" spans="1:16" x14ac:dyDescent="0.25">
      <c r="A1050">
        <v>1049</v>
      </c>
      <c r="B1050" s="2">
        <v>45830</v>
      </c>
      <c r="C1050" t="s">
        <v>21</v>
      </c>
      <c r="D1050" t="s">
        <v>24</v>
      </c>
      <c r="E1050" t="s">
        <v>28</v>
      </c>
      <c r="F1050" t="s">
        <v>61</v>
      </c>
      <c r="G1050" t="s">
        <v>71</v>
      </c>
      <c r="H1050" t="s">
        <v>74</v>
      </c>
      <c r="I1050">
        <v>4</v>
      </c>
      <c r="J1050">
        <v>2241</v>
      </c>
      <c r="K1050">
        <v>0.05</v>
      </c>
      <c r="L1050">
        <v>8515.7999999999993</v>
      </c>
      <c r="M1050">
        <v>7113.62</v>
      </c>
      <c r="N1050">
        <v>1402.18</v>
      </c>
      <c r="O1050" t="s">
        <v>79</v>
      </c>
      <c r="P1050" t="s">
        <v>87</v>
      </c>
    </row>
    <row r="1051" spans="1:16" x14ac:dyDescent="0.25">
      <c r="A1051">
        <v>1050</v>
      </c>
      <c r="B1051" s="2">
        <v>45968</v>
      </c>
      <c r="C1051" t="s">
        <v>18</v>
      </c>
      <c r="D1051" t="s">
        <v>26</v>
      </c>
      <c r="E1051" t="s">
        <v>31</v>
      </c>
      <c r="F1051" t="s">
        <v>67</v>
      </c>
      <c r="G1051" t="s">
        <v>71</v>
      </c>
      <c r="H1051" t="s">
        <v>75</v>
      </c>
      <c r="I1051">
        <v>4</v>
      </c>
      <c r="J1051">
        <v>2150</v>
      </c>
      <c r="K1051">
        <v>0.15</v>
      </c>
      <c r="L1051">
        <v>7310</v>
      </c>
      <c r="M1051">
        <v>5349.42</v>
      </c>
      <c r="N1051">
        <v>1960.58</v>
      </c>
      <c r="O1051" t="s">
        <v>79</v>
      </c>
      <c r="P1051" t="s">
        <v>85</v>
      </c>
    </row>
    <row r="1052" spans="1:16" x14ac:dyDescent="0.25">
      <c r="A1052">
        <v>1051</v>
      </c>
      <c r="B1052" s="2">
        <v>45820</v>
      </c>
      <c r="C1052" t="s">
        <v>22</v>
      </c>
      <c r="D1052" t="s">
        <v>24</v>
      </c>
      <c r="E1052" t="s">
        <v>28</v>
      </c>
      <c r="F1052" t="s">
        <v>61</v>
      </c>
      <c r="G1052" t="s">
        <v>70</v>
      </c>
      <c r="H1052" t="s">
        <v>74</v>
      </c>
      <c r="I1052">
        <v>3</v>
      </c>
      <c r="J1052">
        <v>1390</v>
      </c>
      <c r="K1052">
        <v>0</v>
      </c>
      <c r="L1052">
        <v>4170</v>
      </c>
      <c r="M1052">
        <v>3524.72</v>
      </c>
      <c r="N1052">
        <v>645.28</v>
      </c>
      <c r="O1052" t="s">
        <v>77</v>
      </c>
      <c r="P1052" t="s">
        <v>81</v>
      </c>
    </row>
    <row r="1053" spans="1:16" x14ac:dyDescent="0.25">
      <c r="A1053">
        <v>1052</v>
      </c>
      <c r="B1053" s="2">
        <v>45923</v>
      </c>
      <c r="C1053" t="s">
        <v>17</v>
      </c>
      <c r="D1053" t="s">
        <v>25</v>
      </c>
      <c r="E1053" t="s">
        <v>29</v>
      </c>
      <c r="F1053" t="s">
        <v>45</v>
      </c>
      <c r="G1053" t="s">
        <v>71</v>
      </c>
      <c r="H1053" t="s">
        <v>75</v>
      </c>
      <c r="I1053">
        <v>7</v>
      </c>
      <c r="J1053">
        <v>9355</v>
      </c>
      <c r="K1053">
        <v>0</v>
      </c>
      <c r="L1053">
        <v>65485</v>
      </c>
      <c r="M1053">
        <v>45539.3</v>
      </c>
      <c r="N1053">
        <v>19945.7</v>
      </c>
      <c r="O1053" t="s">
        <v>78</v>
      </c>
      <c r="P1053" t="s">
        <v>83</v>
      </c>
    </row>
    <row r="1054" spans="1:16" x14ac:dyDescent="0.25">
      <c r="A1054">
        <v>1053</v>
      </c>
      <c r="B1054" s="2">
        <v>45907</v>
      </c>
      <c r="C1054" t="s">
        <v>17</v>
      </c>
      <c r="D1054" t="s">
        <v>25</v>
      </c>
      <c r="E1054" t="s">
        <v>32</v>
      </c>
      <c r="F1054" t="s">
        <v>48</v>
      </c>
      <c r="G1054" t="s">
        <v>71</v>
      </c>
      <c r="H1054" t="s">
        <v>74</v>
      </c>
      <c r="I1054">
        <v>5</v>
      </c>
      <c r="J1054">
        <v>10107</v>
      </c>
      <c r="K1054">
        <v>0.15</v>
      </c>
      <c r="L1054">
        <v>42954.75</v>
      </c>
      <c r="M1054">
        <v>25775</v>
      </c>
      <c r="N1054">
        <v>17179.75</v>
      </c>
      <c r="O1054" t="s">
        <v>77</v>
      </c>
      <c r="P1054" t="s">
        <v>81</v>
      </c>
    </row>
    <row r="1055" spans="1:16" x14ac:dyDescent="0.25">
      <c r="A1055">
        <v>1054</v>
      </c>
      <c r="B1055" s="2">
        <v>45706</v>
      </c>
      <c r="C1055" t="s">
        <v>22</v>
      </c>
      <c r="D1055" t="s">
        <v>24</v>
      </c>
      <c r="E1055" t="s">
        <v>28</v>
      </c>
      <c r="F1055" t="s">
        <v>35</v>
      </c>
      <c r="G1055" t="s">
        <v>71</v>
      </c>
      <c r="H1055" t="s">
        <v>74</v>
      </c>
      <c r="I1055">
        <v>3</v>
      </c>
      <c r="J1055">
        <v>229</v>
      </c>
      <c r="K1055">
        <v>0.1</v>
      </c>
      <c r="L1055">
        <v>618.29999999999995</v>
      </c>
      <c r="M1055">
        <v>507.64</v>
      </c>
      <c r="N1055">
        <v>110.66</v>
      </c>
      <c r="O1055" t="s">
        <v>80</v>
      </c>
      <c r="P1055" t="s">
        <v>85</v>
      </c>
    </row>
    <row r="1056" spans="1:16" x14ac:dyDescent="0.25">
      <c r="A1056">
        <v>1055</v>
      </c>
      <c r="B1056" s="2">
        <v>45908</v>
      </c>
      <c r="C1056" t="s">
        <v>21</v>
      </c>
      <c r="D1056" t="s">
        <v>24</v>
      </c>
      <c r="E1056" t="s">
        <v>33</v>
      </c>
      <c r="F1056" t="s">
        <v>52</v>
      </c>
      <c r="G1056" t="s">
        <v>70</v>
      </c>
      <c r="H1056" t="s">
        <v>73</v>
      </c>
      <c r="I1056">
        <v>1</v>
      </c>
      <c r="J1056">
        <v>20407</v>
      </c>
      <c r="K1056">
        <v>0.1</v>
      </c>
      <c r="L1056">
        <v>18366.3</v>
      </c>
      <c r="M1056">
        <v>12825.58</v>
      </c>
      <c r="N1056">
        <v>5540.72</v>
      </c>
      <c r="O1056" t="s">
        <v>79</v>
      </c>
      <c r="P1056" t="s">
        <v>88</v>
      </c>
    </row>
    <row r="1057" spans="1:16" x14ac:dyDescent="0.25">
      <c r="A1057">
        <v>1056</v>
      </c>
      <c r="B1057" s="2">
        <v>45728</v>
      </c>
      <c r="C1057" t="s">
        <v>22</v>
      </c>
      <c r="D1057" t="s">
        <v>24</v>
      </c>
      <c r="E1057" t="s">
        <v>28</v>
      </c>
      <c r="F1057" t="s">
        <v>35</v>
      </c>
      <c r="G1057" t="s">
        <v>70</v>
      </c>
      <c r="H1057" t="s">
        <v>74</v>
      </c>
      <c r="I1057">
        <v>7</v>
      </c>
      <c r="J1057">
        <v>2114</v>
      </c>
      <c r="K1057">
        <v>0</v>
      </c>
      <c r="L1057">
        <v>14798</v>
      </c>
      <c r="M1057">
        <v>10744.82</v>
      </c>
      <c r="N1057">
        <v>4053.18</v>
      </c>
      <c r="O1057" t="s">
        <v>78</v>
      </c>
      <c r="P1057" t="s">
        <v>81</v>
      </c>
    </row>
    <row r="1058" spans="1:16" x14ac:dyDescent="0.25">
      <c r="A1058">
        <v>1057</v>
      </c>
      <c r="B1058" s="2">
        <v>45966</v>
      </c>
      <c r="C1058" t="s">
        <v>20</v>
      </c>
      <c r="D1058" t="s">
        <v>26</v>
      </c>
      <c r="E1058" t="s">
        <v>29</v>
      </c>
      <c r="F1058" t="s">
        <v>57</v>
      </c>
      <c r="G1058" t="s">
        <v>70</v>
      </c>
      <c r="H1058" t="s">
        <v>75</v>
      </c>
      <c r="I1058">
        <v>6</v>
      </c>
      <c r="J1058">
        <v>8238</v>
      </c>
      <c r="K1058">
        <v>0.1</v>
      </c>
      <c r="L1058">
        <v>44485.2</v>
      </c>
      <c r="M1058">
        <v>30897.22</v>
      </c>
      <c r="N1058">
        <v>13587.98</v>
      </c>
      <c r="O1058" t="s">
        <v>80</v>
      </c>
      <c r="P1058" t="s">
        <v>84</v>
      </c>
    </row>
    <row r="1059" spans="1:16" x14ac:dyDescent="0.25">
      <c r="A1059">
        <v>1058</v>
      </c>
      <c r="B1059" s="2">
        <v>45757</v>
      </c>
      <c r="C1059" t="s">
        <v>22</v>
      </c>
      <c r="D1059" t="s">
        <v>24</v>
      </c>
      <c r="E1059" t="s">
        <v>32</v>
      </c>
      <c r="F1059" t="s">
        <v>62</v>
      </c>
      <c r="G1059" t="s">
        <v>72</v>
      </c>
      <c r="H1059" t="s">
        <v>75</v>
      </c>
      <c r="I1059">
        <v>5</v>
      </c>
      <c r="J1059">
        <v>2909</v>
      </c>
      <c r="K1059">
        <v>0</v>
      </c>
      <c r="L1059">
        <v>14545</v>
      </c>
      <c r="M1059">
        <v>12059.41</v>
      </c>
      <c r="N1059">
        <v>2485.59</v>
      </c>
      <c r="O1059" t="s">
        <v>78</v>
      </c>
      <c r="P1059" t="s">
        <v>84</v>
      </c>
    </row>
    <row r="1060" spans="1:16" x14ac:dyDescent="0.25">
      <c r="A1060">
        <v>1059</v>
      </c>
      <c r="B1060" s="2">
        <v>45742</v>
      </c>
      <c r="C1060" t="s">
        <v>16</v>
      </c>
      <c r="D1060" t="s">
        <v>24</v>
      </c>
      <c r="E1060" t="s">
        <v>28</v>
      </c>
      <c r="F1060" t="s">
        <v>61</v>
      </c>
      <c r="G1060" t="s">
        <v>70</v>
      </c>
      <c r="H1060" t="s">
        <v>75</v>
      </c>
      <c r="I1060">
        <v>1</v>
      </c>
      <c r="J1060">
        <v>1321</v>
      </c>
      <c r="K1060">
        <v>0.15</v>
      </c>
      <c r="L1060">
        <v>1122.8499999999999</v>
      </c>
      <c r="M1060">
        <v>688.14</v>
      </c>
      <c r="N1060">
        <v>434.71</v>
      </c>
      <c r="O1060" t="s">
        <v>77</v>
      </c>
      <c r="P1060" t="s">
        <v>86</v>
      </c>
    </row>
    <row r="1061" spans="1:16" x14ac:dyDescent="0.25">
      <c r="A1061">
        <v>1060</v>
      </c>
      <c r="B1061" s="2">
        <v>45885</v>
      </c>
      <c r="C1061" t="s">
        <v>20</v>
      </c>
      <c r="D1061" t="s">
        <v>26</v>
      </c>
      <c r="E1061" t="s">
        <v>31</v>
      </c>
      <c r="F1061" t="s">
        <v>47</v>
      </c>
      <c r="G1061" t="s">
        <v>71</v>
      </c>
      <c r="H1061" t="s">
        <v>75</v>
      </c>
      <c r="I1061">
        <v>2</v>
      </c>
      <c r="J1061">
        <v>1458</v>
      </c>
      <c r="K1061">
        <v>0.05</v>
      </c>
      <c r="L1061">
        <v>2770.2</v>
      </c>
      <c r="M1061">
        <v>1609.83</v>
      </c>
      <c r="N1061">
        <v>1160.3699999999999</v>
      </c>
      <c r="O1061" t="s">
        <v>76</v>
      </c>
      <c r="P1061" t="s">
        <v>81</v>
      </c>
    </row>
    <row r="1062" spans="1:16" x14ac:dyDescent="0.25">
      <c r="A1062">
        <v>1061</v>
      </c>
      <c r="B1062" s="2">
        <v>45925</v>
      </c>
      <c r="C1062" t="s">
        <v>23</v>
      </c>
      <c r="D1062" t="s">
        <v>27</v>
      </c>
      <c r="E1062" t="s">
        <v>33</v>
      </c>
      <c r="F1062" t="s">
        <v>52</v>
      </c>
      <c r="G1062" t="s">
        <v>70</v>
      </c>
      <c r="H1062" t="s">
        <v>74</v>
      </c>
      <c r="I1062">
        <v>3</v>
      </c>
      <c r="J1062">
        <v>24627</v>
      </c>
      <c r="K1062">
        <v>0.05</v>
      </c>
      <c r="L1062">
        <v>70186.95</v>
      </c>
      <c r="M1062">
        <v>56130.18</v>
      </c>
      <c r="N1062">
        <v>14056.77</v>
      </c>
      <c r="O1062" t="s">
        <v>76</v>
      </c>
      <c r="P1062" t="s">
        <v>86</v>
      </c>
    </row>
    <row r="1063" spans="1:16" x14ac:dyDescent="0.25">
      <c r="A1063">
        <v>1062</v>
      </c>
      <c r="B1063" s="2">
        <v>45764</v>
      </c>
      <c r="C1063" t="s">
        <v>16</v>
      </c>
      <c r="D1063" t="s">
        <v>24</v>
      </c>
      <c r="E1063" t="s">
        <v>28</v>
      </c>
      <c r="F1063" t="s">
        <v>58</v>
      </c>
      <c r="G1063" t="s">
        <v>70</v>
      </c>
      <c r="H1063" t="s">
        <v>74</v>
      </c>
      <c r="I1063">
        <v>8</v>
      </c>
      <c r="J1063">
        <v>2328</v>
      </c>
      <c r="K1063">
        <v>0</v>
      </c>
      <c r="L1063">
        <v>18624</v>
      </c>
      <c r="M1063">
        <v>14305.01</v>
      </c>
      <c r="N1063">
        <v>4318.99</v>
      </c>
      <c r="O1063" t="s">
        <v>78</v>
      </c>
      <c r="P1063" t="s">
        <v>86</v>
      </c>
    </row>
    <row r="1064" spans="1:16" x14ac:dyDescent="0.25">
      <c r="A1064">
        <v>1063</v>
      </c>
      <c r="B1064" s="2">
        <v>45833</v>
      </c>
      <c r="C1064" t="s">
        <v>17</v>
      </c>
      <c r="D1064" t="s">
        <v>25</v>
      </c>
      <c r="E1064" t="s">
        <v>33</v>
      </c>
      <c r="F1064" t="s">
        <v>60</v>
      </c>
      <c r="G1064" t="s">
        <v>70</v>
      </c>
      <c r="H1064" t="s">
        <v>74</v>
      </c>
      <c r="I1064">
        <v>1</v>
      </c>
      <c r="J1064">
        <v>45510</v>
      </c>
      <c r="K1064">
        <v>0.1</v>
      </c>
      <c r="L1064">
        <v>40959</v>
      </c>
      <c r="M1064">
        <v>29340.76</v>
      </c>
      <c r="N1064">
        <v>11618.24</v>
      </c>
      <c r="O1064" t="s">
        <v>80</v>
      </c>
      <c r="P1064" t="s">
        <v>86</v>
      </c>
    </row>
    <row r="1065" spans="1:16" x14ac:dyDescent="0.25">
      <c r="A1065">
        <v>1064</v>
      </c>
      <c r="B1065" s="2">
        <v>45952</v>
      </c>
      <c r="C1065" t="s">
        <v>20</v>
      </c>
      <c r="D1065" t="s">
        <v>26</v>
      </c>
      <c r="E1065" t="s">
        <v>31</v>
      </c>
      <c r="F1065" t="s">
        <v>67</v>
      </c>
      <c r="G1065" t="s">
        <v>70</v>
      </c>
      <c r="H1065" t="s">
        <v>73</v>
      </c>
      <c r="I1065">
        <v>1</v>
      </c>
      <c r="J1065">
        <v>1769</v>
      </c>
      <c r="K1065">
        <v>0.05</v>
      </c>
      <c r="L1065">
        <v>1680.55</v>
      </c>
      <c r="M1065">
        <v>991.99</v>
      </c>
      <c r="N1065">
        <v>688.56</v>
      </c>
      <c r="O1065" t="s">
        <v>80</v>
      </c>
      <c r="P1065" t="s">
        <v>83</v>
      </c>
    </row>
    <row r="1066" spans="1:16" x14ac:dyDescent="0.25">
      <c r="A1066">
        <v>1065</v>
      </c>
      <c r="B1066" s="2">
        <v>45686</v>
      </c>
      <c r="C1066" t="s">
        <v>19</v>
      </c>
      <c r="D1066" t="s">
        <v>26</v>
      </c>
      <c r="E1066" t="s">
        <v>34</v>
      </c>
      <c r="F1066" t="s">
        <v>65</v>
      </c>
      <c r="G1066" t="s">
        <v>72</v>
      </c>
      <c r="H1066" t="s">
        <v>73</v>
      </c>
      <c r="I1066">
        <v>8</v>
      </c>
      <c r="J1066">
        <v>299</v>
      </c>
      <c r="K1066">
        <v>0.1</v>
      </c>
      <c r="L1066">
        <v>2152.8000000000002</v>
      </c>
      <c r="M1066">
        <v>1661.41</v>
      </c>
      <c r="N1066">
        <v>491.39</v>
      </c>
      <c r="O1066" t="s">
        <v>76</v>
      </c>
      <c r="P1066" t="s">
        <v>85</v>
      </c>
    </row>
    <row r="1067" spans="1:16" x14ac:dyDescent="0.25">
      <c r="A1067">
        <v>1066</v>
      </c>
      <c r="B1067" s="2">
        <v>45718</v>
      </c>
      <c r="C1067" t="s">
        <v>20</v>
      </c>
      <c r="D1067" t="s">
        <v>26</v>
      </c>
      <c r="E1067" t="s">
        <v>34</v>
      </c>
      <c r="F1067" t="s">
        <v>65</v>
      </c>
      <c r="G1067" t="s">
        <v>70</v>
      </c>
      <c r="H1067" t="s">
        <v>75</v>
      </c>
      <c r="I1067">
        <v>6</v>
      </c>
      <c r="J1067">
        <v>572</v>
      </c>
      <c r="K1067">
        <v>0.1</v>
      </c>
      <c r="L1067">
        <v>3088.8</v>
      </c>
      <c r="M1067">
        <v>1742.57</v>
      </c>
      <c r="N1067">
        <v>1346.23</v>
      </c>
      <c r="O1067" t="s">
        <v>77</v>
      </c>
      <c r="P1067" t="s">
        <v>81</v>
      </c>
    </row>
    <row r="1068" spans="1:16" x14ac:dyDescent="0.25">
      <c r="A1068">
        <v>1067</v>
      </c>
      <c r="B1068" s="2">
        <v>45810</v>
      </c>
      <c r="C1068" t="s">
        <v>16</v>
      </c>
      <c r="D1068" t="s">
        <v>24</v>
      </c>
      <c r="E1068" t="s">
        <v>33</v>
      </c>
      <c r="F1068" t="s">
        <v>41</v>
      </c>
      <c r="G1068" t="s">
        <v>71</v>
      </c>
      <c r="H1068" t="s">
        <v>74</v>
      </c>
      <c r="I1068">
        <v>4</v>
      </c>
      <c r="J1068">
        <v>15656</v>
      </c>
      <c r="K1068">
        <v>0</v>
      </c>
      <c r="L1068">
        <v>62624</v>
      </c>
      <c r="M1068">
        <v>37415.839999999997</v>
      </c>
      <c r="N1068">
        <v>25208.16</v>
      </c>
      <c r="O1068" t="s">
        <v>79</v>
      </c>
      <c r="P1068" t="s">
        <v>87</v>
      </c>
    </row>
    <row r="1069" spans="1:16" x14ac:dyDescent="0.25">
      <c r="A1069">
        <v>1068</v>
      </c>
      <c r="B1069" s="2">
        <v>45684</v>
      </c>
      <c r="C1069" t="s">
        <v>18</v>
      </c>
      <c r="D1069" t="s">
        <v>26</v>
      </c>
      <c r="E1069" t="s">
        <v>28</v>
      </c>
      <c r="F1069" t="s">
        <v>54</v>
      </c>
      <c r="G1069" t="s">
        <v>71</v>
      </c>
      <c r="H1069" t="s">
        <v>74</v>
      </c>
      <c r="I1069">
        <v>5</v>
      </c>
      <c r="J1069">
        <v>2454</v>
      </c>
      <c r="K1069">
        <v>0.15</v>
      </c>
      <c r="L1069">
        <v>10429.5</v>
      </c>
      <c r="M1069">
        <v>9153.93</v>
      </c>
      <c r="N1069">
        <v>1275.57</v>
      </c>
      <c r="O1069" t="s">
        <v>76</v>
      </c>
      <c r="P1069" t="s">
        <v>85</v>
      </c>
    </row>
    <row r="1070" spans="1:16" x14ac:dyDescent="0.25">
      <c r="A1070">
        <v>1069</v>
      </c>
      <c r="B1070" s="2">
        <v>46014</v>
      </c>
      <c r="C1070" t="s">
        <v>21</v>
      </c>
      <c r="D1070" t="s">
        <v>24</v>
      </c>
      <c r="E1070" t="s">
        <v>29</v>
      </c>
      <c r="F1070" t="s">
        <v>57</v>
      </c>
      <c r="G1070" t="s">
        <v>70</v>
      </c>
      <c r="H1070" t="s">
        <v>74</v>
      </c>
      <c r="I1070">
        <v>3</v>
      </c>
      <c r="J1070">
        <v>9362</v>
      </c>
      <c r="K1070">
        <v>0.15</v>
      </c>
      <c r="L1070">
        <v>23873.1</v>
      </c>
      <c r="M1070">
        <v>20798.61</v>
      </c>
      <c r="N1070">
        <v>3074.49</v>
      </c>
      <c r="O1070" t="s">
        <v>79</v>
      </c>
      <c r="P1070" t="s">
        <v>81</v>
      </c>
    </row>
    <row r="1071" spans="1:16" x14ac:dyDescent="0.25">
      <c r="A1071">
        <v>1070</v>
      </c>
      <c r="B1071" s="2">
        <v>45881</v>
      </c>
      <c r="C1071" t="s">
        <v>20</v>
      </c>
      <c r="D1071" t="s">
        <v>26</v>
      </c>
      <c r="E1071" t="s">
        <v>31</v>
      </c>
      <c r="F1071" t="s">
        <v>69</v>
      </c>
      <c r="G1071" t="s">
        <v>72</v>
      </c>
      <c r="H1071" t="s">
        <v>75</v>
      </c>
      <c r="I1071">
        <v>5</v>
      </c>
      <c r="J1071">
        <v>1233</v>
      </c>
      <c r="K1071">
        <v>0.15</v>
      </c>
      <c r="L1071">
        <v>5240.25</v>
      </c>
      <c r="M1071">
        <v>4172.6400000000003</v>
      </c>
      <c r="N1071">
        <v>1067.6099999999999</v>
      </c>
      <c r="O1071" t="s">
        <v>77</v>
      </c>
      <c r="P1071" t="s">
        <v>83</v>
      </c>
    </row>
    <row r="1072" spans="1:16" x14ac:dyDescent="0.25">
      <c r="A1072">
        <v>1071</v>
      </c>
      <c r="B1072" s="2">
        <v>45982</v>
      </c>
      <c r="C1072" t="s">
        <v>23</v>
      </c>
      <c r="D1072" t="s">
        <v>27</v>
      </c>
      <c r="E1072" t="s">
        <v>32</v>
      </c>
      <c r="F1072" t="s">
        <v>49</v>
      </c>
      <c r="G1072" t="s">
        <v>70</v>
      </c>
      <c r="H1072" t="s">
        <v>75</v>
      </c>
      <c r="I1072">
        <v>6</v>
      </c>
      <c r="J1072">
        <v>14143</v>
      </c>
      <c r="K1072">
        <v>0.1</v>
      </c>
      <c r="L1072">
        <v>76372.2</v>
      </c>
      <c r="M1072">
        <v>64855.69</v>
      </c>
      <c r="N1072">
        <v>11516.51</v>
      </c>
      <c r="O1072" t="s">
        <v>77</v>
      </c>
      <c r="P1072" t="s">
        <v>83</v>
      </c>
    </row>
    <row r="1073" spans="1:16" x14ac:dyDescent="0.25">
      <c r="A1073">
        <v>1072</v>
      </c>
      <c r="B1073" s="2">
        <v>45796</v>
      </c>
      <c r="C1073" t="s">
        <v>23</v>
      </c>
      <c r="D1073" t="s">
        <v>27</v>
      </c>
      <c r="E1073" t="s">
        <v>30</v>
      </c>
      <c r="F1073" t="s">
        <v>37</v>
      </c>
      <c r="G1073" t="s">
        <v>72</v>
      </c>
      <c r="H1073" t="s">
        <v>74</v>
      </c>
      <c r="I1073">
        <v>6</v>
      </c>
      <c r="J1073">
        <v>49156</v>
      </c>
      <c r="K1073">
        <v>0.15</v>
      </c>
      <c r="L1073">
        <v>250695.6</v>
      </c>
      <c r="M1073">
        <v>138920.69</v>
      </c>
      <c r="N1073">
        <v>111774.91</v>
      </c>
      <c r="O1073" t="s">
        <v>80</v>
      </c>
      <c r="P1073" t="s">
        <v>84</v>
      </c>
    </row>
    <row r="1074" spans="1:16" x14ac:dyDescent="0.25">
      <c r="A1074">
        <v>1073</v>
      </c>
      <c r="B1074" s="2">
        <v>45701</v>
      </c>
      <c r="C1074" t="s">
        <v>20</v>
      </c>
      <c r="D1074" t="s">
        <v>26</v>
      </c>
      <c r="E1074" t="s">
        <v>34</v>
      </c>
      <c r="F1074" t="s">
        <v>43</v>
      </c>
      <c r="G1074" t="s">
        <v>71</v>
      </c>
      <c r="H1074" t="s">
        <v>75</v>
      </c>
      <c r="I1074">
        <v>6</v>
      </c>
      <c r="J1074">
        <v>5513</v>
      </c>
      <c r="K1074">
        <v>0</v>
      </c>
      <c r="L1074">
        <v>33078</v>
      </c>
      <c r="M1074">
        <v>23519.32</v>
      </c>
      <c r="N1074">
        <v>9558.68</v>
      </c>
      <c r="O1074" t="s">
        <v>76</v>
      </c>
      <c r="P1074" t="s">
        <v>83</v>
      </c>
    </row>
    <row r="1075" spans="1:16" x14ac:dyDescent="0.25">
      <c r="A1075">
        <v>1074</v>
      </c>
      <c r="B1075" s="2">
        <v>45794</v>
      </c>
      <c r="C1075" t="s">
        <v>19</v>
      </c>
      <c r="D1075" t="s">
        <v>26</v>
      </c>
      <c r="E1075" t="s">
        <v>34</v>
      </c>
      <c r="F1075" t="s">
        <v>51</v>
      </c>
      <c r="G1075" t="s">
        <v>70</v>
      </c>
      <c r="H1075" t="s">
        <v>74</v>
      </c>
      <c r="I1075">
        <v>5</v>
      </c>
      <c r="J1075">
        <v>869</v>
      </c>
      <c r="K1075">
        <v>0.1</v>
      </c>
      <c r="L1075">
        <v>3910.5</v>
      </c>
      <c r="M1075">
        <v>2375.1799999999998</v>
      </c>
      <c r="N1075">
        <v>1535.32</v>
      </c>
      <c r="O1075" t="s">
        <v>78</v>
      </c>
      <c r="P1075" t="s">
        <v>88</v>
      </c>
    </row>
    <row r="1076" spans="1:16" x14ac:dyDescent="0.25">
      <c r="A1076">
        <v>1075</v>
      </c>
      <c r="B1076" s="2">
        <v>45922</v>
      </c>
      <c r="C1076" t="s">
        <v>17</v>
      </c>
      <c r="D1076" t="s">
        <v>25</v>
      </c>
      <c r="E1076" t="s">
        <v>32</v>
      </c>
      <c r="F1076" t="s">
        <v>39</v>
      </c>
      <c r="G1076" t="s">
        <v>72</v>
      </c>
      <c r="H1076" t="s">
        <v>74</v>
      </c>
      <c r="I1076">
        <v>2</v>
      </c>
      <c r="J1076">
        <v>16421</v>
      </c>
      <c r="K1076">
        <v>0.15</v>
      </c>
      <c r="L1076">
        <v>27915.7</v>
      </c>
      <c r="M1076">
        <v>22342.44</v>
      </c>
      <c r="N1076">
        <v>5573.26</v>
      </c>
      <c r="O1076" t="s">
        <v>78</v>
      </c>
      <c r="P1076" t="s">
        <v>81</v>
      </c>
    </row>
    <row r="1077" spans="1:16" x14ac:dyDescent="0.25">
      <c r="A1077">
        <v>1076</v>
      </c>
      <c r="B1077" s="2">
        <v>45728</v>
      </c>
      <c r="C1077" t="s">
        <v>19</v>
      </c>
      <c r="D1077" t="s">
        <v>26</v>
      </c>
      <c r="E1077" t="s">
        <v>30</v>
      </c>
      <c r="F1077" t="s">
        <v>56</v>
      </c>
      <c r="G1077" t="s">
        <v>70</v>
      </c>
      <c r="H1077" t="s">
        <v>73</v>
      </c>
      <c r="I1077">
        <v>6</v>
      </c>
      <c r="J1077">
        <v>22679</v>
      </c>
      <c r="K1077">
        <v>0</v>
      </c>
      <c r="L1077">
        <v>136074</v>
      </c>
      <c r="M1077">
        <v>82218.16</v>
      </c>
      <c r="N1077">
        <v>53855.839999999997</v>
      </c>
      <c r="O1077" t="s">
        <v>78</v>
      </c>
      <c r="P1077" t="s">
        <v>88</v>
      </c>
    </row>
    <row r="1078" spans="1:16" x14ac:dyDescent="0.25">
      <c r="A1078">
        <v>1077</v>
      </c>
      <c r="B1078" s="2">
        <v>45796</v>
      </c>
      <c r="C1078" t="s">
        <v>22</v>
      </c>
      <c r="D1078" t="s">
        <v>24</v>
      </c>
      <c r="E1078" t="s">
        <v>34</v>
      </c>
      <c r="F1078" t="s">
        <v>55</v>
      </c>
      <c r="G1078" t="s">
        <v>72</v>
      </c>
      <c r="H1078" t="s">
        <v>75</v>
      </c>
      <c r="I1078">
        <v>1</v>
      </c>
      <c r="J1078">
        <v>2034</v>
      </c>
      <c r="K1078">
        <v>0.15</v>
      </c>
      <c r="L1078">
        <v>1728.9</v>
      </c>
      <c r="M1078">
        <v>1289.05</v>
      </c>
      <c r="N1078">
        <v>439.85</v>
      </c>
      <c r="O1078" t="s">
        <v>80</v>
      </c>
      <c r="P1078" t="s">
        <v>84</v>
      </c>
    </row>
    <row r="1079" spans="1:16" x14ac:dyDescent="0.25">
      <c r="A1079">
        <v>1078</v>
      </c>
      <c r="B1079" s="2">
        <v>45756</v>
      </c>
      <c r="C1079" t="s">
        <v>22</v>
      </c>
      <c r="D1079" t="s">
        <v>24</v>
      </c>
      <c r="E1079" t="s">
        <v>31</v>
      </c>
      <c r="F1079" t="s">
        <v>47</v>
      </c>
      <c r="G1079" t="s">
        <v>70</v>
      </c>
      <c r="H1079" t="s">
        <v>74</v>
      </c>
      <c r="I1079">
        <v>3</v>
      </c>
      <c r="J1079">
        <v>1531</v>
      </c>
      <c r="K1079">
        <v>0.05</v>
      </c>
      <c r="L1079">
        <v>4363.3500000000004</v>
      </c>
      <c r="M1079">
        <v>2528.02</v>
      </c>
      <c r="N1079">
        <v>1835.33</v>
      </c>
      <c r="O1079" t="s">
        <v>77</v>
      </c>
      <c r="P1079" t="s">
        <v>85</v>
      </c>
    </row>
    <row r="1080" spans="1:16" x14ac:dyDescent="0.25">
      <c r="A1080">
        <v>1079</v>
      </c>
      <c r="B1080" s="2">
        <v>45721</v>
      </c>
      <c r="C1080" t="s">
        <v>21</v>
      </c>
      <c r="D1080" t="s">
        <v>24</v>
      </c>
      <c r="E1080" t="s">
        <v>28</v>
      </c>
      <c r="F1080" t="s">
        <v>58</v>
      </c>
      <c r="G1080" t="s">
        <v>70</v>
      </c>
      <c r="H1080" t="s">
        <v>74</v>
      </c>
      <c r="I1080">
        <v>6</v>
      </c>
      <c r="J1080">
        <v>1740</v>
      </c>
      <c r="K1080">
        <v>0.15</v>
      </c>
      <c r="L1080">
        <v>8874</v>
      </c>
      <c r="M1080">
        <v>5895.1</v>
      </c>
      <c r="N1080">
        <v>2978.9</v>
      </c>
      <c r="O1080" t="s">
        <v>80</v>
      </c>
      <c r="P1080" t="s">
        <v>84</v>
      </c>
    </row>
    <row r="1081" spans="1:16" x14ac:dyDescent="0.25">
      <c r="A1081">
        <v>1080</v>
      </c>
      <c r="B1081" s="2">
        <v>45974</v>
      </c>
      <c r="C1081" t="s">
        <v>23</v>
      </c>
      <c r="D1081" t="s">
        <v>27</v>
      </c>
      <c r="E1081" t="s">
        <v>29</v>
      </c>
      <c r="F1081" t="s">
        <v>57</v>
      </c>
      <c r="G1081" t="s">
        <v>72</v>
      </c>
      <c r="H1081" t="s">
        <v>74</v>
      </c>
      <c r="I1081">
        <v>1</v>
      </c>
      <c r="J1081">
        <v>7403</v>
      </c>
      <c r="K1081">
        <v>0</v>
      </c>
      <c r="L1081">
        <v>7403</v>
      </c>
      <c r="M1081">
        <v>5767.13</v>
      </c>
      <c r="N1081">
        <v>1635.87</v>
      </c>
      <c r="O1081" t="s">
        <v>78</v>
      </c>
      <c r="P1081" t="s">
        <v>87</v>
      </c>
    </row>
    <row r="1082" spans="1:16" x14ac:dyDescent="0.25">
      <c r="A1082">
        <v>1081</v>
      </c>
      <c r="B1082" s="2">
        <v>45764</v>
      </c>
      <c r="C1082" t="s">
        <v>19</v>
      </c>
      <c r="D1082" t="s">
        <v>26</v>
      </c>
      <c r="E1082" t="s">
        <v>30</v>
      </c>
      <c r="F1082" t="s">
        <v>44</v>
      </c>
      <c r="G1082" t="s">
        <v>71</v>
      </c>
      <c r="H1082" t="s">
        <v>73</v>
      </c>
      <c r="I1082">
        <v>2</v>
      </c>
      <c r="J1082">
        <v>28826</v>
      </c>
      <c r="K1082">
        <v>0.1</v>
      </c>
      <c r="L1082">
        <v>51886.8</v>
      </c>
      <c r="M1082">
        <v>36971.19</v>
      </c>
      <c r="N1082">
        <v>14915.61</v>
      </c>
      <c r="O1082" t="s">
        <v>76</v>
      </c>
      <c r="P1082" t="s">
        <v>86</v>
      </c>
    </row>
    <row r="1083" spans="1:16" x14ac:dyDescent="0.25">
      <c r="A1083">
        <v>1082</v>
      </c>
      <c r="B1083" s="2">
        <v>45929</v>
      </c>
      <c r="C1083" t="s">
        <v>21</v>
      </c>
      <c r="D1083" t="s">
        <v>24</v>
      </c>
      <c r="E1083" t="s">
        <v>29</v>
      </c>
      <c r="F1083" t="s">
        <v>53</v>
      </c>
      <c r="G1083" t="s">
        <v>71</v>
      </c>
      <c r="H1083" t="s">
        <v>75</v>
      </c>
      <c r="I1083">
        <v>8</v>
      </c>
      <c r="J1083">
        <v>3207</v>
      </c>
      <c r="K1083">
        <v>0.15</v>
      </c>
      <c r="L1083">
        <v>21807.599999999999</v>
      </c>
      <c r="M1083">
        <v>17672.259999999998</v>
      </c>
      <c r="N1083">
        <v>4135.34</v>
      </c>
      <c r="O1083" t="s">
        <v>78</v>
      </c>
      <c r="P1083" t="s">
        <v>81</v>
      </c>
    </row>
    <row r="1084" spans="1:16" x14ac:dyDescent="0.25">
      <c r="A1084">
        <v>1083</v>
      </c>
      <c r="B1084" s="2">
        <v>45993</v>
      </c>
      <c r="C1084" t="s">
        <v>18</v>
      </c>
      <c r="D1084" t="s">
        <v>26</v>
      </c>
      <c r="E1084" t="s">
        <v>33</v>
      </c>
      <c r="F1084" t="s">
        <v>52</v>
      </c>
      <c r="G1084" t="s">
        <v>72</v>
      </c>
      <c r="H1084" t="s">
        <v>74</v>
      </c>
      <c r="I1084">
        <v>2</v>
      </c>
      <c r="J1084">
        <v>24768</v>
      </c>
      <c r="K1084">
        <v>0</v>
      </c>
      <c r="L1084">
        <v>49536</v>
      </c>
      <c r="M1084">
        <v>30278.37</v>
      </c>
      <c r="N1084">
        <v>19257.63</v>
      </c>
      <c r="O1084" t="s">
        <v>78</v>
      </c>
      <c r="P1084" t="s">
        <v>84</v>
      </c>
    </row>
    <row r="1085" spans="1:16" x14ac:dyDescent="0.25">
      <c r="A1085">
        <v>1084</v>
      </c>
      <c r="B1085" s="2">
        <v>45907</v>
      </c>
      <c r="C1085" t="s">
        <v>22</v>
      </c>
      <c r="D1085" t="s">
        <v>24</v>
      </c>
      <c r="E1085" t="s">
        <v>33</v>
      </c>
      <c r="F1085" t="s">
        <v>52</v>
      </c>
      <c r="G1085" t="s">
        <v>70</v>
      </c>
      <c r="H1085" t="s">
        <v>75</v>
      </c>
      <c r="I1085">
        <v>6</v>
      </c>
      <c r="J1085">
        <v>13934</v>
      </c>
      <c r="K1085">
        <v>0</v>
      </c>
      <c r="L1085">
        <v>83604</v>
      </c>
      <c r="M1085">
        <v>56801.07</v>
      </c>
      <c r="N1085">
        <v>26802.93</v>
      </c>
      <c r="O1085" t="s">
        <v>76</v>
      </c>
      <c r="P1085" t="s">
        <v>86</v>
      </c>
    </row>
    <row r="1086" spans="1:16" x14ac:dyDescent="0.25">
      <c r="A1086">
        <v>1085</v>
      </c>
      <c r="B1086" s="2">
        <v>45735</v>
      </c>
      <c r="C1086" t="s">
        <v>20</v>
      </c>
      <c r="D1086" t="s">
        <v>26</v>
      </c>
      <c r="E1086" t="s">
        <v>28</v>
      </c>
      <c r="F1086" t="s">
        <v>58</v>
      </c>
      <c r="G1086" t="s">
        <v>72</v>
      </c>
      <c r="H1086" t="s">
        <v>74</v>
      </c>
      <c r="I1086">
        <v>6</v>
      </c>
      <c r="J1086">
        <v>1709</v>
      </c>
      <c r="K1086">
        <v>0.15</v>
      </c>
      <c r="L1086">
        <v>8715.9</v>
      </c>
      <c r="M1086">
        <v>6249.14</v>
      </c>
      <c r="N1086">
        <v>2466.7600000000002</v>
      </c>
      <c r="O1086" t="s">
        <v>77</v>
      </c>
      <c r="P1086" t="s">
        <v>81</v>
      </c>
    </row>
    <row r="1087" spans="1:16" x14ac:dyDescent="0.25">
      <c r="A1087">
        <v>1086</v>
      </c>
      <c r="B1087" s="2">
        <v>45957</v>
      </c>
      <c r="C1087" t="s">
        <v>20</v>
      </c>
      <c r="D1087" t="s">
        <v>26</v>
      </c>
      <c r="E1087" t="s">
        <v>29</v>
      </c>
      <c r="F1087" t="s">
        <v>42</v>
      </c>
      <c r="G1087" t="s">
        <v>71</v>
      </c>
      <c r="H1087" t="s">
        <v>75</v>
      </c>
      <c r="I1087">
        <v>5</v>
      </c>
      <c r="J1087">
        <v>4832</v>
      </c>
      <c r="K1087">
        <v>0.2</v>
      </c>
      <c r="L1087">
        <v>19328</v>
      </c>
      <c r="M1087">
        <v>15688.74</v>
      </c>
      <c r="N1087">
        <v>3639.26</v>
      </c>
      <c r="O1087" t="s">
        <v>76</v>
      </c>
      <c r="P1087" t="s">
        <v>86</v>
      </c>
    </row>
    <row r="1088" spans="1:16" x14ac:dyDescent="0.25">
      <c r="A1088">
        <v>1087</v>
      </c>
      <c r="B1088" s="2">
        <v>45907</v>
      </c>
      <c r="C1088" t="s">
        <v>23</v>
      </c>
      <c r="D1088" t="s">
        <v>27</v>
      </c>
      <c r="E1088" t="s">
        <v>30</v>
      </c>
      <c r="F1088" t="s">
        <v>44</v>
      </c>
      <c r="G1088" t="s">
        <v>71</v>
      </c>
      <c r="H1088" t="s">
        <v>73</v>
      </c>
      <c r="I1088">
        <v>8</v>
      </c>
      <c r="J1088">
        <v>10488</v>
      </c>
      <c r="K1088">
        <v>0</v>
      </c>
      <c r="L1088">
        <v>83904</v>
      </c>
      <c r="M1088">
        <v>72843.62</v>
      </c>
      <c r="N1088">
        <v>11060.38</v>
      </c>
      <c r="O1088" t="s">
        <v>79</v>
      </c>
      <c r="P1088" t="s">
        <v>85</v>
      </c>
    </row>
    <row r="1089" spans="1:16" x14ac:dyDescent="0.25">
      <c r="A1089">
        <v>1088</v>
      </c>
      <c r="B1089" s="2">
        <v>45792</v>
      </c>
      <c r="C1089" t="s">
        <v>20</v>
      </c>
      <c r="D1089" t="s">
        <v>26</v>
      </c>
      <c r="E1089" t="s">
        <v>28</v>
      </c>
      <c r="F1089" t="s">
        <v>58</v>
      </c>
      <c r="G1089" t="s">
        <v>71</v>
      </c>
      <c r="H1089" t="s">
        <v>73</v>
      </c>
      <c r="I1089">
        <v>6</v>
      </c>
      <c r="J1089">
        <v>211</v>
      </c>
      <c r="K1089">
        <v>0</v>
      </c>
      <c r="L1089">
        <v>1266</v>
      </c>
      <c r="M1089">
        <v>877.5</v>
      </c>
      <c r="N1089">
        <v>388.5</v>
      </c>
      <c r="O1089" t="s">
        <v>77</v>
      </c>
      <c r="P1089" t="s">
        <v>85</v>
      </c>
    </row>
    <row r="1090" spans="1:16" x14ac:dyDescent="0.25">
      <c r="A1090">
        <v>1089</v>
      </c>
      <c r="B1090" s="2">
        <v>45721</v>
      </c>
      <c r="C1090" t="s">
        <v>18</v>
      </c>
      <c r="D1090" t="s">
        <v>26</v>
      </c>
      <c r="E1090" t="s">
        <v>33</v>
      </c>
      <c r="F1090" t="s">
        <v>60</v>
      </c>
      <c r="G1090" t="s">
        <v>71</v>
      </c>
      <c r="H1090" t="s">
        <v>75</v>
      </c>
      <c r="I1090">
        <v>6</v>
      </c>
      <c r="J1090">
        <v>33647</v>
      </c>
      <c r="K1090">
        <v>0.1</v>
      </c>
      <c r="L1090">
        <v>181693.8</v>
      </c>
      <c r="M1090">
        <v>129769.88</v>
      </c>
      <c r="N1090">
        <v>51923.92</v>
      </c>
      <c r="O1090" t="s">
        <v>79</v>
      </c>
      <c r="P1090" t="s">
        <v>83</v>
      </c>
    </row>
    <row r="1091" spans="1:16" x14ac:dyDescent="0.25">
      <c r="A1091">
        <v>1090</v>
      </c>
      <c r="B1091" s="2">
        <v>45783</v>
      </c>
      <c r="C1091" t="s">
        <v>20</v>
      </c>
      <c r="D1091" t="s">
        <v>26</v>
      </c>
      <c r="E1091" t="s">
        <v>31</v>
      </c>
      <c r="F1091" t="s">
        <v>50</v>
      </c>
      <c r="G1091" t="s">
        <v>72</v>
      </c>
      <c r="H1091" t="s">
        <v>75</v>
      </c>
      <c r="I1091">
        <v>3</v>
      </c>
      <c r="J1091">
        <v>1730</v>
      </c>
      <c r="K1091">
        <v>0.15</v>
      </c>
      <c r="L1091">
        <v>4411.5</v>
      </c>
      <c r="M1091">
        <v>3690.63</v>
      </c>
      <c r="N1091">
        <v>720.87</v>
      </c>
      <c r="O1091" t="s">
        <v>80</v>
      </c>
      <c r="P1091" t="s">
        <v>87</v>
      </c>
    </row>
    <row r="1092" spans="1:16" x14ac:dyDescent="0.25">
      <c r="A1092">
        <v>1091</v>
      </c>
      <c r="B1092" s="2">
        <v>45874</v>
      </c>
      <c r="C1092" t="s">
        <v>16</v>
      </c>
      <c r="D1092" t="s">
        <v>24</v>
      </c>
      <c r="E1092" t="s">
        <v>31</v>
      </c>
      <c r="F1092" t="s">
        <v>47</v>
      </c>
      <c r="G1092" t="s">
        <v>71</v>
      </c>
      <c r="H1092" t="s">
        <v>73</v>
      </c>
      <c r="I1092">
        <v>7</v>
      </c>
      <c r="J1092">
        <v>176</v>
      </c>
      <c r="K1092">
        <v>0.1</v>
      </c>
      <c r="L1092">
        <v>1108.8</v>
      </c>
      <c r="M1092">
        <v>772.52</v>
      </c>
      <c r="N1092">
        <v>336.28</v>
      </c>
      <c r="O1092" t="s">
        <v>76</v>
      </c>
      <c r="P1092" t="s">
        <v>81</v>
      </c>
    </row>
    <row r="1093" spans="1:16" x14ac:dyDescent="0.25">
      <c r="A1093">
        <v>1092</v>
      </c>
      <c r="B1093" s="2">
        <v>45994</v>
      </c>
      <c r="C1093" t="s">
        <v>20</v>
      </c>
      <c r="D1093" t="s">
        <v>26</v>
      </c>
      <c r="E1093" t="s">
        <v>34</v>
      </c>
      <c r="F1093" t="s">
        <v>51</v>
      </c>
      <c r="G1093" t="s">
        <v>70</v>
      </c>
      <c r="H1093" t="s">
        <v>75</v>
      </c>
      <c r="I1093">
        <v>3</v>
      </c>
      <c r="J1093">
        <v>1452</v>
      </c>
      <c r="K1093">
        <v>0.15</v>
      </c>
      <c r="L1093">
        <v>3702.6</v>
      </c>
      <c r="M1093">
        <v>2390.69</v>
      </c>
      <c r="N1093">
        <v>1311.91</v>
      </c>
      <c r="O1093" t="s">
        <v>78</v>
      </c>
      <c r="P1093" t="s">
        <v>85</v>
      </c>
    </row>
    <row r="1094" spans="1:16" x14ac:dyDescent="0.25">
      <c r="A1094">
        <v>1093</v>
      </c>
      <c r="B1094" s="2">
        <v>45688</v>
      </c>
      <c r="C1094" t="s">
        <v>18</v>
      </c>
      <c r="D1094" t="s">
        <v>26</v>
      </c>
      <c r="E1094" t="s">
        <v>29</v>
      </c>
      <c r="F1094" t="s">
        <v>42</v>
      </c>
      <c r="G1094" t="s">
        <v>72</v>
      </c>
      <c r="H1094" t="s">
        <v>75</v>
      </c>
      <c r="I1094">
        <v>1</v>
      </c>
      <c r="J1094">
        <v>10044</v>
      </c>
      <c r="K1094">
        <v>0.2</v>
      </c>
      <c r="L1094">
        <v>8035.2</v>
      </c>
      <c r="M1094">
        <v>5094.97</v>
      </c>
      <c r="N1094">
        <v>2940.23</v>
      </c>
      <c r="O1094" t="s">
        <v>77</v>
      </c>
      <c r="P1094" t="s">
        <v>85</v>
      </c>
    </row>
    <row r="1095" spans="1:16" x14ac:dyDescent="0.25">
      <c r="A1095">
        <v>1094</v>
      </c>
      <c r="B1095" s="2">
        <v>45819</v>
      </c>
      <c r="C1095" t="s">
        <v>18</v>
      </c>
      <c r="D1095" t="s">
        <v>26</v>
      </c>
      <c r="E1095" t="s">
        <v>34</v>
      </c>
      <c r="F1095" t="s">
        <v>55</v>
      </c>
      <c r="G1095" t="s">
        <v>72</v>
      </c>
      <c r="H1095" t="s">
        <v>74</v>
      </c>
      <c r="I1095">
        <v>4</v>
      </c>
      <c r="J1095">
        <v>5593</v>
      </c>
      <c r="K1095">
        <v>0</v>
      </c>
      <c r="L1095">
        <v>22372</v>
      </c>
      <c r="M1095">
        <v>14578.07</v>
      </c>
      <c r="N1095">
        <v>7793.93</v>
      </c>
      <c r="O1095" t="s">
        <v>80</v>
      </c>
      <c r="P1095" t="s">
        <v>87</v>
      </c>
    </row>
    <row r="1096" spans="1:16" x14ac:dyDescent="0.25">
      <c r="A1096">
        <v>1095</v>
      </c>
      <c r="B1096" s="2">
        <v>45997</v>
      </c>
      <c r="C1096" t="s">
        <v>21</v>
      </c>
      <c r="D1096" t="s">
        <v>24</v>
      </c>
      <c r="E1096" t="s">
        <v>32</v>
      </c>
      <c r="F1096" t="s">
        <v>48</v>
      </c>
      <c r="G1096" t="s">
        <v>72</v>
      </c>
      <c r="H1096" t="s">
        <v>73</v>
      </c>
      <c r="I1096">
        <v>5</v>
      </c>
      <c r="J1096">
        <v>21856</v>
      </c>
      <c r="K1096">
        <v>0.05</v>
      </c>
      <c r="L1096">
        <v>103816</v>
      </c>
      <c r="M1096">
        <v>81135.09</v>
      </c>
      <c r="N1096">
        <v>22680.91</v>
      </c>
      <c r="O1096" t="s">
        <v>77</v>
      </c>
      <c r="P1096" t="s">
        <v>85</v>
      </c>
    </row>
    <row r="1097" spans="1:16" x14ac:dyDescent="0.25">
      <c r="A1097">
        <v>1096</v>
      </c>
      <c r="B1097" s="2">
        <v>45852</v>
      </c>
      <c r="C1097" t="s">
        <v>20</v>
      </c>
      <c r="D1097" t="s">
        <v>26</v>
      </c>
      <c r="E1097" t="s">
        <v>33</v>
      </c>
      <c r="F1097" t="s">
        <v>60</v>
      </c>
      <c r="G1097" t="s">
        <v>70</v>
      </c>
      <c r="H1097" t="s">
        <v>74</v>
      </c>
      <c r="I1097">
        <v>8</v>
      </c>
      <c r="J1097">
        <v>33529</v>
      </c>
      <c r="K1097">
        <v>0.1</v>
      </c>
      <c r="L1097">
        <v>241408.8</v>
      </c>
      <c r="M1097">
        <v>164593.03</v>
      </c>
      <c r="N1097">
        <v>76815.77</v>
      </c>
      <c r="O1097" t="s">
        <v>77</v>
      </c>
      <c r="P1097" t="s">
        <v>86</v>
      </c>
    </row>
    <row r="1098" spans="1:16" x14ac:dyDescent="0.25">
      <c r="A1098">
        <v>1097</v>
      </c>
      <c r="B1098" s="2">
        <v>45707</v>
      </c>
      <c r="C1098" t="s">
        <v>23</v>
      </c>
      <c r="D1098" t="s">
        <v>27</v>
      </c>
      <c r="E1098" t="s">
        <v>29</v>
      </c>
      <c r="F1098" t="s">
        <v>42</v>
      </c>
      <c r="G1098" t="s">
        <v>72</v>
      </c>
      <c r="H1098" t="s">
        <v>75</v>
      </c>
      <c r="I1098">
        <v>6</v>
      </c>
      <c r="J1098">
        <v>6821</v>
      </c>
      <c r="K1098">
        <v>0</v>
      </c>
      <c r="L1098">
        <v>40926</v>
      </c>
      <c r="M1098">
        <v>31831</v>
      </c>
      <c r="N1098">
        <v>9095</v>
      </c>
      <c r="O1098" t="s">
        <v>80</v>
      </c>
      <c r="P1098" t="s">
        <v>86</v>
      </c>
    </row>
    <row r="1099" spans="1:16" x14ac:dyDescent="0.25">
      <c r="A1099">
        <v>1098</v>
      </c>
      <c r="B1099" s="2">
        <v>45899</v>
      </c>
      <c r="C1099" t="s">
        <v>16</v>
      </c>
      <c r="D1099" t="s">
        <v>24</v>
      </c>
      <c r="E1099" t="s">
        <v>29</v>
      </c>
      <c r="F1099" t="s">
        <v>42</v>
      </c>
      <c r="G1099" t="s">
        <v>71</v>
      </c>
      <c r="H1099" t="s">
        <v>74</v>
      </c>
      <c r="I1099">
        <v>7</v>
      </c>
      <c r="J1099">
        <v>4313</v>
      </c>
      <c r="K1099">
        <v>0</v>
      </c>
      <c r="L1099">
        <v>30191</v>
      </c>
      <c r="M1099">
        <v>24763.11</v>
      </c>
      <c r="N1099">
        <v>5427.89</v>
      </c>
      <c r="O1099" t="s">
        <v>80</v>
      </c>
      <c r="P1099" t="s">
        <v>82</v>
      </c>
    </row>
    <row r="1100" spans="1:16" x14ac:dyDescent="0.25">
      <c r="A1100">
        <v>1099</v>
      </c>
      <c r="B1100" s="2">
        <v>45800</v>
      </c>
      <c r="C1100" t="s">
        <v>23</v>
      </c>
      <c r="D1100" t="s">
        <v>27</v>
      </c>
      <c r="E1100" t="s">
        <v>28</v>
      </c>
      <c r="F1100" t="s">
        <v>58</v>
      </c>
      <c r="G1100" t="s">
        <v>72</v>
      </c>
      <c r="H1100" t="s">
        <v>73</v>
      </c>
      <c r="I1100">
        <v>4</v>
      </c>
      <c r="J1100">
        <v>971</v>
      </c>
      <c r="K1100">
        <v>0.05</v>
      </c>
      <c r="L1100">
        <v>3689.8</v>
      </c>
      <c r="M1100">
        <v>3120.08</v>
      </c>
      <c r="N1100">
        <v>569.72</v>
      </c>
      <c r="O1100" t="s">
        <v>78</v>
      </c>
      <c r="P1100" t="s">
        <v>81</v>
      </c>
    </row>
    <row r="1101" spans="1:16" x14ac:dyDescent="0.25">
      <c r="A1101">
        <v>1100</v>
      </c>
      <c r="B1101" s="2">
        <v>45750</v>
      </c>
      <c r="C1101" t="s">
        <v>18</v>
      </c>
      <c r="D1101" t="s">
        <v>26</v>
      </c>
      <c r="E1101" t="s">
        <v>31</v>
      </c>
      <c r="F1101" t="s">
        <v>38</v>
      </c>
      <c r="G1101" t="s">
        <v>72</v>
      </c>
      <c r="H1101" t="s">
        <v>75</v>
      </c>
      <c r="I1101">
        <v>4</v>
      </c>
      <c r="J1101">
        <v>2315</v>
      </c>
      <c r="K1101">
        <v>0.1</v>
      </c>
      <c r="L1101">
        <v>8334</v>
      </c>
      <c r="M1101">
        <v>4899.18</v>
      </c>
      <c r="N1101">
        <v>3434.82</v>
      </c>
      <c r="O1101" t="s">
        <v>78</v>
      </c>
      <c r="P1101" t="s">
        <v>88</v>
      </c>
    </row>
    <row r="1102" spans="1:16" x14ac:dyDescent="0.25">
      <c r="A1102">
        <v>1101</v>
      </c>
      <c r="B1102" s="2">
        <v>45800</v>
      </c>
      <c r="C1102" t="s">
        <v>19</v>
      </c>
      <c r="D1102" t="s">
        <v>26</v>
      </c>
      <c r="E1102" t="s">
        <v>30</v>
      </c>
      <c r="F1102" t="s">
        <v>40</v>
      </c>
      <c r="G1102" t="s">
        <v>71</v>
      </c>
      <c r="H1102" t="s">
        <v>74</v>
      </c>
      <c r="I1102">
        <v>5</v>
      </c>
      <c r="J1102">
        <v>18068</v>
      </c>
      <c r="K1102">
        <v>0</v>
      </c>
      <c r="L1102">
        <v>90340</v>
      </c>
      <c r="M1102">
        <v>57112.53</v>
      </c>
      <c r="N1102">
        <v>33227.47</v>
      </c>
      <c r="O1102" t="s">
        <v>78</v>
      </c>
      <c r="P1102" t="s">
        <v>87</v>
      </c>
    </row>
    <row r="1103" spans="1:16" x14ac:dyDescent="0.25">
      <c r="A1103">
        <v>1102</v>
      </c>
      <c r="B1103" s="2">
        <v>45751</v>
      </c>
      <c r="C1103" t="s">
        <v>20</v>
      </c>
      <c r="D1103" t="s">
        <v>26</v>
      </c>
      <c r="E1103" t="s">
        <v>33</v>
      </c>
      <c r="F1103" t="s">
        <v>41</v>
      </c>
      <c r="G1103" t="s">
        <v>70</v>
      </c>
      <c r="H1103" t="s">
        <v>75</v>
      </c>
      <c r="I1103">
        <v>1</v>
      </c>
      <c r="J1103">
        <v>13061</v>
      </c>
      <c r="K1103">
        <v>0.15</v>
      </c>
      <c r="L1103">
        <v>11101.85</v>
      </c>
      <c r="M1103">
        <v>8625.0499999999993</v>
      </c>
      <c r="N1103">
        <v>2476.8000000000002</v>
      </c>
      <c r="O1103" t="s">
        <v>79</v>
      </c>
      <c r="P1103" t="s">
        <v>86</v>
      </c>
    </row>
    <row r="1104" spans="1:16" x14ac:dyDescent="0.25">
      <c r="A1104">
        <v>1103</v>
      </c>
      <c r="B1104" s="2">
        <v>45896</v>
      </c>
      <c r="C1104" t="s">
        <v>22</v>
      </c>
      <c r="D1104" t="s">
        <v>24</v>
      </c>
      <c r="E1104" t="s">
        <v>31</v>
      </c>
      <c r="F1104" t="s">
        <v>67</v>
      </c>
      <c r="G1104" t="s">
        <v>71</v>
      </c>
      <c r="H1104" t="s">
        <v>73</v>
      </c>
      <c r="I1104">
        <v>1</v>
      </c>
      <c r="J1104">
        <v>1840</v>
      </c>
      <c r="K1104">
        <v>0.05</v>
      </c>
      <c r="L1104">
        <v>1748</v>
      </c>
      <c r="M1104">
        <v>1349.9</v>
      </c>
      <c r="N1104">
        <v>398.1</v>
      </c>
      <c r="O1104" t="s">
        <v>76</v>
      </c>
      <c r="P1104" t="s">
        <v>85</v>
      </c>
    </row>
    <row r="1105" spans="1:16" x14ac:dyDescent="0.25">
      <c r="A1105">
        <v>1104</v>
      </c>
      <c r="B1105" s="2">
        <v>45740</v>
      </c>
      <c r="C1105" t="s">
        <v>16</v>
      </c>
      <c r="D1105" t="s">
        <v>24</v>
      </c>
      <c r="E1105" t="s">
        <v>31</v>
      </c>
      <c r="F1105" t="s">
        <v>47</v>
      </c>
      <c r="G1105" t="s">
        <v>71</v>
      </c>
      <c r="H1105" t="s">
        <v>74</v>
      </c>
      <c r="I1105">
        <v>4</v>
      </c>
      <c r="J1105">
        <v>1087</v>
      </c>
      <c r="K1105">
        <v>0.05</v>
      </c>
      <c r="L1105">
        <v>4130.6000000000004</v>
      </c>
      <c r="M1105">
        <v>2832.5</v>
      </c>
      <c r="N1105">
        <v>1298.0999999999999</v>
      </c>
      <c r="O1105" t="s">
        <v>79</v>
      </c>
      <c r="P1105" t="s">
        <v>88</v>
      </c>
    </row>
    <row r="1106" spans="1:16" x14ac:dyDescent="0.25">
      <c r="A1106">
        <v>1105</v>
      </c>
      <c r="B1106" s="2">
        <v>45721</v>
      </c>
      <c r="C1106" t="s">
        <v>23</v>
      </c>
      <c r="D1106" t="s">
        <v>27</v>
      </c>
      <c r="E1106" t="s">
        <v>31</v>
      </c>
      <c r="F1106" t="s">
        <v>47</v>
      </c>
      <c r="G1106" t="s">
        <v>72</v>
      </c>
      <c r="H1106" t="s">
        <v>75</v>
      </c>
      <c r="I1106">
        <v>2</v>
      </c>
      <c r="J1106">
        <v>1276</v>
      </c>
      <c r="K1106">
        <v>0.05</v>
      </c>
      <c r="L1106">
        <v>2424.4</v>
      </c>
      <c r="M1106">
        <v>1760.17</v>
      </c>
      <c r="N1106">
        <v>664.23</v>
      </c>
      <c r="O1106" t="s">
        <v>80</v>
      </c>
      <c r="P1106" t="s">
        <v>83</v>
      </c>
    </row>
    <row r="1107" spans="1:16" x14ac:dyDescent="0.25">
      <c r="A1107">
        <v>1106</v>
      </c>
      <c r="B1107" s="2">
        <v>45733</v>
      </c>
      <c r="C1107" t="s">
        <v>20</v>
      </c>
      <c r="D1107" t="s">
        <v>26</v>
      </c>
      <c r="E1107" t="s">
        <v>33</v>
      </c>
      <c r="F1107" t="s">
        <v>41</v>
      </c>
      <c r="G1107" t="s">
        <v>72</v>
      </c>
      <c r="H1107" t="s">
        <v>75</v>
      </c>
      <c r="I1107">
        <v>8</v>
      </c>
      <c r="J1107">
        <v>5020</v>
      </c>
      <c r="K1107">
        <v>0</v>
      </c>
      <c r="L1107">
        <v>40160</v>
      </c>
      <c r="M1107">
        <v>32643</v>
      </c>
      <c r="N1107">
        <v>7517</v>
      </c>
      <c r="O1107" t="s">
        <v>80</v>
      </c>
      <c r="P1107" t="s">
        <v>87</v>
      </c>
    </row>
    <row r="1108" spans="1:16" x14ac:dyDescent="0.25">
      <c r="A1108">
        <v>1107</v>
      </c>
      <c r="B1108" s="2">
        <v>45673</v>
      </c>
      <c r="C1108" t="s">
        <v>21</v>
      </c>
      <c r="D1108" t="s">
        <v>24</v>
      </c>
      <c r="E1108" t="s">
        <v>31</v>
      </c>
      <c r="F1108" t="s">
        <v>69</v>
      </c>
      <c r="G1108" t="s">
        <v>72</v>
      </c>
      <c r="H1108" t="s">
        <v>75</v>
      </c>
      <c r="I1108">
        <v>7</v>
      </c>
      <c r="J1108">
        <v>1820</v>
      </c>
      <c r="K1108">
        <v>0.1</v>
      </c>
      <c r="L1108">
        <v>11466</v>
      </c>
      <c r="M1108">
        <v>10054.620000000001</v>
      </c>
      <c r="N1108">
        <v>1411.38</v>
      </c>
      <c r="O1108" t="s">
        <v>80</v>
      </c>
      <c r="P1108" t="s">
        <v>86</v>
      </c>
    </row>
    <row r="1109" spans="1:16" x14ac:dyDescent="0.25">
      <c r="A1109">
        <v>1108</v>
      </c>
      <c r="B1109" s="2">
        <v>46010</v>
      </c>
      <c r="C1109" t="s">
        <v>22</v>
      </c>
      <c r="D1109" t="s">
        <v>24</v>
      </c>
      <c r="E1109" t="s">
        <v>30</v>
      </c>
      <c r="F1109" t="s">
        <v>37</v>
      </c>
      <c r="G1109" t="s">
        <v>70</v>
      </c>
      <c r="H1109" t="s">
        <v>73</v>
      </c>
      <c r="I1109">
        <v>1</v>
      </c>
      <c r="J1109">
        <v>14322</v>
      </c>
      <c r="K1109">
        <v>0</v>
      </c>
      <c r="L1109">
        <v>14322</v>
      </c>
      <c r="M1109">
        <v>12041.83</v>
      </c>
      <c r="N1109">
        <v>2280.17</v>
      </c>
      <c r="O1109" t="s">
        <v>80</v>
      </c>
      <c r="P1109" t="s">
        <v>86</v>
      </c>
    </row>
    <row r="1110" spans="1:16" x14ac:dyDescent="0.25">
      <c r="A1110">
        <v>1109</v>
      </c>
      <c r="B1110" s="2">
        <v>45667</v>
      </c>
      <c r="C1110" t="s">
        <v>23</v>
      </c>
      <c r="D1110" t="s">
        <v>27</v>
      </c>
      <c r="E1110" t="s">
        <v>30</v>
      </c>
      <c r="F1110" t="s">
        <v>44</v>
      </c>
      <c r="G1110" t="s">
        <v>70</v>
      </c>
      <c r="H1110" t="s">
        <v>74</v>
      </c>
      <c r="I1110">
        <v>5</v>
      </c>
      <c r="J1110">
        <v>32358</v>
      </c>
      <c r="K1110">
        <v>0</v>
      </c>
      <c r="L1110">
        <v>161790</v>
      </c>
      <c r="M1110">
        <v>93579.01</v>
      </c>
      <c r="N1110">
        <v>68210.990000000005</v>
      </c>
      <c r="O1110" t="s">
        <v>79</v>
      </c>
      <c r="P1110" t="s">
        <v>84</v>
      </c>
    </row>
    <row r="1111" spans="1:16" x14ac:dyDescent="0.25">
      <c r="A1111">
        <v>1110</v>
      </c>
      <c r="B1111" s="2">
        <v>45932</v>
      </c>
      <c r="C1111" t="s">
        <v>21</v>
      </c>
      <c r="D1111" t="s">
        <v>24</v>
      </c>
      <c r="E1111" t="s">
        <v>33</v>
      </c>
      <c r="F1111" t="s">
        <v>59</v>
      </c>
      <c r="G1111" t="s">
        <v>72</v>
      </c>
      <c r="H1111" t="s">
        <v>75</v>
      </c>
      <c r="I1111">
        <v>1</v>
      </c>
      <c r="J1111">
        <v>12614</v>
      </c>
      <c r="K1111">
        <v>0.1</v>
      </c>
      <c r="L1111">
        <v>11352.6</v>
      </c>
      <c r="M1111">
        <v>9113.48</v>
      </c>
      <c r="N1111">
        <v>2239.12</v>
      </c>
      <c r="O1111" t="s">
        <v>80</v>
      </c>
      <c r="P1111" t="s">
        <v>84</v>
      </c>
    </row>
    <row r="1112" spans="1:16" x14ac:dyDescent="0.25">
      <c r="A1112">
        <v>1111</v>
      </c>
      <c r="B1112" s="2">
        <v>45909</v>
      </c>
      <c r="C1112" t="s">
        <v>20</v>
      </c>
      <c r="D1112" t="s">
        <v>26</v>
      </c>
      <c r="E1112" t="s">
        <v>29</v>
      </c>
      <c r="F1112" t="s">
        <v>42</v>
      </c>
      <c r="G1112" t="s">
        <v>71</v>
      </c>
      <c r="H1112" t="s">
        <v>73</v>
      </c>
      <c r="I1112">
        <v>4</v>
      </c>
      <c r="J1112">
        <v>8592</v>
      </c>
      <c r="K1112">
        <v>0</v>
      </c>
      <c r="L1112">
        <v>34368</v>
      </c>
      <c r="M1112">
        <v>19946.73</v>
      </c>
      <c r="N1112">
        <v>14421.27</v>
      </c>
      <c r="O1112" t="s">
        <v>78</v>
      </c>
      <c r="P1112" t="s">
        <v>86</v>
      </c>
    </row>
    <row r="1113" spans="1:16" x14ac:dyDescent="0.25">
      <c r="A1113">
        <v>1112</v>
      </c>
      <c r="B1113" s="2">
        <v>45830</v>
      </c>
      <c r="C1113" t="s">
        <v>22</v>
      </c>
      <c r="D1113" t="s">
        <v>24</v>
      </c>
      <c r="E1113" t="s">
        <v>30</v>
      </c>
      <c r="F1113" t="s">
        <v>56</v>
      </c>
      <c r="G1113" t="s">
        <v>72</v>
      </c>
      <c r="H1113" t="s">
        <v>73</v>
      </c>
      <c r="I1113">
        <v>1</v>
      </c>
      <c r="J1113">
        <v>8124</v>
      </c>
      <c r="K1113">
        <v>0.15</v>
      </c>
      <c r="L1113">
        <v>6905.4</v>
      </c>
      <c r="M1113">
        <v>4989.74</v>
      </c>
      <c r="N1113">
        <v>1915.66</v>
      </c>
      <c r="O1113" t="s">
        <v>79</v>
      </c>
      <c r="P1113" t="s">
        <v>88</v>
      </c>
    </row>
    <row r="1114" spans="1:16" x14ac:dyDescent="0.25">
      <c r="A1114">
        <v>1113</v>
      </c>
      <c r="B1114" s="2">
        <v>45698</v>
      </c>
      <c r="C1114" t="s">
        <v>22</v>
      </c>
      <c r="D1114" t="s">
        <v>24</v>
      </c>
      <c r="E1114" t="s">
        <v>29</v>
      </c>
      <c r="F1114" t="s">
        <v>53</v>
      </c>
      <c r="G1114" t="s">
        <v>70</v>
      </c>
      <c r="H1114" t="s">
        <v>75</v>
      </c>
      <c r="I1114">
        <v>8</v>
      </c>
      <c r="J1114">
        <v>2258</v>
      </c>
      <c r="K1114">
        <v>0.1</v>
      </c>
      <c r="L1114">
        <v>16257.6</v>
      </c>
      <c r="M1114">
        <v>12191.13</v>
      </c>
      <c r="N1114">
        <v>4066.47</v>
      </c>
      <c r="O1114" t="s">
        <v>78</v>
      </c>
      <c r="P1114" t="s">
        <v>87</v>
      </c>
    </row>
    <row r="1115" spans="1:16" x14ac:dyDescent="0.25">
      <c r="A1115">
        <v>1114</v>
      </c>
      <c r="B1115" s="2">
        <v>45870</v>
      </c>
      <c r="C1115" t="s">
        <v>21</v>
      </c>
      <c r="D1115" t="s">
        <v>24</v>
      </c>
      <c r="E1115" t="s">
        <v>28</v>
      </c>
      <c r="F1115" t="s">
        <v>35</v>
      </c>
      <c r="G1115" t="s">
        <v>71</v>
      </c>
      <c r="H1115" t="s">
        <v>75</v>
      </c>
      <c r="I1115">
        <v>8</v>
      </c>
      <c r="J1115">
        <v>1445</v>
      </c>
      <c r="K1115">
        <v>0.05</v>
      </c>
      <c r="L1115">
        <v>10982</v>
      </c>
      <c r="M1115">
        <v>6249.15</v>
      </c>
      <c r="N1115">
        <v>4732.8500000000004</v>
      </c>
      <c r="O1115" t="s">
        <v>78</v>
      </c>
      <c r="P1115" t="s">
        <v>85</v>
      </c>
    </row>
    <row r="1116" spans="1:16" x14ac:dyDescent="0.25">
      <c r="A1116">
        <v>1115</v>
      </c>
      <c r="B1116" s="2">
        <v>45798</v>
      </c>
      <c r="C1116" t="s">
        <v>19</v>
      </c>
      <c r="D1116" t="s">
        <v>26</v>
      </c>
      <c r="E1116" t="s">
        <v>34</v>
      </c>
      <c r="F1116" t="s">
        <v>68</v>
      </c>
      <c r="G1116" t="s">
        <v>72</v>
      </c>
      <c r="H1116" t="s">
        <v>74</v>
      </c>
      <c r="I1116">
        <v>8</v>
      </c>
      <c r="J1116">
        <v>1035</v>
      </c>
      <c r="K1116">
        <v>0</v>
      </c>
      <c r="L1116">
        <v>8280</v>
      </c>
      <c r="M1116">
        <v>5146.07</v>
      </c>
      <c r="N1116">
        <v>3133.93</v>
      </c>
      <c r="O1116" t="s">
        <v>76</v>
      </c>
      <c r="P1116" t="s">
        <v>81</v>
      </c>
    </row>
    <row r="1117" spans="1:16" x14ac:dyDescent="0.25">
      <c r="A1117">
        <v>1116</v>
      </c>
      <c r="B1117" s="2">
        <v>45922</v>
      </c>
      <c r="C1117" t="s">
        <v>21</v>
      </c>
      <c r="D1117" t="s">
        <v>24</v>
      </c>
      <c r="E1117" t="s">
        <v>34</v>
      </c>
      <c r="F1117" t="s">
        <v>68</v>
      </c>
      <c r="G1117" t="s">
        <v>70</v>
      </c>
      <c r="H1117" t="s">
        <v>74</v>
      </c>
      <c r="I1117">
        <v>6</v>
      </c>
      <c r="J1117">
        <v>1683</v>
      </c>
      <c r="K1117">
        <v>0</v>
      </c>
      <c r="L1117">
        <v>10098</v>
      </c>
      <c r="M1117">
        <v>7925.83</v>
      </c>
      <c r="N1117">
        <v>2172.17</v>
      </c>
      <c r="O1117" t="s">
        <v>78</v>
      </c>
      <c r="P1117" t="s">
        <v>86</v>
      </c>
    </row>
    <row r="1118" spans="1:16" x14ac:dyDescent="0.25">
      <c r="A1118">
        <v>1117</v>
      </c>
      <c r="B1118" s="2">
        <v>45900</v>
      </c>
      <c r="C1118" t="s">
        <v>16</v>
      </c>
      <c r="D1118" t="s">
        <v>24</v>
      </c>
      <c r="E1118" t="s">
        <v>34</v>
      </c>
      <c r="F1118" t="s">
        <v>43</v>
      </c>
      <c r="G1118" t="s">
        <v>71</v>
      </c>
      <c r="H1118" t="s">
        <v>73</v>
      </c>
      <c r="I1118">
        <v>7</v>
      </c>
      <c r="J1118">
        <v>5670</v>
      </c>
      <c r="K1118">
        <v>0.1</v>
      </c>
      <c r="L1118">
        <v>35721</v>
      </c>
      <c r="M1118">
        <v>31428.1</v>
      </c>
      <c r="N1118">
        <v>4292.8999999999996</v>
      </c>
      <c r="O1118" t="s">
        <v>78</v>
      </c>
      <c r="P1118" t="s">
        <v>81</v>
      </c>
    </row>
    <row r="1119" spans="1:16" x14ac:dyDescent="0.25">
      <c r="A1119">
        <v>1118</v>
      </c>
      <c r="B1119" s="2">
        <v>45694</v>
      </c>
      <c r="C1119" t="s">
        <v>22</v>
      </c>
      <c r="D1119" t="s">
        <v>24</v>
      </c>
      <c r="E1119" t="s">
        <v>28</v>
      </c>
      <c r="F1119" t="s">
        <v>58</v>
      </c>
      <c r="G1119" t="s">
        <v>71</v>
      </c>
      <c r="H1119" t="s">
        <v>75</v>
      </c>
      <c r="I1119">
        <v>1</v>
      </c>
      <c r="J1119">
        <v>1840</v>
      </c>
      <c r="K1119">
        <v>0.05</v>
      </c>
      <c r="L1119">
        <v>1748</v>
      </c>
      <c r="M1119">
        <v>1519.72</v>
      </c>
      <c r="N1119">
        <v>228.28</v>
      </c>
      <c r="O1119" t="s">
        <v>76</v>
      </c>
      <c r="P1119" t="s">
        <v>86</v>
      </c>
    </row>
    <row r="1120" spans="1:16" x14ac:dyDescent="0.25">
      <c r="A1120">
        <v>1119</v>
      </c>
      <c r="B1120" s="2">
        <v>45702</v>
      </c>
      <c r="C1120" t="s">
        <v>19</v>
      </c>
      <c r="D1120" t="s">
        <v>26</v>
      </c>
      <c r="E1120" t="s">
        <v>34</v>
      </c>
      <c r="F1120" t="s">
        <v>65</v>
      </c>
      <c r="G1120" t="s">
        <v>70</v>
      </c>
      <c r="H1120" t="s">
        <v>73</v>
      </c>
      <c r="I1120">
        <v>5</v>
      </c>
      <c r="J1120">
        <v>5550</v>
      </c>
      <c r="K1120">
        <v>0.05</v>
      </c>
      <c r="L1120">
        <v>26362.5</v>
      </c>
      <c r="M1120">
        <v>21504.5</v>
      </c>
      <c r="N1120">
        <v>4858</v>
      </c>
      <c r="O1120" t="s">
        <v>78</v>
      </c>
      <c r="P1120" t="s">
        <v>86</v>
      </c>
    </row>
    <row r="1121" spans="1:16" x14ac:dyDescent="0.25">
      <c r="A1121">
        <v>1120</v>
      </c>
      <c r="B1121" s="2">
        <v>45972</v>
      </c>
      <c r="C1121" t="s">
        <v>19</v>
      </c>
      <c r="D1121" t="s">
        <v>26</v>
      </c>
      <c r="E1121" t="s">
        <v>28</v>
      </c>
      <c r="F1121" t="s">
        <v>54</v>
      </c>
      <c r="G1121" t="s">
        <v>70</v>
      </c>
      <c r="H1121" t="s">
        <v>75</v>
      </c>
      <c r="I1121">
        <v>8</v>
      </c>
      <c r="J1121">
        <v>2107</v>
      </c>
      <c r="K1121">
        <v>0.05</v>
      </c>
      <c r="L1121">
        <v>16013.2</v>
      </c>
      <c r="M1121">
        <v>9918.4699999999993</v>
      </c>
      <c r="N1121">
        <v>6094.73</v>
      </c>
      <c r="O1121" t="s">
        <v>76</v>
      </c>
      <c r="P1121" t="s">
        <v>81</v>
      </c>
    </row>
    <row r="1122" spans="1:16" x14ac:dyDescent="0.25">
      <c r="A1122">
        <v>1121</v>
      </c>
      <c r="B1122" s="2">
        <v>45760</v>
      </c>
      <c r="C1122" t="s">
        <v>22</v>
      </c>
      <c r="D1122" t="s">
        <v>24</v>
      </c>
      <c r="E1122" t="s">
        <v>33</v>
      </c>
      <c r="F1122" t="s">
        <v>41</v>
      </c>
      <c r="G1122" t="s">
        <v>72</v>
      </c>
      <c r="H1122" t="s">
        <v>75</v>
      </c>
      <c r="I1122">
        <v>6</v>
      </c>
      <c r="J1122">
        <v>8409</v>
      </c>
      <c r="K1122">
        <v>0</v>
      </c>
      <c r="L1122">
        <v>50454</v>
      </c>
      <c r="M1122">
        <v>27909.31</v>
      </c>
      <c r="N1122">
        <v>22544.69</v>
      </c>
      <c r="O1122" t="s">
        <v>77</v>
      </c>
      <c r="P1122" t="s">
        <v>85</v>
      </c>
    </row>
    <row r="1123" spans="1:16" x14ac:dyDescent="0.25">
      <c r="A1123">
        <v>1122</v>
      </c>
      <c r="B1123" s="2">
        <v>45942</v>
      </c>
      <c r="C1123" t="s">
        <v>21</v>
      </c>
      <c r="D1123" t="s">
        <v>24</v>
      </c>
      <c r="E1123" t="s">
        <v>34</v>
      </c>
      <c r="F1123" t="s">
        <v>51</v>
      </c>
      <c r="G1123" t="s">
        <v>72</v>
      </c>
      <c r="H1123" t="s">
        <v>74</v>
      </c>
      <c r="I1123">
        <v>1</v>
      </c>
      <c r="J1123">
        <v>4078</v>
      </c>
      <c r="K1123">
        <v>0.05</v>
      </c>
      <c r="L1123">
        <v>3874.1</v>
      </c>
      <c r="M1123">
        <v>3253.67</v>
      </c>
      <c r="N1123">
        <v>620.42999999999995</v>
      </c>
      <c r="O1123" t="s">
        <v>78</v>
      </c>
      <c r="P1123" t="s">
        <v>85</v>
      </c>
    </row>
    <row r="1124" spans="1:16" x14ac:dyDescent="0.25">
      <c r="A1124">
        <v>1123</v>
      </c>
      <c r="B1124" s="2">
        <v>45880</v>
      </c>
      <c r="C1124" t="s">
        <v>19</v>
      </c>
      <c r="D1124" t="s">
        <v>26</v>
      </c>
      <c r="E1124" t="s">
        <v>32</v>
      </c>
      <c r="F1124" t="s">
        <v>66</v>
      </c>
      <c r="G1124" t="s">
        <v>72</v>
      </c>
      <c r="H1124" t="s">
        <v>74</v>
      </c>
      <c r="I1124">
        <v>5</v>
      </c>
      <c r="J1124">
        <v>16248</v>
      </c>
      <c r="K1124">
        <v>0</v>
      </c>
      <c r="L1124">
        <v>81240</v>
      </c>
      <c r="M1124">
        <v>48639.22</v>
      </c>
      <c r="N1124">
        <v>32600.78</v>
      </c>
      <c r="O1124" t="s">
        <v>77</v>
      </c>
      <c r="P1124" t="s">
        <v>85</v>
      </c>
    </row>
    <row r="1125" spans="1:16" x14ac:dyDescent="0.25">
      <c r="A1125">
        <v>1124</v>
      </c>
      <c r="B1125" s="2">
        <v>45948</v>
      </c>
      <c r="C1125" t="s">
        <v>21</v>
      </c>
      <c r="D1125" t="s">
        <v>24</v>
      </c>
      <c r="E1125" t="s">
        <v>28</v>
      </c>
      <c r="F1125" t="s">
        <v>63</v>
      </c>
      <c r="G1125" t="s">
        <v>72</v>
      </c>
      <c r="H1125" t="s">
        <v>73</v>
      </c>
      <c r="I1125">
        <v>4</v>
      </c>
      <c r="J1125">
        <v>1119</v>
      </c>
      <c r="K1125">
        <v>0</v>
      </c>
      <c r="L1125">
        <v>4476</v>
      </c>
      <c r="M1125">
        <v>3930.01</v>
      </c>
      <c r="N1125">
        <v>545.99</v>
      </c>
      <c r="O1125" t="s">
        <v>77</v>
      </c>
      <c r="P1125" t="s">
        <v>83</v>
      </c>
    </row>
    <row r="1126" spans="1:16" x14ac:dyDescent="0.25">
      <c r="A1126">
        <v>1125</v>
      </c>
      <c r="B1126" s="2">
        <v>45672</v>
      </c>
      <c r="C1126" t="s">
        <v>20</v>
      </c>
      <c r="D1126" t="s">
        <v>26</v>
      </c>
      <c r="E1126" t="s">
        <v>28</v>
      </c>
      <c r="F1126" t="s">
        <v>63</v>
      </c>
      <c r="G1126" t="s">
        <v>71</v>
      </c>
      <c r="H1126" t="s">
        <v>74</v>
      </c>
      <c r="I1126">
        <v>4</v>
      </c>
      <c r="J1126">
        <v>1013</v>
      </c>
      <c r="K1126">
        <v>0.1</v>
      </c>
      <c r="L1126">
        <v>3646.8</v>
      </c>
      <c r="M1126">
        <v>2387.15</v>
      </c>
      <c r="N1126">
        <v>1259.6500000000001</v>
      </c>
      <c r="O1126" t="s">
        <v>78</v>
      </c>
      <c r="P1126" t="s">
        <v>81</v>
      </c>
    </row>
    <row r="1127" spans="1:16" x14ac:dyDescent="0.25">
      <c r="A1127">
        <v>1126</v>
      </c>
      <c r="B1127" s="2">
        <v>45876</v>
      </c>
      <c r="C1127" t="s">
        <v>23</v>
      </c>
      <c r="D1127" t="s">
        <v>27</v>
      </c>
      <c r="E1127" t="s">
        <v>32</v>
      </c>
      <c r="F1127" t="s">
        <v>48</v>
      </c>
      <c r="G1127" t="s">
        <v>71</v>
      </c>
      <c r="H1127" t="s">
        <v>73</v>
      </c>
      <c r="I1127">
        <v>2</v>
      </c>
      <c r="J1127">
        <v>2067</v>
      </c>
      <c r="K1127">
        <v>0.05</v>
      </c>
      <c r="L1127">
        <v>3927.3</v>
      </c>
      <c r="M1127">
        <v>2985.11</v>
      </c>
      <c r="N1127">
        <v>942.19</v>
      </c>
      <c r="O1127" t="s">
        <v>77</v>
      </c>
      <c r="P1127" t="s">
        <v>82</v>
      </c>
    </row>
    <row r="1128" spans="1:16" x14ac:dyDescent="0.25">
      <c r="A1128">
        <v>1127</v>
      </c>
      <c r="B1128" s="2">
        <v>45932</v>
      </c>
      <c r="C1128" t="s">
        <v>23</v>
      </c>
      <c r="D1128" t="s">
        <v>27</v>
      </c>
      <c r="E1128" t="s">
        <v>31</v>
      </c>
      <c r="F1128" t="s">
        <v>69</v>
      </c>
      <c r="G1128" t="s">
        <v>72</v>
      </c>
      <c r="H1128" t="s">
        <v>73</v>
      </c>
      <c r="I1128">
        <v>6</v>
      </c>
      <c r="J1128">
        <v>2303</v>
      </c>
      <c r="K1128">
        <v>0.05</v>
      </c>
      <c r="L1128">
        <v>13127.1</v>
      </c>
      <c r="M1128">
        <v>11394.89</v>
      </c>
      <c r="N1128">
        <v>1732.21</v>
      </c>
      <c r="O1128" t="s">
        <v>76</v>
      </c>
      <c r="P1128" t="s">
        <v>84</v>
      </c>
    </row>
    <row r="1129" spans="1:16" x14ac:dyDescent="0.25">
      <c r="A1129">
        <v>1128</v>
      </c>
      <c r="B1129" s="2">
        <v>45946</v>
      </c>
      <c r="C1129" t="s">
        <v>21</v>
      </c>
      <c r="D1129" t="s">
        <v>24</v>
      </c>
      <c r="E1129" t="s">
        <v>34</v>
      </c>
      <c r="F1129" t="s">
        <v>51</v>
      </c>
      <c r="G1129" t="s">
        <v>72</v>
      </c>
      <c r="H1129" t="s">
        <v>74</v>
      </c>
      <c r="I1129">
        <v>5</v>
      </c>
      <c r="J1129">
        <v>2635</v>
      </c>
      <c r="K1129">
        <v>0</v>
      </c>
      <c r="L1129">
        <v>13175</v>
      </c>
      <c r="M1129">
        <v>10253.790000000001</v>
      </c>
      <c r="N1129">
        <v>2921.21</v>
      </c>
      <c r="O1129" t="s">
        <v>76</v>
      </c>
      <c r="P1129" t="s">
        <v>85</v>
      </c>
    </row>
    <row r="1130" spans="1:16" x14ac:dyDescent="0.25">
      <c r="A1130">
        <v>1129</v>
      </c>
      <c r="B1130" s="2">
        <v>45832</v>
      </c>
      <c r="C1130" t="s">
        <v>17</v>
      </c>
      <c r="D1130" t="s">
        <v>25</v>
      </c>
      <c r="E1130" t="s">
        <v>31</v>
      </c>
      <c r="F1130" t="s">
        <v>67</v>
      </c>
      <c r="G1130" t="s">
        <v>71</v>
      </c>
      <c r="H1130" t="s">
        <v>74</v>
      </c>
      <c r="I1130">
        <v>1</v>
      </c>
      <c r="J1130">
        <v>1031</v>
      </c>
      <c r="K1130">
        <v>0.15</v>
      </c>
      <c r="L1130">
        <v>876.35</v>
      </c>
      <c r="M1130">
        <v>501.56</v>
      </c>
      <c r="N1130">
        <v>374.79</v>
      </c>
      <c r="O1130" t="s">
        <v>77</v>
      </c>
      <c r="P1130" t="s">
        <v>85</v>
      </c>
    </row>
    <row r="1131" spans="1:16" x14ac:dyDescent="0.25">
      <c r="A1131">
        <v>1130</v>
      </c>
      <c r="B1131" s="2">
        <v>45975</v>
      </c>
      <c r="C1131" t="s">
        <v>20</v>
      </c>
      <c r="D1131" t="s">
        <v>26</v>
      </c>
      <c r="E1131" t="s">
        <v>30</v>
      </c>
      <c r="F1131" t="s">
        <v>40</v>
      </c>
      <c r="G1131" t="s">
        <v>72</v>
      </c>
      <c r="H1131" t="s">
        <v>74</v>
      </c>
      <c r="I1131">
        <v>1</v>
      </c>
      <c r="J1131">
        <v>40223</v>
      </c>
      <c r="K1131">
        <v>0.05</v>
      </c>
      <c r="L1131">
        <v>38211.85</v>
      </c>
      <c r="M1131">
        <v>29452.69</v>
      </c>
      <c r="N1131">
        <v>8759.16</v>
      </c>
      <c r="O1131" t="s">
        <v>80</v>
      </c>
      <c r="P1131" t="s">
        <v>85</v>
      </c>
    </row>
    <row r="1132" spans="1:16" x14ac:dyDescent="0.25">
      <c r="A1132">
        <v>1131</v>
      </c>
      <c r="B1132" s="2">
        <v>45868</v>
      </c>
      <c r="C1132" t="s">
        <v>19</v>
      </c>
      <c r="D1132" t="s">
        <v>26</v>
      </c>
      <c r="E1132" t="s">
        <v>29</v>
      </c>
      <c r="F1132" t="s">
        <v>53</v>
      </c>
      <c r="G1132" t="s">
        <v>71</v>
      </c>
      <c r="H1132" t="s">
        <v>75</v>
      </c>
      <c r="I1132">
        <v>7</v>
      </c>
      <c r="J1132">
        <v>10160</v>
      </c>
      <c r="K1132">
        <v>0.05</v>
      </c>
      <c r="L1132">
        <v>67564</v>
      </c>
      <c r="M1132">
        <v>44419.3</v>
      </c>
      <c r="N1132">
        <v>23144.7</v>
      </c>
      <c r="O1132" t="s">
        <v>79</v>
      </c>
      <c r="P1132" t="s">
        <v>86</v>
      </c>
    </row>
    <row r="1133" spans="1:16" x14ac:dyDescent="0.25">
      <c r="A1133">
        <v>1132</v>
      </c>
      <c r="B1133" s="2">
        <v>46006</v>
      </c>
      <c r="C1133" t="s">
        <v>20</v>
      </c>
      <c r="D1133" t="s">
        <v>26</v>
      </c>
      <c r="E1133" t="s">
        <v>32</v>
      </c>
      <c r="F1133" t="s">
        <v>49</v>
      </c>
      <c r="G1133" t="s">
        <v>72</v>
      </c>
      <c r="H1133" t="s">
        <v>75</v>
      </c>
      <c r="I1133">
        <v>7</v>
      </c>
      <c r="J1133">
        <v>20797</v>
      </c>
      <c r="K1133">
        <v>0.1</v>
      </c>
      <c r="L1133">
        <v>131021.1</v>
      </c>
      <c r="M1133">
        <v>81906.080000000002</v>
      </c>
      <c r="N1133">
        <v>49115.02</v>
      </c>
      <c r="O1133" t="s">
        <v>79</v>
      </c>
      <c r="P1133" t="s">
        <v>81</v>
      </c>
    </row>
    <row r="1134" spans="1:16" x14ac:dyDescent="0.25">
      <c r="A1134">
        <v>1133</v>
      </c>
      <c r="B1134" s="2">
        <v>45695</v>
      </c>
      <c r="C1134" t="s">
        <v>22</v>
      </c>
      <c r="D1134" t="s">
        <v>24</v>
      </c>
      <c r="E1134" t="s">
        <v>32</v>
      </c>
      <c r="F1134" t="s">
        <v>66</v>
      </c>
      <c r="G1134" t="s">
        <v>71</v>
      </c>
      <c r="H1134" t="s">
        <v>75</v>
      </c>
      <c r="I1134">
        <v>8</v>
      </c>
      <c r="J1134">
        <v>17691</v>
      </c>
      <c r="K1134">
        <v>0.15</v>
      </c>
      <c r="L1134">
        <v>120298.8</v>
      </c>
      <c r="M1134">
        <v>68119.27</v>
      </c>
      <c r="N1134">
        <v>52179.53</v>
      </c>
      <c r="O1134" t="s">
        <v>79</v>
      </c>
      <c r="P1134" t="s">
        <v>86</v>
      </c>
    </row>
    <row r="1135" spans="1:16" x14ac:dyDescent="0.25">
      <c r="A1135">
        <v>1134</v>
      </c>
      <c r="B1135" s="2">
        <v>45916</v>
      </c>
      <c r="C1135" t="s">
        <v>20</v>
      </c>
      <c r="D1135" t="s">
        <v>26</v>
      </c>
      <c r="E1135" t="s">
        <v>32</v>
      </c>
      <c r="F1135" t="s">
        <v>62</v>
      </c>
      <c r="G1135" t="s">
        <v>71</v>
      </c>
      <c r="H1135" t="s">
        <v>74</v>
      </c>
      <c r="I1135">
        <v>6</v>
      </c>
      <c r="J1135">
        <v>23319</v>
      </c>
      <c r="K1135">
        <v>0.05</v>
      </c>
      <c r="L1135">
        <v>132918.29999999999</v>
      </c>
      <c r="M1135">
        <v>109823.65</v>
      </c>
      <c r="N1135">
        <v>23094.65</v>
      </c>
      <c r="O1135" t="s">
        <v>78</v>
      </c>
      <c r="P1135" t="s">
        <v>84</v>
      </c>
    </row>
    <row r="1136" spans="1:16" x14ac:dyDescent="0.25">
      <c r="A1136">
        <v>1135</v>
      </c>
      <c r="B1136" s="2">
        <v>45980</v>
      </c>
      <c r="C1136" t="s">
        <v>20</v>
      </c>
      <c r="D1136" t="s">
        <v>26</v>
      </c>
      <c r="E1136" t="s">
        <v>33</v>
      </c>
      <c r="F1136" t="s">
        <v>60</v>
      </c>
      <c r="G1136" t="s">
        <v>71</v>
      </c>
      <c r="H1136" t="s">
        <v>74</v>
      </c>
      <c r="I1136">
        <v>1</v>
      </c>
      <c r="J1136">
        <v>45516</v>
      </c>
      <c r="K1136">
        <v>0</v>
      </c>
      <c r="L1136">
        <v>45516</v>
      </c>
      <c r="M1136">
        <v>30644.18</v>
      </c>
      <c r="N1136">
        <v>14871.82</v>
      </c>
      <c r="O1136" t="s">
        <v>79</v>
      </c>
      <c r="P1136" t="s">
        <v>86</v>
      </c>
    </row>
    <row r="1137" spans="1:16" x14ac:dyDescent="0.25">
      <c r="A1137">
        <v>1136</v>
      </c>
      <c r="B1137" s="2">
        <v>45814</v>
      </c>
      <c r="C1137" t="s">
        <v>19</v>
      </c>
      <c r="D1137" t="s">
        <v>26</v>
      </c>
      <c r="E1137" t="s">
        <v>32</v>
      </c>
      <c r="F1137" t="s">
        <v>39</v>
      </c>
      <c r="G1137" t="s">
        <v>70</v>
      </c>
      <c r="H1137" t="s">
        <v>73</v>
      </c>
      <c r="I1137">
        <v>7</v>
      </c>
      <c r="J1137">
        <v>9465</v>
      </c>
      <c r="K1137">
        <v>0.1</v>
      </c>
      <c r="L1137">
        <v>59629.5</v>
      </c>
      <c r="M1137">
        <v>35804.730000000003</v>
      </c>
      <c r="N1137">
        <v>23824.77</v>
      </c>
      <c r="O1137" t="s">
        <v>78</v>
      </c>
      <c r="P1137" t="s">
        <v>85</v>
      </c>
    </row>
    <row r="1138" spans="1:16" x14ac:dyDescent="0.25">
      <c r="A1138">
        <v>1137</v>
      </c>
      <c r="B1138" s="2">
        <v>45904</v>
      </c>
      <c r="C1138" t="s">
        <v>19</v>
      </c>
      <c r="D1138" t="s">
        <v>26</v>
      </c>
      <c r="E1138" t="s">
        <v>32</v>
      </c>
      <c r="F1138" t="s">
        <v>39</v>
      </c>
      <c r="G1138" t="s">
        <v>72</v>
      </c>
      <c r="H1138" t="s">
        <v>74</v>
      </c>
      <c r="I1138">
        <v>3</v>
      </c>
      <c r="J1138">
        <v>19658</v>
      </c>
      <c r="K1138">
        <v>0.1</v>
      </c>
      <c r="L1138">
        <v>53076.6</v>
      </c>
      <c r="M1138">
        <v>31845.38</v>
      </c>
      <c r="N1138">
        <v>21231.22</v>
      </c>
      <c r="O1138" t="s">
        <v>78</v>
      </c>
      <c r="P1138" t="s">
        <v>81</v>
      </c>
    </row>
    <row r="1139" spans="1:16" x14ac:dyDescent="0.25">
      <c r="A1139">
        <v>1138</v>
      </c>
      <c r="B1139" s="2">
        <v>45769</v>
      </c>
      <c r="C1139" t="s">
        <v>23</v>
      </c>
      <c r="D1139" t="s">
        <v>27</v>
      </c>
      <c r="E1139" t="s">
        <v>33</v>
      </c>
      <c r="F1139" t="s">
        <v>60</v>
      </c>
      <c r="G1139" t="s">
        <v>72</v>
      </c>
      <c r="H1139" t="s">
        <v>74</v>
      </c>
      <c r="I1139">
        <v>2</v>
      </c>
      <c r="J1139">
        <v>41295</v>
      </c>
      <c r="K1139">
        <v>0.1</v>
      </c>
      <c r="L1139">
        <v>74331</v>
      </c>
      <c r="M1139">
        <v>63254.18</v>
      </c>
      <c r="N1139">
        <v>11076.82</v>
      </c>
      <c r="O1139" t="s">
        <v>79</v>
      </c>
      <c r="P1139" t="s">
        <v>84</v>
      </c>
    </row>
    <row r="1140" spans="1:16" x14ac:dyDescent="0.25">
      <c r="A1140">
        <v>1139</v>
      </c>
      <c r="B1140" s="2">
        <v>45887</v>
      </c>
      <c r="C1140" t="s">
        <v>21</v>
      </c>
      <c r="D1140" t="s">
        <v>24</v>
      </c>
      <c r="E1140" t="s">
        <v>30</v>
      </c>
      <c r="F1140" t="s">
        <v>44</v>
      </c>
      <c r="G1140" t="s">
        <v>72</v>
      </c>
      <c r="H1140" t="s">
        <v>73</v>
      </c>
      <c r="I1140">
        <v>1</v>
      </c>
      <c r="J1140">
        <v>19491</v>
      </c>
      <c r="K1140">
        <v>0.05</v>
      </c>
      <c r="L1140">
        <v>18516.45</v>
      </c>
      <c r="M1140">
        <v>14435.83</v>
      </c>
      <c r="N1140">
        <v>4080.62</v>
      </c>
      <c r="O1140" t="s">
        <v>80</v>
      </c>
      <c r="P1140" t="s">
        <v>88</v>
      </c>
    </row>
    <row r="1141" spans="1:16" x14ac:dyDescent="0.25">
      <c r="A1141">
        <v>1140</v>
      </c>
      <c r="B1141" s="2">
        <v>45705</v>
      </c>
      <c r="C1141" t="s">
        <v>20</v>
      </c>
      <c r="D1141" t="s">
        <v>26</v>
      </c>
      <c r="E1141" t="s">
        <v>32</v>
      </c>
      <c r="F1141" t="s">
        <v>49</v>
      </c>
      <c r="G1141" t="s">
        <v>70</v>
      </c>
      <c r="H1141" t="s">
        <v>73</v>
      </c>
      <c r="I1141">
        <v>5</v>
      </c>
      <c r="J1141">
        <v>15729</v>
      </c>
      <c r="K1141">
        <v>0.1</v>
      </c>
      <c r="L1141">
        <v>70780.5</v>
      </c>
      <c r="M1141">
        <v>43464.43</v>
      </c>
      <c r="N1141">
        <v>27316.07</v>
      </c>
      <c r="O1141" t="s">
        <v>79</v>
      </c>
      <c r="P1141" t="s">
        <v>86</v>
      </c>
    </row>
    <row r="1142" spans="1:16" x14ac:dyDescent="0.25">
      <c r="A1142">
        <v>1141</v>
      </c>
      <c r="B1142" s="2">
        <v>46002</v>
      </c>
      <c r="C1142" t="s">
        <v>19</v>
      </c>
      <c r="D1142" t="s">
        <v>26</v>
      </c>
      <c r="E1142" t="s">
        <v>34</v>
      </c>
      <c r="F1142" t="s">
        <v>55</v>
      </c>
      <c r="G1142" t="s">
        <v>70</v>
      </c>
      <c r="H1142" t="s">
        <v>75</v>
      </c>
      <c r="I1142">
        <v>4</v>
      </c>
      <c r="J1142">
        <v>5057</v>
      </c>
      <c r="K1142">
        <v>0.15</v>
      </c>
      <c r="L1142">
        <v>17193.8</v>
      </c>
      <c r="M1142">
        <v>13079.55</v>
      </c>
      <c r="N1142">
        <v>4114.25</v>
      </c>
      <c r="O1142" t="s">
        <v>78</v>
      </c>
      <c r="P1142" t="s">
        <v>83</v>
      </c>
    </row>
    <row r="1143" spans="1:16" x14ac:dyDescent="0.25">
      <c r="A1143">
        <v>1142</v>
      </c>
      <c r="B1143" s="2">
        <v>45929</v>
      </c>
      <c r="C1143" t="s">
        <v>17</v>
      </c>
      <c r="D1143" t="s">
        <v>25</v>
      </c>
      <c r="E1143" t="s">
        <v>31</v>
      </c>
      <c r="F1143" t="s">
        <v>50</v>
      </c>
      <c r="G1143" t="s">
        <v>72</v>
      </c>
      <c r="H1143" t="s">
        <v>74</v>
      </c>
      <c r="I1143">
        <v>2</v>
      </c>
      <c r="J1143">
        <v>980</v>
      </c>
      <c r="K1143">
        <v>0.05</v>
      </c>
      <c r="L1143">
        <v>1862</v>
      </c>
      <c r="M1143">
        <v>1437.26</v>
      </c>
      <c r="N1143">
        <v>424.74</v>
      </c>
      <c r="O1143" t="s">
        <v>78</v>
      </c>
      <c r="P1143" t="s">
        <v>83</v>
      </c>
    </row>
    <row r="1144" spans="1:16" x14ac:dyDescent="0.25">
      <c r="A1144">
        <v>1143</v>
      </c>
      <c r="B1144" s="2">
        <v>45776</v>
      </c>
      <c r="C1144" t="s">
        <v>22</v>
      </c>
      <c r="D1144" t="s">
        <v>24</v>
      </c>
      <c r="E1144" t="s">
        <v>32</v>
      </c>
      <c r="F1144" t="s">
        <v>39</v>
      </c>
      <c r="G1144" t="s">
        <v>72</v>
      </c>
      <c r="H1144" t="s">
        <v>75</v>
      </c>
      <c r="I1144">
        <v>7</v>
      </c>
      <c r="J1144">
        <v>14187</v>
      </c>
      <c r="K1144">
        <v>0.05</v>
      </c>
      <c r="L1144">
        <v>94343.55</v>
      </c>
      <c r="M1144">
        <v>75289.75</v>
      </c>
      <c r="N1144">
        <v>19053.8</v>
      </c>
      <c r="O1144" t="s">
        <v>76</v>
      </c>
      <c r="P1144" t="s">
        <v>86</v>
      </c>
    </row>
    <row r="1145" spans="1:16" x14ac:dyDescent="0.25">
      <c r="A1145">
        <v>1144</v>
      </c>
      <c r="B1145" s="2">
        <v>45896</v>
      </c>
      <c r="C1145" t="s">
        <v>23</v>
      </c>
      <c r="D1145" t="s">
        <v>27</v>
      </c>
      <c r="E1145" t="s">
        <v>28</v>
      </c>
      <c r="F1145" t="s">
        <v>63</v>
      </c>
      <c r="G1145" t="s">
        <v>71</v>
      </c>
      <c r="H1145" t="s">
        <v>75</v>
      </c>
      <c r="I1145">
        <v>5</v>
      </c>
      <c r="J1145">
        <v>1753</v>
      </c>
      <c r="K1145">
        <v>0.05</v>
      </c>
      <c r="L1145">
        <v>8326.75</v>
      </c>
      <c r="M1145">
        <v>6359.51</v>
      </c>
      <c r="N1145">
        <v>1967.24</v>
      </c>
      <c r="O1145" t="s">
        <v>77</v>
      </c>
      <c r="P1145" t="s">
        <v>83</v>
      </c>
    </row>
    <row r="1146" spans="1:16" x14ac:dyDescent="0.25">
      <c r="A1146">
        <v>1145</v>
      </c>
      <c r="B1146" s="2">
        <v>45775</v>
      </c>
      <c r="C1146" t="s">
        <v>19</v>
      </c>
      <c r="D1146" t="s">
        <v>26</v>
      </c>
      <c r="E1146" t="s">
        <v>30</v>
      </c>
      <c r="F1146" t="s">
        <v>56</v>
      </c>
      <c r="G1146" t="s">
        <v>71</v>
      </c>
      <c r="H1146" t="s">
        <v>74</v>
      </c>
      <c r="I1146">
        <v>7</v>
      </c>
      <c r="J1146">
        <v>17124</v>
      </c>
      <c r="K1146">
        <v>0.05</v>
      </c>
      <c r="L1146">
        <v>113874.6</v>
      </c>
      <c r="M1146">
        <v>85520.94</v>
      </c>
      <c r="N1146">
        <v>28353.66</v>
      </c>
      <c r="O1146" t="s">
        <v>80</v>
      </c>
      <c r="P1146" t="s">
        <v>86</v>
      </c>
    </row>
    <row r="1147" spans="1:16" x14ac:dyDescent="0.25">
      <c r="A1147">
        <v>1146</v>
      </c>
      <c r="B1147" s="2">
        <v>45980</v>
      </c>
      <c r="C1147" t="s">
        <v>20</v>
      </c>
      <c r="D1147" t="s">
        <v>26</v>
      </c>
      <c r="E1147" t="s">
        <v>29</v>
      </c>
      <c r="F1147" t="s">
        <v>42</v>
      </c>
      <c r="G1147" t="s">
        <v>71</v>
      </c>
      <c r="H1147" t="s">
        <v>75</v>
      </c>
      <c r="I1147">
        <v>1</v>
      </c>
      <c r="J1147">
        <v>8149</v>
      </c>
      <c r="K1147">
        <v>0.15</v>
      </c>
      <c r="L1147">
        <v>6926.65</v>
      </c>
      <c r="M1147">
        <v>5612.63</v>
      </c>
      <c r="N1147">
        <v>1314.02</v>
      </c>
      <c r="O1147" t="s">
        <v>78</v>
      </c>
      <c r="P1147" t="s">
        <v>86</v>
      </c>
    </row>
    <row r="1148" spans="1:16" x14ac:dyDescent="0.25">
      <c r="A1148">
        <v>1147</v>
      </c>
      <c r="B1148" s="2">
        <v>45949</v>
      </c>
      <c r="C1148" t="s">
        <v>21</v>
      </c>
      <c r="D1148" t="s">
        <v>24</v>
      </c>
      <c r="E1148" t="s">
        <v>28</v>
      </c>
      <c r="F1148" t="s">
        <v>58</v>
      </c>
      <c r="G1148" t="s">
        <v>72</v>
      </c>
      <c r="H1148" t="s">
        <v>75</v>
      </c>
      <c r="I1148">
        <v>6</v>
      </c>
      <c r="J1148">
        <v>782</v>
      </c>
      <c r="K1148">
        <v>0</v>
      </c>
      <c r="L1148">
        <v>4692</v>
      </c>
      <c r="M1148">
        <v>3832.78</v>
      </c>
      <c r="N1148">
        <v>859.22</v>
      </c>
      <c r="O1148" t="s">
        <v>76</v>
      </c>
      <c r="P1148" t="s">
        <v>83</v>
      </c>
    </row>
    <row r="1149" spans="1:16" x14ac:dyDescent="0.25">
      <c r="A1149">
        <v>1148</v>
      </c>
      <c r="B1149" s="2">
        <v>45859</v>
      </c>
      <c r="C1149" t="s">
        <v>23</v>
      </c>
      <c r="D1149" t="s">
        <v>27</v>
      </c>
      <c r="E1149" t="s">
        <v>31</v>
      </c>
      <c r="F1149" t="s">
        <v>69</v>
      </c>
      <c r="G1149" t="s">
        <v>72</v>
      </c>
      <c r="H1149" t="s">
        <v>73</v>
      </c>
      <c r="I1149">
        <v>5</v>
      </c>
      <c r="J1149">
        <v>1000</v>
      </c>
      <c r="K1149">
        <v>0.1</v>
      </c>
      <c r="L1149">
        <v>4500</v>
      </c>
      <c r="M1149">
        <v>2792.36</v>
      </c>
      <c r="N1149">
        <v>1707.64</v>
      </c>
      <c r="O1149" t="s">
        <v>78</v>
      </c>
      <c r="P1149" t="s">
        <v>82</v>
      </c>
    </row>
    <row r="1150" spans="1:16" x14ac:dyDescent="0.25">
      <c r="A1150">
        <v>1149</v>
      </c>
      <c r="B1150" s="2">
        <v>45852</v>
      </c>
      <c r="C1150" t="s">
        <v>23</v>
      </c>
      <c r="D1150" t="s">
        <v>27</v>
      </c>
      <c r="E1150" t="s">
        <v>33</v>
      </c>
      <c r="F1150" t="s">
        <v>41</v>
      </c>
      <c r="G1150" t="s">
        <v>71</v>
      </c>
      <c r="H1150" t="s">
        <v>73</v>
      </c>
      <c r="I1150">
        <v>6</v>
      </c>
      <c r="J1150">
        <v>22443</v>
      </c>
      <c r="K1150">
        <v>0.1</v>
      </c>
      <c r="L1150">
        <v>121192.2</v>
      </c>
      <c r="M1150">
        <v>85185.82</v>
      </c>
      <c r="N1150">
        <v>36006.379999999997</v>
      </c>
      <c r="O1150" t="s">
        <v>80</v>
      </c>
      <c r="P1150" t="s">
        <v>84</v>
      </c>
    </row>
    <row r="1151" spans="1:16" x14ac:dyDescent="0.25">
      <c r="A1151">
        <v>1150</v>
      </c>
      <c r="B1151" s="2">
        <v>45803</v>
      </c>
      <c r="C1151" t="s">
        <v>18</v>
      </c>
      <c r="D1151" t="s">
        <v>26</v>
      </c>
      <c r="E1151" t="s">
        <v>29</v>
      </c>
      <c r="F1151" t="s">
        <v>57</v>
      </c>
      <c r="G1151" t="s">
        <v>70</v>
      </c>
      <c r="H1151" t="s">
        <v>75</v>
      </c>
      <c r="I1151">
        <v>5</v>
      </c>
      <c r="J1151">
        <v>10340</v>
      </c>
      <c r="K1151">
        <v>0.05</v>
      </c>
      <c r="L1151">
        <v>49115</v>
      </c>
      <c r="M1151">
        <v>28815.84</v>
      </c>
      <c r="N1151">
        <v>20299.16</v>
      </c>
      <c r="O1151" t="s">
        <v>78</v>
      </c>
      <c r="P1151" t="s">
        <v>84</v>
      </c>
    </row>
    <row r="1152" spans="1:16" x14ac:dyDescent="0.25">
      <c r="A1152">
        <v>1151</v>
      </c>
      <c r="B1152" s="2">
        <v>45906</v>
      </c>
      <c r="C1152" t="s">
        <v>20</v>
      </c>
      <c r="D1152" t="s">
        <v>26</v>
      </c>
      <c r="E1152" t="s">
        <v>30</v>
      </c>
      <c r="F1152" t="s">
        <v>64</v>
      </c>
      <c r="G1152" t="s">
        <v>70</v>
      </c>
      <c r="H1152" t="s">
        <v>73</v>
      </c>
      <c r="I1152">
        <v>3</v>
      </c>
      <c r="J1152">
        <v>11051</v>
      </c>
      <c r="K1152">
        <v>0.05</v>
      </c>
      <c r="L1152">
        <v>31495.35</v>
      </c>
      <c r="M1152">
        <v>25678.36</v>
      </c>
      <c r="N1152">
        <v>5816.99</v>
      </c>
      <c r="O1152" t="s">
        <v>76</v>
      </c>
      <c r="P1152" t="s">
        <v>86</v>
      </c>
    </row>
    <row r="1153" spans="1:16" x14ac:dyDescent="0.25">
      <c r="A1153">
        <v>1152</v>
      </c>
      <c r="B1153" s="2">
        <v>45913</v>
      </c>
      <c r="C1153" t="s">
        <v>21</v>
      </c>
      <c r="D1153" t="s">
        <v>24</v>
      </c>
      <c r="E1153" t="s">
        <v>32</v>
      </c>
      <c r="F1153" t="s">
        <v>62</v>
      </c>
      <c r="G1153" t="s">
        <v>70</v>
      </c>
      <c r="H1153" t="s">
        <v>74</v>
      </c>
      <c r="I1153">
        <v>1</v>
      </c>
      <c r="J1153">
        <v>12356</v>
      </c>
      <c r="K1153">
        <v>0.2</v>
      </c>
      <c r="L1153">
        <v>9884.7999999999993</v>
      </c>
      <c r="M1153">
        <v>7191.96</v>
      </c>
      <c r="N1153">
        <v>2692.84</v>
      </c>
      <c r="O1153" t="s">
        <v>78</v>
      </c>
      <c r="P1153" t="s">
        <v>81</v>
      </c>
    </row>
    <row r="1154" spans="1:16" x14ac:dyDescent="0.25">
      <c r="A1154">
        <v>1153</v>
      </c>
      <c r="B1154" s="2">
        <v>45836</v>
      </c>
      <c r="C1154" t="s">
        <v>21</v>
      </c>
      <c r="D1154" t="s">
        <v>24</v>
      </c>
      <c r="E1154" t="s">
        <v>31</v>
      </c>
      <c r="F1154" t="s">
        <v>38</v>
      </c>
      <c r="G1154" t="s">
        <v>71</v>
      </c>
      <c r="H1154" t="s">
        <v>73</v>
      </c>
      <c r="I1154">
        <v>2</v>
      </c>
      <c r="J1154">
        <v>814</v>
      </c>
      <c r="K1154">
        <v>0.15</v>
      </c>
      <c r="L1154">
        <v>1383.8</v>
      </c>
      <c r="M1154">
        <v>810.64</v>
      </c>
      <c r="N1154">
        <v>573.16</v>
      </c>
      <c r="O1154" t="s">
        <v>76</v>
      </c>
      <c r="P1154" t="s">
        <v>84</v>
      </c>
    </row>
    <row r="1155" spans="1:16" x14ac:dyDescent="0.25">
      <c r="A1155">
        <v>1154</v>
      </c>
      <c r="B1155" s="2">
        <v>45950</v>
      </c>
      <c r="C1155" t="s">
        <v>20</v>
      </c>
      <c r="D1155" t="s">
        <v>26</v>
      </c>
      <c r="E1155" t="s">
        <v>28</v>
      </c>
      <c r="F1155" t="s">
        <v>54</v>
      </c>
      <c r="G1155" t="s">
        <v>71</v>
      </c>
      <c r="H1155" t="s">
        <v>74</v>
      </c>
      <c r="I1155">
        <v>4</v>
      </c>
      <c r="J1155">
        <v>979</v>
      </c>
      <c r="K1155">
        <v>0.15</v>
      </c>
      <c r="L1155">
        <v>3328.6</v>
      </c>
      <c r="M1155">
        <v>2147.58</v>
      </c>
      <c r="N1155">
        <v>1181.02</v>
      </c>
      <c r="O1155" t="s">
        <v>77</v>
      </c>
      <c r="P1155" t="s">
        <v>85</v>
      </c>
    </row>
    <row r="1156" spans="1:16" x14ac:dyDescent="0.25">
      <c r="A1156">
        <v>1155</v>
      </c>
      <c r="B1156" s="2">
        <v>45874</v>
      </c>
      <c r="C1156" t="s">
        <v>16</v>
      </c>
      <c r="D1156" t="s">
        <v>24</v>
      </c>
      <c r="E1156" t="s">
        <v>33</v>
      </c>
      <c r="F1156" t="s">
        <v>41</v>
      </c>
      <c r="G1156" t="s">
        <v>70</v>
      </c>
      <c r="H1156" t="s">
        <v>74</v>
      </c>
      <c r="I1156">
        <v>4</v>
      </c>
      <c r="J1156">
        <v>19332</v>
      </c>
      <c r="K1156">
        <v>0</v>
      </c>
      <c r="L1156">
        <v>77328</v>
      </c>
      <c r="M1156">
        <v>43603.09</v>
      </c>
      <c r="N1156">
        <v>33724.910000000003</v>
      </c>
      <c r="O1156" t="s">
        <v>79</v>
      </c>
      <c r="P1156" t="s">
        <v>87</v>
      </c>
    </row>
    <row r="1157" spans="1:16" x14ac:dyDescent="0.25">
      <c r="A1157">
        <v>1156</v>
      </c>
      <c r="B1157" s="2">
        <v>45969</v>
      </c>
      <c r="C1157" t="s">
        <v>19</v>
      </c>
      <c r="D1157" t="s">
        <v>26</v>
      </c>
      <c r="E1157" t="s">
        <v>33</v>
      </c>
      <c r="F1157" t="s">
        <v>52</v>
      </c>
      <c r="G1157" t="s">
        <v>72</v>
      </c>
      <c r="H1157" t="s">
        <v>73</v>
      </c>
      <c r="I1157">
        <v>1</v>
      </c>
      <c r="J1157">
        <v>4101</v>
      </c>
      <c r="K1157">
        <v>0.1</v>
      </c>
      <c r="L1157">
        <v>3690.9</v>
      </c>
      <c r="M1157">
        <v>2864.36</v>
      </c>
      <c r="N1157">
        <v>826.54</v>
      </c>
      <c r="O1157" t="s">
        <v>79</v>
      </c>
      <c r="P1157" t="s">
        <v>83</v>
      </c>
    </row>
    <row r="1158" spans="1:16" x14ac:dyDescent="0.25">
      <c r="A1158">
        <v>1157</v>
      </c>
      <c r="B1158" s="2">
        <v>45666</v>
      </c>
      <c r="C1158" t="s">
        <v>23</v>
      </c>
      <c r="D1158" t="s">
        <v>27</v>
      </c>
      <c r="E1158" t="s">
        <v>28</v>
      </c>
      <c r="F1158" t="s">
        <v>35</v>
      </c>
      <c r="G1158" t="s">
        <v>70</v>
      </c>
      <c r="H1158" t="s">
        <v>73</v>
      </c>
      <c r="I1158">
        <v>8</v>
      </c>
      <c r="J1158">
        <v>2111</v>
      </c>
      <c r="K1158">
        <v>0</v>
      </c>
      <c r="L1158">
        <v>16888</v>
      </c>
      <c r="M1158">
        <v>12578.98</v>
      </c>
      <c r="N1158">
        <v>4309.0200000000004</v>
      </c>
      <c r="O1158" t="s">
        <v>76</v>
      </c>
      <c r="P1158" t="s">
        <v>84</v>
      </c>
    </row>
    <row r="1159" spans="1:16" x14ac:dyDescent="0.25">
      <c r="A1159">
        <v>1158</v>
      </c>
      <c r="B1159" s="2">
        <v>45724</v>
      </c>
      <c r="C1159" t="s">
        <v>20</v>
      </c>
      <c r="D1159" t="s">
        <v>26</v>
      </c>
      <c r="E1159" t="s">
        <v>30</v>
      </c>
      <c r="F1159" t="s">
        <v>37</v>
      </c>
      <c r="G1159" t="s">
        <v>71</v>
      </c>
      <c r="H1159" t="s">
        <v>73</v>
      </c>
      <c r="I1159">
        <v>6</v>
      </c>
      <c r="J1159">
        <v>6444</v>
      </c>
      <c r="K1159">
        <v>0.05</v>
      </c>
      <c r="L1159">
        <v>36730.800000000003</v>
      </c>
      <c r="M1159">
        <v>21647.33</v>
      </c>
      <c r="N1159">
        <v>15083.47</v>
      </c>
      <c r="O1159" t="s">
        <v>78</v>
      </c>
      <c r="P1159" t="s">
        <v>84</v>
      </c>
    </row>
    <row r="1160" spans="1:16" x14ac:dyDescent="0.25">
      <c r="A1160">
        <v>1159</v>
      </c>
      <c r="B1160" s="2">
        <v>45809</v>
      </c>
      <c r="C1160" t="s">
        <v>23</v>
      </c>
      <c r="D1160" t="s">
        <v>27</v>
      </c>
      <c r="E1160" t="s">
        <v>33</v>
      </c>
      <c r="F1160" t="s">
        <v>59</v>
      </c>
      <c r="G1160" t="s">
        <v>71</v>
      </c>
      <c r="H1160" t="s">
        <v>74</v>
      </c>
      <c r="I1160">
        <v>3</v>
      </c>
      <c r="J1160">
        <v>44680</v>
      </c>
      <c r="K1160">
        <v>0.1</v>
      </c>
      <c r="L1160">
        <v>120636</v>
      </c>
      <c r="M1160">
        <v>90071.86</v>
      </c>
      <c r="N1160">
        <v>30564.14</v>
      </c>
      <c r="O1160" t="s">
        <v>78</v>
      </c>
      <c r="P1160" t="s">
        <v>82</v>
      </c>
    </row>
    <row r="1161" spans="1:16" x14ac:dyDescent="0.25">
      <c r="A1161">
        <v>1160</v>
      </c>
      <c r="B1161" s="2">
        <v>45865</v>
      </c>
      <c r="C1161" t="s">
        <v>18</v>
      </c>
      <c r="D1161" t="s">
        <v>26</v>
      </c>
      <c r="E1161" t="s">
        <v>33</v>
      </c>
      <c r="F1161" t="s">
        <v>52</v>
      </c>
      <c r="G1161" t="s">
        <v>70</v>
      </c>
      <c r="H1161" t="s">
        <v>75</v>
      </c>
      <c r="I1161">
        <v>6</v>
      </c>
      <c r="J1161">
        <v>8002</v>
      </c>
      <c r="K1161">
        <v>0.05</v>
      </c>
      <c r="L1161">
        <v>45611.4</v>
      </c>
      <c r="M1161">
        <v>36457.300000000003</v>
      </c>
      <c r="N1161">
        <v>9154.1</v>
      </c>
      <c r="O1161" t="s">
        <v>80</v>
      </c>
      <c r="P1161" t="s">
        <v>81</v>
      </c>
    </row>
    <row r="1162" spans="1:16" x14ac:dyDescent="0.25">
      <c r="A1162">
        <v>1161</v>
      </c>
      <c r="B1162" s="2">
        <v>45863</v>
      </c>
      <c r="C1162" t="s">
        <v>18</v>
      </c>
      <c r="D1162" t="s">
        <v>26</v>
      </c>
      <c r="E1162" t="s">
        <v>33</v>
      </c>
      <c r="F1162" t="s">
        <v>52</v>
      </c>
      <c r="G1162" t="s">
        <v>72</v>
      </c>
      <c r="H1162" t="s">
        <v>73</v>
      </c>
      <c r="I1162">
        <v>1</v>
      </c>
      <c r="J1162">
        <v>10009</v>
      </c>
      <c r="K1162">
        <v>0.05</v>
      </c>
      <c r="L1162">
        <v>9508.5499999999993</v>
      </c>
      <c r="M1162">
        <v>6496.36</v>
      </c>
      <c r="N1162">
        <v>3012.19</v>
      </c>
      <c r="O1162" t="s">
        <v>80</v>
      </c>
      <c r="P1162" t="s">
        <v>85</v>
      </c>
    </row>
    <row r="1163" spans="1:16" x14ac:dyDescent="0.25">
      <c r="A1163">
        <v>1162</v>
      </c>
      <c r="B1163" s="2">
        <v>45761</v>
      </c>
      <c r="C1163" t="s">
        <v>22</v>
      </c>
      <c r="D1163" t="s">
        <v>24</v>
      </c>
      <c r="E1163" t="s">
        <v>28</v>
      </c>
      <c r="F1163" t="s">
        <v>63</v>
      </c>
      <c r="G1163" t="s">
        <v>70</v>
      </c>
      <c r="H1163" t="s">
        <v>73</v>
      </c>
      <c r="I1163">
        <v>3</v>
      </c>
      <c r="J1163">
        <v>435</v>
      </c>
      <c r="K1163">
        <v>0.1</v>
      </c>
      <c r="L1163">
        <v>1174.5</v>
      </c>
      <c r="M1163">
        <v>903.87</v>
      </c>
      <c r="N1163">
        <v>270.63</v>
      </c>
      <c r="O1163" t="s">
        <v>79</v>
      </c>
      <c r="P1163" t="s">
        <v>84</v>
      </c>
    </row>
    <row r="1164" spans="1:16" x14ac:dyDescent="0.25">
      <c r="A1164">
        <v>1163</v>
      </c>
      <c r="B1164" s="2">
        <v>45845</v>
      </c>
      <c r="C1164" t="s">
        <v>19</v>
      </c>
      <c r="D1164" t="s">
        <v>26</v>
      </c>
      <c r="E1164" t="s">
        <v>33</v>
      </c>
      <c r="F1164" t="s">
        <v>60</v>
      </c>
      <c r="G1164" t="s">
        <v>71</v>
      </c>
      <c r="H1164" t="s">
        <v>73</v>
      </c>
      <c r="I1164">
        <v>6</v>
      </c>
      <c r="J1164">
        <v>22771</v>
      </c>
      <c r="K1164">
        <v>0.1</v>
      </c>
      <c r="L1164">
        <v>122963.4</v>
      </c>
      <c r="M1164">
        <v>92617.34</v>
      </c>
      <c r="N1164">
        <v>30346.06</v>
      </c>
      <c r="O1164" t="s">
        <v>78</v>
      </c>
      <c r="P1164" t="s">
        <v>85</v>
      </c>
    </row>
    <row r="1165" spans="1:16" x14ac:dyDescent="0.25">
      <c r="A1165">
        <v>1164</v>
      </c>
      <c r="B1165" s="2">
        <v>46003</v>
      </c>
      <c r="C1165" t="s">
        <v>19</v>
      </c>
      <c r="D1165" t="s">
        <v>26</v>
      </c>
      <c r="E1165" t="s">
        <v>28</v>
      </c>
      <c r="F1165" t="s">
        <v>61</v>
      </c>
      <c r="G1165" t="s">
        <v>72</v>
      </c>
      <c r="H1165" t="s">
        <v>75</v>
      </c>
      <c r="I1165">
        <v>3</v>
      </c>
      <c r="J1165">
        <v>1644</v>
      </c>
      <c r="K1165">
        <v>0</v>
      </c>
      <c r="L1165">
        <v>4932</v>
      </c>
      <c r="M1165">
        <v>3823.64</v>
      </c>
      <c r="N1165">
        <v>1108.3599999999999</v>
      </c>
      <c r="O1165" t="s">
        <v>79</v>
      </c>
      <c r="P1165" t="s">
        <v>84</v>
      </c>
    </row>
    <row r="1166" spans="1:16" x14ac:dyDescent="0.25">
      <c r="A1166">
        <v>1165</v>
      </c>
      <c r="B1166" s="2">
        <v>45992</v>
      </c>
      <c r="C1166" t="s">
        <v>22</v>
      </c>
      <c r="D1166" t="s">
        <v>24</v>
      </c>
      <c r="E1166" t="s">
        <v>30</v>
      </c>
      <c r="F1166" t="s">
        <v>37</v>
      </c>
      <c r="G1166" t="s">
        <v>70</v>
      </c>
      <c r="H1166" t="s">
        <v>74</v>
      </c>
      <c r="I1166">
        <v>8</v>
      </c>
      <c r="J1166">
        <v>34603</v>
      </c>
      <c r="K1166">
        <v>0.05</v>
      </c>
      <c r="L1166">
        <v>262982.8</v>
      </c>
      <c r="M1166">
        <v>161981.85999999999</v>
      </c>
      <c r="N1166">
        <v>101000.94</v>
      </c>
      <c r="O1166" t="s">
        <v>76</v>
      </c>
      <c r="P1166" t="s">
        <v>84</v>
      </c>
    </row>
    <row r="1167" spans="1:16" x14ac:dyDescent="0.25">
      <c r="A1167">
        <v>1166</v>
      </c>
      <c r="B1167" s="2">
        <v>45659</v>
      </c>
      <c r="C1167" t="s">
        <v>17</v>
      </c>
      <c r="D1167" t="s">
        <v>25</v>
      </c>
      <c r="E1167" t="s">
        <v>33</v>
      </c>
      <c r="F1167" t="s">
        <v>60</v>
      </c>
      <c r="G1167" t="s">
        <v>72</v>
      </c>
      <c r="H1167" t="s">
        <v>75</v>
      </c>
      <c r="I1167">
        <v>5</v>
      </c>
      <c r="J1167">
        <v>17492</v>
      </c>
      <c r="K1167">
        <v>0.05</v>
      </c>
      <c r="L1167">
        <v>83087</v>
      </c>
      <c r="M1167">
        <v>57623.87</v>
      </c>
      <c r="N1167">
        <v>25463.13</v>
      </c>
      <c r="O1167" t="s">
        <v>80</v>
      </c>
      <c r="P1167" t="s">
        <v>82</v>
      </c>
    </row>
    <row r="1168" spans="1:16" x14ac:dyDescent="0.25">
      <c r="A1168">
        <v>1167</v>
      </c>
      <c r="B1168" s="2">
        <v>45848</v>
      </c>
      <c r="C1168" t="s">
        <v>20</v>
      </c>
      <c r="D1168" t="s">
        <v>26</v>
      </c>
      <c r="E1168" t="s">
        <v>29</v>
      </c>
      <c r="F1168" t="s">
        <v>42</v>
      </c>
      <c r="G1168" t="s">
        <v>72</v>
      </c>
      <c r="H1168" t="s">
        <v>73</v>
      </c>
      <c r="I1168">
        <v>8</v>
      </c>
      <c r="J1168">
        <v>9427</v>
      </c>
      <c r="K1168">
        <v>0.05</v>
      </c>
      <c r="L1168">
        <v>71645.2</v>
      </c>
      <c r="M1168">
        <v>55474.38</v>
      </c>
      <c r="N1168">
        <v>16170.82</v>
      </c>
      <c r="O1168" t="s">
        <v>79</v>
      </c>
      <c r="P1168" t="s">
        <v>84</v>
      </c>
    </row>
    <row r="1169" spans="1:16" x14ac:dyDescent="0.25">
      <c r="A1169">
        <v>1168</v>
      </c>
      <c r="B1169" s="2">
        <v>45891</v>
      </c>
      <c r="C1169" t="s">
        <v>20</v>
      </c>
      <c r="D1169" t="s">
        <v>26</v>
      </c>
      <c r="E1169" t="s">
        <v>29</v>
      </c>
      <c r="F1169" t="s">
        <v>57</v>
      </c>
      <c r="G1169" t="s">
        <v>70</v>
      </c>
      <c r="H1169" t="s">
        <v>74</v>
      </c>
      <c r="I1169">
        <v>2</v>
      </c>
      <c r="J1169">
        <v>11190</v>
      </c>
      <c r="K1169">
        <v>0.05</v>
      </c>
      <c r="L1169">
        <v>21261</v>
      </c>
      <c r="M1169">
        <v>14867.47</v>
      </c>
      <c r="N1169">
        <v>6393.53</v>
      </c>
      <c r="O1169" t="s">
        <v>77</v>
      </c>
      <c r="P1169" t="s">
        <v>85</v>
      </c>
    </row>
    <row r="1170" spans="1:16" x14ac:dyDescent="0.25">
      <c r="A1170">
        <v>1169</v>
      </c>
      <c r="B1170" s="2">
        <v>45876</v>
      </c>
      <c r="C1170" t="s">
        <v>23</v>
      </c>
      <c r="D1170" t="s">
        <v>27</v>
      </c>
      <c r="E1170" t="s">
        <v>28</v>
      </c>
      <c r="F1170" t="s">
        <v>63</v>
      </c>
      <c r="G1170" t="s">
        <v>70</v>
      </c>
      <c r="H1170" t="s">
        <v>73</v>
      </c>
      <c r="I1170">
        <v>7</v>
      </c>
      <c r="J1170">
        <v>454</v>
      </c>
      <c r="K1170">
        <v>0.05</v>
      </c>
      <c r="L1170">
        <v>3019.1</v>
      </c>
      <c r="M1170">
        <v>1701.74</v>
      </c>
      <c r="N1170">
        <v>1317.36</v>
      </c>
      <c r="O1170" t="s">
        <v>79</v>
      </c>
      <c r="P1170" t="s">
        <v>83</v>
      </c>
    </row>
    <row r="1171" spans="1:16" x14ac:dyDescent="0.25">
      <c r="A1171">
        <v>1170</v>
      </c>
      <c r="B1171" s="2">
        <v>45843</v>
      </c>
      <c r="C1171" t="s">
        <v>21</v>
      </c>
      <c r="D1171" t="s">
        <v>24</v>
      </c>
      <c r="E1171" t="s">
        <v>30</v>
      </c>
      <c r="F1171" t="s">
        <v>64</v>
      </c>
      <c r="G1171" t="s">
        <v>70</v>
      </c>
      <c r="H1171" t="s">
        <v>73</v>
      </c>
      <c r="I1171">
        <v>2</v>
      </c>
      <c r="J1171">
        <v>13380</v>
      </c>
      <c r="K1171">
        <v>0.05</v>
      </c>
      <c r="L1171">
        <v>25422</v>
      </c>
      <c r="M1171">
        <v>21838.28</v>
      </c>
      <c r="N1171">
        <v>3583.72</v>
      </c>
      <c r="O1171" t="s">
        <v>80</v>
      </c>
      <c r="P1171" t="s">
        <v>87</v>
      </c>
    </row>
    <row r="1172" spans="1:16" x14ac:dyDescent="0.25">
      <c r="A1172">
        <v>1171</v>
      </c>
      <c r="B1172" s="2">
        <v>45697</v>
      </c>
      <c r="C1172" t="s">
        <v>19</v>
      </c>
      <c r="D1172" t="s">
        <v>26</v>
      </c>
      <c r="E1172" t="s">
        <v>31</v>
      </c>
      <c r="F1172" t="s">
        <v>38</v>
      </c>
      <c r="G1172" t="s">
        <v>72</v>
      </c>
      <c r="H1172" t="s">
        <v>73</v>
      </c>
      <c r="I1172">
        <v>6</v>
      </c>
      <c r="J1172">
        <v>225</v>
      </c>
      <c r="K1172">
        <v>0.15</v>
      </c>
      <c r="L1172">
        <v>1147.5</v>
      </c>
      <c r="M1172">
        <v>754.04</v>
      </c>
      <c r="N1172">
        <v>393.46</v>
      </c>
      <c r="O1172" t="s">
        <v>79</v>
      </c>
      <c r="P1172" t="s">
        <v>88</v>
      </c>
    </row>
    <row r="1173" spans="1:16" x14ac:dyDescent="0.25">
      <c r="A1173">
        <v>1172</v>
      </c>
      <c r="B1173" s="2">
        <v>45878</v>
      </c>
      <c r="C1173" t="s">
        <v>17</v>
      </c>
      <c r="D1173" t="s">
        <v>25</v>
      </c>
      <c r="E1173" t="s">
        <v>33</v>
      </c>
      <c r="F1173" t="s">
        <v>60</v>
      </c>
      <c r="G1173" t="s">
        <v>72</v>
      </c>
      <c r="H1173" t="s">
        <v>74</v>
      </c>
      <c r="I1173">
        <v>7</v>
      </c>
      <c r="J1173">
        <v>11326</v>
      </c>
      <c r="K1173">
        <v>0.1</v>
      </c>
      <c r="L1173">
        <v>71353.8</v>
      </c>
      <c r="M1173">
        <v>47468.639999999999</v>
      </c>
      <c r="N1173">
        <v>23885.16</v>
      </c>
      <c r="O1173" t="s">
        <v>76</v>
      </c>
      <c r="P1173" t="s">
        <v>88</v>
      </c>
    </row>
    <row r="1174" spans="1:16" x14ac:dyDescent="0.25">
      <c r="A1174">
        <v>1173</v>
      </c>
      <c r="B1174" s="2">
        <v>45760</v>
      </c>
      <c r="C1174" t="s">
        <v>21</v>
      </c>
      <c r="D1174" t="s">
        <v>24</v>
      </c>
      <c r="E1174" t="s">
        <v>29</v>
      </c>
      <c r="F1174" t="s">
        <v>45</v>
      </c>
      <c r="G1174" t="s">
        <v>72</v>
      </c>
      <c r="H1174" t="s">
        <v>73</v>
      </c>
      <c r="I1174">
        <v>5</v>
      </c>
      <c r="J1174">
        <v>5383</v>
      </c>
      <c r="K1174">
        <v>0</v>
      </c>
      <c r="L1174">
        <v>26915</v>
      </c>
      <c r="M1174">
        <v>17690.34</v>
      </c>
      <c r="N1174">
        <v>9224.66</v>
      </c>
      <c r="O1174" t="s">
        <v>80</v>
      </c>
      <c r="P1174" t="s">
        <v>86</v>
      </c>
    </row>
    <row r="1175" spans="1:16" x14ac:dyDescent="0.25">
      <c r="A1175">
        <v>1174</v>
      </c>
      <c r="B1175" s="2">
        <v>45803</v>
      </c>
      <c r="C1175" t="s">
        <v>21</v>
      </c>
      <c r="D1175" t="s">
        <v>24</v>
      </c>
      <c r="E1175" t="s">
        <v>34</v>
      </c>
      <c r="F1175" t="s">
        <v>43</v>
      </c>
      <c r="G1175" t="s">
        <v>71</v>
      </c>
      <c r="H1175" t="s">
        <v>75</v>
      </c>
      <c r="I1175">
        <v>1</v>
      </c>
      <c r="J1175">
        <v>1223</v>
      </c>
      <c r="K1175">
        <v>0.1</v>
      </c>
      <c r="L1175">
        <v>1100.7</v>
      </c>
      <c r="M1175">
        <v>892.23</v>
      </c>
      <c r="N1175">
        <v>208.47</v>
      </c>
      <c r="O1175" t="s">
        <v>80</v>
      </c>
      <c r="P1175" t="s">
        <v>84</v>
      </c>
    </row>
    <row r="1176" spans="1:16" x14ac:dyDescent="0.25">
      <c r="A1176">
        <v>1175</v>
      </c>
      <c r="B1176" s="2">
        <v>45919</v>
      </c>
      <c r="C1176" t="s">
        <v>19</v>
      </c>
      <c r="D1176" t="s">
        <v>26</v>
      </c>
      <c r="E1176" t="s">
        <v>28</v>
      </c>
      <c r="F1176" t="s">
        <v>63</v>
      </c>
      <c r="G1176" t="s">
        <v>71</v>
      </c>
      <c r="H1176" t="s">
        <v>73</v>
      </c>
      <c r="I1176">
        <v>4</v>
      </c>
      <c r="J1176">
        <v>654</v>
      </c>
      <c r="K1176">
        <v>0.05</v>
      </c>
      <c r="L1176">
        <v>2485.1999999999998</v>
      </c>
      <c r="M1176">
        <v>1602.85</v>
      </c>
      <c r="N1176">
        <v>882.35</v>
      </c>
      <c r="O1176" t="s">
        <v>77</v>
      </c>
      <c r="P1176" t="s">
        <v>85</v>
      </c>
    </row>
    <row r="1177" spans="1:16" x14ac:dyDescent="0.25">
      <c r="A1177">
        <v>1176</v>
      </c>
      <c r="B1177" s="2">
        <v>45810</v>
      </c>
      <c r="C1177" t="s">
        <v>23</v>
      </c>
      <c r="D1177" t="s">
        <v>27</v>
      </c>
      <c r="E1177" t="s">
        <v>33</v>
      </c>
      <c r="F1177" t="s">
        <v>46</v>
      </c>
      <c r="G1177" t="s">
        <v>72</v>
      </c>
      <c r="H1177" t="s">
        <v>75</v>
      </c>
      <c r="I1177">
        <v>4</v>
      </c>
      <c r="J1177">
        <v>7564</v>
      </c>
      <c r="K1177">
        <v>0.05</v>
      </c>
      <c r="L1177">
        <v>28743.200000000001</v>
      </c>
      <c r="M1177">
        <v>21177.37</v>
      </c>
      <c r="N1177">
        <v>7565.83</v>
      </c>
      <c r="O1177" t="s">
        <v>80</v>
      </c>
      <c r="P1177" t="s">
        <v>86</v>
      </c>
    </row>
    <row r="1178" spans="1:16" x14ac:dyDescent="0.25">
      <c r="A1178">
        <v>1177</v>
      </c>
      <c r="B1178" s="2">
        <v>45673</v>
      </c>
      <c r="C1178" t="s">
        <v>23</v>
      </c>
      <c r="D1178" t="s">
        <v>27</v>
      </c>
      <c r="E1178" t="s">
        <v>33</v>
      </c>
      <c r="F1178" t="s">
        <v>52</v>
      </c>
      <c r="G1178" t="s">
        <v>71</v>
      </c>
      <c r="H1178" t="s">
        <v>75</v>
      </c>
      <c r="I1178">
        <v>6</v>
      </c>
      <c r="J1178">
        <v>22837</v>
      </c>
      <c r="K1178">
        <v>0.15</v>
      </c>
      <c r="L1178">
        <v>116468.7</v>
      </c>
      <c r="M1178">
        <v>68508.710000000006</v>
      </c>
      <c r="N1178">
        <v>47959.99</v>
      </c>
      <c r="O1178" t="s">
        <v>79</v>
      </c>
      <c r="P1178" t="s">
        <v>82</v>
      </c>
    </row>
    <row r="1179" spans="1:16" x14ac:dyDescent="0.25">
      <c r="A1179">
        <v>1178</v>
      </c>
      <c r="B1179" s="2">
        <v>45778</v>
      </c>
      <c r="C1179" t="s">
        <v>18</v>
      </c>
      <c r="D1179" t="s">
        <v>26</v>
      </c>
      <c r="E1179" t="s">
        <v>32</v>
      </c>
      <c r="F1179" t="s">
        <v>39</v>
      </c>
      <c r="G1179" t="s">
        <v>71</v>
      </c>
      <c r="H1179" t="s">
        <v>73</v>
      </c>
      <c r="I1179">
        <v>4</v>
      </c>
      <c r="J1179">
        <v>19851</v>
      </c>
      <c r="K1179">
        <v>0.05</v>
      </c>
      <c r="L1179">
        <v>75433.8</v>
      </c>
      <c r="M1179">
        <v>60612.08</v>
      </c>
      <c r="N1179">
        <v>14821.72</v>
      </c>
      <c r="O1179" t="s">
        <v>77</v>
      </c>
      <c r="P1179" t="s">
        <v>86</v>
      </c>
    </row>
    <row r="1180" spans="1:16" x14ac:dyDescent="0.25">
      <c r="A1180">
        <v>1179</v>
      </c>
      <c r="B1180" s="2">
        <v>45972</v>
      </c>
      <c r="C1180" t="s">
        <v>19</v>
      </c>
      <c r="D1180" t="s">
        <v>26</v>
      </c>
      <c r="E1180" t="s">
        <v>31</v>
      </c>
      <c r="F1180" t="s">
        <v>47</v>
      </c>
      <c r="G1180" t="s">
        <v>71</v>
      </c>
      <c r="H1180" t="s">
        <v>73</v>
      </c>
      <c r="I1180">
        <v>8</v>
      </c>
      <c r="J1180">
        <v>653</v>
      </c>
      <c r="K1180">
        <v>0.15</v>
      </c>
      <c r="L1180">
        <v>4440.3999999999996</v>
      </c>
      <c r="M1180">
        <v>2702.49</v>
      </c>
      <c r="N1180">
        <v>1737.91</v>
      </c>
      <c r="O1180" t="s">
        <v>79</v>
      </c>
      <c r="P1180" t="s">
        <v>88</v>
      </c>
    </row>
    <row r="1181" spans="1:16" x14ac:dyDescent="0.25">
      <c r="A1181">
        <v>1180</v>
      </c>
      <c r="B1181" s="2">
        <v>45834</v>
      </c>
      <c r="C1181" t="s">
        <v>18</v>
      </c>
      <c r="D1181" t="s">
        <v>26</v>
      </c>
      <c r="E1181" t="s">
        <v>34</v>
      </c>
      <c r="F1181" t="s">
        <v>43</v>
      </c>
      <c r="G1181" t="s">
        <v>70</v>
      </c>
      <c r="H1181" t="s">
        <v>74</v>
      </c>
      <c r="I1181">
        <v>8</v>
      </c>
      <c r="J1181">
        <v>5163</v>
      </c>
      <c r="K1181">
        <v>0.1</v>
      </c>
      <c r="L1181">
        <v>37173.599999999999</v>
      </c>
      <c r="M1181">
        <v>27910.28</v>
      </c>
      <c r="N1181">
        <v>9263.32</v>
      </c>
      <c r="O1181" t="s">
        <v>78</v>
      </c>
      <c r="P1181" t="s">
        <v>87</v>
      </c>
    </row>
    <row r="1182" spans="1:16" x14ac:dyDescent="0.25">
      <c r="A1182">
        <v>1181</v>
      </c>
      <c r="B1182" s="2">
        <v>45881</v>
      </c>
      <c r="C1182" t="s">
        <v>22</v>
      </c>
      <c r="D1182" t="s">
        <v>24</v>
      </c>
      <c r="E1182" t="s">
        <v>30</v>
      </c>
      <c r="F1182" t="s">
        <v>37</v>
      </c>
      <c r="G1182" t="s">
        <v>70</v>
      </c>
      <c r="H1182" t="s">
        <v>75</v>
      </c>
      <c r="I1182">
        <v>1</v>
      </c>
      <c r="J1182">
        <v>38494</v>
      </c>
      <c r="K1182">
        <v>0</v>
      </c>
      <c r="L1182">
        <v>38494</v>
      </c>
      <c r="M1182">
        <v>23647.13</v>
      </c>
      <c r="N1182">
        <v>14846.87</v>
      </c>
      <c r="O1182" t="s">
        <v>77</v>
      </c>
      <c r="P1182" t="s">
        <v>87</v>
      </c>
    </row>
    <row r="1183" spans="1:16" x14ac:dyDescent="0.25">
      <c r="A1183">
        <v>1182</v>
      </c>
      <c r="B1183" s="2">
        <v>45859</v>
      </c>
      <c r="C1183" t="s">
        <v>23</v>
      </c>
      <c r="D1183" t="s">
        <v>27</v>
      </c>
      <c r="E1183" t="s">
        <v>30</v>
      </c>
      <c r="F1183" t="s">
        <v>37</v>
      </c>
      <c r="G1183" t="s">
        <v>72</v>
      </c>
      <c r="H1183" t="s">
        <v>75</v>
      </c>
      <c r="I1183">
        <v>6</v>
      </c>
      <c r="J1183">
        <v>2057</v>
      </c>
      <c r="K1183">
        <v>0.1</v>
      </c>
      <c r="L1183">
        <v>11107.8</v>
      </c>
      <c r="M1183">
        <v>6246.5</v>
      </c>
      <c r="N1183">
        <v>4861.3</v>
      </c>
      <c r="O1183" t="s">
        <v>78</v>
      </c>
      <c r="P1183" t="s">
        <v>86</v>
      </c>
    </row>
    <row r="1184" spans="1:16" x14ac:dyDescent="0.25">
      <c r="A1184">
        <v>1183</v>
      </c>
      <c r="B1184" s="2">
        <v>45753</v>
      </c>
      <c r="C1184" t="s">
        <v>20</v>
      </c>
      <c r="D1184" t="s">
        <v>26</v>
      </c>
      <c r="E1184" t="s">
        <v>29</v>
      </c>
      <c r="F1184" t="s">
        <v>57</v>
      </c>
      <c r="G1184" t="s">
        <v>70</v>
      </c>
      <c r="H1184" t="s">
        <v>74</v>
      </c>
      <c r="I1184">
        <v>3</v>
      </c>
      <c r="J1184">
        <v>5908</v>
      </c>
      <c r="K1184">
        <v>0.05</v>
      </c>
      <c r="L1184">
        <v>16837.8</v>
      </c>
      <c r="M1184">
        <v>10428.68</v>
      </c>
      <c r="N1184">
        <v>6409.12</v>
      </c>
      <c r="O1184" t="s">
        <v>78</v>
      </c>
      <c r="P1184" t="s">
        <v>86</v>
      </c>
    </row>
    <row r="1185" spans="1:16" x14ac:dyDescent="0.25">
      <c r="A1185">
        <v>1184</v>
      </c>
      <c r="B1185" s="2">
        <v>46013</v>
      </c>
      <c r="C1185" t="s">
        <v>16</v>
      </c>
      <c r="D1185" t="s">
        <v>24</v>
      </c>
      <c r="E1185" t="s">
        <v>29</v>
      </c>
      <c r="F1185" t="s">
        <v>36</v>
      </c>
      <c r="G1185" t="s">
        <v>70</v>
      </c>
      <c r="H1185" t="s">
        <v>75</v>
      </c>
      <c r="I1185">
        <v>4</v>
      </c>
      <c r="J1185">
        <v>6685</v>
      </c>
      <c r="K1185">
        <v>0</v>
      </c>
      <c r="L1185">
        <v>26740</v>
      </c>
      <c r="M1185">
        <v>16996.77</v>
      </c>
      <c r="N1185">
        <v>9743.23</v>
      </c>
      <c r="O1185" t="s">
        <v>77</v>
      </c>
      <c r="P1185" t="s">
        <v>82</v>
      </c>
    </row>
    <row r="1186" spans="1:16" x14ac:dyDescent="0.25">
      <c r="A1186">
        <v>1185</v>
      </c>
      <c r="B1186" s="2">
        <v>45949</v>
      </c>
      <c r="C1186" t="s">
        <v>18</v>
      </c>
      <c r="D1186" t="s">
        <v>26</v>
      </c>
      <c r="E1186" t="s">
        <v>32</v>
      </c>
      <c r="F1186" t="s">
        <v>48</v>
      </c>
      <c r="G1186" t="s">
        <v>71</v>
      </c>
      <c r="H1186" t="s">
        <v>74</v>
      </c>
      <c r="I1186">
        <v>8</v>
      </c>
      <c r="J1186">
        <v>6896</v>
      </c>
      <c r="K1186">
        <v>0.2</v>
      </c>
      <c r="L1186">
        <v>44134.400000000001</v>
      </c>
      <c r="M1186">
        <v>29529.97</v>
      </c>
      <c r="N1186">
        <v>14604.43</v>
      </c>
      <c r="O1186" t="s">
        <v>78</v>
      </c>
      <c r="P1186" t="s">
        <v>81</v>
      </c>
    </row>
    <row r="1187" spans="1:16" x14ac:dyDescent="0.25">
      <c r="A1187">
        <v>1186</v>
      </c>
      <c r="B1187" s="2">
        <v>45699</v>
      </c>
      <c r="C1187" t="s">
        <v>23</v>
      </c>
      <c r="D1187" t="s">
        <v>27</v>
      </c>
      <c r="E1187" t="s">
        <v>30</v>
      </c>
      <c r="F1187" t="s">
        <v>56</v>
      </c>
      <c r="G1187" t="s">
        <v>70</v>
      </c>
      <c r="H1187" t="s">
        <v>74</v>
      </c>
      <c r="I1187">
        <v>2</v>
      </c>
      <c r="J1187">
        <v>62782</v>
      </c>
      <c r="K1187">
        <v>0</v>
      </c>
      <c r="L1187">
        <v>125564</v>
      </c>
      <c r="M1187">
        <v>94780.05</v>
      </c>
      <c r="N1187">
        <v>30783.95</v>
      </c>
      <c r="O1187" t="s">
        <v>77</v>
      </c>
      <c r="P1187" t="s">
        <v>86</v>
      </c>
    </row>
    <row r="1188" spans="1:16" x14ac:dyDescent="0.25">
      <c r="A1188">
        <v>1187</v>
      </c>
      <c r="B1188" s="2">
        <v>45972</v>
      </c>
      <c r="C1188" t="s">
        <v>22</v>
      </c>
      <c r="D1188" t="s">
        <v>24</v>
      </c>
      <c r="E1188" t="s">
        <v>30</v>
      </c>
      <c r="F1188" t="s">
        <v>37</v>
      </c>
      <c r="G1188" t="s">
        <v>72</v>
      </c>
      <c r="H1188" t="s">
        <v>74</v>
      </c>
      <c r="I1188">
        <v>5</v>
      </c>
      <c r="J1188">
        <v>47975</v>
      </c>
      <c r="K1188">
        <v>0.05</v>
      </c>
      <c r="L1188">
        <v>227881.25</v>
      </c>
      <c r="M1188">
        <v>136133.73000000001</v>
      </c>
      <c r="N1188">
        <v>91747.520000000004</v>
      </c>
      <c r="O1188" t="s">
        <v>76</v>
      </c>
      <c r="P1188" t="s">
        <v>81</v>
      </c>
    </row>
    <row r="1189" spans="1:16" x14ac:dyDescent="0.25">
      <c r="A1189">
        <v>1188</v>
      </c>
      <c r="B1189" s="2">
        <v>45817</v>
      </c>
      <c r="C1189" t="s">
        <v>18</v>
      </c>
      <c r="D1189" t="s">
        <v>26</v>
      </c>
      <c r="E1189" t="s">
        <v>28</v>
      </c>
      <c r="F1189" t="s">
        <v>35</v>
      </c>
      <c r="G1189" t="s">
        <v>70</v>
      </c>
      <c r="H1189" t="s">
        <v>73</v>
      </c>
      <c r="I1189">
        <v>2</v>
      </c>
      <c r="J1189">
        <v>978</v>
      </c>
      <c r="K1189">
        <v>0.15</v>
      </c>
      <c r="L1189">
        <v>1662.6</v>
      </c>
      <c r="M1189">
        <v>1268.57</v>
      </c>
      <c r="N1189">
        <v>394.03</v>
      </c>
      <c r="O1189" t="s">
        <v>79</v>
      </c>
      <c r="P1189" t="s">
        <v>83</v>
      </c>
    </row>
    <row r="1190" spans="1:16" x14ac:dyDescent="0.25">
      <c r="A1190">
        <v>1189</v>
      </c>
      <c r="B1190" s="2">
        <v>45686</v>
      </c>
      <c r="C1190" t="s">
        <v>22</v>
      </c>
      <c r="D1190" t="s">
        <v>24</v>
      </c>
      <c r="E1190" t="s">
        <v>29</v>
      </c>
      <c r="F1190" t="s">
        <v>36</v>
      </c>
      <c r="G1190" t="s">
        <v>72</v>
      </c>
      <c r="H1190" t="s">
        <v>74</v>
      </c>
      <c r="I1190">
        <v>3</v>
      </c>
      <c r="J1190">
        <v>11391</v>
      </c>
      <c r="K1190">
        <v>0.05</v>
      </c>
      <c r="L1190">
        <v>32464.35</v>
      </c>
      <c r="M1190">
        <v>22885.84</v>
      </c>
      <c r="N1190">
        <v>9578.51</v>
      </c>
      <c r="O1190" t="s">
        <v>76</v>
      </c>
      <c r="P1190" t="s">
        <v>83</v>
      </c>
    </row>
    <row r="1191" spans="1:16" x14ac:dyDescent="0.25">
      <c r="A1191">
        <v>1190</v>
      </c>
      <c r="B1191" s="2">
        <v>45744</v>
      </c>
      <c r="C1191" t="s">
        <v>19</v>
      </c>
      <c r="D1191" t="s">
        <v>26</v>
      </c>
      <c r="E1191" t="s">
        <v>31</v>
      </c>
      <c r="F1191" t="s">
        <v>67</v>
      </c>
      <c r="G1191" t="s">
        <v>70</v>
      </c>
      <c r="H1191" t="s">
        <v>73</v>
      </c>
      <c r="I1191">
        <v>1</v>
      </c>
      <c r="J1191">
        <v>843</v>
      </c>
      <c r="K1191">
        <v>0.1</v>
      </c>
      <c r="L1191">
        <v>758.7</v>
      </c>
      <c r="M1191">
        <v>469.16</v>
      </c>
      <c r="N1191">
        <v>289.54000000000002</v>
      </c>
      <c r="O1191" t="s">
        <v>77</v>
      </c>
      <c r="P1191" t="s">
        <v>83</v>
      </c>
    </row>
    <row r="1192" spans="1:16" x14ac:dyDescent="0.25">
      <c r="A1192">
        <v>1191</v>
      </c>
      <c r="B1192" s="2">
        <v>45926</v>
      </c>
      <c r="C1192" t="s">
        <v>20</v>
      </c>
      <c r="D1192" t="s">
        <v>26</v>
      </c>
      <c r="E1192" t="s">
        <v>29</v>
      </c>
      <c r="F1192" t="s">
        <v>42</v>
      </c>
      <c r="G1192" t="s">
        <v>70</v>
      </c>
      <c r="H1192" t="s">
        <v>73</v>
      </c>
      <c r="I1192">
        <v>7</v>
      </c>
      <c r="J1192">
        <v>1778</v>
      </c>
      <c r="K1192">
        <v>0.05</v>
      </c>
      <c r="L1192">
        <v>11823.7</v>
      </c>
      <c r="M1192">
        <v>7858.27</v>
      </c>
      <c r="N1192">
        <v>3965.43</v>
      </c>
      <c r="O1192" t="s">
        <v>78</v>
      </c>
      <c r="P1192" t="s">
        <v>86</v>
      </c>
    </row>
    <row r="1193" spans="1:16" x14ac:dyDescent="0.25">
      <c r="A1193">
        <v>1192</v>
      </c>
      <c r="B1193" s="2">
        <v>45815</v>
      </c>
      <c r="C1193" t="s">
        <v>22</v>
      </c>
      <c r="D1193" t="s">
        <v>24</v>
      </c>
      <c r="E1193" t="s">
        <v>33</v>
      </c>
      <c r="F1193" t="s">
        <v>52</v>
      </c>
      <c r="G1193" t="s">
        <v>70</v>
      </c>
      <c r="H1193" t="s">
        <v>75</v>
      </c>
      <c r="I1193">
        <v>1</v>
      </c>
      <c r="J1193">
        <v>28654</v>
      </c>
      <c r="K1193">
        <v>0.1</v>
      </c>
      <c r="L1193">
        <v>25788.6</v>
      </c>
      <c r="M1193">
        <v>18898.16</v>
      </c>
      <c r="N1193">
        <v>6890.44</v>
      </c>
      <c r="O1193" t="s">
        <v>78</v>
      </c>
      <c r="P1193" t="s">
        <v>81</v>
      </c>
    </row>
    <row r="1194" spans="1:16" x14ac:dyDescent="0.25">
      <c r="A1194">
        <v>1193</v>
      </c>
      <c r="B1194" s="2">
        <v>45796</v>
      </c>
      <c r="C1194" t="s">
        <v>17</v>
      </c>
      <c r="D1194" t="s">
        <v>25</v>
      </c>
      <c r="E1194" t="s">
        <v>32</v>
      </c>
      <c r="F1194" t="s">
        <v>62</v>
      </c>
      <c r="G1194" t="s">
        <v>71</v>
      </c>
      <c r="H1194" t="s">
        <v>73</v>
      </c>
      <c r="I1194">
        <v>3</v>
      </c>
      <c r="J1194">
        <v>17897</v>
      </c>
      <c r="K1194">
        <v>0.15</v>
      </c>
      <c r="L1194">
        <v>45637.35</v>
      </c>
      <c r="M1194">
        <v>39294.26</v>
      </c>
      <c r="N1194">
        <v>6343.09</v>
      </c>
      <c r="O1194" t="s">
        <v>80</v>
      </c>
      <c r="P1194" t="s">
        <v>82</v>
      </c>
    </row>
    <row r="1195" spans="1:16" x14ac:dyDescent="0.25">
      <c r="A1195">
        <v>1194</v>
      </c>
      <c r="B1195" s="2">
        <v>45674</v>
      </c>
      <c r="C1195" t="s">
        <v>20</v>
      </c>
      <c r="D1195" t="s">
        <v>26</v>
      </c>
      <c r="E1195" t="s">
        <v>29</v>
      </c>
      <c r="F1195" t="s">
        <v>42</v>
      </c>
      <c r="G1195" t="s">
        <v>72</v>
      </c>
      <c r="H1195" t="s">
        <v>75</v>
      </c>
      <c r="I1195">
        <v>4</v>
      </c>
      <c r="J1195">
        <v>3523</v>
      </c>
      <c r="K1195">
        <v>0.05</v>
      </c>
      <c r="L1195">
        <v>13387.4</v>
      </c>
      <c r="M1195">
        <v>7907.15</v>
      </c>
      <c r="N1195">
        <v>5480.25</v>
      </c>
      <c r="O1195" t="s">
        <v>79</v>
      </c>
      <c r="P1195" t="s">
        <v>86</v>
      </c>
    </row>
    <row r="1196" spans="1:16" x14ac:dyDescent="0.25">
      <c r="A1196">
        <v>1195</v>
      </c>
      <c r="B1196" s="2">
        <v>45699</v>
      </c>
      <c r="C1196" t="s">
        <v>21</v>
      </c>
      <c r="D1196" t="s">
        <v>24</v>
      </c>
      <c r="E1196" t="s">
        <v>30</v>
      </c>
      <c r="F1196" t="s">
        <v>44</v>
      </c>
      <c r="G1196" t="s">
        <v>70</v>
      </c>
      <c r="H1196" t="s">
        <v>75</v>
      </c>
      <c r="I1196">
        <v>3</v>
      </c>
      <c r="J1196">
        <v>35012</v>
      </c>
      <c r="K1196">
        <v>0</v>
      </c>
      <c r="L1196">
        <v>105036</v>
      </c>
      <c r="M1196">
        <v>79666.960000000006</v>
      </c>
      <c r="N1196">
        <v>25369.040000000001</v>
      </c>
      <c r="O1196" t="s">
        <v>76</v>
      </c>
      <c r="P1196" t="s">
        <v>86</v>
      </c>
    </row>
    <row r="1197" spans="1:16" x14ac:dyDescent="0.25">
      <c r="A1197">
        <v>1196</v>
      </c>
      <c r="B1197" s="2">
        <v>45979</v>
      </c>
      <c r="C1197" t="s">
        <v>19</v>
      </c>
      <c r="D1197" t="s">
        <v>26</v>
      </c>
      <c r="E1197" t="s">
        <v>29</v>
      </c>
      <c r="F1197" t="s">
        <v>53</v>
      </c>
      <c r="G1197" t="s">
        <v>71</v>
      </c>
      <c r="H1197" t="s">
        <v>73</v>
      </c>
      <c r="I1197">
        <v>1</v>
      </c>
      <c r="J1197">
        <v>11651</v>
      </c>
      <c r="K1197">
        <v>0.05</v>
      </c>
      <c r="L1197">
        <v>11068.45</v>
      </c>
      <c r="M1197">
        <v>9622.4599999999991</v>
      </c>
      <c r="N1197">
        <v>1445.99</v>
      </c>
      <c r="O1197" t="s">
        <v>77</v>
      </c>
      <c r="P1197" t="s">
        <v>86</v>
      </c>
    </row>
    <row r="1198" spans="1:16" x14ac:dyDescent="0.25">
      <c r="A1198">
        <v>1197</v>
      </c>
      <c r="B1198" s="2">
        <v>45976</v>
      </c>
      <c r="C1198" t="s">
        <v>21</v>
      </c>
      <c r="D1198" t="s">
        <v>24</v>
      </c>
      <c r="E1198" t="s">
        <v>31</v>
      </c>
      <c r="F1198" t="s">
        <v>67</v>
      </c>
      <c r="G1198" t="s">
        <v>71</v>
      </c>
      <c r="H1198" t="s">
        <v>73</v>
      </c>
      <c r="I1198">
        <v>7</v>
      </c>
      <c r="J1198">
        <v>1961</v>
      </c>
      <c r="K1198">
        <v>0.1</v>
      </c>
      <c r="L1198">
        <v>12354.3</v>
      </c>
      <c r="M1198">
        <v>6981.29</v>
      </c>
      <c r="N1198">
        <v>5373.01</v>
      </c>
      <c r="O1198" t="s">
        <v>78</v>
      </c>
      <c r="P1198" t="s">
        <v>81</v>
      </c>
    </row>
    <row r="1199" spans="1:16" x14ac:dyDescent="0.25">
      <c r="A1199">
        <v>1198</v>
      </c>
      <c r="B1199" s="2">
        <v>45868</v>
      </c>
      <c r="C1199" t="s">
        <v>23</v>
      </c>
      <c r="D1199" t="s">
        <v>27</v>
      </c>
      <c r="E1199" t="s">
        <v>33</v>
      </c>
      <c r="F1199" t="s">
        <v>52</v>
      </c>
      <c r="G1199" t="s">
        <v>72</v>
      </c>
      <c r="H1199" t="s">
        <v>74</v>
      </c>
      <c r="I1199">
        <v>4</v>
      </c>
      <c r="J1199">
        <v>32692</v>
      </c>
      <c r="K1199">
        <v>0</v>
      </c>
      <c r="L1199">
        <v>130768</v>
      </c>
      <c r="M1199">
        <v>102401.19</v>
      </c>
      <c r="N1199">
        <v>28366.81</v>
      </c>
      <c r="O1199" t="s">
        <v>77</v>
      </c>
      <c r="P1199" t="s">
        <v>81</v>
      </c>
    </row>
    <row r="1200" spans="1:16" x14ac:dyDescent="0.25">
      <c r="A1200">
        <v>1199</v>
      </c>
      <c r="B1200" s="2">
        <v>45931</v>
      </c>
      <c r="C1200" t="s">
        <v>21</v>
      </c>
      <c r="D1200" t="s">
        <v>24</v>
      </c>
      <c r="E1200" t="s">
        <v>34</v>
      </c>
      <c r="F1200" t="s">
        <v>51</v>
      </c>
      <c r="G1200" t="s">
        <v>72</v>
      </c>
      <c r="H1200" t="s">
        <v>74</v>
      </c>
      <c r="I1200">
        <v>5</v>
      </c>
      <c r="J1200">
        <v>4808</v>
      </c>
      <c r="K1200">
        <v>0</v>
      </c>
      <c r="L1200">
        <v>24040</v>
      </c>
      <c r="M1200">
        <v>15909.33</v>
      </c>
      <c r="N1200">
        <v>8130.67</v>
      </c>
      <c r="O1200" t="s">
        <v>78</v>
      </c>
      <c r="P1200" t="s">
        <v>83</v>
      </c>
    </row>
    <row r="1201" spans="1:16" x14ac:dyDescent="0.25">
      <c r="A1201">
        <v>1200</v>
      </c>
      <c r="B1201" s="2">
        <v>45739</v>
      </c>
      <c r="C1201" t="s">
        <v>20</v>
      </c>
      <c r="D1201" t="s">
        <v>26</v>
      </c>
      <c r="E1201" t="s">
        <v>29</v>
      </c>
      <c r="F1201" t="s">
        <v>57</v>
      </c>
      <c r="G1201" t="s">
        <v>70</v>
      </c>
      <c r="H1201" t="s">
        <v>73</v>
      </c>
      <c r="I1201">
        <v>5</v>
      </c>
      <c r="J1201">
        <v>1006</v>
      </c>
      <c r="K1201">
        <v>0.15</v>
      </c>
      <c r="L1201">
        <v>4275.5</v>
      </c>
      <c r="M1201">
        <v>3197.09</v>
      </c>
      <c r="N1201">
        <v>1078.4100000000001</v>
      </c>
      <c r="O1201" t="s">
        <v>77</v>
      </c>
      <c r="P1201" t="s">
        <v>87</v>
      </c>
    </row>
    <row r="1202" spans="1:16" x14ac:dyDescent="0.25">
      <c r="A1202">
        <v>1201</v>
      </c>
      <c r="B1202" s="2">
        <v>45849</v>
      </c>
      <c r="C1202" t="s">
        <v>21</v>
      </c>
      <c r="D1202" t="s">
        <v>24</v>
      </c>
      <c r="E1202" t="s">
        <v>34</v>
      </c>
      <c r="F1202" t="s">
        <v>68</v>
      </c>
      <c r="G1202" t="s">
        <v>70</v>
      </c>
      <c r="H1202" t="s">
        <v>73</v>
      </c>
      <c r="I1202">
        <v>2</v>
      </c>
      <c r="J1202">
        <v>674</v>
      </c>
      <c r="K1202">
        <v>0</v>
      </c>
      <c r="L1202">
        <v>1348</v>
      </c>
      <c r="M1202">
        <v>974.22</v>
      </c>
      <c r="N1202">
        <v>373.78</v>
      </c>
      <c r="O1202" t="s">
        <v>76</v>
      </c>
      <c r="P1202" t="s">
        <v>87</v>
      </c>
    </row>
    <row r="1203" spans="1:16" x14ac:dyDescent="0.25">
      <c r="A1203">
        <v>1202</v>
      </c>
      <c r="B1203" s="2">
        <v>45761</v>
      </c>
      <c r="C1203" t="s">
        <v>17</v>
      </c>
      <c r="D1203" t="s">
        <v>25</v>
      </c>
      <c r="E1203" t="s">
        <v>33</v>
      </c>
      <c r="F1203" t="s">
        <v>41</v>
      </c>
      <c r="G1203" t="s">
        <v>72</v>
      </c>
      <c r="H1203" t="s">
        <v>73</v>
      </c>
      <c r="I1203">
        <v>7</v>
      </c>
      <c r="J1203">
        <v>42181</v>
      </c>
      <c r="K1203">
        <v>0</v>
      </c>
      <c r="L1203">
        <v>295267</v>
      </c>
      <c r="M1203">
        <v>164081.94</v>
      </c>
      <c r="N1203">
        <v>131185.06</v>
      </c>
      <c r="O1203" t="s">
        <v>76</v>
      </c>
      <c r="P1203" t="s">
        <v>86</v>
      </c>
    </row>
    <row r="1204" spans="1:16" x14ac:dyDescent="0.25">
      <c r="A1204">
        <v>1203</v>
      </c>
      <c r="B1204" s="2">
        <v>45973</v>
      </c>
      <c r="C1204" t="s">
        <v>19</v>
      </c>
      <c r="D1204" t="s">
        <v>26</v>
      </c>
      <c r="E1204" t="s">
        <v>30</v>
      </c>
      <c r="F1204" t="s">
        <v>40</v>
      </c>
      <c r="G1204" t="s">
        <v>71</v>
      </c>
      <c r="H1204" t="s">
        <v>74</v>
      </c>
      <c r="I1204">
        <v>2</v>
      </c>
      <c r="J1204">
        <v>48636</v>
      </c>
      <c r="K1204">
        <v>0.05</v>
      </c>
      <c r="L1204">
        <v>92408.4</v>
      </c>
      <c r="M1204">
        <v>50829.97</v>
      </c>
      <c r="N1204">
        <v>41578.43</v>
      </c>
      <c r="O1204" t="s">
        <v>77</v>
      </c>
      <c r="P1204" t="s">
        <v>85</v>
      </c>
    </row>
    <row r="1205" spans="1:16" x14ac:dyDescent="0.25">
      <c r="A1205">
        <v>1204</v>
      </c>
      <c r="B1205" s="2">
        <v>45971</v>
      </c>
      <c r="C1205" t="s">
        <v>20</v>
      </c>
      <c r="D1205" t="s">
        <v>26</v>
      </c>
      <c r="E1205" t="s">
        <v>28</v>
      </c>
      <c r="F1205" t="s">
        <v>58</v>
      </c>
      <c r="G1205" t="s">
        <v>70</v>
      </c>
      <c r="H1205" t="s">
        <v>74</v>
      </c>
      <c r="I1205">
        <v>5</v>
      </c>
      <c r="J1205">
        <v>173</v>
      </c>
      <c r="K1205">
        <v>0.1</v>
      </c>
      <c r="L1205">
        <v>778.5</v>
      </c>
      <c r="M1205">
        <v>538.57000000000005</v>
      </c>
      <c r="N1205">
        <v>239.93</v>
      </c>
      <c r="O1205" t="s">
        <v>78</v>
      </c>
      <c r="P1205" t="s">
        <v>85</v>
      </c>
    </row>
    <row r="1206" spans="1:16" x14ac:dyDescent="0.25">
      <c r="A1206">
        <v>1205</v>
      </c>
      <c r="B1206" s="2">
        <v>45909</v>
      </c>
      <c r="C1206" t="s">
        <v>17</v>
      </c>
      <c r="D1206" t="s">
        <v>25</v>
      </c>
      <c r="E1206" t="s">
        <v>30</v>
      </c>
      <c r="F1206" t="s">
        <v>37</v>
      </c>
      <c r="G1206" t="s">
        <v>70</v>
      </c>
      <c r="H1206" t="s">
        <v>74</v>
      </c>
      <c r="I1206">
        <v>4</v>
      </c>
      <c r="J1206">
        <v>21279</v>
      </c>
      <c r="K1206">
        <v>0.1</v>
      </c>
      <c r="L1206">
        <v>76604.399999999994</v>
      </c>
      <c r="M1206">
        <v>42711.57</v>
      </c>
      <c r="N1206">
        <v>33892.83</v>
      </c>
      <c r="O1206" t="s">
        <v>78</v>
      </c>
      <c r="P1206" t="s">
        <v>83</v>
      </c>
    </row>
    <row r="1207" spans="1:16" x14ac:dyDescent="0.25">
      <c r="A1207">
        <v>1206</v>
      </c>
      <c r="B1207" s="2">
        <v>45765</v>
      </c>
      <c r="C1207" t="s">
        <v>20</v>
      </c>
      <c r="D1207" t="s">
        <v>26</v>
      </c>
      <c r="E1207" t="s">
        <v>28</v>
      </c>
      <c r="F1207" t="s">
        <v>54</v>
      </c>
      <c r="G1207" t="s">
        <v>70</v>
      </c>
      <c r="H1207" t="s">
        <v>73</v>
      </c>
      <c r="I1207">
        <v>8</v>
      </c>
      <c r="J1207">
        <v>2448</v>
      </c>
      <c r="K1207">
        <v>0.1</v>
      </c>
      <c r="L1207">
        <v>17625.599999999999</v>
      </c>
      <c r="M1207">
        <v>12056.28</v>
      </c>
      <c r="N1207">
        <v>5569.32</v>
      </c>
      <c r="O1207" t="s">
        <v>78</v>
      </c>
      <c r="P1207" t="s">
        <v>83</v>
      </c>
    </row>
    <row r="1208" spans="1:16" x14ac:dyDescent="0.25">
      <c r="A1208">
        <v>1207</v>
      </c>
      <c r="B1208" s="2">
        <v>45984</v>
      </c>
      <c r="C1208" t="s">
        <v>23</v>
      </c>
      <c r="D1208" t="s">
        <v>27</v>
      </c>
      <c r="E1208" t="s">
        <v>31</v>
      </c>
      <c r="F1208" t="s">
        <v>38</v>
      </c>
      <c r="G1208" t="s">
        <v>72</v>
      </c>
      <c r="H1208" t="s">
        <v>73</v>
      </c>
      <c r="I1208">
        <v>5</v>
      </c>
      <c r="J1208">
        <v>889</v>
      </c>
      <c r="K1208">
        <v>0.05</v>
      </c>
      <c r="L1208">
        <v>4222.75</v>
      </c>
      <c r="M1208">
        <v>2755.9</v>
      </c>
      <c r="N1208">
        <v>1466.85</v>
      </c>
      <c r="O1208" t="s">
        <v>78</v>
      </c>
      <c r="P1208" t="s">
        <v>81</v>
      </c>
    </row>
    <row r="1209" spans="1:16" x14ac:dyDescent="0.25">
      <c r="A1209">
        <v>1208</v>
      </c>
      <c r="B1209" s="2">
        <v>45912</v>
      </c>
      <c r="C1209" t="s">
        <v>17</v>
      </c>
      <c r="D1209" t="s">
        <v>25</v>
      </c>
      <c r="E1209" t="s">
        <v>28</v>
      </c>
      <c r="F1209" t="s">
        <v>54</v>
      </c>
      <c r="G1209" t="s">
        <v>72</v>
      </c>
      <c r="H1209" t="s">
        <v>75</v>
      </c>
      <c r="I1209">
        <v>1</v>
      </c>
      <c r="J1209">
        <v>836</v>
      </c>
      <c r="K1209">
        <v>0.1</v>
      </c>
      <c r="L1209">
        <v>752.4</v>
      </c>
      <c r="M1209">
        <v>476.98</v>
      </c>
      <c r="N1209">
        <v>275.42</v>
      </c>
      <c r="O1209" t="s">
        <v>80</v>
      </c>
      <c r="P1209" t="s">
        <v>83</v>
      </c>
    </row>
    <row r="1210" spans="1:16" x14ac:dyDescent="0.25">
      <c r="A1210">
        <v>1209</v>
      </c>
      <c r="B1210" s="2">
        <v>45741</v>
      </c>
      <c r="C1210" t="s">
        <v>16</v>
      </c>
      <c r="D1210" t="s">
        <v>24</v>
      </c>
      <c r="E1210" t="s">
        <v>32</v>
      </c>
      <c r="F1210" t="s">
        <v>48</v>
      </c>
      <c r="G1210" t="s">
        <v>70</v>
      </c>
      <c r="H1210" t="s">
        <v>73</v>
      </c>
      <c r="I1210">
        <v>6</v>
      </c>
      <c r="J1210">
        <v>13129</v>
      </c>
      <c r="K1210">
        <v>0.15</v>
      </c>
      <c r="L1210">
        <v>66957.899999999994</v>
      </c>
      <c r="M1210">
        <v>42081.760000000002</v>
      </c>
      <c r="N1210">
        <v>24876.14</v>
      </c>
      <c r="O1210" t="s">
        <v>78</v>
      </c>
      <c r="P1210" t="s">
        <v>83</v>
      </c>
    </row>
    <row r="1211" spans="1:16" x14ac:dyDescent="0.25">
      <c r="A1211">
        <v>1210</v>
      </c>
      <c r="B1211" s="2">
        <v>45829</v>
      </c>
      <c r="C1211" t="s">
        <v>21</v>
      </c>
      <c r="D1211" t="s">
        <v>24</v>
      </c>
      <c r="E1211" t="s">
        <v>33</v>
      </c>
      <c r="F1211" t="s">
        <v>52</v>
      </c>
      <c r="G1211" t="s">
        <v>72</v>
      </c>
      <c r="H1211" t="s">
        <v>74</v>
      </c>
      <c r="I1211">
        <v>4</v>
      </c>
      <c r="J1211">
        <v>49038</v>
      </c>
      <c r="K1211">
        <v>0</v>
      </c>
      <c r="L1211">
        <v>196152</v>
      </c>
      <c r="M1211">
        <v>115834.18</v>
      </c>
      <c r="N1211">
        <v>80317.820000000007</v>
      </c>
      <c r="O1211" t="s">
        <v>80</v>
      </c>
      <c r="P1211" t="s">
        <v>85</v>
      </c>
    </row>
    <row r="1212" spans="1:16" x14ac:dyDescent="0.25">
      <c r="A1212">
        <v>1211</v>
      </c>
      <c r="B1212" s="2">
        <v>45843</v>
      </c>
      <c r="C1212" t="s">
        <v>23</v>
      </c>
      <c r="D1212" t="s">
        <v>27</v>
      </c>
      <c r="E1212" t="s">
        <v>29</v>
      </c>
      <c r="F1212" t="s">
        <v>53</v>
      </c>
      <c r="G1212" t="s">
        <v>72</v>
      </c>
      <c r="H1212" t="s">
        <v>74</v>
      </c>
      <c r="I1212">
        <v>6</v>
      </c>
      <c r="J1212">
        <v>11966</v>
      </c>
      <c r="K1212">
        <v>0.1</v>
      </c>
      <c r="L1212">
        <v>64616.4</v>
      </c>
      <c r="M1212">
        <v>43312.9</v>
      </c>
      <c r="N1212">
        <v>21303.5</v>
      </c>
      <c r="O1212" t="s">
        <v>79</v>
      </c>
      <c r="P1212" t="s">
        <v>86</v>
      </c>
    </row>
    <row r="1213" spans="1:16" x14ac:dyDescent="0.25">
      <c r="A1213">
        <v>1212</v>
      </c>
      <c r="B1213" s="2">
        <v>45800</v>
      </c>
      <c r="C1213" t="s">
        <v>22</v>
      </c>
      <c r="D1213" t="s">
        <v>24</v>
      </c>
      <c r="E1213" t="s">
        <v>32</v>
      </c>
      <c r="F1213" t="s">
        <v>39</v>
      </c>
      <c r="G1213" t="s">
        <v>72</v>
      </c>
      <c r="H1213" t="s">
        <v>74</v>
      </c>
      <c r="I1213">
        <v>3</v>
      </c>
      <c r="J1213">
        <v>21012</v>
      </c>
      <c r="K1213">
        <v>0.05</v>
      </c>
      <c r="L1213">
        <v>59884.2</v>
      </c>
      <c r="M1213">
        <v>46175.7</v>
      </c>
      <c r="N1213">
        <v>13708.5</v>
      </c>
      <c r="O1213" t="s">
        <v>79</v>
      </c>
      <c r="P1213" t="s">
        <v>82</v>
      </c>
    </row>
    <row r="1214" spans="1:16" x14ac:dyDescent="0.25">
      <c r="A1214">
        <v>1213</v>
      </c>
      <c r="B1214" s="2">
        <v>45867</v>
      </c>
      <c r="C1214" t="s">
        <v>20</v>
      </c>
      <c r="D1214" t="s">
        <v>26</v>
      </c>
      <c r="E1214" t="s">
        <v>31</v>
      </c>
      <c r="F1214" t="s">
        <v>67</v>
      </c>
      <c r="G1214" t="s">
        <v>71</v>
      </c>
      <c r="H1214" t="s">
        <v>75</v>
      </c>
      <c r="I1214">
        <v>6</v>
      </c>
      <c r="J1214">
        <v>2156</v>
      </c>
      <c r="K1214">
        <v>0.05</v>
      </c>
      <c r="L1214">
        <v>12289.2</v>
      </c>
      <c r="M1214">
        <v>9155.64</v>
      </c>
      <c r="N1214">
        <v>3133.56</v>
      </c>
      <c r="O1214" t="s">
        <v>78</v>
      </c>
      <c r="P1214" t="s">
        <v>81</v>
      </c>
    </row>
    <row r="1215" spans="1:16" x14ac:dyDescent="0.25">
      <c r="A1215">
        <v>1214</v>
      </c>
      <c r="B1215" s="2">
        <v>45760</v>
      </c>
      <c r="C1215" t="s">
        <v>18</v>
      </c>
      <c r="D1215" t="s">
        <v>26</v>
      </c>
      <c r="E1215" t="s">
        <v>28</v>
      </c>
      <c r="F1215" t="s">
        <v>63</v>
      </c>
      <c r="G1215" t="s">
        <v>72</v>
      </c>
      <c r="H1215" t="s">
        <v>74</v>
      </c>
      <c r="I1215">
        <v>4</v>
      </c>
      <c r="J1215">
        <v>1155</v>
      </c>
      <c r="K1215">
        <v>0.15</v>
      </c>
      <c r="L1215">
        <v>3927</v>
      </c>
      <c r="M1215">
        <v>2689.37</v>
      </c>
      <c r="N1215">
        <v>1237.6300000000001</v>
      </c>
      <c r="O1215" t="s">
        <v>78</v>
      </c>
      <c r="P1215" t="s">
        <v>85</v>
      </c>
    </row>
    <row r="1216" spans="1:16" x14ac:dyDescent="0.25">
      <c r="A1216">
        <v>1215</v>
      </c>
      <c r="B1216" s="2">
        <v>45928</v>
      </c>
      <c r="C1216" t="s">
        <v>21</v>
      </c>
      <c r="D1216" t="s">
        <v>24</v>
      </c>
      <c r="E1216" t="s">
        <v>34</v>
      </c>
      <c r="F1216" t="s">
        <v>65</v>
      </c>
      <c r="G1216" t="s">
        <v>71</v>
      </c>
      <c r="H1216" t="s">
        <v>73</v>
      </c>
      <c r="I1216">
        <v>2</v>
      </c>
      <c r="J1216">
        <v>265</v>
      </c>
      <c r="K1216">
        <v>0</v>
      </c>
      <c r="L1216">
        <v>530</v>
      </c>
      <c r="M1216">
        <v>428.39</v>
      </c>
      <c r="N1216">
        <v>101.61</v>
      </c>
      <c r="O1216" t="s">
        <v>80</v>
      </c>
      <c r="P1216" t="s">
        <v>87</v>
      </c>
    </row>
    <row r="1217" spans="1:16" x14ac:dyDescent="0.25">
      <c r="A1217">
        <v>1216</v>
      </c>
      <c r="B1217" s="2">
        <v>45888</v>
      </c>
      <c r="C1217" t="s">
        <v>20</v>
      </c>
      <c r="D1217" t="s">
        <v>26</v>
      </c>
      <c r="E1217" t="s">
        <v>34</v>
      </c>
      <c r="F1217" t="s">
        <v>55</v>
      </c>
      <c r="G1217" t="s">
        <v>70</v>
      </c>
      <c r="H1217" t="s">
        <v>75</v>
      </c>
      <c r="I1217">
        <v>7</v>
      </c>
      <c r="J1217">
        <v>5788</v>
      </c>
      <c r="K1217">
        <v>0</v>
      </c>
      <c r="L1217">
        <v>40516</v>
      </c>
      <c r="M1217">
        <v>22502.76</v>
      </c>
      <c r="N1217">
        <v>18013.240000000002</v>
      </c>
      <c r="O1217" t="s">
        <v>79</v>
      </c>
      <c r="P1217" t="s">
        <v>87</v>
      </c>
    </row>
    <row r="1218" spans="1:16" x14ac:dyDescent="0.25">
      <c r="A1218">
        <v>1217</v>
      </c>
      <c r="B1218" s="2">
        <v>45844</v>
      </c>
      <c r="C1218" t="s">
        <v>21</v>
      </c>
      <c r="D1218" t="s">
        <v>24</v>
      </c>
      <c r="E1218" t="s">
        <v>29</v>
      </c>
      <c r="F1218" t="s">
        <v>36</v>
      </c>
      <c r="G1218" t="s">
        <v>70</v>
      </c>
      <c r="H1218" t="s">
        <v>75</v>
      </c>
      <c r="I1218">
        <v>4</v>
      </c>
      <c r="J1218">
        <v>1945</v>
      </c>
      <c r="K1218">
        <v>0.1</v>
      </c>
      <c r="L1218">
        <v>7002</v>
      </c>
      <c r="M1218">
        <v>6083.84</v>
      </c>
      <c r="N1218">
        <v>918.16</v>
      </c>
      <c r="O1218" t="s">
        <v>76</v>
      </c>
      <c r="P1218" t="s">
        <v>86</v>
      </c>
    </row>
    <row r="1219" spans="1:16" x14ac:dyDescent="0.25">
      <c r="A1219">
        <v>1218</v>
      </c>
      <c r="B1219" s="2">
        <v>45824</v>
      </c>
      <c r="C1219" t="s">
        <v>18</v>
      </c>
      <c r="D1219" t="s">
        <v>26</v>
      </c>
      <c r="E1219" t="s">
        <v>28</v>
      </c>
      <c r="F1219" t="s">
        <v>61</v>
      </c>
      <c r="G1219" t="s">
        <v>72</v>
      </c>
      <c r="H1219" t="s">
        <v>74</v>
      </c>
      <c r="I1219">
        <v>1</v>
      </c>
      <c r="J1219">
        <v>2422</v>
      </c>
      <c r="K1219">
        <v>0.05</v>
      </c>
      <c r="L1219">
        <v>2300.9</v>
      </c>
      <c r="M1219">
        <v>1623.09</v>
      </c>
      <c r="N1219">
        <v>677.81</v>
      </c>
      <c r="O1219" t="s">
        <v>76</v>
      </c>
      <c r="P1219" t="s">
        <v>88</v>
      </c>
    </row>
    <row r="1220" spans="1:16" x14ac:dyDescent="0.25">
      <c r="A1220">
        <v>1219</v>
      </c>
      <c r="B1220" s="2">
        <v>45661</v>
      </c>
      <c r="C1220" t="s">
        <v>23</v>
      </c>
      <c r="D1220" t="s">
        <v>27</v>
      </c>
      <c r="E1220" t="s">
        <v>31</v>
      </c>
      <c r="F1220" t="s">
        <v>69</v>
      </c>
      <c r="G1220" t="s">
        <v>70</v>
      </c>
      <c r="H1220" t="s">
        <v>75</v>
      </c>
      <c r="I1220">
        <v>2</v>
      </c>
      <c r="J1220">
        <v>217</v>
      </c>
      <c r="K1220">
        <v>0.05</v>
      </c>
      <c r="L1220">
        <v>412.3</v>
      </c>
      <c r="M1220">
        <v>311.51</v>
      </c>
      <c r="N1220">
        <v>100.79</v>
      </c>
      <c r="O1220" t="s">
        <v>79</v>
      </c>
      <c r="P1220" t="s">
        <v>81</v>
      </c>
    </row>
    <row r="1221" spans="1:16" x14ac:dyDescent="0.25">
      <c r="A1221">
        <v>1220</v>
      </c>
      <c r="B1221" s="2">
        <v>45670</v>
      </c>
      <c r="C1221" t="s">
        <v>20</v>
      </c>
      <c r="D1221" t="s">
        <v>26</v>
      </c>
      <c r="E1221" t="s">
        <v>34</v>
      </c>
      <c r="F1221" t="s">
        <v>43</v>
      </c>
      <c r="G1221" t="s">
        <v>70</v>
      </c>
      <c r="H1221" t="s">
        <v>74</v>
      </c>
      <c r="I1221">
        <v>3</v>
      </c>
      <c r="J1221">
        <v>1217</v>
      </c>
      <c r="K1221">
        <v>0</v>
      </c>
      <c r="L1221">
        <v>3651</v>
      </c>
      <c r="M1221">
        <v>3166.23</v>
      </c>
      <c r="N1221">
        <v>484.77</v>
      </c>
      <c r="O1221" t="s">
        <v>79</v>
      </c>
      <c r="P1221" t="s">
        <v>86</v>
      </c>
    </row>
    <row r="1222" spans="1:16" x14ac:dyDescent="0.25">
      <c r="A1222">
        <v>1221</v>
      </c>
      <c r="B1222" s="2">
        <v>45948</v>
      </c>
      <c r="C1222" t="s">
        <v>20</v>
      </c>
      <c r="D1222" t="s">
        <v>26</v>
      </c>
      <c r="E1222" t="s">
        <v>30</v>
      </c>
      <c r="F1222" t="s">
        <v>37</v>
      </c>
      <c r="G1222" t="s">
        <v>70</v>
      </c>
      <c r="H1222" t="s">
        <v>73</v>
      </c>
      <c r="I1222">
        <v>2</v>
      </c>
      <c r="J1222">
        <v>40057</v>
      </c>
      <c r="K1222">
        <v>0.15</v>
      </c>
      <c r="L1222">
        <v>68096.899999999994</v>
      </c>
      <c r="M1222">
        <v>38043.97</v>
      </c>
      <c r="N1222">
        <v>30052.93</v>
      </c>
      <c r="O1222" t="s">
        <v>79</v>
      </c>
      <c r="P1222" t="s">
        <v>86</v>
      </c>
    </row>
    <row r="1223" spans="1:16" x14ac:dyDescent="0.25">
      <c r="A1223">
        <v>1222</v>
      </c>
      <c r="B1223" s="2">
        <v>45943</v>
      </c>
      <c r="C1223" t="s">
        <v>23</v>
      </c>
      <c r="D1223" t="s">
        <v>27</v>
      </c>
      <c r="E1223" t="s">
        <v>34</v>
      </c>
      <c r="F1223" t="s">
        <v>68</v>
      </c>
      <c r="G1223" t="s">
        <v>70</v>
      </c>
      <c r="H1223" t="s">
        <v>73</v>
      </c>
      <c r="I1223">
        <v>1</v>
      </c>
      <c r="J1223">
        <v>5178</v>
      </c>
      <c r="K1223">
        <v>0</v>
      </c>
      <c r="L1223">
        <v>5178</v>
      </c>
      <c r="M1223">
        <v>3536.34</v>
      </c>
      <c r="N1223">
        <v>1641.66</v>
      </c>
      <c r="O1223" t="s">
        <v>80</v>
      </c>
      <c r="P1223" t="s">
        <v>87</v>
      </c>
    </row>
    <row r="1224" spans="1:16" x14ac:dyDescent="0.25">
      <c r="A1224">
        <v>1223</v>
      </c>
      <c r="B1224" s="2">
        <v>46011</v>
      </c>
      <c r="C1224" t="s">
        <v>20</v>
      </c>
      <c r="D1224" t="s">
        <v>26</v>
      </c>
      <c r="E1224" t="s">
        <v>33</v>
      </c>
      <c r="F1224" t="s">
        <v>46</v>
      </c>
      <c r="G1224" t="s">
        <v>72</v>
      </c>
      <c r="H1224" t="s">
        <v>73</v>
      </c>
      <c r="I1224">
        <v>8</v>
      </c>
      <c r="J1224">
        <v>33732</v>
      </c>
      <c r="K1224">
        <v>0.05</v>
      </c>
      <c r="L1224">
        <v>256363.2</v>
      </c>
      <c r="M1224">
        <v>156462.41</v>
      </c>
      <c r="N1224">
        <v>99900.79</v>
      </c>
      <c r="O1224" t="s">
        <v>79</v>
      </c>
      <c r="P1224" t="s">
        <v>85</v>
      </c>
    </row>
    <row r="1225" spans="1:16" x14ac:dyDescent="0.25">
      <c r="A1225">
        <v>1224</v>
      </c>
      <c r="B1225" s="2">
        <v>45883</v>
      </c>
      <c r="C1225" t="s">
        <v>19</v>
      </c>
      <c r="D1225" t="s">
        <v>26</v>
      </c>
      <c r="E1225" t="s">
        <v>34</v>
      </c>
      <c r="F1225" t="s">
        <v>51</v>
      </c>
      <c r="G1225" t="s">
        <v>71</v>
      </c>
      <c r="H1225" t="s">
        <v>75</v>
      </c>
      <c r="I1225">
        <v>7</v>
      </c>
      <c r="J1225">
        <v>4202</v>
      </c>
      <c r="K1225">
        <v>0.15</v>
      </c>
      <c r="L1225">
        <v>25001.9</v>
      </c>
      <c r="M1225">
        <v>15095.21</v>
      </c>
      <c r="N1225">
        <v>9906.69</v>
      </c>
      <c r="O1225" t="s">
        <v>79</v>
      </c>
      <c r="P1225" t="s">
        <v>88</v>
      </c>
    </row>
    <row r="1226" spans="1:16" x14ac:dyDescent="0.25">
      <c r="A1226">
        <v>1225</v>
      </c>
      <c r="B1226" s="2">
        <v>45764</v>
      </c>
      <c r="C1226" t="s">
        <v>18</v>
      </c>
      <c r="D1226" t="s">
        <v>26</v>
      </c>
      <c r="E1226" t="s">
        <v>31</v>
      </c>
      <c r="F1226" t="s">
        <v>50</v>
      </c>
      <c r="G1226" t="s">
        <v>70</v>
      </c>
      <c r="H1226" t="s">
        <v>75</v>
      </c>
      <c r="I1226">
        <v>3</v>
      </c>
      <c r="J1226">
        <v>1307</v>
      </c>
      <c r="K1226">
        <v>0.1</v>
      </c>
      <c r="L1226">
        <v>3528.9</v>
      </c>
      <c r="M1226">
        <v>2842.4</v>
      </c>
      <c r="N1226">
        <v>686.5</v>
      </c>
      <c r="O1226" t="s">
        <v>77</v>
      </c>
      <c r="P1226" t="s">
        <v>84</v>
      </c>
    </row>
    <row r="1227" spans="1:16" x14ac:dyDescent="0.25">
      <c r="A1227">
        <v>1226</v>
      </c>
      <c r="B1227" s="2">
        <v>45737</v>
      </c>
      <c r="C1227" t="s">
        <v>20</v>
      </c>
      <c r="D1227" t="s">
        <v>26</v>
      </c>
      <c r="E1227" t="s">
        <v>30</v>
      </c>
      <c r="F1227" t="s">
        <v>56</v>
      </c>
      <c r="G1227" t="s">
        <v>71</v>
      </c>
      <c r="H1227" t="s">
        <v>74</v>
      </c>
      <c r="I1227">
        <v>7</v>
      </c>
      <c r="J1227">
        <v>45879</v>
      </c>
      <c r="K1227">
        <v>0</v>
      </c>
      <c r="L1227">
        <v>321153</v>
      </c>
      <c r="M1227">
        <v>237314.92</v>
      </c>
      <c r="N1227">
        <v>83838.080000000002</v>
      </c>
      <c r="O1227" t="s">
        <v>78</v>
      </c>
      <c r="P1227" t="s">
        <v>84</v>
      </c>
    </row>
    <row r="1228" spans="1:16" x14ac:dyDescent="0.25">
      <c r="A1228">
        <v>1227</v>
      </c>
      <c r="B1228" s="2">
        <v>45837</v>
      </c>
      <c r="C1228" t="s">
        <v>19</v>
      </c>
      <c r="D1228" t="s">
        <v>26</v>
      </c>
      <c r="E1228" t="s">
        <v>34</v>
      </c>
      <c r="F1228" t="s">
        <v>43</v>
      </c>
      <c r="G1228" t="s">
        <v>71</v>
      </c>
      <c r="H1228" t="s">
        <v>73</v>
      </c>
      <c r="I1228">
        <v>7</v>
      </c>
      <c r="J1228">
        <v>5451</v>
      </c>
      <c r="K1228">
        <v>0.15</v>
      </c>
      <c r="L1228">
        <v>32433.45</v>
      </c>
      <c r="M1228">
        <v>20975.89</v>
      </c>
      <c r="N1228">
        <v>11457.56</v>
      </c>
      <c r="O1228" t="s">
        <v>79</v>
      </c>
      <c r="P1228" t="s">
        <v>87</v>
      </c>
    </row>
    <row r="1229" spans="1:16" x14ac:dyDescent="0.25">
      <c r="A1229">
        <v>1228</v>
      </c>
      <c r="B1229" s="2">
        <v>45923</v>
      </c>
      <c r="C1229" t="s">
        <v>20</v>
      </c>
      <c r="D1229" t="s">
        <v>26</v>
      </c>
      <c r="E1229" t="s">
        <v>28</v>
      </c>
      <c r="F1229" t="s">
        <v>54</v>
      </c>
      <c r="G1229" t="s">
        <v>72</v>
      </c>
      <c r="H1229" t="s">
        <v>74</v>
      </c>
      <c r="I1229">
        <v>4</v>
      </c>
      <c r="J1229">
        <v>2447</v>
      </c>
      <c r="K1229">
        <v>0.05</v>
      </c>
      <c r="L1229">
        <v>9298.6</v>
      </c>
      <c r="M1229">
        <v>7708.17</v>
      </c>
      <c r="N1229">
        <v>1590.43</v>
      </c>
      <c r="O1229" t="s">
        <v>79</v>
      </c>
      <c r="P1229" t="s">
        <v>84</v>
      </c>
    </row>
    <row r="1230" spans="1:16" x14ac:dyDescent="0.25">
      <c r="A1230">
        <v>1229</v>
      </c>
      <c r="B1230" s="2">
        <v>45842</v>
      </c>
      <c r="C1230" t="s">
        <v>17</v>
      </c>
      <c r="D1230" t="s">
        <v>25</v>
      </c>
      <c r="E1230" t="s">
        <v>31</v>
      </c>
      <c r="F1230" t="s">
        <v>38</v>
      </c>
      <c r="G1230" t="s">
        <v>71</v>
      </c>
      <c r="H1230" t="s">
        <v>75</v>
      </c>
      <c r="I1230">
        <v>8</v>
      </c>
      <c r="J1230">
        <v>1970</v>
      </c>
      <c r="K1230">
        <v>0.1</v>
      </c>
      <c r="L1230">
        <v>14184</v>
      </c>
      <c r="M1230">
        <v>8598.35</v>
      </c>
      <c r="N1230">
        <v>5585.65</v>
      </c>
      <c r="O1230" t="s">
        <v>79</v>
      </c>
      <c r="P1230" t="s">
        <v>82</v>
      </c>
    </row>
    <row r="1231" spans="1:16" x14ac:dyDescent="0.25">
      <c r="A1231">
        <v>1230</v>
      </c>
      <c r="B1231" s="2">
        <v>45884</v>
      </c>
      <c r="C1231" t="s">
        <v>20</v>
      </c>
      <c r="D1231" t="s">
        <v>26</v>
      </c>
      <c r="E1231" t="s">
        <v>33</v>
      </c>
      <c r="F1231" t="s">
        <v>52</v>
      </c>
      <c r="G1231" t="s">
        <v>70</v>
      </c>
      <c r="H1231" t="s">
        <v>74</v>
      </c>
      <c r="I1231">
        <v>2</v>
      </c>
      <c r="J1231">
        <v>14446</v>
      </c>
      <c r="K1231">
        <v>0.1</v>
      </c>
      <c r="L1231">
        <v>26002.799999999999</v>
      </c>
      <c r="M1231">
        <v>18319.740000000002</v>
      </c>
      <c r="N1231">
        <v>7683.06</v>
      </c>
      <c r="O1231" t="s">
        <v>78</v>
      </c>
      <c r="P1231" t="s">
        <v>87</v>
      </c>
    </row>
    <row r="1232" spans="1:16" x14ac:dyDescent="0.25">
      <c r="A1232">
        <v>1231</v>
      </c>
      <c r="B1232" s="2">
        <v>45738</v>
      </c>
      <c r="C1232" t="s">
        <v>16</v>
      </c>
      <c r="D1232" t="s">
        <v>24</v>
      </c>
      <c r="E1232" t="s">
        <v>33</v>
      </c>
      <c r="F1232" t="s">
        <v>52</v>
      </c>
      <c r="G1232" t="s">
        <v>70</v>
      </c>
      <c r="H1232" t="s">
        <v>75</v>
      </c>
      <c r="I1232">
        <v>2</v>
      </c>
      <c r="J1232">
        <v>20078</v>
      </c>
      <c r="K1232">
        <v>0</v>
      </c>
      <c r="L1232">
        <v>40156</v>
      </c>
      <c r="M1232">
        <v>26022.7</v>
      </c>
      <c r="N1232">
        <v>14133.3</v>
      </c>
      <c r="O1232" t="s">
        <v>79</v>
      </c>
      <c r="P1232" t="s">
        <v>81</v>
      </c>
    </row>
    <row r="1233" spans="1:16" x14ac:dyDescent="0.25">
      <c r="A1233">
        <v>1232</v>
      </c>
      <c r="B1233" s="2">
        <v>45899</v>
      </c>
      <c r="C1233" t="s">
        <v>19</v>
      </c>
      <c r="D1233" t="s">
        <v>26</v>
      </c>
      <c r="E1233" t="s">
        <v>32</v>
      </c>
      <c r="F1233" t="s">
        <v>66</v>
      </c>
      <c r="G1233" t="s">
        <v>71</v>
      </c>
      <c r="H1233" t="s">
        <v>75</v>
      </c>
      <c r="I1233">
        <v>8</v>
      </c>
      <c r="J1233">
        <v>4423</v>
      </c>
      <c r="K1233">
        <v>0.15</v>
      </c>
      <c r="L1233">
        <v>30076.400000000001</v>
      </c>
      <c r="M1233">
        <v>17093.34</v>
      </c>
      <c r="N1233">
        <v>12983.06</v>
      </c>
      <c r="O1233" t="s">
        <v>76</v>
      </c>
      <c r="P1233" t="s">
        <v>83</v>
      </c>
    </row>
    <row r="1234" spans="1:16" x14ac:dyDescent="0.25">
      <c r="A1234">
        <v>1233</v>
      </c>
      <c r="B1234" s="2">
        <v>45676</v>
      </c>
      <c r="C1234" t="s">
        <v>20</v>
      </c>
      <c r="D1234" t="s">
        <v>26</v>
      </c>
      <c r="E1234" t="s">
        <v>29</v>
      </c>
      <c r="F1234" t="s">
        <v>53</v>
      </c>
      <c r="G1234" t="s">
        <v>72</v>
      </c>
      <c r="H1234" t="s">
        <v>75</v>
      </c>
      <c r="I1234">
        <v>2</v>
      </c>
      <c r="J1234">
        <v>5499</v>
      </c>
      <c r="K1234">
        <v>0.15</v>
      </c>
      <c r="L1234">
        <v>9348.2999999999993</v>
      </c>
      <c r="M1234">
        <v>6546.32</v>
      </c>
      <c r="N1234">
        <v>2801.98</v>
      </c>
      <c r="O1234" t="s">
        <v>79</v>
      </c>
      <c r="P1234" t="s">
        <v>86</v>
      </c>
    </row>
    <row r="1235" spans="1:16" x14ac:dyDescent="0.25">
      <c r="A1235">
        <v>1234</v>
      </c>
      <c r="B1235" s="2">
        <v>45732</v>
      </c>
      <c r="C1235" t="s">
        <v>19</v>
      </c>
      <c r="D1235" t="s">
        <v>26</v>
      </c>
      <c r="E1235" t="s">
        <v>32</v>
      </c>
      <c r="F1235" t="s">
        <v>39</v>
      </c>
      <c r="G1235" t="s">
        <v>71</v>
      </c>
      <c r="H1235" t="s">
        <v>74</v>
      </c>
      <c r="I1235">
        <v>5</v>
      </c>
      <c r="J1235">
        <v>3982</v>
      </c>
      <c r="K1235">
        <v>0.1</v>
      </c>
      <c r="L1235">
        <v>17919</v>
      </c>
      <c r="M1235">
        <v>12086.69</v>
      </c>
      <c r="N1235">
        <v>5832.31</v>
      </c>
      <c r="O1235" t="s">
        <v>76</v>
      </c>
      <c r="P1235" t="s">
        <v>84</v>
      </c>
    </row>
    <row r="1236" spans="1:16" x14ac:dyDescent="0.25">
      <c r="A1236">
        <v>1235</v>
      </c>
      <c r="B1236" s="2">
        <v>45903</v>
      </c>
      <c r="C1236" t="s">
        <v>17</v>
      </c>
      <c r="D1236" t="s">
        <v>25</v>
      </c>
      <c r="E1236" t="s">
        <v>34</v>
      </c>
      <c r="F1236" t="s">
        <v>55</v>
      </c>
      <c r="G1236" t="s">
        <v>70</v>
      </c>
      <c r="H1236" t="s">
        <v>74</v>
      </c>
      <c r="I1236">
        <v>5</v>
      </c>
      <c r="J1236">
        <v>1004</v>
      </c>
      <c r="K1236">
        <v>0.1</v>
      </c>
      <c r="L1236">
        <v>4518</v>
      </c>
      <c r="M1236">
        <v>3840.27</v>
      </c>
      <c r="N1236">
        <v>677.73</v>
      </c>
      <c r="O1236" t="s">
        <v>77</v>
      </c>
      <c r="P1236" t="s">
        <v>81</v>
      </c>
    </row>
    <row r="1237" spans="1:16" x14ac:dyDescent="0.25">
      <c r="A1237">
        <v>1236</v>
      </c>
      <c r="B1237" s="2">
        <v>45897</v>
      </c>
      <c r="C1237" t="s">
        <v>20</v>
      </c>
      <c r="D1237" t="s">
        <v>26</v>
      </c>
      <c r="E1237" t="s">
        <v>34</v>
      </c>
      <c r="F1237" t="s">
        <v>51</v>
      </c>
      <c r="G1237" t="s">
        <v>71</v>
      </c>
      <c r="H1237" t="s">
        <v>75</v>
      </c>
      <c r="I1237">
        <v>3</v>
      </c>
      <c r="J1237">
        <v>2704</v>
      </c>
      <c r="K1237">
        <v>0.05</v>
      </c>
      <c r="L1237">
        <v>7706.4</v>
      </c>
      <c r="M1237">
        <v>6525.71</v>
      </c>
      <c r="N1237">
        <v>1180.69</v>
      </c>
      <c r="O1237" t="s">
        <v>79</v>
      </c>
      <c r="P1237" t="s">
        <v>85</v>
      </c>
    </row>
    <row r="1238" spans="1:16" x14ac:dyDescent="0.25">
      <c r="A1238">
        <v>1237</v>
      </c>
      <c r="B1238" s="2">
        <v>45889</v>
      </c>
      <c r="C1238" t="s">
        <v>22</v>
      </c>
      <c r="D1238" t="s">
        <v>24</v>
      </c>
      <c r="E1238" t="s">
        <v>34</v>
      </c>
      <c r="F1238" t="s">
        <v>51</v>
      </c>
      <c r="G1238" t="s">
        <v>70</v>
      </c>
      <c r="H1238" t="s">
        <v>75</v>
      </c>
      <c r="I1238">
        <v>6</v>
      </c>
      <c r="J1238">
        <v>1863</v>
      </c>
      <c r="K1238">
        <v>0.1</v>
      </c>
      <c r="L1238">
        <v>10060.200000000001</v>
      </c>
      <c r="M1238">
        <v>8374.84</v>
      </c>
      <c r="N1238">
        <v>1685.36</v>
      </c>
      <c r="O1238" t="s">
        <v>79</v>
      </c>
      <c r="P1238" t="s">
        <v>81</v>
      </c>
    </row>
    <row r="1239" spans="1:16" x14ac:dyDescent="0.25">
      <c r="A1239">
        <v>1238</v>
      </c>
      <c r="B1239" s="2">
        <v>45941</v>
      </c>
      <c r="C1239" t="s">
        <v>21</v>
      </c>
      <c r="D1239" t="s">
        <v>24</v>
      </c>
      <c r="E1239" t="s">
        <v>28</v>
      </c>
      <c r="F1239" t="s">
        <v>35</v>
      </c>
      <c r="G1239" t="s">
        <v>72</v>
      </c>
      <c r="H1239" t="s">
        <v>73</v>
      </c>
      <c r="I1239">
        <v>6</v>
      </c>
      <c r="J1239">
        <v>1257</v>
      </c>
      <c r="K1239">
        <v>0.05</v>
      </c>
      <c r="L1239">
        <v>7164.9</v>
      </c>
      <c r="M1239">
        <v>5109.46</v>
      </c>
      <c r="N1239">
        <v>2055.44</v>
      </c>
      <c r="O1239" t="s">
        <v>76</v>
      </c>
      <c r="P1239" t="s">
        <v>83</v>
      </c>
    </row>
    <row r="1240" spans="1:16" x14ac:dyDescent="0.25">
      <c r="A1240">
        <v>1239</v>
      </c>
      <c r="B1240" s="2">
        <v>45820</v>
      </c>
      <c r="C1240" t="s">
        <v>17</v>
      </c>
      <c r="D1240" t="s">
        <v>25</v>
      </c>
      <c r="E1240" t="s">
        <v>31</v>
      </c>
      <c r="F1240" t="s">
        <v>38</v>
      </c>
      <c r="G1240" t="s">
        <v>71</v>
      </c>
      <c r="H1240" t="s">
        <v>73</v>
      </c>
      <c r="I1240">
        <v>4</v>
      </c>
      <c r="J1240">
        <v>256</v>
      </c>
      <c r="K1240">
        <v>0</v>
      </c>
      <c r="L1240">
        <v>1024</v>
      </c>
      <c r="M1240">
        <v>578.6</v>
      </c>
      <c r="N1240">
        <v>445.4</v>
      </c>
      <c r="O1240" t="s">
        <v>78</v>
      </c>
      <c r="P1240" t="s">
        <v>83</v>
      </c>
    </row>
    <row r="1241" spans="1:16" x14ac:dyDescent="0.25">
      <c r="A1241">
        <v>1240</v>
      </c>
      <c r="B1241" s="2">
        <v>45732</v>
      </c>
      <c r="C1241" t="s">
        <v>20</v>
      </c>
      <c r="D1241" t="s">
        <v>26</v>
      </c>
      <c r="E1241" t="s">
        <v>31</v>
      </c>
      <c r="F1241" t="s">
        <v>38</v>
      </c>
      <c r="G1241" t="s">
        <v>71</v>
      </c>
      <c r="H1241" t="s">
        <v>73</v>
      </c>
      <c r="I1241">
        <v>6</v>
      </c>
      <c r="J1241">
        <v>1875</v>
      </c>
      <c r="K1241">
        <v>0.1</v>
      </c>
      <c r="L1241">
        <v>10125</v>
      </c>
      <c r="M1241">
        <v>8726.2999999999993</v>
      </c>
      <c r="N1241">
        <v>1398.7</v>
      </c>
      <c r="O1241" t="s">
        <v>76</v>
      </c>
      <c r="P1241" t="s">
        <v>88</v>
      </c>
    </row>
    <row r="1242" spans="1:16" x14ac:dyDescent="0.25">
      <c r="A1242">
        <v>1241</v>
      </c>
      <c r="B1242" s="2">
        <v>45794</v>
      </c>
      <c r="C1242" t="s">
        <v>22</v>
      </c>
      <c r="D1242" t="s">
        <v>24</v>
      </c>
      <c r="E1242" t="s">
        <v>33</v>
      </c>
      <c r="F1242" t="s">
        <v>60</v>
      </c>
      <c r="G1242" t="s">
        <v>71</v>
      </c>
      <c r="H1242" t="s">
        <v>73</v>
      </c>
      <c r="I1242">
        <v>6</v>
      </c>
      <c r="J1242">
        <v>37620</v>
      </c>
      <c r="K1242">
        <v>0.1</v>
      </c>
      <c r="L1242">
        <v>203148</v>
      </c>
      <c r="M1242">
        <v>175426.57</v>
      </c>
      <c r="N1242">
        <v>27721.43</v>
      </c>
      <c r="O1242" t="s">
        <v>80</v>
      </c>
      <c r="P1242" t="s">
        <v>85</v>
      </c>
    </row>
    <row r="1243" spans="1:16" x14ac:dyDescent="0.25">
      <c r="A1243">
        <v>1242</v>
      </c>
      <c r="B1243" s="2">
        <v>45789</v>
      </c>
      <c r="C1243" t="s">
        <v>17</v>
      </c>
      <c r="D1243" t="s">
        <v>25</v>
      </c>
      <c r="E1243" t="s">
        <v>28</v>
      </c>
      <c r="F1243" t="s">
        <v>54</v>
      </c>
      <c r="G1243" t="s">
        <v>70</v>
      </c>
      <c r="H1243" t="s">
        <v>74</v>
      </c>
      <c r="I1243">
        <v>8</v>
      </c>
      <c r="J1243">
        <v>2328</v>
      </c>
      <c r="K1243">
        <v>0.1</v>
      </c>
      <c r="L1243">
        <v>16761.599999999999</v>
      </c>
      <c r="M1243">
        <v>9736.5499999999993</v>
      </c>
      <c r="N1243">
        <v>7025.05</v>
      </c>
      <c r="O1243" t="s">
        <v>78</v>
      </c>
      <c r="P1243" t="s">
        <v>84</v>
      </c>
    </row>
    <row r="1244" spans="1:16" x14ac:dyDescent="0.25">
      <c r="A1244">
        <v>1243</v>
      </c>
      <c r="B1244" s="2">
        <v>45774</v>
      </c>
      <c r="C1244" t="s">
        <v>17</v>
      </c>
      <c r="D1244" t="s">
        <v>25</v>
      </c>
      <c r="E1244" t="s">
        <v>34</v>
      </c>
      <c r="F1244" t="s">
        <v>68</v>
      </c>
      <c r="G1244" t="s">
        <v>71</v>
      </c>
      <c r="H1244" t="s">
        <v>73</v>
      </c>
      <c r="I1244">
        <v>4</v>
      </c>
      <c r="J1244">
        <v>3237</v>
      </c>
      <c r="K1244">
        <v>0.05</v>
      </c>
      <c r="L1244">
        <v>12300.6</v>
      </c>
      <c r="M1244">
        <v>10406.66</v>
      </c>
      <c r="N1244">
        <v>1893.94</v>
      </c>
      <c r="O1244" t="s">
        <v>79</v>
      </c>
      <c r="P1244" t="s">
        <v>83</v>
      </c>
    </row>
    <row r="1245" spans="1:16" x14ac:dyDescent="0.25">
      <c r="A1245">
        <v>1244</v>
      </c>
      <c r="B1245" s="2">
        <v>45787</v>
      </c>
      <c r="C1245" t="s">
        <v>23</v>
      </c>
      <c r="D1245" t="s">
        <v>27</v>
      </c>
      <c r="E1245" t="s">
        <v>28</v>
      </c>
      <c r="F1245" t="s">
        <v>61</v>
      </c>
      <c r="G1245" t="s">
        <v>70</v>
      </c>
      <c r="H1245" t="s">
        <v>74</v>
      </c>
      <c r="I1245">
        <v>3</v>
      </c>
      <c r="J1245">
        <v>1679</v>
      </c>
      <c r="K1245">
        <v>0.2</v>
      </c>
      <c r="L1245">
        <v>4029.6</v>
      </c>
      <c r="M1245">
        <v>2738.61</v>
      </c>
      <c r="N1245">
        <v>1290.99</v>
      </c>
      <c r="O1245" t="s">
        <v>77</v>
      </c>
      <c r="P1245" t="s">
        <v>81</v>
      </c>
    </row>
    <row r="1246" spans="1:16" x14ac:dyDescent="0.25">
      <c r="A1246">
        <v>1245</v>
      </c>
      <c r="B1246" s="2">
        <v>45812</v>
      </c>
      <c r="C1246" t="s">
        <v>20</v>
      </c>
      <c r="D1246" t="s">
        <v>26</v>
      </c>
      <c r="E1246" t="s">
        <v>34</v>
      </c>
      <c r="F1246" t="s">
        <v>65</v>
      </c>
      <c r="G1246" t="s">
        <v>71</v>
      </c>
      <c r="H1246" t="s">
        <v>73</v>
      </c>
      <c r="I1246">
        <v>7</v>
      </c>
      <c r="J1246">
        <v>2404</v>
      </c>
      <c r="K1246">
        <v>0.15</v>
      </c>
      <c r="L1246">
        <v>14303.8</v>
      </c>
      <c r="M1246">
        <v>11692.07</v>
      </c>
      <c r="N1246">
        <v>2611.73</v>
      </c>
      <c r="O1246" t="s">
        <v>79</v>
      </c>
      <c r="P1246" t="s">
        <v>85</v>
      </c>
    </row>
    <row r="1247" spans="1:16" x14ac:dyDescent="0.25">
      <c r="A1247">
        <v>1246</v>
      </c>
      <c r="B1247" s="2">
        <v>45848</v>
      </c>
      <c r="C1247" t="s">
        <v>21</v>
      </c>
      <c r="D1247" t="s">
        <v>24</v>
      </c>
      <c r="E1247" t="s">
        <v>28</v>
      </c>
      <c r="F1247" t="s">
        <v>35</v>
      </c>
      <c r="G1247" t="s">
        <v>72</v>
      </c>
      <c r="H1247" t="s">
        <v>74</v>
      </c>
      <c r="I1247">
        <v>4</v>
      </c>
      <c r="J1247">
        <v>166</v>
      </c>
      <c r="K1247">
        <v>0.1</v>
      </c>
      <c r="L1247">
        <v>597.6</v>
      </c>
      <c r="M1247">
        <v>378.76</v>
      </c>
      <c r="N1247">
        <v>218.84</v>
      </c>
      <c r="O1247" t="s">
        <v>80</v>
      </c>
      <c r="P1247" t="s">
        <v>86</v>
      </c>
    </row>
    <row r="1248" spans="1:16" x14ac:dyDescent="0.25">
      <c r="A1248">
        <v>1247</v>
      </c>
      <c r="B1248" s="2">
        <v>45688</v>
      </c>
      <c r="C1248" t="s">
        <v>17</v>
      </c>
      <c r="D1248" t="s">
        <v>25</v>
      </c>
      <c r="E1248" t="s">
        <v>31</v>
      </c>
      <c r="F1248" t="s">
        <v>38</v>
      </c>
      <c r="G1248" t="s">
        <v>70</v>
      </c>
      <c r="H1248" t="s">
        <v>75</v>
      </c>
      <c r="I1248">
        <v>3</v>
      </c>
      <c r="J1248">
        <v>404</v>
      </c>
      <c r="K1248">
        <v>0</v>
      </c>
      <c r="L1248">
        <v>1212</v>
      </c>
      <c r="M1248">
        <v>813.5</v>
      </c>
      <c r="N1248">
        <v>398.5</v>
      </c>
      <c r="O1248" t="s">
        <v>76</v>
      </c>
      <c r="P1248" t="s">
        <v>81</v>
      </c>
    </row>
    <row r="1249" spans="1:16" x14ac:dyDescent="0.25">
      <c r="A1249">
        <v>1248</v>
      </c>
      <c r="B1249" s="2">
        <v>45707</v>
      </c>
      <c r="C1249" t="s">
        <v>22</v>
      </c>
      <c r="D1249" t="s">
        <v>24</v>
      </c>
      <c r="E1249" t="s">
        <v>29</v>
      </c>
      <c r="F1249" t="s">
        <v>45</v>
      </c>
      <c r="G1249" t="s">
        <v>72</v>
      </c>
      <c r="H1249" t="s">
        <v>73</v>
      </c>
      <c r="I1249">
        <v>5</v>
      </c>
      <c r="J1249">
        <v>8743</v>
      </c>
      <c r="K1249">
        <v>0.1</v>
      </c>
      <c r="L1249">
        <v>39343.5</v>
      </c>
      <c r="M1249">
        <v>22275.52</v>
      </c>
      <c r="N1249">
        <v>17067.98</v>
      </c>
      <c r="O1249" t="s">
        <v>76</v>
      </c>
      <c r="P1249" t="s">
        <v>86</v>
      </c>
    </row>
    <row r="1250" spans="1:16" x14ac:dyDescent="0.25">
      <c r="A1250">
        <v>1249</v>
      </c>
      <c r="B1250" s="2">
        <v>45796</v>
      </c>
      <c r="C1250" t="s">
        <v>16</v>
      </c>
      <c r="D1250" t="s">
        <v>24</v>
      </c>
      <c r="E1250" t="s">
        <v>33</v>
      </c>
      <c r="F1250" t="s">
        <v>52</v>
      </c>
      <c r="G1250" t="s">
        <v>72</v>
      </c>
      <c r="H1250" t="s">
        <v>75</v>
      </c>
      <c r="I1250">
        <v>7</v>
      </c>
      <c r="J1250">
        <v>20045</v>
      </c>
      <c r="K1250">
        <v>0</v>
      </c>
      <c r="L1250">
        <v>140315</v>
      </c>
      <c r="M1250">
        <v>114005.77</v>
      </c>
      <c r="N1250">
        <v>26309.23</v>
      </c>
      <c r="O1250" t="s">
        <v>79</v>
      </c>
      <c r="P1250" t="s">
        <v>83</v>
      </c>
    </row>
    <row r="1251" spans="1:16" x14ac:dyDescent="0.25">
      <c r="A1251">
        <v>1250</v>
      </c>
      <c r="B1251" s="2">
        <v>45949</v>
      </c>
      <c r="C1251" t="s">
        <v>16</v>
      </c>
      <c r="D1251" t="s">
        <v>24</v>
      </c>
      <c r="E1251" t="s">
        <v>28</v>
      </c>
      <c r="F1251" t="s">
        <v>58</v>
      </c>
      <c r="G1251" t="s">
        <v>72</v>
      </c>
      <c r="H1251" t="s">
        <v>73</v>
      </c>
      <c r="I1251">
        <v>8</v>
      </c>
      <c r="J1251">
        <v>106</v>
      </c>
      <c r="K1251">
        <v>0</v>
      </c>
      <c r="L1251">
        <v>848</v>
      </c>
      <c r="M1251">
        <v>738.63</v>
      </c>
      <c r="N1251">
        <v>109.37</v>
      </c>
      <c r="O1251" t="s">
        <v>80</v>
      </c>
      <c r="P1251" t="s">
        <v>81</v>
      </c>
    </row>
    <row r="1252" spans="1:16" x14ac:dyDescent="0.25">
      <c r="A1252">
        <v>1251</v>
      </c>
      <c r="B1252" s="2">
        <v>45904</v>
      </c>
      <c r="C1252" t="s">
        <v>17</v>
      </c>
      <c r="D1252" t="s">
        <v>25</v>
      </c>
      <c r="E1252" t="s">
        <v>29</v>
      </c>
      <c r="F1252" t="s">
        <v>57</v>
      </c>
      <c r="G1252" t="s">
        <v>70</v>
      </c>
      <c r="H1252" t="s">
        <v>73</v>
      </c>
      <c r="I1252">
        <v>5</v>
      </c>
      <c r="J1252">
        <v>8475</v>
      </c>
      <c r="K1252">
        <v>0.05</v>
      </c>
      <c r="L1252">
        <v>40256.25</v>
      </c>
      <c r="M1252">
        <v>24302.99</v>
      </c>
      <c r="N1252">
        <v>15953.26</v>
      </c>
      <c r="O1252" t="s">
        <v>77</v>
      </c>
      <c r="P1252" t="s">
        <v>88</v>
      </c>
    </row>
    <row r="1253" spans="1:16" x14ac:dyDescent="0.25">
      <c r="A1253">
        <v>1252</v>
      </c>
      <c r="B1253" s="2">
        <v>45687</v>
      </c>
      <c r="C1253" t="s">
        <v>22</v>
      </c>
      <c r="D1253" t="s">
        <v>24</v>
      </c>
      <c r="E1253" t="s">
        <v>28</v>
      </c>
      <c r="F1253" t="s">
        <v>35</v>
      </c>
      <c r="G1253" t="s">
        <v>70</v>
      </c>
      <c r="H1253" t="s">
        <v>73</v>
      </c>
      <c r="I1253">
        <v>5</v>
      </c>
      <c r="J1253">
        <v>1135</v>
      </c>
      <c r="K1253">
        <v>0.1</v>
      </c>
      <c r="L1253">
        <v>5107.5</v>
      </c>
      <c r="M1253">
        <v>4444.74</v>
      </c>
      <c r="N1253">
        <v>662.76</v>
      </c>
      <c r="O1253" t="s">
        <v>78</v>
      </c>
      <c r="P1253" t="s">
        <v>86</v>
      </c>
    </row>
    <row r="1254" spans="1:16" x14ac:dyDescent="0.25">
      <c r="A1254">
        <v>1253</v>
      </c>
      <c r="B1254" s="2">
        <v>46022</v>
      </c>
      <c r="C1254" t="s">
        <v>20</v>
      </c>
      <c r="D1254" t="s">
        <v>26</v>
      </c>
      <c r="E1254" t="s">
        <v>33</v>
      </c>
      <c r="F1254" t="s">
        <v>60</v>
      </c>
      <c r="G1254" t="s">
        <v>71</v>
      </c>
      <c r="H1254" t="s">
        <v>73</v>
      </c>
      <c r="I1254">
        <v>5</v>
      </c>
      <c r="J1254">
        <v>44753</v>
      </c>
      <c r="K1254">
        <v>0.05</v>
      </c>
      <c r="L1254">
        <v>212576.75</v>
      </c>
      <c r="M1254">
        <v>183850.31</v>
      </c>
      <c r="N1254">
        <v>28726.44</v>
      </c>
      <c r="O1254" t="s">
        <v>76</v>
      </c>
      <c r="P1254" t="s">
        <v>82</v>
      </c>
    </row>
    <row r="1255" spans="1:16" x14ac:dyDescent="0.25">
      <c r="A1255">
        <v>1254</v>
      </c>
      <c r="B1255" s="2">
        <v>45931</v>
      </c>
      <c r="C1255" t="s">
        <v>19</v>
      </c>
      <c r="D1255" t="s">
        <v>26</v>
      </c>
      <c r="E1255" t="s">
        <v>28</v>
      </c>
      <c r="F1255" t="s">
        <v>63</v>
      </c>
      <c r="G1255" t="s">
        <v>72</v>
      </c>
      <c r="H1255" t="s">
        <v>75</v>
      </c>
      <c r="I1255">
        <v>2</v>
      </c>
      <c r="J1255">
        <v>1344</v>
      </c>
      <c r="K1255">
        <v>0.05</v>
      </c>
      <c r="L1255">
        <v>2553.6</v>
      </c>
      <c r="M1255">
        <v>1671.68</v>
      </c>
      <c r="N1255">
        <v>881.92</v>
      </c>
      <c r="O1255" t="s">
        <v>80</v>
      </c>
      <c r="P1255" t="s">
        <v>81</v>
      </c>
    </row>
    <row r="1256" spans="1:16" x14ac:dyDescent="0.25">
      <c r="A1256">
        <v>1255</v>
      </c>
      <c r="B1256" s="2">
        <v>45800</v>
      </c>
      <c r="C1256" t="s">
        <v>21</v>
      </c>
      <c r="D1256" t="s">
        <v>24</v>
      </c>
      <c r="E1256" t="s">
        <v>33</v>
      </c>
      <c r="F1256" t="s">
        <v>52</v>
      </c>
      <c r="G1256" t="s">
        <v>71</v>
      </c>
      <c r="H1256" t="s">
        <v>73</v>
      </c>
      <c r="I1256">
        <v>6</v>
      </c>
      <c r="J1256">
        <v>32762</v>
      </c>
      <c r="K1256">
        <v>0.05</v>
      </c>
      <c r="L1256">
        <v>186743.4</v>
      </c>
      <c r="M1256">
        <v>126196.95</v>
      </c>
      <c r="N1256">
        <v>60546.45</v>
      </c>
      <c r="O1256" t="s">
        <v>80</v>
      </c>
      <c r="P1256" t="s">
        <v>84</v>
      </c>
    </row>
    <row r="1257" spans="1:16" x14ac:dyDescent="0.25">
      <c r="A1257">
        <v>1256</v>
      </c>
      <c r="B1257" s="2">
        <v>45842</v>
      </c>
      <c r="C1257" t="s">
        <v>23</v>
      </c>
      <c r="D1257" t="s">
        <v>27</v>
      </c>
      <c r="E1257" t="s">
        <v>30</v>
      </c>
      <c r="F1257" t="s">
        <v>56</v>
      </c>
      <c r="G1257" t="s">
        <v>70</v>
      </c>
      <c r="H1257" t="s">
        <v>75</v>
      </c>
      <c r="I1257">
        <v>7</v>
      </c>
      <c r="J1257">
        <v>36063</v>
      </c>
      <c r="K1257">
        <v>0.05</v>
      </c>
      <c r="L1257">
        <v>239818.95</v>
      </c>
      <c r="M1257">
        <v>191060</v>
      </c>
      <c r="N1257">
        <v>48758.95</v>
      </c>
      <c r="O1257" t="s">
        <v>79</v>
      </c>
      <c r="P1257" t="s">
        <v>88</v>
      </c>
    </row>
    <row r="1258" spans="1:16" x14ac:dyDescent="0.25">
      <c r="A1258">
        <v>1257</v>
      </c>
      <c r="B1258" s="2">
        <v>45883</v>
      </c>
      <c r="C1258" t="s">
        <v>20</v>
      </c>
      <c r="D1258" t="s">
        <v>26</v>
      </c>
      <c r="E1258" t="s">
        <v>29</v>
      </c>
      <c r="F1258" t="s">
        <v>57</v>
      </c>
      <c r="G1258" t="s">
        <v>70</v>
      </c>
      <c r="H1258" t="s">
        <v>74</v>
      </c>
      <c r="I1258">
        <v>8</v>
      </c>
      <c r="J1258">
        <v>4023</v>
      </c>
      <c r="K1258">
        <v>0.15</v>
      </c>
      <c r="L1258">
        <v>27356.400000000001</v>
      </c>
      <c r="M1258">
        <v>17778.900000000001</v>
      </c>
      <c r="N1258">
        <v>9577.5</v>
      </c>
      <c r="O1258" t="s">
        <v>79</v>
      </c>
      <c r="P1258" t="s">
        <v>87</v>
      </c>
    </row>
    <row r="1259" spans="1:16" x14ac:dyDescent="0.25">
      <c r="A1259">
        <v>1258</v>
      </c>
      <c r="B1259" s="2">
        <v>45967</v>
      </c>
      <c r="C1259" t="s">
        <v>20</v>
      </c>
      <c r="D1259" t="s">
        <v>26</v>
      </c>
      <c r="E1259" t="s">
        <v>29</v>
      </c>
      <c r="F1259" t="s">
        <v>42</v>
      </c>
      <c r="G1259" t="s">
        <v>71</v>
      </c>
      <c r="H1259" t="s">
        <v>73</v>
      </c>
      <c r="I1259">
        <v>5</v>
      </c>
      <c r="J1259">
        <v>6498</v>
      </c>
      <c r="K1259">
        <v>0.1</v>
      </c>
      <c r="L1259">
        <v>29241</v>
      </c>
      <c r="M1259">
        <v>24904.04</v>
      </c>
      <c r="N1259">
        <v>4336.96</v>
      </c>
      <c r="O1259" t="s">
        <v>79</v>
      </c>
      <c r="P1259" t="s">
        <v>86</v>
      </c>
    </row>
    <row r="1260" spans="1:16" x14ac:dyDescent="0.25">
      <c r="A1260">
        <v>1259</v>
      </c>
      <c r="B1260" s="2">
        <v>45687</v>
      </c>
      <c r="C1260" t="s">
        <v>20</v>
      </c>
      <c r="D1260" t="s">
        <v>26</v>
      </c>
      <c r="E1260" t="s">
        <v>30</v>
      </c>
      <c r="F1260" t="s">
        <v>40</v>
      </c>
      <c r="G1260" t="s">
        <v>72</v>
      </c>
      <c r="H1260" t="s">
        <v>74</v>
      </c>
      <c r="I1260">
        <v>8</v>
      </c>
      <c r="J1260">
        <v>10676</v>
      </c>
      <c r="K1260">
        <v>0</v>
      </c>
      <c r="L1260">
        <v>85408</v>
      </c>
      <c r="M1260">
        <v>63602.71</v>
      </c>
      <c r="N1260">
        <v>21805.29</v>
      </c>
      <c r="O1260" t="s">
        <v>80</v>
      </c>
      <c r="P1260" t="s">
        <v>86</v>
      </c>
    </row>
    <row r="1261" spans="1:16" x14ac:dyDescent="0.25">
      <c r="A1261">
        <v>1260</v>
      </c>
      <c r="B1261" s="2">
        <v>45859</v>
      </c>
      <c r="C1261" t="s">
        <v>16</v>
      </c>
      <c r="D1261" t="s">
        <v>24</v>
      </c>
      <c r="E1261" t="s">
        <v>28</v>
      </c>
      <c r="F1261" t="s">
        <v>54</v>
      </c>
      <c r="G1261" t="s">
        <v>71</v>
      </c>
      <c r="H1261" t="s">
        <v>75</v>
      </c>
      <c r="I1261">
        <v>3</v>
      </c>
      <c r="J1261">
        <v>1196</v>
      </c>
      <c r="K1261">
        <v>0</v>
      </c>
      <c r="L1261">
        <v>3588</v>
      </c>
      <c r="M1261">
        <v>2143.16</v>
      </c>
      <c r="N1261">
        <v>1444.84</v>
      </c>
      <c r="O1261" t="s">
        <v>80</v>
      </c>
      <c r="P1261" t="s">
        <v>88</v>
      </c>
    </row>
    <row r="1262" spans="1:16" x14ac:dyDescent="0.25">
      <c r="A1262">
        <v>1261</v>
      </c>
      <c r="B1262" s="2">
        <v>45850</v>
      </c>
      <c r="C1262" t="s">
        <v>23</v>
      </c>
      <c r="D1262" t="s">
        <v>27</v>
      </c>
      <c r="E1262" t="s">
        <v>30</v>
      </c>
      <c r="F1262" t="s">
        <v>64</v>
      </c>
      <c r="G1262" t="s">
        <v>70</v>
      </c>
      <c r="H1262" t="s">
        <v>75</v>
      </c>
      <c r="I1262">
        <v>5</v>
      </c>
      <c r="J1262">
        <v>28581</v>
      </c>
      <c r="K1262">
        <v>0</v>
      </c>
      <c r="L1262">
        <v>142905</v>
      </c>
      <c r="M1262">
        <v>123689.23</v>
      </c>
      <c r="N1262">
        <v>19215.77</v>
      </c>
      <c r="O1262" t="s">
        <v>79</v>
      </c>
      <c r="P1262" t="s">
        <v>81</v>
      </c>
    </row>
    <row r="1263" spans="1:16" x14ac:dyDescent="0.25">
      <c r="A1263">
        <v>1262</v>
      </c>
      <c r="B1263" s="2">
        <v>45744</v>
      </c>
      <c r="C1263" t="s">
        <v>23</v>
      </c>
      <c r="D1263" t="s">
        <v>27</v>
      </c>
      <c r="E1263" t="s">
        <v>30</v>
      </c>
      <c r="F1263" t="s">
        <v>44</v>
      </c>
      <c r="G1263" t="s">
        <v>70</v>
      </c>
      <c r="H1263" t="s">
        <v>75</v>
      </c>
      <c r="I1263">
        <v>3</v>
      </c>
      <c r="J1263">
        <v>53789</v>
      </c>
      <c r="K1263">
        <v>0</v>
      </c>
      <c r="L1263">
        <v>161367</v>
      </c>
      <c r="M1263">
        <v>128853</v>
      </c>
      <c r="N1263">
        <v>32514</v>
      </c>
      <c r="O1263" t="s">
        <v>80</v>
      </c>
      <c r="P1263" t="s">
        <v>86</v>
      </c>
    </row>
    <row r="1264" spans="1:16" x14ac:dyDescent="0.25">
      <c r="A1264">
        <v>1263</v>
      </c>
      <c r="B1264" s="2">
        <v>45755</v>
      </c>
      <c r="C1264" t="s">
        <v>16</v>
      </c>
      <c r="D1264" t="s">
        <v>24</v>
      </c>
      <c r="E1264" t="s">
        <v>31</v>
      </c>
      <c r="F1264" t="s">
        <v>47</v>
      </c>
      <c r="G1264" t="s">
        <v>70</v>
      </c>
      <c r="H1264" t="s">
        <v>75</v>
      </c>
      <c r="I1264">
        <v>3</v>
      </c>
      <c r="J1264">
        <v>172</v>
      </c>
      <c r="K1264">
        <v>0</v>
      </c>
      <c r="L1264">
        <v>516</v>
      </c>
      <c r="M1264">
        <v>333.3</v>
      </c>
      <c r="N1264">
        <v>182.7</v>
      </c>
      <c r="O1264" t="s">
        <v>77</v>
      </c>
      <c r="P1264" t="s">
        <v>84</v>
      </c>
    </row>
    <row r="1265" spans="1:16" x14ac:dyDescent="0.25">
      <c r="A1265">
        <v>1264</v>
      </c>
      <c r="B1265" s="2">
        <v>45969</v>
      </c>
      <c r="C1265" t="s">
        <v>16</v>
      </c>
      <c r="D1265" t="s">
        <v>24</v>
      </c>
      <c r="E1265" t="s">
        <v>34</v>
      </c>
      <c r="F1265" t="s">
        <v>55</v>
      </c>
      <c r="G1265" t="s">
        <v>71</v>
      </c>
      <c r="H1265" t="s">
        <v>73</v>
      </c>
      <c r="I1265">
        <v>1</v>
      </c>
      <c r="J1265">
        <v>284</v>
      </c>
      <c r="K1265">
        <v>0.1</v>
      </c>
      <c r="L1265">
        <v>255.6</v>
      </c>
      <c r="M1265">
        <v>212.48</v>
      </c>
      <c r="N1265">
        <v>43.12</v>
      </c>
      <c r="O1265" t="s">
        <v>79</v>
      </c>
      <c r="P1265" t="s">
        <v>86</v>
      </c>
    </row>
    <row r="1266" spans="1:16" x14ac:dyDescent="0.25">
      <c r="A1266">
        <v>1265</v>
      </c>
      <c r="B1266" s="2">
        <v>45886</v>
      </c>
      <c r="C1266" t="s">
        <v>18</v>
      </c>
      <c r="D1266" t="s">
        <v>26</v>
      </c>
      <c r="E1266" t="s">
        <v>29</v>
      </c>
      <c r="F1266" t="s">
        <v>57</v>
      </c>
      <c r="G1266" t="s">
        <v>71</v>
      </c>
      <c r="H1266" t="s">
        <v>74</v>
      </c>
      <c r="I1266">
        <v>2</v>
      </c>
      <c r="J1266">
        <v>11999</v>
      </c>
      <c r="K1266">
        <v>0.1</v>
      </c>
      <c r="L1266">
        <v>21598.2</v>
      </c>
      <c r="M1266">
        <v>17102.919999999998</v>
      </c>
      <c r="N1266">
        <v>4495.28</v>
      </c>
      <c r="O1266" t="s">
        <v>77</v>
      </c>
      <c r="P1266" t="s">
        <v>85</v>
      </c>
    </row>
    <row r="1267" spans="1:16" x14ac:dyDescent="0.25">
      <c r="A1267">
        <v>1266</v>
      </c>
      <c r="B1267" s="2">
        <v>45933</v>
      </c>
      <c r="C1267" t="s">
        <v>18</v>
      </c>
      <c r="D1267" t="s">
        <v>26</v>
      </c>
      <c r="E1267" t="s">
        <v>32</v>
      </c>
      <c r="F1267" t="s">
        <v>49</v>
      </c>
      <c r="G1267" t="s">
        <v>70</v>
      </c>
      <c r="H1267" t="s">
        <v>73</v>
      </c>
      <c r="I1267">
        <v>8</v>
      </c>
      <c r="J1267">
        <v>11365</v>
      </c>
      <c r="K1267">
        <v>0.1</v>
      </c>
      <c r="L1267">
        <v>81828</v>
      </c>
      <c r="M1267">
        <v>62126.45</v>
      </c>
      <c r="N1267">
        <v>19701.55</v>
      </c>
      <c r="O1267" t="s">
        <v>79</v>
      </c>
      <c r="P1267" t="s">
        <v>86</v>
      </c>
    </row>
    <row r="1268" spans="1:16" x14ac:dyDescent="0.25">
      <c r="A1268">
        <v>1267</v>
      </c>
      <c r="B1268" s="2">
        <v>45987</v>
      </c>
      <c r="C1268" t="s">
        <v>20</v>
      </c>
      <c r="D1268" t="s">
        <v>26</v>
      </c>
      <c r="E1268" t="s">
        <v>29</v>
      </c>
      <c r="F1268" t="s">
        <v>42</v>
      </c>
      <c r="G1268" t="s">
        <v>71</v>
      </c>
      <c r="H1268" t="s">
        <v>73</v>
      </c>
      <c r="I1268">
        <v>3</v>
      </c>
      <c r="J1268">
        <v>8506</v>
      </c>
      <c r="K1268">
        <v>0.05</v>
      </c>
      <c r="L1268">
        <v>24242.1</v>
      </c>
      <c r="M1268">
        <v>16538</v>
      </c>
      <c r="N1268">
        <v>7704.1</v>
      </c>
      <c r="O1268" t="s">
        <v>77</v>
      </c>
      <c r="P1268" t="s">
        <v>84</v>
      </c>
    </row>
    <row r="1269" spans="1:16" x14ac:dyDescent="0.25">
      <c r="A1269">
        <v>1268</v>
      </c>
      <c r="B1269" s="2">
        <v>45804</v>
      </c>
      <c r="C1269" t="s">
        <v>16</v>
      </c>
      <c r="D1269" t="s">
        <v>24</v>
      </c>
      <c r="E1269" t="s">
        <v>29</v>
      </c>
      <c r="F1269" t="s">
        <v>36</v>
      </c>
      <c r="G1269" t="s">
        <v>71</v>
      </c>
      <c r="H1269" t="s">
        <v>75</v>
      </c>
      <c r="I1269">
        <v>3</v>
      </c>
      <c r="J1269">
        <v>4658</v>
      </c>
      <c r="K1269">
        <v>0.05</v>
      </c>
      <c r="L1269">
        <v>13275.3</v>
      </c>
      <c r="M1269">
        <v>11646.28</v>
      </c>
      <c r="N1269">
        <v>1629.02</v>
      </c>
      <c r="O1269" t="s">
        <v>77</v>
      </c>
      <c r="P1269" t="s">
        <v>86</v>
      </c>
    </row>
    <row r="1270" spans="1:16" x14ac:dyDescent="0.25">
      <c r="A1270">
        <v>1269</v>
      </c>
      <c r="B1270" s="2">
        <v>45806</v>
      </c>
      <c r="C1270" t="s">
        <v>20</v>
      </c>
      <c r="D1270" t="s">
        <v>26</v>
      </c>
      <c r="E1270" t="s">
        <v>31</v>
      </c>
      <c r="F1270" t="s">
        <v>50</v>
      </c>
      <c r="G1270" t="s">
        <v>72</v>
      </c>
      <c r="H1270" t="s">
        <v>74</v>
      </c>
      <c r="I1270">
        <v>2</v>
      </c>
      <c r="J1270">
        <v>1757</v>
      </c>
      <c r="K1270">
        <v>0.15</v>
      </c>
      <c r="L1270">
        <v>2986.9</v>
      </c>
      <c r="M1270">
        <v>1848.98</v>
      </c>
      <c r="N1270">
        <v>1137.92</v>
      </c>
      <c r="O1270" t="s">
        <v>76</v>
      </c>
      <c r="P1270" t="s">
        <v>82</v>
      </c>
    </row>
    <row r="1271" spans="1:16" x14ac:dyDescent="0.25">
      <c r="A1271">
        <v>1270</v>
      </c>
      <c r="B1271" s="2">
        <v>45743</v>
      </c>
      <c r="C1271" t="s">
        <v>21</v>
      </c>
      <c r="D1271" t="s">
        <v>24</v>
      </c>
      <c r="E1271" t="s">
        <v>29</v>
      </c>
      <c r="F1271" t="s">
        <v>45</v>
      </c>
      <c r="G1271" t="s">
        <v>70</v>
      </c>
      <c r="H1271" t="s">
        <v>75</v>
      </c>
      <c r="I1271">
        <v>5</v>
      </c>
      <c r="J1271">
        <v>540</v>
      </c>
      <c r="K1271">
        <v>0</v>
      </c>
      <c r="L1271">
        <v>2700</v>
      </c>
      <c r="M1271">
        <v>2039.26</v>
      </c>
      <c r="N1271">
        <v>660.74</v>
      </c>
      <c r="O1271" t="s">
        <v>77</v>
      </c>
      <c r="P1271" t="s">
        <v>85</v>
      </c>
    </row>
    <row r="1272" spans="1:16" x14ac:dyDescent="0.25">
      <c r="A1272">
        <v>1271</v>
      </c>
      <c r="B1272" s="2">
        <v>45916</v>
      </c>
      <c r="C1272" t="s">
        <v>20</v>
      </c>
      <c r="D1272" t="s">
        <v>26</v>
      </c>
      <c r="E1272" t="s">
        <v>28</v>
      </c>
      <c r="F1272" t="s">
        <v>54</v>
      </c>
      <c r="G1272" t="s">
        <v>72</v>
      </c>
      <c r="H1272" t="s">
        <v>74</v>
      </c>
      <c r="I1272">
        <v>6</v>
      </c>
      <c r="J1272">
        <v>438</v>
      </c>
      <c r="K1272">
        <v>0.15</v>
      </c>
      <c r="L1272">
        <v>2233.8000000000002</v>
      </c>
      <c r="M1272">
        <v>1673.33</v>
      </c>
      <c r="N1272">
        <v>560.47</v>
      </c>
      <c r="O1272" t="s">
        <v>77</v>
      </c>
      <c r="P1272" t="s">
        <v>86</v>
      </c>
    </row>
    <row r="1273" spans="1:16" x14ac:dyDescent="0.25">
      <c r="A1273">
        <v>1272</v>
      </c>
      <c r="B1273" s="2">
        <v>45697</v>
      </c>
      <c r="C1273" t="s">
        <v>21</v>
      </c>
      <c r="D1273" t="s">
        <v>24</v>
      </c>
      <c r="E1273" t="s">
        <v>33</v>
      </c>
      <c r="F1273" t="s">
        <v>60</v>
      </c>
      <c r="G1273" t="s">
        <v>72</v>
      </c>
      <c r="H1273" t="s">
        <v>75</v>
      </c>
      <c r="I1273">
        <v>7</v>
      </c>
      <c r="J1273">
        <v>43239</v>
      </c>
      <c r="K1273">
        <v>0.1</v>
      </c>
      <c r="L1273">
        <v>272405.7</v>
      </c>
      <c r="M1273">
        <v>177916.97</v>
      </c>
      <c r="N1273">
        <v>94488.73</v>
      </c>
      <c r="O1273" t="s">
        <v>78</v>
      </c>
      <c r="P1273" t="s">
        <v>84</v>
      </c>
    </row>
    <row r="1274" spans="1:16" x14ac:dyDescent="0.25">
      <c r="A1274">
        <v>1273</v>
      </c>
      <c r="B1274" s="2">
        <v>45751</v>
      </c>
      <c r="C1274" t="s">
        <v>20</v>
      </c>
      <c r="D1274" t="s">
        <v>26</v>
      </c>
      <c r="E1274" t="s">
        <v>34</v>
      </c>
      <c r="F1274" t="s">
        <v>55</v>
      </c>
      <c r="G1274" t="s">
        <v>70</v>
      </c>
      <c r="H1274" t="s">
        <v>74</v>
      </c>
      <c r="I1274">
        <v>3</v>
      </c>
      <c r="J1274">
        <v>1595</v>
      </c>
      <c r="K1274">
        <v>0.05</v>
      </c>
      <c r="L1274">
        <v>4545.75</v>
      </c>
      <c r="M1274">
        <v>3348.67</v>
      </c>
      <c r="N1274">
        <v>1197.08</v>
      </c>
      <c r="O1274" t="s">
        <v>77</v>
      </c>
      <c r="P1274" t="s">
        <v>83</v>
      </c>
    </row>
    <row r="1275" spans="1:16" x14ac:dyDescent="0.25">
      <c r="A1275">
        <v>1274</v>
      </c>
      <c r="B1275" s="2">
        <v>45921</v>
      </c>
      <c r="C1275" t="s">
        <v>22</v>
      </c>
      <c r="D1275" t="s">
        <v>24</v>
      </c>
      <c r="E1275" t="s">
        <v>33</v>
      </c>
      <c r="F1275" t="s">
        <v>52</v>
      </c>
      <c r="G1275" t="s">
        <v>72</v>
      </c>
      <c r="H1275" t="s">
        <v>75</v>
      </c>
      <c r="I1275">
        <v>7</v>
      </c>
      <c r="J1275">
        <v>15565</v>
      </c>
      <c r="K1275">
        <v>0.1</v>
      </c>
      <c r="L1275">
        <v>98059.5</v>
      </c>
      <c r="M1275">
        <v>56029.95</v>
      </c>
      <c r="N1275">
        <v>42029.55</v>
      </c>
      <c r="O1275" t="s">
        <v>77</v>
      </c>
      <c r="P1275" t="s">
        <v>82</v>
      </c>
    </row>
    <row r="1276" spans="1:16" x14ac:dyDescent="0.25">
      <c r="A1276">
        <v>1275</v>
      </c>
      <c r="B1276" s="2">
        <v>45955</v>
      </c>
      <c r="C1276" t="s">
        <v>23</v>
      </c>
      <c r="D1276" t="s">
        <v>27</v>
      </c>
      <c r="E1276" t="s">
        <v>28</v>
      </c>
      <c r="F1276" t="s">
        <v>35</v>
      </c>
      <c r="G1276" t="s">
        <v>72</v>
      </c>
      <c r="H1276" t="s">
        <v>73</v>
      </c>
      <c r="I1276">
        <v>4</v>
      </c>
      <c r="J1276">
        <v>2157</v>
      </c>
      <c r="K1276">
        <v>0.1</v>
      </c>
      <c r="L1276">
        <v>7765.2</v>
      </c>
      <c r="M1276">
        <v>5101.51</v>
      </c>
      <c r="N1276">
        <v>2663.69</v>
      </c>
      <c r="O1276" t="s">
        <v>77</v>
      </c>
      <c r="P1276" t="s">
        <v>82</v>
      </c>
    </row>
    <row r="1277" spans="1:16" x14ac:dyDescent="0.25">
      <c r="A1277">
        <v>1276</v>
      </c>
      <c r="B1277" s="2">
        <v>45920</v>
      </c>
      <c r="C1277" t="s">
        <v>22</v>
      </c>
      <c r="D1277" t="s">
        <v>24</v>
      </c>
      <c r="E1277" t="s">
        <v>29</v>
      </c>
      <c r="F1277" t="s">
        <v>36</v>
      </c>
      <c r="G1277" t="s">
        <v>72</v>
      </c>
      <c r="H1277" t="s">
        <v>74</v>
      </c>
      <c r="I1277">
        <v>6</v>
      </c>
      <c r="J1277">
        <v>9556</v>
      </c>
      <c r="K1277">
        <v>0.05</v>
      </c>
      <c r="L1277">
        <v>54469.2</v>
      </c>
      <c r="M1277">
        <v>30619.33</v>
      </c>
      <c r="N1277">
        <v>23849.87</v>
      </c>
      <c r="O1277" t="s">
        <v>76</v>
      </c>
      <c r="P1277" t="s">
        <v>83</v>
      </c>
    </row>
    <row r="1278" spans="1:16" x14ac:dyDescent="0.25">
      <c r="A1278">
        <v>1277</v>
      </c>
      <c r="B1278" s="2">
        <v>45835</v>
      </c>
      <c r="C1278" t="s">
        <v>23</v>
      </c>
      <c r="D1278" t="s">
        <v>27</v>
      </c>
      <c r="E1278" t="s">
        <v>31</v>
      </c>
      <c r="F1278" t="s">
        <v>47</v>
      </c>
      <c r="G1278" t="s">
        <v>72</v>
      </c>
      <c r="H1278" t="s">
        <v>74</v>
      </c>
      <c r="I1278">
        <v>4</v>
      </c>
      <c r="J1278">
        <v>1217</v>
      </c>
      <c r="K1278">
        <v>0.05</v>
      </c>
      <c r="L1278">
        <v>4624.6000000000004</v>
      </c>
      <c r="M1278">
        <v>3901.35</v>
      </c>
      <c r="N1278">
        <v>723.25</v>
      </c>
      <c r="O1278" t="s">
        <v>80</v>
      </c>
      <c r="P1278" t="s">
        <v>82</v>
      </c>
    </row>
    <row r="1279" spans="1:16" x14ac:dyDescent="0.25">
      <c r="A1279">
        <v>1278</v>
      </c>
      <c r="B1279" s="2">
        <v>45664</v>
      </c>
      <c r="C1279" t="s">
        <v>23</v>
      </c>
      <c r="D1279" t="s">
        <v>27</v>
      </c>
      <c r="E1279" t="s">
        <v>30</v>
      </c>
      <c r="F1279" t="s">
        <v>56</v>
      </c>
      <c r="G1279" t="s">
        <v>70</v>
      </c>
      <c r="H1279" t="s">
        <v>73</v>
      </c>
      <c r="I1279">
        <v>2</v>
      </c>
      <c r="J1279">
        <v>6215</v>
      </c>
      <c r="K1279">
        <v>0.1</v>
      </c>
      <c r="L1279">
        <v>11187</v>
      </c>
      <c r="M1279">
        <v>9349.75</v>
      </c>
      <c r="N1279">
        <v>1837.25</v>
      </c>
      <c r="O1279" t="s">
        <v>79</v>
      </c>
      <c r="P1279" t="s">
        <v>86</v>
      </c>
    </row>
    <row r="1280" spans="1:16" x14ac:dyDescent="0.25">
      <c r="A1280">
        <v>1279</v>
      </c>
      <c r="B1280" s="2">
        <v>46017</v>
      </c>
      <c r="C1280" t="s">
        <v>23</v>
      </c>
      <c r="D1280" t="s">
        <v>27</v>
      </c>
      <c r="E1280" t="s">
        <v>32</v>
      </c>
      <c r="F1280" t="s">
        <v>66</v>
      </c>
      <c r="G1280" t="s">
        <v>70</v>
      </c>
      <c r="H1280" t="s">
        <v>73</v>
      </c>
      <c r="I1280">
        <v>4</v>
      </c>
      <c r="J1280">
        <v>20500</v>
      </c>
      <c r="K1280">
        <v>0.05</v>
      </c>
      <c r="L1280">
        <v>77900</v>
      </c>
      <c r="M1280">
        <v>47982.81</v>
      </c>
      <c r="N1280">
        <v>29917.19</v>
      </c>
      <c r="O1280" t="s">
        <v>79</v>
      </c>
      <c r="P1280" t="s">
        <v>88</v>
      </c>
    </row>
    <row r="1281" spans="1:16" x14ac:dyDescent="0.25">
      <c r="A1281">
        <v>1280</v>
      </c>
      <c r="B1281" s="2">
        <v>45756</v>
      </c>
      <c r="C1281" t="s">
        <v>22</v>
      </c>
      <c r="D1281" t="s">
        <v>24</v>
      </c>
      <c r="E1281" t="s">
        <v>28</v>
      </c>
      <c r="F1281" t="s">
        <v>61</v>
      </c>
      <c r="G1281" t="s">
        <v>71</v>
      </c>
      <c r="H1281" t="s">
        <v>75</v>
      </c>
      <c r="I1281">
        <v>2</v>
      </c>
      <c r="J1281">
        <v>2137</v>
      </c>
      <c r="K1281">
        <v>0.1</v>
      </c>
      <c r="L1281">
        <v>3846.6</v>
      </c>
      <c r="M1281">
        <v>3030.44</v>
      </c>
      <c r="N1281">
        <v>816.16</v>
      </c>
      <c r="O1281" t="s">
        <v>79</v>
      </c>
      <c r="P1281" t="s">
        <v>88</v>
      </c>
    </row>
    <row r="1282" spans="1:16" x14ac:dyDescent="0.25">
      <c r="A1282">
        <v>1281</v>
      </c>
      <c r="B1282" s="2">
        <v>46014</v>
      </c>
      <c r="C1282" t="s">
        <v>19</v>
      </c>
      <c r="D1282" t="s">
        <v>26</v>
      </c>
      <c r="E1282" t="s">
        <v>33</v>
      </c>
      <c r="F1282" t="s">
        <v>60</v>
      </c>
      <c r="G1282" t="s">
        <v>71</v>
      </c>
      <c r="H1282" t="s">
        <v>74</v>
      </c>
      <c r="I1282">
        <v>5</v>
      </c>
      <c r="J1282">
        <v>4920</v>
      </c>
      <c r="K1282">
        <v>0</v>
      </c>
      <c r="L1282">
        <v>24600</v>
      </c>
      <c r="M1282">
        <v>13894.38</v>
      </c>
      <c r="N1282">
        <v>10705.62</v>
      </c>
      <c r="O1282" t="s">
        <v>80</v>
      </c>
      <c r="P1282" t="s">
        <v>81</v>
      </c>
    </row>
    <row r="1283" spans="1:16" x14ac:dyDescent="0.25">
      <c r="A1283">
        <v>1282</v>
      </c>
      <c r="B1283" s="2">
        <v>45950</v>
      </c>
      <c r="C1283" t="s">
        <v>20</v>
      </c>
      <c r="D1283" t="s">
        <v>26</v>
      </c>
      <c r="E1283" t="s">
        <v>31</v>
      </c>
      <c r="F1283" t="s">
        <v>47</v>
      </c>
      <c r="G1283" t="s">
        <v>70</v>
      </c>
      <c r="H1283" t="s">
        <v>73</v>
      </c>
      <c r="I1283">
        <v>1</v>
      </c>
      <c r="J1283">
        <v>2437</v>
      </c>
      <c r="K1283">
        <v>0.05</v>
      </c>
      <c r="L1283">
        <v>2315.15</v>
      </c>
      <c r="M1283">
        <v>1380.55</v>
      </c>
      <c r="N1283">
        <v>934.6</v>
      </c>
      <c r="O1283" t="s">
        <v>79</v>
      </c>
      <c r="P1283" t="s">
        <v>81</v>
      </c>
    </row>
    <row r="1284" spans="1:16" x14ac:dyDescent="0.25">
      <c r="A1284">
        <v>1283</v>
      </c>
      <c r="B1284" s="2">
        <v>45851</v>
      </c>
      <c r="C1284" t="s">
        <v>23</v>
      </c>
      <c r="D1284" t="s">
        <v>27</v>
      </c>
      <c r="E1284" t="s">
        <v>30</v>
      </c>
      <c r="F1284" t="s">
        <v>37</v>
      </c>
      <c r="G1284" t="s">
        <v>72</v>
      </c>
      <c r="H1284" t="s">
        <v>74</v>
      </c>
      <c r="I1284">
        <v>4</v>
      </c>
      <c r="J1284">
        <v>14151</v>
      </c>
      <c r="K1284">
        <v>0.05</v>
      </c>
      <c r="L1284">
        <v>53773.8</v>
      </c>
      <c r="M1284">
        <v>32214.11</v>
      </c>
      <c r="N1284">
        <v>21559.69</v>
      </c>
      <c r="O1284" t="s">
        <v>78</v>
      </c>
      <c r="P1284" t="s">
        <v>83</v>
      </c>
    </row>
    <row r="1285" spans="1:16" x14ac:dyDescent="0.25">
      <c r="A1285">
        <v>1284</v>
      </c>
      <c r="B1285" s="2">
        <v>45740</v>
      </c>
      <c r="C1285" t="s">
        <v>20</v>
      </c>
      <c r="D1285" t="s">
        <v>26</v>
      </c>
      <c r="E1285" t="s">
        <v>31</v>
      </c>
      <c r="F1285" t="s">
        <v>38</v>
      </c>
      <c r="G1285" t="s">
        <v>72</v>
      </c>
      <c r="H1285" t="s">
        <v>74</v>
      </c>
      <c r="I1285">
        <v>1</v>
      </c>
      <c r="J1285">
        <v>1723</v>
      </c>
      <c r="K1285">
        <v>0.05</v>
      </c>
      <c r="L1285">
        <v>1636.85</v>
      </c>
      <c r="M1285">
        <v>1164.78</v>
      </c>
      <c r="N1285">
        <v>472.07</v>
      </c>
      <c r="O1285" t="s">
        <v>77</v>
      </c>
      <c r="P1285" t="s">
        <v>81</v>
      </c>
    </row>
    <row r="1286" spans="1:16" x14ac:dyDescent="0.25">
      <c r="A1286">
        <v>1285</v>
      </c>
      <c r="B1286" s="2">
        <v>45776</v>
      </c>
      <c r="C1286" t="s">
        <v>20</v>
      </c>
      <c r="D1286" t="s">
        <v>26</v>
      </c>
      <c r="E1286" t="s">
        <v>29</v>
      </c>
      <c r="F1286" t="s">
        <v>42</v>
      </c>
      <c r="G1286" t="s">
        <v>71</v>
      </c>
      <c r="H1286" t="s">
        <v>73</v>
      </c>
      <c r="I1286">
        <v>8</v>
      </c>
      <c r="J1286">
        <v>8427</v>
      </c>
      <c r="K1286">
        <v>0</v>
      </c>
      <c r="L1286">
        <v>67416</v>
      </c>
      <c r="M1286">
        <v>56468.24</v>
      </c>
      <c r="N1286">
        <v>10947.76</v>
      </c>
      <c r="O1286" t="s">
        <v>78</v>
      </c>
      <c r="P1286" t="s">
        <v>83</v>
      </c>
    </row>
    <row r="1287" spans="1:16" x14ac:dyDescent="0.25">
      <c r="A1287">
        <v>1286</v>
      </c>
      <c r="B1287" s="2">
        <v>45910</v>
      </c>
      <c r="C1287" t="s">
        <v>18</v>
      </c>
      <c r="D1287" t="s">
        <v>26</v>
      </c>
      <c r="E1287" t="s">
        <v>32</v>
      </c>
      <c r="F1287" t="s">
        <v>49</v>
      </c>
      <c r="G1287" t="s">
        <v>72</v>
      </c>
      <c r="H1287" t="s">
        <v>75</v>
      </c>
      <c r="I1287">
        <v>7</v>
      </c>
      <c r="J1287">
        <v>17472</v>
      </c>
      <c r="K1287">
        <v>0.05</v>
      </c>
      <c r="L1287">
        <v>116188.8</v>
      </c>
      <c r="M1287">
        <v>87146.07</v>
      </c>
      <c r="N1287">
        <v>29042.73</v>
      </c>
      <c r="O1287" t="s">
        <v>79</v>
      </c>
      <c r="P1287" t="s">
        <v>86</v>
      </c>
    </row>
    <row r="1288" spans="1:16" x14ac:dyDescent="0.25">
      <c r="A1288">
        <v>1287</v>
      </c>
      <c r="B1288" s="2">
        <v>45777</v>
      </c>
      <c r="C1288" t="s">
        <v>17</v>
      </c>
      <c r="D1288" t="s">
        <v>25</v>
      </c>
      <c r="E1288" t="s">
        <v>30</v>
      </c>
      <c r="F1288" t="s">
        <v>64</v>
      </c>
      <c r="G1288" t="s">
        <v>70</v>
      </c>
      <c r="H1288" t="s">
        <v>73</v>
      </c>
      <c r="I1288">
        <v>8</v>
      </c>
      <c r="J1288">
        <v>36011</v>
      </c>
      <c r="K1288">
        <v>0.1</v>
      </c>
      <c r="L1288">
        <v>259279.2</v>
      </c>
      <c r="M1288">
        <v>151063.19</v>
      </c>
      <c r="N1288">
        <v>108216.01</v>
      </c>
      <c r="O1288" t="s">
        <v>79</v>
      </c>
      <c r="P1288" t="s">
        <v>88</v>
      </c>
    </row>
    <row r="1289" spans="1:16" x14ac:dyDescent="0.25">
      <c r="A1289">
        <v>1288</v>
      </c>
      <c r="B1289" s="2">
        <v>45810</v>
      </c>
      <c r="C1289" t="s">
        <v>23</v>
      </c>
      <c r="D1289" t="s">
        <v>27</v>
      </c>
      <c r="E1289" t="s">
        <v>34</v>
      </c>
      <c r="F1289" t="s">
        <v>68</v>
      </c>
      <c r="G1289" t="s">
        <v>72</v>
      </c>
      <c r="H1289" t="s">
        <v>75</v>
      </c>
      <c r="I1289">
        <v>4</v>
      </c>
      <c r="J1289">
        <v>4457</v>
      </c>
      <c r="K1289">
        <v>0.2</v>
      </c>
      <c r="L1289">
        <v>14262.4</v>
      </c>
      <c r="M1289">
        <v>9377.01</v>
      </c>
      <c r="N1289">
        <v>4885.3900000000003</v>
      </c>
      <c r="O1289" t="s">
        <v>76</v>
      </c>
      <c r="P1289" t="s">
        <v>86</v>
      </c>
    </row>
    <row r="1290" spans="1:16" x14ac:dyDescent="0.25">
      <c r="A1290">
        <v>1289</v>
      </c>
      <c r="B1290" s="2">
        <v>45831</v>
      </c>
      <c r="C1290" t="s">
        <v>17</v>
      </c>
      <c r="D1290" t="s">
        <v>25</v>
      </c>
      <c r="E1290" t="s">
        <v>33</v>
      </c>
      <c r="F1290" t="s">
        <v>60</v>
      </c>
      <c r="G1290" t="s">
        <v>70</v>
      </c>
      <c r="H1290" t="s">
        <v>73</v>
      </c>
      <c r="I1290">
        <v>3</v>
      </c>
      <c r="J1290">
        <v>42872</v>
      </c>
      <c r="K1290">
        <v>0</v>
      </c>
      <c r="L1290">
        <v>128616</v>
      </c>
      <c r="M1290">
        <v>107572.46</v>
      </c>
      <c r="N1290">
        <v>21043.54</v>
      </c>
      <c r="O1290" t="s">
        <v>80</v>
      </c>
      <c r="P1290" t="s">
        <v>86</v>
      </c>
    </row>
    <row r="1291" spans="1:16" x14ac:dyDescent="0.25">
      <c r="A1291">
        <v>1290</v>
      </c>
      <c r="B1291" s="2">
        <v>45839</v>
      </c>
      <c r="C1291" t="s">
        <v>16</v>
      </c>
      <c r="D1291" t="s">
        <v>24</v>
      </c>
      <c r="E1291" t="s">
        <v>30</v>
      </c>
      <c r="F1291" t="s">
        <v>40</v>
      </c>
      <c r="G1291" t="s">
        <v>72</v>
      </c>
      <c r="H1291" t="s">
        <v>73</v>
      </c>
      <c r="I1291">
        <v>2</v>
      </c>
      <c r="J1291">
        <v>59442</v>
      </c>
      <c r="K1291">
        <v>0.15</v>
      </c>
      <c r="L1291">
        <v>101051.4</v>
      </c>
      <c r="M1291">
        <v>63599.839999999997</v>
      </c>
      <c r="N1291">
        <v>37451.56</v>
      </c>
      <c r="O1291" t="s">
        <v>78</v>
      </c>
      <c r="P1291" t="s">
        <v>86</v>
      </c>
    </row>
    <row r="1292" spans="1:16" x14ac:dyDescent="0.25">
      <c r="A1292">
        <v>1291</v>
      </c>
      <c r="B1292" s="2">
        <v>45842</v>
      </c>
      <c r="C1292" t="s">
        <v>21</v>
      </c>
      <c r="D1292" t="s">
        <v>24</v>
      </c>
      <c r="E1292" t="s">
        <v>29</v>
      </c>
      <c r="F1292" t="s">
        <v>36</v>
      </c>
      <c r="G1292" t="s">
        <v>72</v>
      </c>
      <c r="H1292" t="s">
        <v>74</v>
      </c>
      <c r="I1292">
        <v>8</v>
      </c>
      <c r="J1292">
        <v>9863</v>
      </c>
      <c r="K1292">
        <v>0</v>
      </c>
      <c r="L1292">
        <v>78904</v>
      </c>
      <c r="M1292">
        <v>57593.58</v>
      </c>
      <c r="N1292">
        <v>21310.42</v>
      </c>
      <c r="O1292" t="s">
        <v>78</v>
      </c>
      <c r="P1292" t="s">
        <v>81</v>
      </c>
    </row>
    <row r="1293" spans="1:16" x14ac:dyDescent="0.25">
      <c r="A1293">
        <v>1292</v>
      </c>
      <c r="B1293" s="2">
        <v>45918</v>
      </c>
      <c r="C1293" t="s">
        <v>23</v>
      </c>
      <c r="D1293" t="s">
        <v>27</v>
      </c>
      <c r="E1293" t="s">
        <v>33</v>
      </c>
      <c r="F1293" t="s">
        <v>60</v>
      </c>
      <c r="G1293" t="s">
        <v>72</v>
      </c>
      <c r="H1293" t="s">
        <v>75</v>
      </c>
      <c r="I1293">
        <v>1</v>
      </c>
      <c r="J1293">
        <v>13871</v>
      </c>
      <c r="K1293">
        <v>0.15</v>
      </c>
      <c r="L1293">
        <v>11790.35</v>
      </c>
      <c r="M1293">
        <v>7205.18</v>
      </c>
      <c r="N1293">
        <v>4585.17</v>
      </c>
      <c r="O1293" t="s">
        <v>79</v>
      </c>
      <c r="P1293" t="s">
        <v>84</v>
      </c>
    </row>
    <row r="1294" spans="1:16" x14ac:dyDescent="0.25">
      <c r="A1294">
        <v>1293</v>
      </c>
      <c r="B1294" s="2">
        <v>46011</v>
      </c>
      <c r="C1294" t="s">
        <v>18</v>
      </c>
      <c r="D1294" t="s">
        <v>26</v>
      </c>
      <c r="E1294" t="s">
        <v>28</v>
      </c>
      <c r="F1294" t="s">
        <v>58</v>
      </c>
      <c r="G1294" t="s">
        <v>71</v>
      </c>
      <c r="H1294" t="s">
        <v>75</v>
      </c>
      <c r="I1294">
        <v>1</v>
      </c>
      <c r="J1294">
        <v>823</v>
      </c>
      <c r="K1294">
        <v>0</v>
      </c>
      <c r="L1294">
        <v>823</v>
      </c>
      <c r="M1294">
        <v>683.52</v>
      </c>
      <c r="N1294">
        <v>139.47999999999999</v>
      </c>
      <c r="O1294" t="s">
        <v>79</v>
      </c>
      <c r="P1294" t="s">
        <v>88</v>
      </c>
    </row>
    <row r="1295" spans="1:16" x14ac:dyDescent="0.25">
      <c r="A1295">
        <v>1294</v>
      </c>
      <c r="B1295" s="2">
        <v>45865</v>
      </c>
      <c r="C1295" t="s">
        <v>21</v>
      </c>
      <c r="D1295" t="s">
        <v>24</v>
      </c>
      <c r="E1295" t="s">
        <v>29</v>
      </c>
      <c r="F1295" t="s">
        <v>42</v>
      </c>
      <c r="G1295" t="s">
        <v>72</v>
      </c>
      <c r="H1295" t="s">
        <v>75</v>
      </c>
      <c r="I1295">
        <v>8</v>
      </c>
      <c r="J1295">
        <v>6250</v>
      </c>
      <c r="K1295">
        <v>0.1</v>
      </c>
      <c r="L1295">
        <v>45000</v>
      </c>
      <c r="M1295">
        <v>32605.97</v>
      </c>
      <c r="N1295">
        <v>12394.03</v>
      </c>
      <c r="O1295" t="s">
        <v>76</v>
      </c>
      <c r="P1295" t="s">
        <v>81</v>
      </c>
    </row>
    <row r="1296" spans="1:16" x14ac:dyDescent="0.25">
      <c r="A1296">
        <v>1295</v>
      </c>
      <c r="B1296" s="2">
        <v>45774</v>
      </c>
      <c r="C1296" t="s">
        <v>19</v>
      </c>
      <c r="D1296" t="s">
        <v>26</v>
      </c>
      <c r="E1296" t="s">
        <v>32</v>
      </c>
      <c r="F1296" t="s">
        <v>62</v>
      </c>
      <c r="G1296" t="s">
        <v>70</v>
      </c>
      <c r="H1296" t="s">
        <v>74</v>
      </c>
      <c r="I1296">
        <v>2</v>
      </c>
      <c r="J1296">
        <v>15335</v>
      </c>
      <c r="K1296">
        <v>0.15</v>
      </c>
      <c r="L1296">
        <v>26069.5</v>
      </c>
      <c r="M1296">
        <v>19012.8</v>
      </c>
      <c r="N1296">
        <v>7056.7</v>
      </c>
      <c r="O1296" t="s">
        <v>77</v>
      </c>
      <c r="P1296" t="s">
        <v>85</v>
      </c>
    </row>
    <row r="1297" spans="1:16" x14ac:dyDescent="0.25">
      <c r="A1297">
        <v>1296</v>
      </c>
      <c r="B1297" s="2">
        <v>45794</v>
      </c>
      <c r="C1297" t="s">
        <v>16</v>
      </c>
      <c r="D1297" t="s">
        <v>24</v>
      </c>
      <c r="E1297" t="s">
        <v>33</v>
      </c>
      <c r="F1297" t="s">
        <v>46</v>
      </c>
      <c r="G1297" t="s">
        <v>71</v>
      </c>
      <c r="H1297" t="s">
        <v>73</v>
      </c>
      <c r="I1297">
        <v>1</v>
      </c>
      <c r="J1297">
        <v>46135</v>
      </c>
      <c r="K1297">
        <v>0</v>
      </c>
      <c r="L1297">
        <v>46135</v>
      </c>
      <c r="M1297">
        <v>36456.239999999998</v>
      </c>
      <c r="N1297">
        <v>9678.76</v>
      </c>
      <c r="O1297" t="s">
        <v>78</v>
      </c>
      <c r="P1297" t="s">
        <v>84</v>
      </c>
    </row>
    <row r="1298" spans="1:16" x14ac:dyDescent="0.25">
      <c r="A1298">
        <v>1297</v>
      </c>
      <c r="B1298" s="2">
        <v>45870</v>
      </c>
      <c r="C1298" t="s">
        <v>16</v>
      </c>
      <c r="D1298" t="s">
        <v>24</v>
      </c>
      <c r="E1298" t="s">
        <v>34</v>
      </c>
      <c r="F1298" t="s">
        <v>43</v>
      </c>
      <c r="G1298" t="s">
        <v>71</v>
      </c>
      <c r="H1298" t="s">
        <v>73</v>
      </c>
      <c r="I1298">
        <v>6</v>
      </c>
      <c r="J1298">
        <v>2158</v>
      </c>
      <c r="K1298">
        <v>0.05</v>
      </c>
      <c r="L1298">
        <v>12300.6</v>
      </c>
      <c r="M1298">
        <v>9991.7000000000007</v>
      </c>
      <c r="N1298">
        <v>2308.9</v>
      </c>
      <c r="O1298" t="s">
        <v>79</v>
      </c>
      <c r="P1298" t="s">
        <v>88</v>
      </c>
    </row>
    <row r="1299" spans="1:16" x14ac:dyDescent="0.25">
      <c r="A1299">
        <v>1298</v>
      </c>
      <c r="B1299" s="2">
        <v>45888</v>
      </c>
      <c r="C1299" t="s">
        <v>17</v>
      </c>
      <c r="D1299" t="s">
        <v>25</v>
      </c>
      <c r="E1299" t="s">
        <v>31</v>
      </c>
      <c r="F1299" t="s">
        <v>47</v>
      </c>
      <c r="G1299" t="s">
        <v>71</v>
      </c>
      <c r="H1299" t="s">
        <v>73</v>
      </c>
      <c r="I1299">
        <v>4</v>
      </c>
      <c r="J1299">
        <v>1927</v>
      </c>
      <c r="K1299">
        <v>0</v>
      </c>
      <c r="L1299">
        <v>7708</v>
      </c>
      <c r="M1299">
        <v>6034.92</v>
      </c>
      <c r="N1299">
        <v>1673.08</v>
      </c>
      <c r="O1299" t="s">
        <v>78</v>
      </c>
      <c r="P1299" t="s">
        <v>81</v>
      </c>
    </row>
    <row r="1300" spans="1:16" x14ac:dyDescent="0.25">
      <c r="A1300">
        <v>1299</v>
      </c>
      <c r="B1300" s="2">
        <v>45989</v>
      </c>
      <c r="C1300" t="s">
        <v>16</v>
      </c>
      <c r="D1300" t="s">
        <v>24</v>
      </c>
      <c r="E1300" t="s">
        <v>30</v>
      </c>
      <c r="F1300" t="s">
        <v>40</v>
      </c>
      <c r="G1300" t="s">
        <v>72</v>
      </c>
      <c r="H1300" t="s">
        <v>73</v>
      </c>
      <c r="I1300">
        <v>3</v>
      </c>
      <c r="J1300">
        <v>48766</v>
      </c>
      <c r="K1300">
        <v>0.1</v>
      </c>
      <c r="L1300">
        <v>131668.20000000001</v>
      </c>
      <c r="M1300">
        <v>108501.4</v>
      </c>
      <c r="N1300">
        <v>23166.799999999999</v>
      </c>
      <c r="O1300" t="s">
        <v>77</v>
      </c>
      <c r="P1300" t="s">
        <v>81</v>
      </c>
    </row>
    <row r="1301" spans="1:16" x14ac:dyDescent="0.25">
      <c r="A1301">
        <v>1300</v>
      </c>
      <c r="B1301" s="2">
        <v>45933</v>
      </c>
      <c r="C1301" t="s">
        <v>20</v>
      </c>
      <c r="D1301" t="s">
        <v>26</v>
      </c>
      <c r="E1301" t="s">
        <v>34</v>
      </c>
      <c r="F1301" t="s">
        <v>68</v>
      </c>
      <c r="G1301" t="s">
        <v>71</v>
      </c>
      <c r="H1301" t="s">
        <v>75</v>
      </c>
      <c r="I1301">
        <v>6</v>
      </c>
      <c r="J1301">
        <v>160</v>
      </c>
      <c r="K1301">
        <v>0.1</v>
      </c>
      <c r="L1301">
        <v>864</v>
      </c>
      <c r="M1301">
        <v>655.99</v>
      </c>
      <c r="N1301">
        <v>208.01</v>
      </c>
      <c r="O1301" t="s">
        <v>76</v>
      </c>
      <c r="P1301" t="s">
        <v>87</v>
      </c>
    </row>
    <row r="1302" spans="1:16" x14ac:dyDescent="0.25">
      <c r="A1302">
        <v>1301</v>
      </c>
      <c r="B1302" s="2">
        <v>45750</v>
      </c>
      <c r="C1302" t="s">
        <v>23</v>
      </c>
      <c r="D1302" t="s">
        <v>27</v>
      </c>
      <c r="E1302" t="s">
        <v>34</v>
      </c>
      <c r="F1302" t="s">
        <v>43</v>
      </c>
      <c r="G1302" t="s">
        <v>72</v>
      </c>
      <c r="H1302" t="s">
        <v>74</v>
      </c>
      <c r="I1302">
        <v>7</v>
      </c>
      <c r="J1302">
        <v>5407</v>
      </c>
      <c r="K1302">
        <v>0.1</v>
      </c>
      <c r="L1302">
        <v>34064.1</v>
      </c>
      <c r="M1302">
        <v>20409.990000000002</v>
      </c>
      <c r="N1302">
        <v>13654.11</v>
      </c>
      <c r="O1302" t="s">
        <v>76</v>
      </c>
      <c r="P1302" t="s">
        <v>81</v>
      </c>
    </row>
    <row r="1303" spans="1:16" x14ac:dyDescent="0.25">
      <c r="A1303">
        <v>1302</v>
      </c>
      <c r="B1303" s="2">
        <v>45787</v>
      </c>
      <c r="C1303" t="s">
        <v>17</v>
      </c>
      <c r="D1303" t="s">
        <v>25</v>
      </c>
      <c r="E1303" t="s">
        <v>33</v>
      </c>
      <c r="F1303" t="s">
        <v>46</v>
      </c>
      <c r="G1303" t="s">
        <v>72</v>
      </c>
      <c r="H1303" t="s">
        <v>74</v>
      </c>
      <c r="I1303">
        <v>4</v>
      </c>
      <c r="J1303">
        <v>33738</v>
      </c>
      <c r="K1303">
        <v>0</v>
      </c>
      <c r="L1303">
        <v>134952</v>
      </c>
      <c r="M1303">
        <v>84790.74</v>
      </c>
      <c r="N1303">
        <v>50161.26</v>
      </c>
      <c r="O1303" t="s">
        <v>80</v>
      </c>
      <c r="P1303" t="s">
        <v>82</v>
      </c>
    </row>
    <row r="1304" spans="1:16" x14ac:dyDescent="0.25">
      <c r="A1304">
        <v>1303</v>
      </c>
      <c r="B1304" s="2">
        <v>45847</v>
      </c>
      <c r="C1304" t="s">
        <v>18</v>
      </c>
      <c r="D1304" t="s">
        <v>26</v>
      </c>
      <c r="E1304" t="s">
        <v>33</v>
      </c>
      <c r="F1304" t="s">
        <v>59</v>
      </c>
      <c r="G1304" t="s">
        <v>71</v>
      </c>
      <c r="H1304" t="s">
        <v>73</v>
      </c>
      <c r="I1304">
        <v>8</v>
      </c>
      <c r="J1304">
        <v>36117</v>
      </c>
      <c r="K1304">
        <v>0.1</v>
      </c>
      <c r="L1304">
        <v>260042.4</v>
      </c>
      <c r="M1304">
        <v>187170.02</v>
      </c>
      <c r="N1304">
        <v>72872.38</v>
      </c>
      <c r="O1304" t="s">
        <v>76</v>
      </c>
      <c r="P1304" t="s">
        <v>83</v>
      </c>
    </row>
    <row r="1305" spans="1:16" x14ac:dyDescent="0.25">
      <c r="A1305">
        <v>1304</v>
      </c>
      <c r="B1305" s="2">
        <v>45944</v>
      </c>
      <c r="C1305" t="s">
        <v>22</v>
      </c>
      <c r="D1305" t="s">
        <v>24</v>
      </c>
      <c r="E1305" t="s">
        <v>31</v>
      </c>
      <c r="F1305" t="s">
        <v>38</v>
      </c>
      <c r="G1305" t="s">
        <v>70</v>
      </c>
      <c r="H1305" t="s">
        <v>74</v>
      </c>
      <c r="I1305">
        <v>5</v>
      </c>
      <c r="J1305">
        <v>797</v>
      </c>
      <c r="K1305">
        <v>0.2</v>
      </c>
      <c r="L1305">
        <v>3188</v>
      </c>
      <c r="M1305">
        <v>2752.95</v>
      </c>
      <c r="N1305">
        <v>435.05</v>
      </c>
      <c r="O1305" t="s">
        <v>76</v>
      </c>
      <c r="P1305" t="s">
        <v>86</v>
      </c>
    </row>
    <row r="1306" spans="1:16" x14ac:dyDescent="0.25">
      <c r="A1306">
        <v>1305</v>
      </c>
      <c r="B1306" s="2">
        <v>45877</v>
      </c>
      <c r="C1306" t="s">
        <v>20</v>
      </c>
      <c r="D1306" t="s">
        <v>26</v>
      </c>
      <c r="E1306" t="s">
        <v>30</v>
      </c>
      <c r="F1306" t="s">
        <v>64</v>
      </c>
      <c r="G1306" t="s">
        <v>72</v>
      </c>
      <c r="H1306" t="s">
        <v>73</v>
      </c>
      <c r="I1306">
        <v>5</v>
      </c>
      <c r="J1306">
        <v>18377</v>
      </c>
      <c r="K1306">
        <v>0</v>
      </c>
      <c r="L1306">
        <v>91885</v>
      </c>
      <c r="M1306">
        <v>66170.61</v>
      </c>
      <c r="N1306">
        <v>25714.39</v>
      </c>
      <c r="O1306" t="s">
        <v>76</v>
      </c>
      <c r="P1306" t="s">
        <v>85</v>
      </c>
    </row>
    <row r="1307" spans="1:16" x14ac:dyDescent="0.25">
      <c r="A1307">
        <v>1306</v>
      </c>
      <c r="B1307" s="2">
        <v>46004</v>
      </c>
      <c r="C1307" t="s">
        <v>18</v>
      </c>
      <c r="D1307" t="s">
        <v>26</v>
      </c>
      <c r="E1307" t="s">
        <v>28</v>
      </c>
      <c r="F1307" t="s">
        <v>63</v>
      </c>
      <c r="G1307" t="s">
        <v>70</v>
      </c>
      <c r="H1307" t="s">
        <v>74</v>
      </c>
      <c r="I1307">
        <v>1</v>
      </c>
      <c r="J1307">
        <v>274</v>
      </c>
      <c r="K1307">
        <v>0.1</v>
      </c>
      <c r="L1307">
        <v>246.6</v>
      </c>
      <c r="M1307">
        <v>159.15</v>
      </c>
      <c r="N1307">
        <v>87.45</v>
      </c>
      <c r="O1307" t="s">
        <v>79</v>
      </c>
      <c r="P1307" t="s">
        <v>85</v>
      </c>
    </row>
    <row r="1308" spans="1:16" x14ac:dyDescent="0.25">
      <c r="A1308">
        <v>1307</v>
      </c>
      <c r="B1308" s="2">
        <v>45668</v>
      </c>
      <c r="C1308" t="s">
        <v>19</v>
      </c>
      <c r="D1308" t="s">
        <v>26</v>
      </c>
      <c r="E1308" t="s">
        <v>32</v>
      </c>
      <c r="F1308" t="s">
        <v>66</v>
      </c>
      <c r="G1308" t="s">
        <v>71</v>
      </c>
      <c r="H1308" t="s">
        <v>74</v>
      </c>
      <c r="I1308">
        <v>8</v>
      </c>
      <c r="J1308">
        <v>12523</v>
      </c>
      <c r="K1308">
        <v>0.15</v>
      </c>
      <c r="L1308">
        <v>85156.4</v>
      </c>
      <c r="M1308">
        <v>51487.39</v>
      </c>
      <c r="N1308">
        <v>33669.01</v>
      </c>
      <c r="O1308" t="s">
        <v>77</v>
      </c>
      <c r="P1308" t="s">
        <v>88</v>
      </c>
    </row>
    <row r="1309" spans="1:16" x14ac:dyDescent="0.25">
      <c r="A1309">
        <v>1308</v>
      </c>
      <c r="B1309" s="2">
        <v>45710</v>
      </c>
      <c r="C1309" t="s">
        <v>21</v>
      </c>
      <c r="D1309" t="s">
        <v>24</v>
      </c>
      <c r="E1309" t="s">
        <v>33</v>
      </c>
      <c r="F1309" t="s">
        <v>52</v>
      </c>
      <c r="G1309" t="s">
        <v>72</v>
      </c>
      <c r="H1309" t="s">
        <v>73</v>
      </c>
      <c r="I1309">
        <v>7</v>
      </c>
      <c r="J1309">
        <v>19577</v>
      </c>
      <c r="K1309">
        <v>0.05</v>
      </c>
      <c r="L1309">
        <v>130187.05</v>
      </c>
      <c r="M1309">
        <v>89255.94</v>
      </c>
      <c r="N1309">
        <v>40931.11</v>
      </c>
      <c r="O1309" t="s">
        <v>77</v>
      </c>
      <c r="P1309" t="s">
        <v>83</v>
      </c>
    </row>
    <row r="1310" spans="1:16" x14ac:dyDescent="0.25">
      <c r="A1310">
        <v>1309</v>
      </c>
      <c r="B1310" s="2">
        <v>45986</v>
      </c>
      <c r="C1310" t="s">
        <v>20</v>
      </c>
      <c r="D1310" t="s">
        <v>26</v>
      </c>
      <c r="E1310" t="s">
        <v>28</v>
      </c>
      <c r="F1310" t="s">
        <v>54</v>
      </c>
      <c r="G1310" t="s">
        <v>70</v>
      </c>
      <c r="H1310" t="s">
        <v>74</v>
      </c>
      <c r="I1310">
        <v>1</v>
      </c>
      <c r="J1310">
        <v>1045</v>
      </c>
      <c r="K1310">
        <v>0.05</v>
      </c>
      <c r="L1310">
        <v>992.75</v>
      </c>
      <c r="M1310">
        <v>704.44</v>
      </c>
      <c r="N1310">
        <v>288.31</v>
      </c>
      <c r="O1310" t="s">
        <v>76</v>
      </c>
      <c r="P1310" t="s">
        <v>83</v>
      </c>
    </row>
    <row r="1311" spans="1:16" x14ac:dyDescent="0.25">
      <c r="A1311">
        <v>1310</v>
      </c>
      <c r="B1311" s="2">
        <v>45993</v>
      </c>
      <c r="C1311" t="s">
        <v>16</v>
      </c>
      <c r="D1311" t="s">
        <v>24</v>
      </c>
      <c r="E1311" t="s">
        <v>34</v>
      </c>
      <c r="F1311" t="s">
        <v>43</v>
      </c>
      <c r="G1311" t="s">
        <v>70</v>
      </c>
      <c r="H1311" t="s">
        <v>74</v>
      </c>
      <c r="I1311">
        <v>3</v>
      </c>
      <c r="J1311">
        <v>5364</v>
      </c>
      <c r="K1311">
        <v>0.15</v>
      </c>
      <c r="L1311">
        <v>13678.2</v>
      </c>
      <c r="M1311">
        <v>8812.42</v>
      </c>
      <c r="N1311">
        <v>4865.78</v>
      </c>
      <c r="O1311" t="s">
        <v>79</v>
      </c>
      <c r="P1311" t="s">
        <v>85</v>
      </c>
    </row>
    <row r="1312" spans="1:16" x14ac:dyDescent="0.25">
      <c r="A1312">
        <v>1311</v>
      </c>
      <c r="B1312" s="2">
        <v>46001</v>
      </c>
      <c r="C1312" t="s">
        <v>17</v>
      </c>
      <c r="D1312" t="s">
        <v>25</v>
      </c>
      <c r="E1312" t="s">
        <v>30</v>
      </c>
      <c r="F1312" t="s">
        <v>37</v>
      </c>
      <c r="G1312" t="s">
        <v>70</v>
      </c>
      <c r="H1312" t="s">
        <v>75</v>
      </c>
      <c r="I1312">
        <v>2</v>
      </c>
      <c r="J1312">
        <v>60916</v>
      </c>
      <c r="K1312">
        <v>0</v>
      </c>
      <c r="L1312">
        <v>121832</v>
      </c>
      <c r="M1312">
        <v>78457.539999999994</v>
      </c>
      <c r="N1312">
        <v>43374.46</v>
      </c>
      <c r="O1312" t="s">
        <v>80</v>
      </c>
      <c r="P1312" t="s">
        <v>83</v>
      </c>
    </row>
    <row r="1313" spans="1:16" x14ac:dyDescent="0.25">
      <c r="A1313">
        <v>1312</v>
      </c>
      <c r="B1313" s="2">
        <v>45750</v>
      </c>
      <c r="C1313" t="s">
        <v>21</v>
      </c>
      <c r="D1313" t="s">
        <v>24</v>
      </c>
      <c r="E1313" t="s">
        <v>29</v>
      </c>
      <c r="F1313" t="s">
        <v>45</v>
      </c>
      <c r="G1313" t="s">
        <v>70</v>
      </c>
      <c r="H1313" t="s">
        <v>73</v>
      </c>
      <c r="I1313">
        <v>4</v>
      </c>
      <c r="J1313">
        <v>5177</v>
      </c>
      <c r="K1313">
        <v>0</v>
      </c>
      <c r="L1313">
        <v>20708</v>
      </c>
      <c r="M1313">
        <v>15702.36</v>
      </c>
      <c r="N1313">
        <v>5005.6400000000003</v>
      </c>
      <c r="O1313" t="s">
        <v>78</v>
      </c>
      <c r="P1313" t="s">
        <v>81</v>
      </c>
    </row>
    <row r="1314" spans="1:16" x14ac:dyDescent="0.25">
      <c r="A1314">
        <v>1313</v>
      </c>
      <c r="B1314" s="2">
        <v>45866</v>
      </c>
      <c r="C1314" t="s">
        <v>23</v>
      </c>
      <c r="D1314" t="s">
        <v>27</v>
      </c>
      <c r="E1314" t="s">
        <v>29</v>
      </c>
      <c r="F1314" t="s">
        <v>36</v>
      </c>
      <c r="G1314" t="s">
        <v>71</v>
      </c>
      <c r="H1314" t="s">
        <v>74</v>
      </c>
      <c r="I1314">
        <v>5</v>
      </c>
      <c r="J1314">
        <v>6592</v>
      </c>
      <c r="K1314">
        <v>0.05</v>
      </c>
      <c r="L1314">
        <v>31312</v>
      </c>
      <c r="M1314">
        <v>23493.14</v>
      </c>
      <c r="N1314">
        <v>7818.86</v>
      </c>
      <c r="O1314" t="s">
        <v>79</v>
      </c>
      <c r="P1314" t="s">
        <v>82</v>
      </c>
    </row>
    <row r="1315" spans="1:16" x14ac:dyDescent="0.25">
      <c r="A1315">
        <v>1314</v>
      </c>
      <c r="B1315" s="2">
        <v>45959</v>
      </c>
      <c r="C1315" t="s">
        <v>17</v>
      </c>
      <c r="D1315" t="s">
        <v>25</v>
      </c>
      <c r="E1315" t="s">
        <v>29</v>
      </c>
      <c r="F1315" t="s">
        <v>57</v>
      </c>
      <c r="G1315" t="s">
        <v>71</v>
      </c>
      <c r="H1315" t="s">
        <v>75</v>
      </c>
      <c r="I1315">
        <v>1</v>
      </c>
      <c r="J1315">
        <v>9410</v>
      </c>
      <c r="K1315">
        <v>0</v>
      </c>
      <c r="L1315">
        <v>9410</v>
      </c>
      <c r="M1315">
        <v>6288.2</v>
      </c>
      <c r="N1315">
        <v>3121.8</v>
      </c>
      <c r="O1315" t="s">
        <v>77</v>
      </c>
      <c r="P1315" t="s">
        <v>82</v>
      </c>
    </row>
    <row r="1316" spans="1:16" x14ac:dyDescent="0.25">
      <c r="A1316">
        <v>1315</v>
      </c>
      <c r="B1316" s="2">
        <v>45697</v>
      </c>
      <c r="C1316" t="s">
        <v>20</v>
      </c>
      <c r="D1316" t="s">
        <v>26</v>
      </c>
      <c r="E1316" t="s">
        <v>29</v>
      </c>
      <c r="F1316" t="s">
        <v>42</v>
      </c>
      <c r="G1316" t="s">
        <v>72</v>
      </c>
      <c r="H1316" t="s">
        <v>75</v>
      </c>
      <c r="I1316">
        <v>6</v>
      </c>
      <c r="J1316">
        <v>7455</v>
      </c>
      <c r="K1316">
        <v>0</v>
      </c>
      <c r="L1316">
        <v>44730</v>
      </c>
      <c r="M1316">
        <v>38866.720000000001</v>
      </c>
      <c r="N1316">
        <v>5863.28</v>
      </c>
      <c r="O1316" t="s">
        <v>76</v>
      </c>
      <c r="P1316" t="s">
        <v>86</v>
      </c>
    </row>
    <row r="1317" spans="1:16" x14ac:dyDescent="0.25">
      <c r="A1317">
        <v>1316</v>
      </c>
      <c r="B1317" s="2">
        <v>45985</v>
      </c>
      <c r="C1317" t="s">
        <v>20</v>
      </c>
      <c r="D1317" t="s">
        <v>26</v>
      </c>
      <c r="E1317" t="s">
        <v>31</v>
      </c>
      <c r="F1317" t="s">
        <v>67</v>
      </c>
      <c r="G1317" t="s">
        <v>72</v>
      </c>
      <c r="H1317" t="s">
        <v>73</v>
      </c>
      <c r="I1317">
        <v>8</v>
      </c>
      <c r="J1317">
        <v>576</v>
      </c>
      <c r="K1317">
        <v>0.1</v>
      </c>
      <c r="L1317">
        <v>4147.2</v>
      </c>
      <c r="M1317">
        <v>3239.62</v>
      </c>
      <c r="N1317">
        <v>907.58</v>
      </c>
      <c r="O1317" t="s">
        <v>80</v>
      </c>
      <c r="P1317" t="s">
        <v>81</v>
      </c>
    </row>
    <row r="1318" spans="1:16" x14ac:dyDescent="0.25">
      <c r="A1318">
        <v>1317</v>
      </c>
      <c r="B1318" s="2">
        <v>45704</v>
      </c>
      <c r="C1318" t="s">
        <v>22</v>
      </c>
      <c r="D1318" t="s">
        <v>24</v>
      </c>
      <c r="E1318" t="s">
        <v>32</v>
      </c>
      <c r="F1318" t="s">
        <v>49</v>
      </c>
      <c r="G1318" t="s">
        <v>72</v>
      </c>
      <c r="H1318" t="s">
        <v>74</v>
      </c>
      <c r="I1318">
        <v>3</v>
      </c>
      <c r="J1318">
        <v>14179</v>
      </c>
      <c r="K1318">
        <v>0.1</v>
      </c>
      <c r="L1318">
        <v>38283.300000000003</v>
      </c>
      <c r="M1318">
        <v>26053.34</v>
      </c>
      <c r="N1318">
        <v>12229.96</v>
      </c>
      <c r="O1318" t="s">
        <v>78</v>
      </c>
      <c r="P1318" t="s">
        <v>87</v>
      </c>
    </row>
    <row r="1319" spans="1:16" x14ac:dyDescent="0.25">
      <c r="A1319">
        <v>1318</v>
      </c>
      <c r="B1319" s="2">
        <v>45957</v>
      </c>
      <c r="C1319" t="s">
        <v>16</v>
      </c>
      <c r="D1319" t="s">
        <v>24</v>
      </c>
      <c r="E1319" t="s">
        <v>33</v>
      </c>
      <c r="F1319" t="s">
        <v>52</v>
      </c>
      <c r="G1319" t="s">
        <v>72</v>
      </c>
      <c r="H1319" t="s">
        <v>73</v>
      </c>
      <c r="I1319">
        <v>5</v>
      </c>
      <c r="J1319">
        <v>2827</v>
      </c>
      <c r="K1319">
        <v>0.15</v>
      </c>
      <c r="L1319">
        <v>12014.75</v>
      </c>
      <c r="M1319">
        <v>7080.21</v>
      </c>
      <c r="N1319">
        <v>4934.54</v>
      </c>
      <c r="O1319" t="s">
        <v>80</v>
      </c>
      <c r="P1319" t="s">
        <v>84</v>
      </c>
    </row>
    <row r="1320" spans="1:16" x14ac:dyDescent="0.25">
      <c r="A1320">
        <v>1319</v>
      </c>
      <c r="B1320" s="2">
        <v>45808</v>
      </c>
      <c r="C1320" t="s">
        <v>16</v>
      </c>
      <c r="D1320" t="s">
        <v>24</v>
      </c>
      <c r="E1320" t="s">
        <v>31</v>
      </c>
      <c r="F1320" t="s">
        <v>69</v>
      </c>
      <c r="G1320" t="s">
        <v>70</v>
      </c>
      <c r="H1320" t="s">
        <v>73</v>
      </c>
      <c r="I1320">
        <v>4</v>
      </c>
      <c r="J1320">
        <v>1284</v>
      </c>
      <c r="K1320">
        <v>0.05</v>
      </c>
      <c r="L1320">
        <v>4879.2</v>
      </c>
      <c r="M1320">
        <v>3703.34</v>
      </c>
      <c r="N1320">
        <v>1175.8599999999999</v>
      </c>
      <c r="O1320" t="s">
        <v>77</v>
      </c>
      <c r="P1320" t="s">
        <v>87</v>
      </c>
    </row>
    <row r="1321" spans="1:16" x14ac:dyDescent="0.25">
      <c r="A1321">
        <v>1320</v>
      </c>
      <c r="B1321" s="2">
        <v>45909</v>
      </c>
      <c r="C1321" t="s">
        <v>22</v>
      </c>
      <c r="D1321" t="s">
        <v>24</v>
      </c>
      <c r="E1321" t="s">
        <v>33</v>
      </c>
      <c r="F1321" t="s">
        <v>52</v>
      </c>
      <c r="G1321" t="s">
        <v>71</v>
      </c>
      <c r="H1321" t="s">
        <v>75</v>
      </c>
      <c r="I1321">
        <v>5</v>
      </c>
      <c r="J1321">
        <v>22137</v>
      </c>
      <c r="K1321">
        <v>0</v>
      </c>
      <c r="L1321">
        <v>110685</v>
      </c>
      <c r="M1321">
        <v>61554.51</v>
      </c>
      <c r="N1321">
        <v>49130.49</v>
      </c>
      <c r="O1321" t="s">
        <v>76</v>
      </c>
      <c r="P1321" t="s">
        <v>87</v>
      </c>
    </row>
    <row r="1322" spans="1:16" x14ac:dyDescent="0.25">
      <c r="A1322">
        <v>1321</v>
      </c>
      <c r="B1322" s="2">
        <v>45805</v>
      </c>
      <c r="C1322" t="s">
        <v>20</v>
      </c>
      <c r="D1322" t="s">
        <v>26</v>
      </c>
      <c r="E1322" t="s">
        <v>30</v>
      </c>
      <c r="F1322" t="s">
        <v>64</v>
      </c>
      <c r="G1322" t="s">
        <v>70</v>
      </c>
      <c r="H1322" t="s">
        <v>74</v>
      </c>
      <c r="I1322">
        <v>4</v>
      </c>
      <c r="J1322">
        <v>17487</v>
      </c>
      <c r="K1322">
        <v>0.1</v>
      </c>
      <c r="L1322">
        <v>62953.2</v>
      </c>
      <c r="M1322">
        <v>48310.07</v>
      </c>
      <c r="N1322">
        <v>14643.13</v>
      </c>
      <c r="O1322" t="s">
        <v>79</v>
      </c>
      <c r="P1322" t="s">
        <v>85</v>
      </c>
    </row>
    <row r="1323" spans="1:16" x14ac:dyDescent="0.25">
      <c r="A1323">
        <v>1322</v>
      </c>
      <c r="B1323" s="2">
        <v>45707</v>
      </c>
      <c r="C1323" t="s">
        <v>20</v>
      </c>
      <c r="D1323" t="s">
        <v>26</v>
      </c>
      <c r="E1323" t="s">
        <v>28</v>
      </c>
      <c r="F1323" t="s">
        <v>61</v>
      </c>
      <c r="G1323" t="s">
        <v>70</v>
      </c>
      <c r="H1323" t="s">
        <v>73</v>
      </c>
      <c r="I1323">
        <v>5</v>
      </c>
      <c r="J1323">
        <v>1943</v>
      </c>
      <c r="K1323">
        <v>0</v>
      </c>
      <c r="L1323">
        <v>9715</v>
      </c>
      <c r="M1323">
        <v>7507.44</v>
      </c>
      <c r="N1323">
        <v>2207.56</v>
      </c>
      <c r="O1323" t="s">
        <v>76</v>
      </c>
      <c r="P1323" t="s">
        <v>84</v>
      </c>
    </row>
    <row r="1324" spans="1:16" x14ac:dyDescent="0.25">
      <c r="A1324">
        <v>1323</v>
      </c>
      <c r="B1324" s="2">
        <v>45802</v>
      </c>
      <c r="C1324" t="s">
        <v>23</v>
      </c>
      <c r="D1324" t="s">
        <v>27</v>
      </c>
      <c r="E1324" t="s">
        <v>34</v>
      </c>
      <c r="F1324" t="s">
        <v>65</v>
      </c>
      <c r="G1324" t="s">
        <v>71</v>
      </c>
      <c r="H1324" t="s">
        <v>74</v>
      </c>
      <c r="I1324">
        <v>6</v>
      </c>
      <c r="J1324">
        <v>374</v>
      </c>
      <c r="K1324">
        <v>0.1</v>
      </c>
      <c r="L1324">
        <v>2019.6</v>
      </c>
      <c r="M1324">
        <v>1490.69</v>
      </c>
      <c r="N1324">
        <v>528.91</v>
      </c>
      <c r="O1324" t="s">
        <v>76</v>
      </c>
      <c r="P1324" t="s">
        <v>85</v>
      </c>
    </row>
    <row r="1325" spans="1:16" x14ac:dyDescent="0.25">
      <c r="A1325">
        <v>1324</v>
      </c>
      <c r="B1325" s="2">
        <v>45901</v>
      </c>
      <c r="C1325" t="s">
        <v>18</v>
      </c>
      <c r="D1325" t="s">
        <v>26</v>
      </c>
      <c r="E1325" t="s">
        <v>32</v>
      </c>
      <c r="F1325" t="s">
        <v>49</v>
      </c>
      <c r="G1325" t="s">
        <v>70</v>
      </c>
      <c r="H1325" t="s">
        <v>74</v>
      </c>
      <c r="I1325">
        <v>7</v>
      </c>
      <c r="J1325">
        <v>3116</v>
      </c>
      <c r="K1325">
        <v>0.15</v>
      </c>
      <c r="L1325">
        <v>18540.2</v>
      </c>
      <c r="M1325">
        <v>12651.94</v>
      </c>
      <c r="N1325">
        <v>5888.26</v>
      </c>
      <c r="O1325" t="s">
        <v>78</v>
      </c>
      <c r="P1325" t="s">
        <v>84</v>
      </c>
    </row>
    <row r="1326" spans="1:16" x14ac:dyDescent="0.25">
      <c r="A1326">
        <v>1325</v>
      </c>
      <c r="B1326" s="2">
        <v>45964</v>
      </c>
      <c r="C1326" t="s">
        <v>22</v>
      </c>
      <c r="D1326" t="s">
        <v>24</v>
      </c>
      <c r="E1326" t="s">
        <v>29</v>
      </c>
      <c r="F1326" t="s">
        <v>57</v>
      </c>
      <c r="G1326" t="s">
        <v>70</v>
      </c>
      <c r="H1326" t="s">
        <v>74</v>
      </c>
      <c r="I1326">
        <v>7</v>
      </c>
      <c r="J1326">
        <v>7543</v>
      </c>
      <c r="K1326">
        <v>0.05</v>
      </c>
      <c r="L1326">
        <v>50160.95</v>
      </c>
      <c r="M1326">
        <v>30049.96</v>
      </c>
      <c r="N1326">
        <v>20110.990000000002</v>
      </c>
      <c r="O1326" t="s">
        <v>79</v>
      </c>
      <c r="P1326" t="s">
        <v>82</v>
      </c>
    </row>
    <row r="1327" spans="1:16" x14ac:dyDescent="0.25">
      <c r="A1327">
        <v>1326</v>
      </c>
      <c r="B1327" s="2">
        <v>45880</v>
      </c>
      <c r="C1327" t="s">
        <v>20</v>
      </c>
      <c r="D1327" t="s">
        <v>26</v>
      </c>
      <c r="E1327" t="s">
        <v>30</v>
      </c>
      <c r="F1327" t="s">
        <v>37</v>
      </c>
      <c r="G1327" t="s">
        <v>71</v>
      </c>
      <c r="H1327" t="s">
        <v>75</v>
      </c>
      <c r="I1327">
        <v>8</v>
      </c>
      <c r="J1327">
        <v>69703</v>
      </c>
      <c r="K1327">
        <v>0</v>
      </c>
      <c r="L1327">
        <v>557624</v>
      </c>
      <c r="M1327">
        <v>407028.51</v>
      </c>
      <c r="N1327">
        <v>150595.49</v>
      </c>
      <c r="O1327" t="s">
        <v>79</v>
      </c>
      <c r="P1327" t="s">
        <v>88</v>
      </c>
    </row>
    <row r="1328" spans="1:16" x14ac:dyDescent="0.25">
      <c r="A1328">
        <v>1327</v>
      </c>
      <c r="B1328" s="2">
        <v>45889</v>
      </c>
      <c r="C1328" t="s">
        <v>20</v>
      </c>
      <c r="D1328" t="s">
        <v>26</v>
      </c>
      <c r="E1328" t="s">
        <v>32</v>
      </c>
      <c r="F1328" t="s">
        <v>66</v>
      </c>
      <c r="G1328" t="s">
        <v>71</v>
      </c>
      <c r="H1328" t="s">
        <v>73</v>
      </c>
      <c r="I1328">
        <v>8</v>
      </c>
      <c r="J1328">
        <v>20270</v>
      </c>
      <c r="K1328">
        <v>0.05</v>
      </c>
      <c r="L1328">
        <v>154052</v>
      </c>
      <c r="M1328">
        <v>133918.6</v>
      </c>
      <c r="N1328">
        <v>20133.400000000001</v>
      </c>
      <c r="O1328" t="s">
        <v>79</v>
      </c>
      <c r="P1328" t="s">
        <v>81</v>
      </c>
    </row>
    <row r="1329" spans="1:16" x14ac:dyDescent="0.25">
      <c r="A1329">
        <v>1328</v>
      </c>
      <c r="B1329" s="2">
        <v>45720</v>
      </c>
      <c r="C1329" t="s">
        <v>20</v>
      </c>
      <c r="D1329" t="s">
        <v>26</v>
      </c>
      <c r="E1329" t="s">
        <v>29</v>
      </c>
      <c r="F1329" t="s">
        <v>42</v>
      </c>
      <c r="G1329" t="s">
        <v>70</v>
      </c>
      <c r="H1329" t="s">
        <v>74</v>
      </c>
      <c r="I1329">
        <v>6</v>
      </c>
      <c r="J1329">
        <v>4724</v>
      </c>
      <c r="K1329">
        <v>0.2</v>
      </c>
      <c r="L1329">
        <v>22675.200000000001</v>
      </c>
      <c r="M1329">
        <v>14683.04</v>
      </c>
      <c r="N1329">
        <v>7992.16</v>
      </c>
      <c r="O1329" t="s">
        <v>77</v>
      </c>
      <c r="P1329" t="s">
        <v>86</v>
      </c>
    </row>
    <row r="1330" spans="1:16" x14ac:dyDescent="0.25">
      <c r="A1330">
        <v>1329</v>
      </c>
      <c r="B1330" s="2">
        <v>45812</v>
      </c>
      <c r="C1330" t="s">
        <v>22</v>
      </c>
      <c r="D1330" t="s">
        <v>24</v>
      </c>
      <c r="E1330" t="s">
        <v>34</v>
      </c>
      <c r="F1330" t="s">
        <v>43</v>
      </c>
      <c r="G1330" t="s">
        <v>72</v>
      </c>
      <c r="H1330" t="s">
        <v>74</v>
      </c>
      <c r="I1330">
        <v>3</v>
      </c>
      <c r="J1330">
        <v>2155</v>
      </c>
      <c r="K1330">
        <v>0.1</v>
      </c>
      <c r="L1330">
        <v>5818.5</v>
      </c>
      <c r="M1330">
        <v>3708.57</v>
      </c>
      <c r="N1330">
        <v>2109.9299999999998</v>
      </c>
      <c r="O1330" t="s">
        <v>77</v>
      </c>
      <c r="P1330" t="s">
        <v>82</v>
      </c>
    </row>
    <row r="1331" spans="1:16" x14ac:dyDescent="0.25">
      <c r="A1331">
        <v>1330</v>
      </c>
      <c r="B1331" s="2">
        <v>45679</v>
      </c>
      <c r="C1331" t="s">
        <v>21</v>
      </c>
      <c r="D1331" t="s">
        <v>24</v>
      </c>
      <c r="E1331" t="s">
        <v>28</v>
      </c>
      <c r="F1331" t="s">
        <v>54</v>
      </c>
      <c r="G1331" t="s">
        <v>70</v>
      </c>
      <c r="H1331" t="s">
        <v>73</v>
      </c>
      <c r="I1331">
        <v>8</v>
      </c>
      <c r="J1331">
        <v>2317</v>
      </c>
      <c r="K1331">
        <v>0.15</v>
      </c>
      <c r="L1331">
        <v>15755.6</v>
      </c>
      <c r="M1331">
        <v>9106.8799999999992</v>
      </c>
      <c r="N1331">
        <v>6648.72</v>
      </c>
      <c r="O1331" t="s">
        <v>76</v>
      </c>
      <c r="P1331" t="s">
        <v>88</v>
      </c>
    </row>
    <row r="1332" spans="1:16" x14ac:dyDescent="0.25">
      <c r="A1332">
        <v>1331</v>
      </c>
      <c r="B1332" s="2">
        <v>45667</v>
      </c>
      <c r="C1332" t="s">
        <v>21</v>
      </c>
      <c r="D1332" t="s">
        <v>24</v>
      </c>
      <c r="E1332" t="s">
        <v>28</v>
      </c>
      <c r="F1332" t="s">
        <v>54</v>
      </c>
      <c r="G1332" t="s">
        <v>72</v>
      </c>
      <c r="H1332" t="s">
        <v>73</v>
      </c>
      <c r="I1332">
        <v>8</v>
      </c>
      <c r="J1332">
        <v>1434</v>
      </c>
      <c r="K1332">
        <v>0</v>
      </c>
      <c r="L1332">
        <v>11472</v>
      </c>
      <c r="M1332">
        <v>7040.67</v>
      </c>
      <c r="N1332">
        <v>4431.33</v>
      </c>
      <c r="O1332" t="s">
        <v>80</v>
      </c>
      <c r="P1332" t="s">
        <v>88</v>
      </c>
    </row>
    <row r="1333" spans="1:16" x14ac:dyDescent="0.25">
      <c r="A1333">
        <v>1332</v>
      </c>
      <c r="B1333" s="2">
        <v>45929</v>
      </c>
      <c r="C1333" t="s">
        <v>20</v>
      </c>
      <c r="D1333" t="s">
        <v>26</v>
      </c>
      <c r="E1333" t="s">
        <v>28</v>
      </c>
      <c r="F1333" t="s">
        <v>35</v>
      </c>
      <c r="G1333" t="s">
        <v>72</v>
      </c>
      <c r="H1333" t="s">
        <v>75</v>
      </c>
      <c r="I1333">
        <v>4</v>
      </c>
      <c r="J1333">
        <v>1713</v>
      </c>
      <c r="K1333">
        <v>0.05</v>
      </c>
      <c r="L1333">
        <v>6509.4</v>
      </c>
      <c r="M1333">
        <v>5554.91</v>
      </c>
      <c r="N1333">
        <v>954.49</v>
      </c>
      <c r="O1333" t="s">
        <v>76</v>
      </c>
      <c r="P1333" t="s">
        <v>83</v>
      </c>
    </row>
    <row r="1334" spans="1:16" x14ac:dyDescent="0.25">
      <c r="A1334">
        <v>1333</v>
      </c>
      <c r="B1334" s="2">
        <v>45770</v>
      </c>
      <c r="C1334" t="s">
        <v>23</v>
      </c>
      <c r="D1334" t="s">
        <v>27</v>
      </c>
      <c r="E1334" t="s">
        <v>31</v>
      </c>
      <c r="F1334" t="s">
        <v>67</v>
      </c>
      <c r="G1334" t="s">
        <v>71</v>
      </c>
      <c r="H1334" t="s">
        <v>75</v>
      </c>
      <c r="I1334">
        <v>6</v>
      </c>
      <c r="J1334">
        <v>550</v>
      </c>
      <c r="K1334">
        <v>0</v>
      </c>
      <c r="L1334">
        <v>3300</v>
      </c>
      <c r="M1334">
        <v>2872.53</v>
      </c>
      <c r="N1334">
        <v>427.47</v>
      </c>
      <c r="O1334" t="s">
        <v>79</v>
      </c>
      <c r="P1334" t="s">
        <v>86</v>
      </c>
    </row>
    <row r="1335" spans="1:16" x14ac:dyDescent="0.25">
      <c r="A1335">
        <v>1334</v>
      </c>
      <c r="B1335" s="2">
        <v>45946</v>
      </c>
      <c r="C1335" t="s">
        <v>20</v>
      </c>
      <c r="D1335" t="s">
        <v>26</v>
      </c>
      <c r="E1335" t="s">
        <v>34</v>
      </c>
      <c r="F1335" t="s">
        <v>51</v>
      </c>
      <c r="G1335" t="s">
        <v>71</v>
      </c>
      <c r="H1335" t="s">
        <v>73</v>
      </c>
      <c r="I1335">
        <v>3</v>
      </c>
      <c r="J1335">
        <v>3527</v>
      </c>
      <c r="K1335">
        <v>0</v>
      </c>
      <c r="L1335">
        <v>10581</v>
      </c>
      <c r="M1335">
        <v>7145.1</v>
      </c>
      <c r="N1335">
        <v>3435.9</v>
      </c>
      <c r="O1335" t="s">
        <v>80</v>
      </c>
      <c r="P1335" t="s">
        <v>86</v>
      </c>
    </row>
    <row r="1336" spans="1:16" x14ac:dyDescent="0.25">
      <c r="A1336">
        <v>1335</v>
      </c>
      <c r="B1336" s="2">
        <v>45914</v>
      </c>
      <c r="C1336" t="s">
        <v>23</v>
      </c>
      <c r="D1336" t="s">
        <v>27</v>
      </c>
      <c r="E1336" t="s">
        <v>32</v>
      </c>
      <c r="F1336" t="s">
        <v>48</v>
      </c>
      <c r="G1336" t="s">
        <v>72</v>
      </c>
      <c r="H1336" t="s">
        <v>75</v>
      </c>
      <c r="I1336">
        <v>5</v>
      </c>
      <c r="J1336">
        <v>7150</v>
      </c>
      <c r="K1336">
        <v>0</v>
      </c>
      <c r="L1336">
        <v>35750</v>
      </c>
      <c r="M1336">
        <v>24663.61</v>
      </c>
      <c r="N1336">
        <v>11086.39</v>
      </c>
      <c r="O1336" t="s">
        <v>79</v>
      </c>
      <c r="P1336" t="s">
        <v>86</v>
      </c>
    </row>
    <row r="1337" spans="1:16" x14ac:dyDescent="0.25">
      <c r="A1337">
        <v>1336</v>
      </c>
      <c r="B1337" s="2">
        <v>46007</v>
      </c>
      <c r="C1337" t="s">
        <v>21</v>
      </c>
      <c r="D1337" t="s">
        <v>24</v>
      </c>
      <c r="E1337" t="s">
        <v>34</v>
      </c>
      <c r="F1337" t="s">
        <v>51</v>
      </c>
      <c r="G1337" t="s">
        <v>71</v>
      </c>
      <c r="H1337" t="s">
        <v>75</v>
      </c>
      <c r="I1337">
        <v>4</v>
      </c>
      <c r="J1337">
        <v>3740</v>
      </c>
      <c r="K1337">
        <v>0.05</v>
      </c>
      <c r="L1337">
        <v>14212</v>
      </c>
      <c r="M1337">
        <v>11210.63</v>
      </c>
      <c r="N1337">
        <v>3001.37</v>
      </c>
      <c r="O1337" t="s">
        <v>77</v>
      </c>
      <c r="P1337" t="s">
        <v>85</v>
      </c>
    </row>
    <row r="1338" spans="1:16" x14ac:dyDescent="0.25">
      <c r="A1338">
        <v>1337</v>
      </c>
      <c r="B1338" s="2">
        <v>45767</v>
      </c>
      <c r="C1338" t="s">
        <v>21</v>
      </c>
      <c r="D1338" t="s">
        <v>24</v>
      </c>
      <c r="E1338" t="s">
        <v>34</v>
      </c>
      <c r="F1338" t="s">
        <v>51</v>
      </c>
      <c r="G1338" t="s">
        <v>71</v>
      </c>
      <c r="H1338" t="s">
        <v>74</v>
      </c>
      <c r="I1338">
        <v>2</v>
      </c>
      <c r="J1338">
        <v>3515</v>
      </c>
      <c r="K1338">
        <v>0.05</v>
      </c>
      <c r="L1338">
        <v>6678.5</v>
      </c>
      <c r="M1338">
        <v>3789.91</v>
      </c>
      <c r="N1338">
        <v>2888.59</v>
      </c>
      <c r="O1338" t="s">
        <v>80</v>
      </c>
      <c r="P1338" t="s">
        <v>81</v>
      </c>
    </row>
    <row r="1339" spans="1:16" x14ac:dyDescent="0.25">
      <c r="A1339">
        <v>1338</v>
      </c>
      <c r="B1339" s="2">
        <v>45804</v>
      </c>
      <c r="C1339" t="s">
        <v>20</v>
      </c>
      <c r="D1339" t="s">
        <v>26</v>
      </c>
      <c r="E1339" t="s">
        <v>34</v>
      </c>
      <c r="F1339" t="s">
        <v>43</v>
      </c>
      <c r="G1339" t="s">
        <v>72</v>
      </c>
      <c r="H1339" t="s">
        <v>73</v>
      </c>
      <c r="I1339">
        <v>7</v>
      </c>
      <c r="J1339">
        <v>3878</v>
      </c>
      <c r="K1339">
        <v>0</v>
      </c>
      <c r="L1339">
        <v>27146</v>
      </c>
      <c r="M1339">
        <v>17759.16</v>
      </c>
      <c r="N1339">
        <v>9386.84</v>
      </c>
      <c r="O1339" t="s">
        <v>76</v>
      </c>
      <c r="P1339" t="s">
        <v>88</v>
      </c>
    </row>
    <row r="1340" spans="1:16" x14ac:dyDescent="0.25">
      <c r="A1340">
        <v>1339</v>
      </c>
      <c r="B1340" s="2">
        <v>45702</v>
      </c>
      <c r="C1340" t="s">
        <v>16</v>
      </c>
      <c r="D1340" t="s">
        <v>24</v>
      </c>
      <c r="E1340" t="s">
        <v>34</v>
      </c>
      <c r="F1340" t="s">
        <v>68</v>
      </c>
      <c r="G1340" t="s">
        <v>70</v>
      </c>
      <c r="H1340" t="s">
        <v>73</v>
      </c>
      <c r="I1340">
        <v>4</v>
      </c>
      <c r="J1340">
        <v>5506</v>
      </c>
      <c r="K1340">
        <v>0</v>
      </c>
      <c r="L1340">
        <v>22024</v>
      </c>
      <c r="M1340">
        <v>12596.2</v>
      </c>
      <c r="N1340">
        <v>9427.7999999999993</v>
      </c>
      <c r="O1340" t="s">
        <v>80</v>
      </c>
      <c r="P1340" t="s">
        <v>87</v>
      </c>
    </row>
    <row r="1341" spans="1:16" x14ac:dyDescent="0.25">
      <c r="A1341">
        <v>1340</v>
      </c>
      <c r="B1341" s="2">
        <v>45891</v>
      </c>
      <c r="C1341" t="s">
        <v>19</v>
      </c>
      <c r="D1341" t="s">
        <v>26</v>
      </c>
      <c r="E1341" t="s">
        <v>28</v>
      </c>
      <c r="F1341" t="s">
        <v>35</v>
      </c>
      <c r="G1341" t="s">
        <v>70</v>
      </c>
      <c r="H1341" t="s">
        <v>74</v>
      </c>
      <c r="I1341">
        <v>6</v>
      </c>
      <c r="J1341">
        <v>1744</v>
      </c>
      <c r="K1341">
        <v>0</v>
      </c>
      <c r="L1341">
        <v>10464</v>
      </c>
      <c r="M1341">
        <v>7707.89</v>
      </c>
      <c r="N1341">
        <v>2756.11</v>
      </c>
      <c r="O1341" t="s">
        <v>80</v>
      </c>
      <c r="P1341" t="s">
        <v>85</v>
      </c>
    </row>
    <row r="1342" spans="1:16" x14ac:dyDescent="0.25">
      <c r="A1342">
        <v>1341</v>
      </c>
      <c r="B1342" s="2">
        <v>45843</v>
      </c>
      <c r="C1342" t="s">
        <v>19</v>
      </c>
      <c r="D1342" t="s">
        <v>26</v>
      </c>
      <c r="E1342" t="s">
        <v>28</v>
      </c>
      <c r="F1342" t="s">
        <v>35</v>
      </c>
      <c r="G1342" t="s">
        <v>72</v>
      </c>
      <c r="H1342" t="s">
        <v>74</v>
      </c>
      <c r="I1342">
        <v>6</v>
      </c>
      <c r="J1342">
        <v>627</v>
      </c>
      <c r="K1342">
        <v>0</v>
      </c>
      <c r="L1342">
        <v>3762</v>
      </c>
      <c r="M1342">
        <v>2639.14</v>
      </c>
      <c r="N1342">
        <v>1122.8599999999999</v>
      </c>
      <c r="O1342" t="s">
        <v>77</v>
      </c>
      <c r="P1342" t="s">
        <v>83</v>
      </c>
    </row>
    <row r="1343" spans="1:16" x14ac:dyDescent="0.25">
      <c r="A1343">
        <v>1342</v>
      </c>
      <c r="B1343" s="2">
        <v>45948</v>
      </c>
      <c r="C1343" t="s">
        <v>16</v>
      </c>
      <c r="D1343" t="s">
        <v>24</v>
      </c>
      <c r="E1343" t="s">
        <v>34</v>
      </c>
      <c r="F1343" t="s">
        <v>55</v>
      </c>
      <c r="G1343" t="s">
        <v>70</v>
      </c>
      <c r="H1343" t="s">
        <v>74</v>
      </c>
      <c r="I1343">
        <v>3</v>
      </c>
      <c r="J1343">
        <v>1017</v>
      </c>
      <c r="K1343">
        <v>0</v>
      </c>
      <c r="L1343">
        <v>3051</v>
      </c>
      <c r="M1343">
        <v>1846.14</v>
      </c>
      <c r="N1343">
        <v>1204.8599999999999</v>
      </c>
      <c r="O1343" t="s">
        <v>80</v>
      </c>
      <c r="P1343" t="s">
        <v>88</v>
      </c>
    </row>
    <row r="1344" spans="1:16" x14ac:dyDescent="0.25">
      <c r="A1344">
        <v>1343</v>
      </c>
      <c r="B1344" s="2">
        <v>46015</v>
      </c>
      <c r="C1344" t="s">
        <v>20</v>
      </c>
      <c r="D1344" t="s">
        <v>26</v>
      </c>
      <c r="E1344" t="s">
        <v>33</v>
      </c>
      <c r="F1344" t="s">
        <v>46</v>
      </c>
      <c r="G1344" t="s">
        <v>70</v>
      </c>
      <c r="H1344" t="s">
        <v>74</v>
      </c>
      <c r="I1344">
        <v>8</v>
      </c>
      <c r="J1344">
        <v>47968</v>
      </c>
      <c r="K1344">
        <v>0.1</v>
      </c>
      <c r="L1344">
        <v>345369.59999999998</v>
      </c>
      <c r="M1344">
        <v>302029.62</v>
      </c>
      <c r="N1344">
        <v>43339.98</v>
      </c>
      <c r="O1344" t="s">
        <v>80</v>
      </c>
      <c r="P1344" t="s">
        <v>84</v>
      </c>
    </row>
    <row r="1345" spans="1:16" x14ac:dyDescent="0.25">
      <c r="A1345">
        <v>1344</v>
      </c>
      <c r="B1345" s="2">
        <v>45913</v>
      </c>
      <c r="C1345" t="s">
        <v>20</v>
      </c>
      <c r="D1345" t="s">
        <v>26</v>
      </c>
      <c r="E1345" t="s">
        <v>31</v>
      </c>
      <c r="F1345" t="s">
        <v>67</v>
      </c>
      <c r="G1345" t="s">
        <v>70</v>
      </c>
      <c r="H1345" t="s">
        <v>75</v>
      </c>
      <c r="I1345">
        <v>4</v>
      </c>
      <c r="J1345">
        <v>2178</v>
      </c>
      <c r="K1345">
        <v>0.1</v>
      </c>
      <c r="L1345">
        <v>7840.8</v>
      </c>
      <c r="M1345">
        <v>5178.46</v>
      </c>
      <c r="N1345">
        <v>2662.34</v>
      </c>
      <c r="O1345" t="s">
        <v>77</v>
      </c>
      <c r="P1345" t="s">
        <v>83</v>
      </c>
    </row>
    <row r="1346" spans="1:16" x14ac:dyDescent="0.25">
      <c r="A1346">
        <v>1345</v>
      </c>
      <c r="B1346" s="2">
        <v>45981</v>
      </c>
      <c r="C1346" t="s">
        <v>22</v>
      </c>
      <c r="D1346" t="s">
        <v>24</v>
      </c>
      <c r="E1346" t="s">
        <v>33</v>
      </c>
      <c r="F1346" t="s">
        <v>59</v>
      </c>
      <c r="G1346" t="s">
        <v>71</v>
      </c>
      <c r="H1346" t="s">
        <v>74</v>
      </c>
      <c r="I1346">
        <v>2</v>
      </c>
      <c r="J1346">
        <v>16768</v>
      </c>
      <c r="K1346">
        <v>0.05</v>
      </c>
      <c r="L1346">
        <v>31859.200000000001</v>
      </c>
      <c r="M1346">
        <v>21816.48</v>
      </c>
      <c r="N1346">
        <v>10042.719999999999</v>
      </c>
      <c r="O1346" t="s">
        <v>76</v>
      </c>
      <c r="P1346" t="s">
        <v>88</v>
      </c>
    </row>
    <row r="1347" spans="1:16" x14ac:dyDescent="0.25">
      <c r="A1347">
        <v>1346</v>
      </c>
      <c r="B1347" s="2">
        <v>45951</v>
      </c>
      <c r="C1347" t="s">
        <v>19</v>
      </c>
      <c r="D1347" t="s">
        <v>26</v>
      </c>
      <c r="E1347" t="s">
        <v>31</v>
      </c>
      <c r="F1347" t="s">
        <v>47</v>
      </c>
      <c r="G1347" t="s">
        <v>70</v>
      </c>
      <c r="H1347" t="s">
        <v>74</v>
      </c>
      <c r="I1347">
        <v>7</v>
      </c>
      <c r="J1347">
        <v>434</v>
      </c>
      <c r="K1347">
        <v>0</v>
      </c>
      <c r="L1347">
        <v>3038</v>
      </c>
      <c r="M1347">
        <v>1732.03</v>
      </c>
      <c r="N1347">
        <v>1305.97</v>
      </c>
      <c r="O1347" t="s">
        <v>77</v>
      </c>
      <c r="P1347" t="s">
        <v>84</v>
      </c>
    </row>
    <row r="1348" spans="1:16" x14ac:dyDescent="0.25">
      <c r="A1348">
        <v>1347</v>
      </c>
      <c r="B1348" s="2">
        <v>45828</v>
      </c>
      <c r="C1348" t="s">
        <v>20</v>
      </c>
      <c r="D1348" t="s">
        <v>26</v>
      </c>
      <c r="E1348" t="s">
        <v>28</v>
      </c>
      <c r="F1348" t="s">
        <v>58</v>
      </c>
      <c r="G1348" t="s">
        <v>70</v>
      </c>
      <c r="H1348" t="s">
        <v>74</v>
      </c>
      <c r="I1348">
        <v>2</v>
      </c>
      <c r="J1348">
        <v>1776</v>
      </c>
      <c r="K1348">
        <v>0.1</v>
      </c>
      <c r="L1348">
        <v>3196.8</v>
      </c>
      <c r="M1348">
        <v>1807.59</v>
      </c>
      <c r="N1348">
        <v>1389.21</v>
      </c>
      <c r="O1348" t="s">
        <v>77</v>
      </c>
      <c r="P1348" t="s">
        <v>82</v>
      </c>
    </row>
    <row r="1349" spans="1:16" x14ac:dyDescent="0.25">
      <c r="A1349">
        <v>1348</v>
      </c>
      <c r="B1349" s="2">
        <v>45911</v>
      </c>
      <c r="C1349" t="s">
        <v>18</v>
      </c>
      <c r="D1349" t="s">
        <v>26</v>
      </c>
      <c r="E1349" t="s">
        <v>34</v>
      </c>
      <c r="F1349" t="s">
        <v>51</v>
      </c>
      <c r="G1349" t="s">
        <v>70</v>
      </c>
      <c r="H1349" t="s">
        <v>73</v>
      </c>
      <c r="I1349">
        <v>8</v>
      </c>
      <c r="J1349">
        <v>4113</v>
      </c>
      <c r="K1349">
        <v>0.15</v>
      </c>
      <c r="L1349">
        <v>27968.400000000001</v>
      </c>
      <c r="M1349">
        <v>20289.64</v>
      </c>
      <c r="N1349">
        <v>7678.76</v>
      </c>
      <c r="O1349" t="s">
        <v>78</v>
      </c>
      <c r="P1349" t="s">
        <v>88</v>
      </c>
    </row>
    <row r="1350" spans="1:16" x14ac:dyDescent="0.25">
      <c r="A1350">
        <v>1349</v>
      </c>
      <c r="B1350" s="2">
        <v>46008</v>
      </c>
      <c r="C1350" t="s">
        <v>22</v>
      </c>
      <c r="D1350" t="s">
        <v>24</v>
      </c>
      <c r="E1350" t="s">
        <v>32</v>
      </c>
      <c r="F1350" t="s">
        <v>39</v>
      </c>
      <c r="G1350" t="s">
        <v>71</v>
      </c>
      <c r="H1350" t="s">
        <v>73</v>
      </c>
      <c r="I1350">
        <v>2</v>
      </c>
      <c r="J1350">
        <v>9605</v>
      </c>
      <c r="K1350">
        <v>0.05</v>
      </c>
      <c r="L1350">
        <v>18249.5</v>
      </c>
      <c r="M1350">
        <v>11322.69</v>
      </c>
      <c r="N1350">
        <v>6926.81</v>
      </c>
      <c r="O1350" t="s">
        <v>79</v>
      </c>
      <c r="P1350" t="s">
        <v>88</v>
      </c>
    </row>
    <row r="1351" spans="1:16" x14ac:dyDescent="0.25">
      <c r="A1351">
        <v>1350</v>
      </c>
      <c r="B1351" s="2">
        <v>45989</v>
      </c>
      <c r="C1351" t="s">
        <v>23</v>
      </c>
      <c r="D1351" t="s">
        <v>27</v>
      </c>
      <c r="E1351" t="s">
        <v>34</v>
      </c>
      <c r="F1351" t="s">
        <v>65</v>
      </c>
      <c r="G1351" t="s">
        <v>71</v>
      </c>
      <c r="H1351" t="s">
        <v>74</v>
      </c>
      <c r="I1351">
        <v>5</v>
      </c>
      <c r="J1351">
        <v>2669</v>
      </c>
      <c r="K1351">
        <v>0</v>
      </c>
      <c r="L1351">
        <v>13345</v>
      </c>
      <c r="M1351">
        <v>7798.82</v>
      </c>
      <c r="N1351">
        <v>5546.18</v>
      </c>
      <c r="O1351" t="s">
        <v>76</v>
      </c>
      <c r="P1351" t="s">
        <v>86</v>
      </c>
    </row>
    <row r="1352" spans="1:16" x14ac:dyDescent="0.25">
      <c r="A1352">
        <v>1351</v>
      </c>
      <c r="B1352" s="2">
        <v>45861</v>
      </c>
      <c r="C1352" t="s">
        <v>21</v>
      </c>
      <c r="D1352" t="s">
        <v>24</v>
      </c>
      <c r="E1352" t="s">
        <v>29</v>
      </c>
      <c r="F1352" t="s">
        <v>57</v>
      </c>
      <c r="G1352" t="s">
        <v>70</v>
      </c>
      <c r="H1352" t="s">
        <v>74</v>
      </c>
      <c r="I1352">
        <v>3</v>
      </c>
      <c r="J1352">
        <v>1873</v>
      </c>
      <c r="K1352">
        <v>0.1</v>
      </c>
      <c r="L1352">
        <v>5057.1000000000004</v>
      </c>
      <c r="M1352">
        <v>3953.45</v>
      </c>
      <c r="N1352">
        <v>1103.6500000000001</v>
      </c>
      <c r="O1352" t="s">
        <v>77</v>
      </c>
      <c r="P1352" t="s">
        <v>83</v>
      </c>
    </row>
    <row r="1353" spans="1:16" x14ac:dyDescent="0.25">
      <c r="A1353">
        <v>1352</v>
      </c>
      <c r="B1353" s="2">
        <v>45762</v>
      </c>
      <c r="C1353" t="s">
        <v>20</v>
      </c>
      <c r="D1353" t="s">
        <v>26</v>
      </c>
      <c r="E1353" t="s">
        <v>34</v>
      </c>
      <c r="F1353" t="s">
        <v>51</v>
      </c>
      <c r="G1353" t="s">
        <v>72</v>
      </c>
      <c r="H1353" t="s">
        <v>75</v>
      </c>
      <c r="I1353">
        <v>3</v>
      </c>
      <c r="J1353">
        <v>5821</v>
      </c>
      <c r="K1353">
        <v>0.1</v>
      </c>
      <c r="L1353">
        <v>15716.7</v>
      </c>
      <c r="M1353">
        <v>13449.72</v>
      </c>
      <c r="N1353">
        <v>2266.98</v>
      </c>
      <c r="O1353" t="s">
        <v>80</v>
      </c>
      <c r="P1353" t="s">
        <v>84</v>
      </c>
    </row>
    <row r="1354" spans="1:16" x14ac:dyDescent="0.25">
      <c r="A1354">
        <v>1353</v>
      </c>
      <c r="B1354" s="2">
        <v>45670</v>
      </c>
      <c r="C1354" t="s">
        <v>21</v>
      </c>
      <c r="D1354" t="s">
        <v>24</v>
      </c>
      <c r="E1354" t="s">
        <v>29</v>
      </c>
      <c r="F1354" t="s">
        <v>57</v>
      </c>
      <c r="G1354" t="s">
        <v>72</v>
      </c>
      <c r="H1354" t="s">
        <v>75</v>
      </c>
      <c r="I1354">
        <v>5</v>
      </c>
      <c r="J1354">
        <v>8216</v>
      </c>
      <c r="K1354">
        <v>0.05</v>
      </c>
      <c r="L1354">
        <v>39026</v>
      </c>
      <c r="M1354">
        <v>23640.06</v>
      </c>
      <c r="N1354">
        <v>15385.94</v>
      </c>
      <c r="O1354" t="s">
        <v>79</v>
      </c>
      <c r="P1354" t="s">
        <v>85</v>
      </c>
    </row>
    <row r="1355" spans="1:16" x14ac:dyDescent="0.25">
      <c r="A1355">
        <v>1354</v>
      </c>
      <c r="B1355" s="2">
        <v>45779</v>
      </c>
      <c r="C1355" t="s">
        <v>20</v>
      </c>
      <c r="D1355" t="s">
        <v>26</v>
      </c>
      <c r="E1355" t="s">
        <v>28</v>
      </c>
      <c r="F1355" t="s">
        <v>61</v>
      </c>
      <c r="G1355" t="s">
        <v>72</v>
      </c>
      <c r="H1355" t="s">
        <v>73</v>
      </c>
      <c r="I1355">
        <v>4</v>
      </c>
      <c r="J1355">
        <v>1076</v>
      </c>
      <c r="K1355">
        <v>0</v>
      </c>
      <c r="L1355">
        <v>4304</v>
      </c>
      <c r="M1355">
        <v>3101.5</v>
      </c>
      <c r="N1355">
        <v>1202.5</v>
      </c>
      <c r="O1355" t="s">
        <v>77</v>
      </c>
      <c r="P1355" t="s">
        <v>81</v>
      </c>
    </row>
    <row r="1356" spans="1:16" x14ac:dyDescent="0.25">
      <c r="A1356">
        <v>1355</v>
      </c>
      <c r="B1356" s="2">
        <v>45779</v>
      </c>
      <c r="C1356" t="s">
        <v>23</v>
      </c>
      <c r="D1356" t="s">
        <v>27</v>
      </c>
      <c r="E1356" t="s">
        <v>29</v>
      </c>
      <c r="F1356" t="s">
        <v>53</v>
      </c>
      <c r="G1356" t="s">
        <v>71</v>
      </c>
      <c r="H1356" t="s">
        <v>75</v>
      </c>
      <c r="I1356">
        <v>5</v>
      </c>
      <c r="J1356">
        <v>11908</v>
      </c>
      <c r="K1356">
        <v>0</v>
      </c>
      <c r="L1356">
        <v>59540</v>
      </c>
      <c r="M1356">
        <v>33539.53</v>
      </c>
      <c r="N1356">
        <v>26000.47</v>
      </c>
      <c r="O1356" t="s">
        <v>80</v>
      </c>
      <c r="P1356" t="s">
        <v>82</v>
      </c>
    </row>
    <row r="1357" spans="1:16" x14ac:dyDescent="0.25">
      <c r="A1357">
        <v>1356</v>
      </c>
      <c r="B1357" s="2">
        <v>46011</v>
      </c>
      <c r="C1357" t="s">
        <v>20</v>
      </c>
      <c r="D1357" t="s">
        <v>26</v>
      </c>
      <c r="E1357" t="s">
        <v>29</v>
      </c>
      <c r="F1357" t="s">
        <v>53</v>
      </c>
      <c r="G1357" t="s">
        <v>72</v>
      </c>
      <c r="H1357" t="s">
        <v>75</v>
      </c>
      <c r="I1357">
        <v>3</v>
      </c>
      <c r="J1357">
        <v>4351</v>
      </c>
      <c r="K1357">
        <v>0.05</v>
      </c>
      <c r="L1357">
        <v>12400.35</v>
      </c>
      <c r="M1357">
        <v>9349.25</v>
      </c>
      <c r="N1357">
        <v>3051.1</v>
      </c>
      <c r="O1357" t="s">
        <v>80</v>
      </c>
      <c r="P1357" t="s">
        <v>83</v>
      </c>
    </row>
    <row r="1358" spans="1:16" x14ac:dyDescent="0.25">
      <c r="A1358">
        <v>1357</v>
      </c>
      <c r="B1358" s="2">
        <v>45753</v>
      </c>
      <c r="C1358" t="s">
        <v>16</v>
      </c>
      <c r="D1358" t="s">
        <v>24</v>
      </c>
      <c r="E1358" t="s">
        <v>30</v>
      </c>
      <c r="F1358" t="s">
        <v>44</v>
      </c>
      <c r="G1358" t="s">
        <v>70</v>
      </c>
      <c r="H1358" t="s">
        <v>75</v>
      </c>
      <c r="I1358">
        <v>6</v>
      </c>
      <c r="J1358">
        <v>29799</v>
      </c>
      <c r="K1358">
        <v>0.1</v>
      </c>
      <c r="L1358">
        <v>160914.6</v>
      </c>
      <c r="M1358">
        <v>124961.73</v>
      </c>
      <c r="N1358">
        <v>35952.870000000003</v>
      </c>
      <c r="O1358" t="s">
        <v>77</v>
      </c>
      <c r="P1358" t="s">
        <v>88</v>
      </c>
    </row>
    <row r="1359" spans="1:16" x14ac:dyDescent="0.25">
      <c r="A1359">
        <v>1358</v>
      </c>
      <c r="B1359" s="2">
        <v>45875</v>
      </c>
      <c r="C1359" t="s">
        <v>20</v>
      </c>
      <c r="D1359" t="s">
        <v>26</v>
      </c>
      <c r="E1359" t="s">
        <v>30</v>
      </c>
      <c r="F1359" t="s">
        <v>56</v>
      </c>
      <c r="G1359" t="s">
        <v>72</v>
      </c>
      <c r="H1359" t="s">
        <v>75</v>
      </c>
      <c r="I1359">
        <v>5</v>
      </c>
      <c r="J1359">
        <v>52429</v>
      </c>
      <c r="K1359">
        <v>0</v>
      </c>
      <c r="L1359">
        <v>262145</v>
      </c>
      <c r="M1359">
        <v>184383.43</v>
      </c>
      <c r="N1359">
        <v>77761.570000000007</v>
      </c>
      <c r="O1359" t="s">
        <v>79</v>
      </c>
      <c r="P1359" t="s">
        <v>87</v>
      </c>
    </row>
    <row r="1360" spans="1:16" x14ac:dyDescent="0.25">
      <c r="A1360">
        <v>1359</v>
      </c>
      <c r="B1360" s="2">
        <v>45755</v>
      </c>
      <c r="C1360" t="s">
        <v>19</v>
      </c>
      <c r="D1360" t="s">
        <v>26</v>
      </c>
      <c r="E1360" t="s">
        <v>30</v>
      </c>
      <c r="F1360" t="s">
        <v>40</v>
      </c>
      <c r="G1360" t="s">
        <v>71</v>
      </c>
      <c r="H1360" t="s">
        <v>75</v>
      </c>
      <c r="I1360">
        <v>3</v>
      </c>
      <c r="J1360">
        <v>12670</v>
      </c>
      <c r="K1360">
        <v>0</v>
      </c>
      <c r="L1360">
        <v>38010</v>
      </c>
      <c r="M1360">
        <v>27917.29</v>
      </c>
      <c r="N1360">
        <v>10092.709999999999</v>
      </c>
      <c r="O1360" t="s">
        <v>76</v>
      </c>
      <c r="P1360" t="s">
        <v>82</v>
      </c>
    </row>
    <row r="1361" spans="1:16" x14ac:dyDescent="0.25">
      <c r="A1361">
        <v>1360</v>
      </c>
      <c r="B1361" s="2">
        <v>45680</v>
      </c>
      <c r="C1361" t="s">
        <v>22</v>
      </c>
      <c r="D1361" t="s">
        <v>24</v>
      </c>
      <c r="E1361" t="s">
        <v>34</v>
      </c>
      <c r="F1361" t="s">
        <v>65</v>
      </c>
      <c r="G1361" t="s">
        <v>72</v>
      </c>
      <c r="H1361" t="s">
        <v>74</v>
      </c>
      <c r="I1361">
        <v>2</v>
      </c>
      <c r="J1361">
        <v>4082</v>
      </c>
      <c r="K1361">
        <v>0.05</v>
      </c>
      <c r="L1361">
        <v>7755.8</v>
      </c>
      <c r="M1361">
        <v>6339.86</v>
      </c>
      <c r="N1361">
        <v>1415.94</v>
      </c>
      <c r="O1361" t="s">
        <v>80</v>
      </c>
      <c r="P1361" t="s">
        <v>83</v>
      </c>
    </row>
    <row r="1362" spans="1:16" x14ac:dyDescent="0.25">
      <c r="A1362">
        <v>1361</v>
      </c>
      <c r="B1362" s="2">
        <v>45938</v>
      </c>
      <c r="C1362" t="s">
        <v>20</v>
      </c>
      <c r="D1362" t="s">
        <v>26</v>
      </c>
      <c r="E1362" t="s">
        <v>30</v>
      </c>
      <c r="F1362" t="s">
        <v>64</v>
      </c>
      <c r="G1362" t="s">
        <v>70</v>
      </c>
      <c r="H1362" t="s">
        <v>73</v>
      </c>
      <c r="I1362">
        <v>8</v>
      </c>
      <c r="J1362">
        <v>35238</v>
      </c>
      <c r="K1362">
        <v>0.2</v>
      </c>
      <c r="L1362">
        <v>225523.20000000001</v>
      </c>
      <c r="M1362">
        <v>151152.12</v>
      </c>
      <c r="N1362">
        <v>74371.08</v>
      </c>
      <c r="O1362" t="s">
        <v>80</v>
      </c>
      <c r="P1362" t="s">
        <v>83</v>
      </c>
    </row>
    <row r="1363" spans="1:16" x14ac:dyDescent="0.25">
      <c r="A1363">
        <v>1362</v>
      </c>
      <c r="B1363" s="2">
        <v>46013</v>
      </c>
      <c r="C1363" t="s">
        <v>23</v>
      </c>
      <c r="D1363" t="s">
        <v>27</v>
      </c>
      <c r="E1363" t="s">
        <v>33</v>
      </c>
      <c r="F1363" t="s">
        <v>41</v>
      </c>
      <c r="G1363" t="s">
        <v>72</v>
      </c>
      <c r="H1363" t="s">
        <v>74</v>
      </c>
      <c r="I1363">
        <v>3</v>
      </c>
      <c r="J1363">
        <v>38597</v>
      </c>
      <c r="K1363">
        <v>0.05</v>
      </c>
      <c r="L1363">
        <v>110001.45</v>
      </c>
      <c r="M1363">
        <v>92527.6</v>
      </c>
      <c r="N1363">
        <v>17473.849999999999</v>
      </c>
      <c r="O1363" t="s">
        <v>80</v>
      </c>
      <c r="P1363" t="s">
        <v>85</v>
      </c>
    </row>
    <row r="1364" spans="1:16" x14ac:dyDescent="0.25">
      <c r="A1364">
        <v>1363</v>
      </c>
      <c r="B1364" s="2">
        <v>45719</v>
      </c>
      <c r="C1364" t="s">
        <v>21</v>
      </c>
      <c r="D1364" t="s">
        <v>24</v>
      </c>
      <c r="E1364" t="s">
        <v>28</v>
      </c>
      <c r="F1364" t="s">
        <v>63</v>
      </c>
      <c r="G1364" t="s">
        <v>70</v>
      </c>
      <c r="H1364" t="s">
        <v>74</v>
      </c>
      <c r="I1364">
        <v>2</v>
      </c>
      <c r="J1364">
        <v>150</v>
      </c>
      <c r="K1364">
        <v>0.05</v>
      </c>
      <c r="L1364">
        <v>285</v>
      </c>
      <c r="M1364">
        <v>225.72</v>
      </c>
      <c r="N1364">
        <v>59.28</v>
      </c>
      <c r="O1364" t="s">
        <v>79</v>
      </c>
      <c r="P1364" t="s">
        <v>83</v>
      </c>
    </row>
    <row r="1365" spans="1:16" x14ac:dyDescent="0.25">
      <c r="A1365">
        <v>1364</v>
      </c>
      <c r="B1365" s="2">
        <v>45848</v>
      </c>
      <c r="C1365" t="s">
        <v>18</v>
      </c>
      <c r="D1365" t="s">
        <v>26</v>
      </c>
      <c r="E1365" t="s">
        <v>29</v>
      </c>
      <c r="F1365" t="s">
        <v>45</v>
      </c>
      <c r="G1365" t="s">
        <v>72</v>
      </c>
      <c r="H1365" t="s">
        <v>73</v>
      </c>
      <c r="I1365">
        <v>1</v>
      </c>
      <c r="J1365">
        <v>10189</v>
      </c>
      <c r="K1365">
        <v>0.15</v>
      </c>
      <c r="L1365">
        <v>8660.65</v>
      </c>
      <c r="M1365">
        <v>5981.83</v>
      </c>
      <c r="N1365">
        <v>2678.82</v>
      </c>
      <c r="O1365" t="s">
        <v>76</v>
      </c>
      <c r="P1365" t="s">
        <v>87</v>
      </c>
    </row>
    <row r="1366" spans="1:16" x14ac:dyDescent="0.25">
      <c r="A1366">
        <v>1365</v>
      </c>
      <c r="B1366" s="2">
        <v>45941</v>
      </c>
      <c r="C1366" t="s">
        <v>23</v>
      </c>
      <c r="D1366" t="s">
        <v>27</v>
      </c>
      <c r="E1366" t="s">
        <v>29</v>
      </c>
      <c r="F1366" t="s">
        <v>57</v>
      </c>
      <c r="G1366" t="s">
        <v>70</v>
      </c>
      <c r="H1366" t="s">
        <v>74</v>
      </c>
      <c r="I1366">
        <v>1</v>
      </c>
      <c r="J1366">
        <v>8036</v>
      </c>
      <c r="K1366">
        <v>0.1</v>
      </c>
      <c r="L1366">
        <v>7232.4</v>
      </c>
      <c r="M1366">
        <v>3988.91</v>
      </c>
      <c r="N1366">
        <v>3243.49</v>
      </c>
      <c r="O1366" t="s">
        <v>78</v>
      </c>
      <c r="P1366" t="s">
        <v>87</v>
      </c>
    </row>
    <row r="1367" spans="1:16" x14ac:dyDescent="0.25">
      <c r="A1367">
        <v>1366</v>
      </c>
      <c r="B1367" s="2">
        <v>45850</v>
      </c>
      <c r="C1367" t="s">
        <v>23</v>
      </c>
      <c r="D1367" t="s">
        <v>27</v>
      </c>
      <c r="E1367" t="s">
        <v>33</v>
      </c>
      <c r="F1367" t="s">
        <v>41</v>
      </c>
      <c r="G1367" t="s">
        <v>71</v>
      </c>
      <c r="H1367" t="s">
        <v>73</v>
      </c>
      <c r="I1367">
        <v>4</v>
      </c>
      <c r="J1367">
        <v>21775</v>
      </c>
      <c r="K1367">
        <v>0.2</v>
      </c>
      <c r="L1367">
        <v>69680</v>
      </c>
      <c r="M1367">
        <v>49786.879999999997</v>
      </c>
      <c r="N1367">
        <v>19893.12</v>
      </c>
      <c r="O1367" t="s">
        <v>80</v>
      </c>
      <c r="P1367" t="s">
        <v>83</v>
      </c>
    </row>
    <row r="1368" spans="1:16" x14ac:dyDescent="0.25">
      <c r="A1368">
        <v>1367</v>
      </c>
      <c r="B1368" s="2">
        <v>45838</v>
      </c>
      <c r="C1368" t="s">
        <v>23</v>
      </c>
      <c r="D1368" t="s">
        <v>27</v>
      </c>
      <c r="E1368" t="s">
        <v>29</v>
      </c>
      <c r="F1368" t="s">
        <v>45</v>
      </c>
      <c r="G1368" t="s">
        <v>72</v>
      </c>
      <c r="H1368" t="s">
        <v>73</v>
      </c>
      <c r="I1368">
        <v>7</v>
      </c>
      <c r="J1368">
        <v>5157</v>
      </c>
      <c r="K1368">
        <v>0.15</v>
      </c>
      <c r="L1368">
        <v>30684.15</v>
      </c>
      <c r="M1368">
        <v>22512.97</v>
      </c>
      <c r="N1368">
        <v>8171.18</v>
      </c>
      <c r="O1368" t="s">
        <v>79</v>
      </c>
      <c r="P1368" t="s">
        <v>85</v>
      </c>
    </row>
    <row r="1369" spans="1:16" x14ac:dyDescent="0.25">
      <c r="A1369">
        <v>1368</v>
      </c>
      <c r="B1369" s="2">
        <v>45764</v>
      </c>
      <c r="C1369" t="s">
        <v>18</v>
      </c>
      <c r="D1369" t="s">
        <v>26</v>
      </c>
      <c r="E1369" t="s">
        <v>34</v>
      </c>
      <c r="F1369" t="s">
        <v>65</v>
      </c>
      <c r="G1369" t="s">
        <v>71</v>
      </c>
      <c r="H1369" t="s">
        <v>73</v>
      </c>
      <c r="I1369">
        <v>7</v>
      </c>
      <c r="J1369">
        <v>188</v>
      </c>
      <c r="K1369">
        <v>0.15</v>
      </c>
      <c r="L1369">
        <v>1118.5999999999999</v>
      </c>
      <c r="M1369">
        <v>808.93</v>
      </c>
      <c r="N1369">
        <v>309.67</v>
      </c>
      <c r="O1369" t="s">
        <v>80</v>
      </c>
      <c r="P1369" t="s">
        <v>87</v>
      </c>
    </row>
    <row r="1370" spans="1:16" x14ac:dyDescent="0.25">
      <c r="A1370">
        <v>1369</v>
      </c>
      <c r="B1370" s="2">
        <v>45766</v>
      </c>
      <c r="C1370" t="s">
        <v>20</v>
      </c>
      <c r="D1370" t="s">
        <v>26</v>
      </c>
      <c r="E1370" t="s">
        <v>31</v>
      </c>
      <c r="F1370" t="s">
        <v>50</v>
      </c>
      <c r="G1370" t="s">
        <v>71</v>
      </c>
      <c r="H1370" t="s">
        <v>73</v>
      </c>
      <c r="I1370">
        <v>1</v>
      </c>
      <c r="J1370">
        <v>368</v>
      </c>
      <c r="K1370">
        <v>0.1</v>
      </c>
      <c r="L1370">
        <v>331.2</v>
      </c>
      <c r="M1370">
        <v>194.59</v>
      </c>
      <c r="N1370">
        <v>136.61000000000001</v>
      </c>
      <c r="O1370" t="s">
        <v>77</v>
      </c>
      <c r="P1370" t="s">
        <v>81</v>
      </c>
    </row>
    <row r="1371" spans="1:16" x14ac:dyDescent="0.25">
      <c r="A1371">
        <v>1370</v>
      </c>
      <c r="B1371" s="2">
        <v>45905</v>
      </c>
      <c r="C1371" t="s">
        <v>22</v>
      </c>
      <c r="D1371" t="s">
        <v>24</v>
      </c>
      <c r="E1371" t="s">
        <v>33</v>
      </c>
      <c r="F1371" t="s">
        <v>46</v>
      </c>
      <c r="G1371" t="s">
        <v>70</v>
      </c>
      <c r="H1371" t="s">
        <v>74</v>
      </c>
      <c r="I1371">
        <v>4</v>
      </c>
      <c r="J1371">
        <v>9000</v>
      </c>
      <c r="K1371">
        <v>0.1</v>
      </c>
      <c r="L1371">
        <v>32400</v>
      </c>
      <c r="M1371">
        <v>23676.95</v>
      </c>
      <c r="N1371">
        <v>8723.0499999999993</v>
      </c>
      <c r="O1371" t="s">
        <v>76</v>
      </c>
      <c r="P1371" t="s">
        <v>82</v>
      </c>
    </row>
    <row r="1372" spans="1:16" x14ac:dyDescent="0.25">
      <c r="A1372">
        <v>1371</v>
      </c>
      <c r="B1372" s="2">
        <v>45948</v>
      </c>
      <c r="C1372" t="s">
        <v>19</v>
      </c>
      <c r="D1372" t="s">
        <v>26</v>
      </c>
      <c r="E1372" t="s">
        <v>28</v>
      </c>
      <c r="F1372" t="s">
        <v>63</v>
      </c>
      <c r="G1372" t="s">
        <v>70</v>
      </c>
      <c r="H1372" t="s">
        <v>75</v>
      </c>
      <c r="I1372">
        <v>2</v>
      </c>
      <c r="J1372">
        <v>1046</v>
      </c>
      <c r="K1372">
        <v>0.05</v>
      </c>
      <c r="L1372">
        <v>1987.4</v>
      </c>
      <c r="M1372">
        <v>1478.26</v>
      </c>
      <c r="N1372">
        <v>509.14</v>
      </c>
      <c r="O1372" t="s">
        <v>77</v>
      </c>
      <c r="P1372" t="s">
        <v>81</v>
      </c>
    </row>
    <row r="1373" spans="1:16" x14ac:dyDescent="0.25">
      <c r="A1373">
        <v>1372</v>
      </c>
      <c r="B1373" s="2">
        <v>45768</v>
      </c>
      <c r="C1373" t="s">
        <v>19</v>
      </c>
      <c r="D1373" t="s">
        <v>26</v>
      </c>
      <c r="E1373" t="s">
        <v>34</v>
      </c>
      <c r="F1373" t="s">
        <v>43</v>
      </c>
      <c r="G1373" t="s">
        <v>72</v>
      </c>
      <c r="H1373" t="s">
        <v>75</v>
      </c>
      <c r="I1373">
        <v>5</v>
      </c>
      <c r="J1373">
        <v>5611</v>
      </c>
      <c r="K1373">
        <v>0.1</v>
      </c>
      <c r="L1373">
        <v>25249.5</v>
      </c>
      <c r="M1373">
        <v>19086.84</v>
      </c>
      <c r="N1373">
        <v>6162.66</v>
      </c>
      <c r="O1373" t="s">
        <v>79</v>
      </c>
      <c r="P1373" t="s">
        <v>83</v>
      </c>
    </row>
    <row r="1374" spans="1:16" x14ac:dyDescent="0.25">
      <c r="A1374">
        <v>1373</v>
      </c>
      <c r="B1374" s="2">
        <v>45733</v>
      </c>
      <c r="C1374" t="s">
        <v>16</v>
      </c>
      <c r="D1374" t="s">
        <v>24</v>
      </c>
      <c r="E1374" t="s">
        <v>30</v>
      </c>
      <c r="F1374" t="s">
        <v>64</v>
      </c>
      <c r="G1374" t="s">
        <v>72</v>
      </c>
      <c r="H1374" t="s">
        <v>75</v>
      </c>
      <c r="I1374">
        <v>7</v>
      </c>
      <c r="J1374">
        <v>29270</v>
      </c>
      <c r="K1374">
        <v>0.1</v>
      </c>
      <c r="L1374">
        <v>184401</v>
      </c>
      <c r="M1374">
        <v>130698.54</v>
      </c>
      <c r="N1374">
        <v>53702.46</v>
      </c>
      <c r="O1374" t="s">
        <v>78</v>
      </c>
      <c r="P1374" t="s">
        <v>86</v>
      </c>
    </row>
    <row r="1375" spans="1:16" x14ac:dyDescent="0.25">
      <c r="A1375">
        <v>1374</v>
      </c>
      <c r="B1375" s="2">
        <v>45987</v>
      </c>
      <c r="C1375" t="s">
        <v>16</v>
      </c>
      <c r="D1375" t="s">
        <v>24</v>
      </c>
      <c r="E1375" t="s">
        <v>33</v>
      </c>
      <c r="F1375" t="s">
        <v>52</v>
      </c>
      <c r="G1375" t="s">
        <v>71</v>
      </c>
      <c r="H1375" t="s">
        <v>74</v>
      </c>
      <c r="I1375">
        <v>2</v>
      </c>
      <c r="J1375">
        <v>16747</v>
      </c>
      <c r="K1375">
        <v>0.15</v>
      </c>
      <c r="L1375">
        <v>28469.9</v>
      </c>
      <c r="M1375">
        <v>17597.669999999998</v>
      </c>
      <c r="N1375">
        <v>10872.23</v>
      </c>
      <c r="O1375" t="s">
        <v>77</v>
      </c>
      <c r="P1375" t="s">
        <v>88</v>
      </c>
    </row>
    <row r="1376" spans="1:16" x14ac:dyDescent="0.25">
      <c r="A1376">
        <v>1375</v>
      </c>
      <c r="B1376" s="2">
        <v>45948</v>
      </c>
      <c r="C1376" t="s">
        <v>16</v>
      </c>
      <c r="D1376" t="s">
        <v>24</v>
      </c>
      <c r="E1376" t="s">
        <v>29</v>
      </c>
      <c r="F1376" t="s">
        <v>42</v>
      </c>
      <c r="G1376" t="s">
        <v>70</v>
      </c>
      <c r="H1376" t="s">
        <v>74</v>
      </c>
      <c r="I1376">
        <v>4</v>
      </c>
      <c r="J1376">
        <v>5869</v>
      </c>
      <c r="K1376">
        <v>0.05</v>
      </c>
      <c r="L1376">
        <v>22302.2</v>
      </c>
      <c r="M1376">
        <v>16155.08</v>
      </c>
      <c r="N1376">
        <v>6147.12</v>
      </c>
      <c r="O1376" t="s">
        <v>79</v>
      </c>
      <c r="P1376" t="s">
        <v>86</v>
      </c>
    </row>
    <row r="1377" spans="1:16" x14ac:dyDescent="0.25">
      <c r="A1377">
        <v>1376</v>
      </c>
      <c r="B1377" s="2">
        <v>45738</v>
      </c>
      <c r="C1377" t="s">
        <v>20</v>
      </c>
      <c r="D1377" t="s">
        <v>26</v>
      </c>
      <c r="E1377" t="s">
        <v>32</v>
      </c>
      <c r="F1377" t="s">
        <v>49</v>
      </c>
      <c r="G1377" t="s">
        <v>72</v>
      </c>
      <c r="H1377" t="s">
        <v>75</v>
      </c>
      <c r="I1377">
        <v>6</v>
      </c>
      <c r="J1377">
        <v>10449</v>
      </c>
      <c r="K1377">
        <v>0.1</v>
      </c>
      <c r="L1377">
        <v>56424.6</v>
      </c>
      <c r="M1377">
        <v>49020.79</v>
      </c>
      <c r="N1377">
        <v>7403.81</v>
      </c>
      <c r="O1377" t="s">
        <v>76</v>
      </c>
      <c r="P1377" t="s">
        <v>88</v>
      </c>
    </row>
    <row r="1378" spans="1:16" x14ac:dyDescent="0.25">
      <c r="A1378">
        <v>1377</v>
      </c>
      <c r="B1378" s="2">
        <v>45870</v>
      </c>
      <c r="C1378" t="s">
        <v>23</v>
      </c>
      <c r="D1378" t="s">
        <v>27</v>
      </c>
      <c r="E1378" t="s">
        <v>33</v>
      </c>
      <c r="F1378" t="s">
        <v>59</v>
      </c>
      <c r="G1378" t="s">
        <v>71</v>
      </c>
      <c r="H1378" t="s">
        <v>73</v>
      </c>
      <c r="I1378">
        <v>7</v>
      </c>
      <c r="J1378">
        <v>31872</v>
      </c>
      <c r="K1378">
        <v>0.1</v>
      </c>
      <c r="L1378">
        <v>200793.60000000001</v>
      </c>
      <c r="M1378">
        <v>155807.49</v>
      </c>
      <c r="N1378">
        <v>44986.11</v>
      </c>
      <c r="O1378" t="s">
        <v>79</v>
      </c>
      <c r="P1378" t="s">
        <v>85</v>
      </c>
    </row>
    <row r="1379" spans="1:16" x14ac:dyDescent="0.25">
      <c r="A1379">
        <v>1378</v>
      </c>
      <c r="B1379" s="2">
        <v>46022</v>
      </c>
      <c r="C1379" t="s">
        <v>20</v>
      </c>
      <c r="D1379" t="s">
        <v>26</v>
      </c>
      <c r="E1379" t="s">
        <v>28</v>
      </c>
      <c r="F1379" t="s">
        <v>35</v>
      </c>
      <c r="G1379" t="s">
        <v>71</v>
      </c>
      <c r="H1379" t="s">
        <v>74</v>
      </c>
      <c r="I1379">
        <v>2</v>
      </c>
      <c r="J1379">
        <v>1001</v>
      </c>
      <c r="K1379">
        <v>0.05</v>
      </c>
      <c r="L1379">
        <v>1901.9</v>
      </c>
      <c r="M1379">
        <v>1529.03</v>
      </c>
      <c r="N1379">
        <v>372.87</v>
      </c>
      <c r="O1379" t="s">
        <v>79</v>
      </c>
      <c r="P1379" t="s">
        <v>85</v>
      </c>
    </row>
    <row r="1380" spans="1:16" x14ac:dyDescent="0.25">
      <c r="A1380">
        <v>1379</v>
      </c>
      <c r="B1380" s="2">
        <v>45839</v>
      </c>
      <c r="C1380" t="s">
        <v>17</v>
      </c>
      <c r="D1380" t="s">
        <v>25</v>
      </c>
      <c r="E1380" t="s">
        <v>33</v>
      </c>
      <c r="F1380" t="s">
        <v>52</v>
      </c>
      <c r="G1380" t="s">
        <v>71</v>
      </c>
      <c r="H1380" t="s">
        <v>75</v>
      </c>
      <c r="I1380">
        <v>2</v>
      </c>
      <c r="J1380">
        <v>29928</v>
      </c>
      <c r="K1380">
        <v>0.05</v>
      </c>
      <c r="L1380">
        <v>56863.199999999997</v>
      </c>
      <c r="M1380">
        <v>37600.15</v>
      </c>
      <c r="N1380">
        <v>19263.05</v>
      </c>
      <c r="O1380" t="s">
        <v>76</v>
      </c>
      <c r="P1380" t="s">
        <v>87</v>
      </c>
    </row>
    <row r="1381" spans="1:16" x14ac:dyDescent="0.25">
      <c r="A1381">
        <v>1380</v>
      </c>
      <c r="B1381" s="2">
        <v>45932</v>
      </c>
      <c r="C1381" t="s">
        <v>20</v>
      </c>
      <c r="D1381" t="s">
        <v>26</v>
      </c>
      <c r="E1381" t="s">
        <v>30</v>
      </c>
      <c r="F1381" t="s">
        <v>44</v>
      </c>
      <c r="G1381" t="s">
        <v>72</v>
      </c>
      <c r="H1381" t="s">
        <v>75</v>
      </c>
      <c r="I1381">
        <v>1</v>
      </c>
      <c r="J1381">
        <v>41824</v>
      </c>
      <c r="K1381">
        <v>0.1</v>
      </c>
      <c r="L1381">
        <v>37641.599999999999</v>
      </c>
      <c r="M1381">
        <v>24843.439999999999</v>
      </c>
      <c r="N1381">
        <v>12798.16</v>
      </c>
      <c r="O1381" t="s">
        <v>76</v>
      </c>
      <c r="P1381" t="s">
        <v>83</v>
      </c>
    </row>
    <row r="1382" spans="1:16" x14ac:dyDescent="0.25">
      <c r="A1382">
        <v>1381</v>
      </c>
      <c r="B1382" s="2">
        <v>45819</v>
      </c>
      <c r="C1382" t="s">
        <v>21</v>
      </c>
      <c r="D1382" t="s">
        <v>24</v>
      </c>
      <c r="E1382" t="s">
        <v>28</v>
      </c>
      <c r="F1382" t="s">
        <v>54</v>
      </c>
      <c r="G1382" t="s">
        <v>71</v>
      </c>
      <c r="H1382" t="s">
        <v>73</v>
      </c>
      <c r="I1382">
        <v>4</v>
      </c>
      <c r="J1382">
        <v>277</v>
      </c>
      <c r="K1382">
        <v>0.05</v>
      </c>
      <c r="L1382">
        <v>1052.5999999999999</v>
      </c>
      <c r="M1382">
        <v>621.08000000000004</v>
      </c>
      <c r="N1382">
        <v>431.52</v>
      </c>
      <c r="O1382" t="s">
        <v>77</v>
      </c>
      <c r="P1382" t="s">
        <v>87</v>
      </c>
    </row>
    <row r="1383" spans="1:16" x14ac:dyDescent="0.25">
      <c r="A1383">
        <v>1382</v>
      </c>
      <c r="B1383" s="2">
        <v>45837</v>
      </c>
      <c r="C1383" t="s">
        <v>20</v>
      </c>
      <c r="D1383" t="s">
        <v>26</v>
      </c>
      <c r="E1383" t="s">
        <v>30</v>
      </c>
      <c r="F1383" t="s">
        <v>40</v>
      </c>
      <c r="G1383" t="s">
        <v>71</v>
      </c>
      <c r="H1383" t="s">
        <v>74</v>
      </c>
      <c r="I1383">
        <v>2</v>
      </c>
      <c r="J1383">
        <v>24206</v>
      </c>
      <c r="K1383">
        <v>0.05</v>
      </c>
      <c r="L1383">
        <v>45991.4</v>
      </c>
      <c r="M1383">
        <v>38714.47</v>
      </c>
      <c r="N1383">
        <v>7276.93</v>
      </c>
      <c r="O1383" t="s">
        <v>79</v>
      </c>
      <c r="P1383" t="s">
        <v>87</v>
      </c>
    </row>
    <row r="1384" spans="1:16" x14ac:dyDescent="0.25">
      <c r="A1384">
        <v>1383</v>
      </c>
      <c r="B1384" s="2">
        <v>45838</v>
      </c>
      <c r="C1384" t="s">
        <v>20</v>
      </c>
      <c r="D1384" t="s">
        <v>26</v>
      </c>
      <c r="E1384" t="s">
        <v>30</v>
      </c>
      <c r="F1384" t="s">
        <v>37</v>
      </c>
      <c r="G1384" t="s">
        <v>71</v>
      </c>
      <c r="H1384" t="s">
        <v>75</v>
      </c>
      <c r="I1384">
        <v>1</v>
      </c>
      <c r="J1384">
        <v>54146</v>
      </c>
      <c r="K1384">
        <v>0.1</v>
      </c>
      <c r="L1384">
        <v>48731.4</v>
      </c>
      <c r="M1384">
        <v>30127.84</v>
      </c>
      <c r="N1384">
        <v>18603.560000000001</v>
      </c>
      <c r="O1384" t="s">
        <v>80</v>
      </c>
      <c r="P1384" t="s">
        <v>85</v>
      </c>
    </row>
    <row r="1385" spans="1:16" x14ac:dyDescent="0.25">
      <c r="A1385">
        <v>1384</v>
      </c>
      <c r="B1385" s="2">
        <v>45899</v>
      </c>
      <c r="C1385" t="s">
        <v>23</v>
      </c>
      <c r="D1385" t="s">
        <v>27</v>
      </c>
      <c r="E1385" t="s">
        <v>33</v>
      </c>
      <c r="F1385" t="s">
        <v>60</v>
      </c>
      <c r="G1385" t="s">
        <v>72</v>
      </c>
      <c r="H1385" t="s">
        <v>75</v>
      </c>
      <c r="I1385">
        <v>1</v>
      </c>
      <c r="J1385">
        <v>4205</v>
      </c>
      <c r="K1385">
        <v>0.2</v>
      </c>
      <c r="L1385">
        <v>3364</v>
      </c>
      <c r="M1385">
        <v>2331.3000000000002</v>
      </c>
      <c r="N1385">
        <v>1032.7</v>
      </c>
      <c r="O1385" t="s">
        <v>79</v>
      </c>
      <c r="P1385" t="s">
        <v>82</v>
      </c>
    </row>
    <row r="1386" spans="1:16" x14ac:dyDescent="0.25">
      <c r="A1386">
        <v>1385</v>
      </c>
      <c r="B1386" s="2">
        <v>45870</v>
      </c>
      <c r="C1386" t="s">
        <v>20</v>
      </c>
      <c r="D1386" t="s">
        <v>26</v>
      </c>
      <c r="E1386" t="s">
        <v>31</v>
      </c>
      <c r="F1386" t="s">
        <v>47</v>
      </c>
      <c r="G1386" t="s">
        <v>72</v>
      </c>
      <c r="H1386" t="s">
        <v>75</v>
      </c>
      <c r="I1386">
        <v>1</v>
      </c>
      <c r="J1386">
        <v>1455</v>
      </c>
      <c r="K1386">
        <v>0.1</v>
      </c>
      <c r="L1386">
        <v>1309.5</v>
      </c>
      <c r="M1386">
        <v>743.98</v>
      </c>
      <c r="N1386">
        <v>565.52</v>
      </c>
      <c r="O1386" t="s">
        <v>78</v>
      </c>
      <c r="P1386" t="s">
        <v>82</v>
      </c>
    </row>
    <row r="1387" spans="1:16" x14ac:dyDescent="0.25">
      <c r="A1387">
        <v>1386</v>
      </c>
      <c r="B1387" s="2">
        <v>45888</v>
      </c>
      <c r="C1387" t="s">
        <v>16</v>
      </c>
      <c r="D1387" t="s">
        <v>24</v>
      </c>
      <c r="E1387" t="s">
        <v>29</v>
      </c>
      <c r="F1387" t="s">
        <v>42</v>
      </c>
      <c r="G1387" t="s">
        <v>71</v>
      </c>
      <c r="H1387" t="s">
        <v>74</v>
      </c>
      <c r="I1387">
        <v>5</v>
      </c>
      <c r="J1387">
        <v>11333</v>
      </c>
      <c r="K1387">
        <v>0.05</v>
      </c>
      <c r="L1387">
        <v>53831.75</v>
      </c>
      <c r="M1387">
        <v>46051.39</v>
      </c>
      <c r="N1387">
        <v>7780.36</v>
      </c>
      <c r="O1387" t="s">
        <v>80</v>
      </c>
      <c r="P1387" t="s">
        <v>84</v>
      </c>
    </row>
    <row r="1388" spans="1:16" x14ac:dyDescent="0.25">
      <c r="A1388">
        <v>1387</v>
      </c>
      <c r="B1388" s="2">
        <v>45799</v>
      </c>
      <c r="C1388" t="s">
        <v>22</v>
      </c>
      <c r="D1388" t="s">
        <v>24</v>
      </c>
      <c r="E1388" t="s">
        <v>29</v>
      </c>
      <c r="F1388" t="s">
        <v>57</v>
      </c>
      <c r="G1388" t="s">
        <v>72</v>
      </c>
      <c r="H1388" t="s">
        <v>74</v>
      </c>
      <c r="I1388">
        <v>1</v>
      </c>
      <c r="J1388">
        <v>4492</v>
      </c>
      <c r="K1388">
        <v>0.05</v>
      </c>
      <c r="L1388">
        <v>4267.3999999999996</v>
      </c>
      <c r="M1388">
        <v>3586.43</v>
      </c>
      <c r="N1388">
        <v>680.97</v>
      </c>
      <c r="O1388" t="s">
        <v>79</v>
      </c>
      <c r="P1388" t="s">
        <v>88</v>
      </c>
    </row>
    <row r="1389" spans="1:16" x14ac:dyDescent="0.25">
      <c r="A1389">
        <v>1388</v>
      </c>
      <c r="B1389" s="2">
        <v>45923</v>
      </c>
      <c r="C1389" t="s">
        <v>19</v>
      </c>
      <c r="D1389" t="s">
        <v>26</v>
      </c>
      <c r="E1389" t="s">
        <v>33</v>
      </c>
      <c r="F1389" t="s">
        <v>41</v>
      </c>
      <c r="G1389" t="s">
        <v>70</v>
      </c>
      <c r="H1389" t="s">
        <v>75</v>
      </c>
      <c r="I1389">
        <v>7</v>
      </c>
      <c r="J1389">
        <v>21652</v>
      </c>
      <c r="K1389">
        <v>0.15</v>
      </c>
      <c r="L1389">
        <v>128829.4</v>
      </c>
      <c r="M1389">
        <v>72175.41</v>
      </c>
      <c r="N1389">
        <v>56653.99</v>
      </c>
      <c r="O1389" t="s">
        <v>79</v>
      </c>
      <c r="P1389" t="s">
        <v>81</v>
      </c>
    </row>
    <row r="1390" spans="1:16" x14ac:dyDescent="0.25">
      <c r="A1390">
        <v>1389</v>
      </c>
      <c r="B1390" s="2">
        <v>45800</v>
      </c>
      <c r="C1390" t="s">
        <v>21</v>
      </c>
      <c r="D1390" t="s">
        <v>24</v>
      </c>
      <c r="E1390" t="s">
        <v>33</v>
      </c>
      <c r="F1390" t="s">
        <v>41</v>
      </c>
      <c r="G1390" t="s">
        <v>70</v>
      </c>
      <c r="H1390" t="s">
        <v>74</v>
      </c>
      <c r="I1390">
        <v>3</v>
      </c>
      <c r="J1390">
        <v>47767</v>
      </c>
      <c r="K1390">
        <v>0</v>
      </c>
      <c r="L1390">
        <v>143301</v>
      </c>
      <c r="M1390">
        <v>89952.87</v>
      </c>
      <c r="N1390">
        <v>53348.13</v>
      </c>
      <c r="O1390" t="s">
        <v>77</v>
      </c>
      <c r="P1390" t="s">
        <v>86</v>
      </c>
    </row>
    <row r="1391" spans="1:16" x14ac:dyDescent="0.25">
      <c r="A1391">
        <v>1390</v>
      </c>
      <c r="B1391" s="2">
        <v>46015</v>
      </c>
      <c r="C1391" t="s">
        <v>23</v>
      </c>
      <c r="D1391" t="s">
        <v>27</v>
      </c>
      <c r="E1391" t="s">
        <v>28</v>
      </c>
      <c r="F1391" t="s">
        <v>61</v>
      </c>
      <c r="G1391" t="s">
        <v>70</v>
      </c>
      <c r="H1391" t="s">
        <v>75</v>
      </c>
      <c r="I1391">
        <v>6</v>
      </c>
      <c r="J1391">
        <v>1505</v>
      </c>
      <c r="K1391">
        <v>0.1</v>
      </c>
      <c r="L1391">
        <v>8127</v>
      </c>
      <c r="M1391">
        <v>5060.6400000000003</v>
      </c>
      <c r="N1391">
        <v>3066.36</v>
      </c>
      <c r="O1391" t="s">
        <v>76</v>
      </c>
      <c r="P1391" t="s">
        <v>81</v>
      </c>
    </row>
    <row r="1392" spans="1:16" x14ac:dyDescent="0.25">
      <c r="A1392">
        <v>1391</v>
      </c>
      <c r="B1392" s="2">
        <v>45728</v>
      </c>
      <c r="C1392" t="s">
        <v>17</v>
      </c>
      <c r="D1392" t="s">
        <v>25</v>
      </c>
      <c r="E1392" t="s">
        <v>29</v>
      </c>
      <c r="F1392" t="s">
        <v>36</v>
      </c>
      <c r="G1392" t="s">
        <v>72</v>
      </c>
      <c r="H1392" t="s">
        <v>75</v>
      </c>
      <c r="I1392">
        <v>5</v>
      </c>
      <c r="J1392">
        <v>5894</v>
      </c>
      <c r="K1392">
        <v>0.05</v>
      </c>
      <c r="L1392">
        <v>27996.5</v>
      </c>
      <c r="M1392">
        <v>21562.78</v>
      </c>
      <c r="N1392">
        <v>6433.72</v>
      </c>
      <c r="O1392" t="s">
        <v>80</v>
      </c>
      <c r="P1392" t="s">
        <v>85</v>
      </c>
    </row>
    <row r="1393" spans="1:16" x14ac:dyDescent="0.25">
      <c r="A1393">
        <v>1392</v>
      </c>
      <c r="B1393" s="2">
        <v>45975</v>
      </c>
      <c r="C1393" t="s">
        <v>23</v>
      </c>
      <c r="D1393" t="s">
        <v>27</v>
      </c>
      <c r="E1393" t="s">
        <v>31</v>
      </c>
      <c r="F1393" t="s">
        <v>69</v>
      </c>
      <c r="G1393" t="s">
        <v>72</v>
      </c>
      <c r="H1393" t="s">
        <v>73</v>
      </c>
      <c r="I1393">
        <v>5</v>
      </c>
      <c r="J1393">
        <v>2429</v>
      </c>
      <c r="K1393">
        <v>0.1</v>
      </c>
      <c r="L1393">
        <v>10930.5</v>
      </c>
      <c r="M1393">
        <v>6912.71</v>
      </c>
      <c r="N1393">
        <v>4017.79</v>
      </c>
      <c r="O1393" t="s">
        <v>79</v>
      </c>
      <c r="P1393" t="s">
        <v>87</v>
      </c>
    </row>
    <row r="1394" spans="1:16" x14ac:dyDescent="0.25">
      <c r="A1394">
        <v>1393</v>
      </c>
      <c r="B1394" s="2">
        <v>45895</v>
      </c>
      <c r="C1394" t="s">
        <v>22</v>
      </c>
      <c r="D1394" t="s">
        <v>24</v>
      </c>
      <c r="E1394" t="s">
        <v>33</v>
      </c>
      <c r="F1394" t="s">
        <v>52</v>
      </c>
      <c r="G1394" t="s">
        <v>70</v>
      </c>
      <c r="H1394" t="s">
        <v>73</v>
      </c>
      <c r="I1394">
        <v>3</v>
      </c>
      <c r="J1394">
        <v>3318</v>
      </c>
      <c r="K1394">
        <v>0.1</v>
      </c>
      <c r="L1394">
        <v>8958.6</v>
      </c>
      <c r="M1394">
        <v>5501.46</v>
      </c>
      <c r="N1394">
        <v>3457.14</v>
      </c>
      <c r="O1394" t="s">
        <v>79</v>
      </c>
      <c r="P1394" t="s">
        <v>85</v>
      </c>
    </row>
    <row r="1395" spans="1:16" x14ac:dyDescent="0.25">
      <c r="A1395">
        <v>1394</v>
      </c>
      <c r="B1395" s="2">
        <v>45835</v>
      </c>
      <c r="C1395" t="s">
        <v>20</v>
      </c>
      <c r="D1395" t="s">
        <v>26</v>
      </c>
      <c r="E1395" t="s">
        <v>30</v>
      </c>
      <c r="F1395" t="s">
        <v>44</v>
      </c>
      <c r="G1395" t="s">
        <v>72</v>
      </c>
      <c r="H1395" t="s">
        <v>73</v>
      </c>
      <c r="I1395">
        <v>5</v>
      </c>
      <c r="J1395">
        <v>13266</v>
      </c>
      <c r="K1395">
        <v>0.1</v>
      </c>
      <c r="L1395">
        <v>59697</v>
      </c>
      <c r="M1395">
        <v>50553.51</v>
      </c>
      <c r="N1395">
        <v>9143.49</v>
      </c>
      <c r="O1395" t="s">
        <v>77</v>
      </c>
      <c r="P1395" t="s">
        <v>82</v>
      </c>
    </row>
    <row r="1396" spans="1:16" x14ac:dyDescent="0.25">
      <c r="A1396">
        <v>1395</v>
      </c>
      <c r="B1396" s="2">
        <v>45708</v>
      </c>
      <c r="C1396" t="s">
        <v>23</v>
      </c>
      <c r="D1396" t="s">
        <v>27</v>
      </c>
      <c r="E1396" t="s">
        <v>29</v>
      </c>
      <c r="F1396" t="s">
        <v>57</v>
      </c>
      <c r="G1396" t="s">
        <v>72</v>
      </c>
      <c r="H1396" t="s">
        <v>75</v>
      </c>
      <c r="I1396">
        <v>4</v>
      </c>
      <c r="J1396">
        <v>8120</v>
      </c>
      <c r="K1396">
        <v>0.1</v>
      </c>
      <c r="L1396">
        <v>29232</v>
      </c>
      <c r="M1396">
        <v>22293.64</v>
      </c>
      <c r="N1396">
        <v>6938.36</v>
      </c>
      <c r="O1396" t="s">
        <v>78</v>
      </c>
      <c r="P1396" t="s">
        <v>81</v>
      </c>
    </row>
    <row r="1397" spans="1:16" x14ac:dyDescent="0.25">
      <c r="A1397">
        <v>1396</v>
      </c>
      <c r="B1397" s="2">
        <v>45983</v>
      </c>
      <c r="C1397" t="s">
        <v>20</v>
      </c>
      <c r="D1397" t="s">
        <v>26</v>
      </c>
      <c r="E1397" t="s">
        <v>34</v>
      </c>
      <c r="F1397" t="s">
        <v>43</v>
      </c>
      <c r="G1397" t="s">
        <v>71</v>
      </c>
      <c r="H1397" t="s">
        <v>75</v>
      </c>
      <c r="I1397">
        <v>7</v>
      </c>
      <c r="J1397">
        <v>1572</v>
      </c>
      <c r="K1397">
        <v>0</v>
      </c>
      <c r="L1397">
        <v>11004</v>
      </c>
      <c r="M1397">
        <v>9253.34</v>
      </c>
      <c r="N1397">
        <v>1750.66</v>
      </c>
      <c r="O1397" t="s">
        <v>77</v>
      </c>
      <c r="P1397" t="s">
        <v>86</v>
      </c>
    </row>
    <row r="1398" spans="1:16" x14ac:dyDescent="0.25">
      <c r="A1398">
        <v>1397</v>
      </c>
      <c r="B1398" s="2">
        <v>45976</v>
      </c>
      <c r="C1398" t="s">
        <v>16</v>
      </c>
      <c r="D1398" t="s">
        <v>24</v>
      </c>
      <c r="E1398" t="s">
        <v>29</v>
      </c>
      <c r="F1398" t="s">
        <v>45</v>
      </c>
      <c r="G1398" t="s">
        <v>70</v>
      </c>
      <c r="H1398" t="s">
        <v>75</v>
      </c>
      <c r="I1398">
        <v>5</v>
      </c>
      <c r="J1398">
        <v>7826</v>
      </c>
      <c r="K1398">
        <v>0</v>
      </c>
      <c r="L1398">
        <v>39130</v>
      </c>
      <c r="M1398">
        <v>30368.92</v>
      </c>
      <c r="N1398">
        <v>8761.08</v>
      </c>
      <c r="O1398" t="s">
        <v>79</v>
      </c>
      <c r="P1398" t="s">
        <v>86</v>
      </c>
    </row>
    <row r="1399" spans="1:16" x14ac:dyDescent="0.25">
      <c r="A1399">
        <v>1398</v>
      </c>
      <c r="B1399" s="2">
        <v>45912</v>
      </c>
      <c r="C1399" t="s">
        <v>19</v>
      </c>
      <c r="D1399" t="s">
        <v>26</v>
      </c>
      <c r="E1399" t="s">
        <v>33</v>
      </c>
      <c r="F1399" t="s">
        <v>46</v>
      </c>
      <c r="G1399" t="s">
        <v>71</v>
      </c>
      <c r="H1399" t="s">
        <v>74</v>
      </c>
      <c r="I1399">
        <v>6</v>
      </c>
      <c r="J1399">
        <v>15391</v>
      </c>
      <c r="K1399">
        <v>0.05</v>
      </c>
      <c r="L1399">
        <v>87728.7</v>
      </c>
      <c r="M1399">
        <v>55400.65</v>
      </c>
      <c r="N1399">
        <v>32328.05</v>
      </c>
      <c r="O1399" t="s">
        <v>76</v>
      </c>
      <c r="P1399" t="s">
        <v>85</v>
      </c>
    </row>
    <row r="1400" spans="1:16" x14ac:dyDescent="0.25">
      <c r="A1400">
        <v>1399</v>
      </c>
      <c r="B1400" s="2">
        <v>45947</v>
      </c>
      <c r="C1400" t="s">
        <v>18</v>
      </c>
      <c r="D1400" t="s">
        <v>26</v>
      </c>
      <c r="E1400" t="s">
        <v>28</v>
      </c>
      <c r="F1400" t="s">
        <v>61</v>
      </c>
      <c r="G1400" t="s">
        <v>70</v>
      </c>
      <c r="H1400" t="s">
        <v>73</v>
      </c>
      <c r="I1400">
        <v>8</v>
      </c>
      <c r="J1400">
        <v>1397</v>
      </c>
      <c r="K1400">
        <v>0</v>
      </c>
      <c r="L1400">
        <v>11176</v>
      </c>
      <c r="M1400">
        <v>7103.41</v>
      </c>
      <c r="N1400">
        <v>4072.59</v>
      </c>
      <c r="O1400" t="s">
        <v>79</v>
      </c>
      <c r="P1400" t="s">
        <v>81</v>
      </c>
    </row>
    <row r="1401" spans="1:16" x14ac:dyDescent="0.25">
      <c r="A1401">
        <v>1400</v>
      </c>
      <c r="B1401" s="2">
        <v>45830</v>
      </c>
      <c r="C1401" t="s">
        <v>20</v>
      </c>
      <c r="D1401" t="s">
        <v>26</v>
      </c>
      <c r="E1401" t="s">
        <v>33</v>
      </c>
      <c r="F1401" t="s">
        <v>52</v>
      </c>
      <c r="G1401" t="s">
        <v>71</v>
      </c>
      <c r="H1401" t="s">
        <v>73</v>
      </c>
      <c r="I1401">
        <v>4</v>
      </c>
      <c r="J1401">
        <v>35975</v>
      </c>
      <c r="K1401">
        <v>0.05</v>
      </c>
      <c r="L1401">
        <v>136705</v>
      </c>
      <c r="M1401">
        <v>78680.47</v>
      </c>
      <c r="N1401">
        <v>58024.53</v>
      </c>
      <c r="O1401" t="s">
        <v>78</v>
      </c>
      <c r="P1401" t="s">
        <v>84</v>
      </c>
    </row>
    <row r="1402" spans="1:16" x14ac:dyDescent="0.25">
      <c r="A1402">
        <v>1401</v>
      </c>
      <c r="B1402" s="2">
        <v>45681</v>
      </c>
      <c r="C1402" t="s">
        <v>23</v>
      </c>
      <c r="D1402" t="s">
        <v>27</v>
      </c>
      <c r="E1402" t="s">
        <v>32</v>
      </c>
      <c r="F1402" t="s">
        <v>49</v>
      </c>
      <c r="G1402" t="s">
        <v>70</v>
      </c>
      <c r="H1402" t="s">
        <v>74</v>
      </c>
      <c r="I1402">
        <v>8</v>
      </c>
      <c r="J1402">
        <v>8499</v>
      </c>
      <c r="K1402">
        <v>0</v>
      </c>
      <c r="L1402">
        <v>67992</v>
      </c>
      <c r="M1402">
        <v>51269.52</v>
      </c>
      <c r="N1402">
        <v>16722.48</v>
      </c>
      <c r="O1402" t="s">
        <v>80</v>
      </c>
      <c r="P1402" t="s">
        <v>87</v>
      </c>
    </row>
    <row r="1403" spans="1:16" x14ac:dyDescent="0.25">
      <c r="A1403">
        <v>1402</v>
      </c>
      <c r="B1403" s="2">
        <v>45715</v>
      </c>
      <c r="C1403" t="s">
        <v>18</v>
      </c>
      <c r="D1403" t="s">
        <v>26</v>
      </c>
      <c r="E1403" t="s">
        <v>33</v>
      </c>
      <c r="F1403" t="s">
        <v>46</v>
      </c>
      <c r="G1403" t="s">
        <v>70</v>
      </c>
      <c r="H1403" t="s">
        <v>74</v>
      </c>
      <c r="I1403">
        <v>6</v>
      </c>
      <c r="J1403">
        <v>49552</v>
      </c>
      <c r="K1403">
        <v>0.1</v>
      </c>
      <c r="L1403">
        <v>267580.79999999999</v>
      </c>
      <c r="M1403">
        <v>232139.37</v>
      </c>
      <c r="N1403">
        <v>35441.43</v>
      </c>
      <c r="O1403" t="s">
        <v>79</v>
      </c>
      <c r="P1403" t="s">
        <v>87</v>
      </c>
    </row>
    <row r="1404" spans="1:16" x14ac:dyDescent="0.25">
      <c r="A1404">
        <v>1403</v>
      </c>
      <c r="B1404" s="2">
        <v>45830</v>
      </c>
      <c r="C1404" t="s">
        <v>18</v>
      </c>
      <c r="D1404" t="s">
        <v>26</v>
      </c>
      <c r="E1404" t="s">
        <v>34</v>
      </c>
      <c r="F1404" t="s">
        <v>43</v>
      </c>
      <c r="G1404" t="s">
        <v>70</v>
      </c>
      <c r="H1404" t="s">
        <v>73</v>
      </c>
      <c r="I1404">
        <v>7</v>
      </c>
      <c r="J1404">
        <v>5522</v>
      </c>
      <c r="K1404">
        <v>0</v>
      </c>
      <c r="L1404">
        <v>38654</v>
      </c>
      <c r="M1404">
        <v>22761.29</v>
      </c>
      <c r="N1404">
        <v>15892.71</v>
      </c>
      <c r="O1404" t="s">
        <v>76</v>
      </c>
      <c r="P1404" t="s">
        <v>86</v>
      </c>
    </row>
    <row r="1405" spans="1:16" x14ac:dyDescent="0.25">
      <c r="A1405">
        <v>1404</v>
      </c>
      <c r="B1405" s="2">
        <v>45729</v>
      </c>
      <c r="C1405" t="s">
        <v>20</v>
      </c>
      <c r="D1405" t="s">
        <v>26</v>
      </c>
      <c r="E1405" t="s">
        <v>31</v>
      </c>
      <c r="F1405" t="s">
        <v>69</v>
      </c>
      <c r="G1405" t="s">
        <v>71</v>
      </c>
      <c r="H1405" t="s">
        <v>75</v>
      </c>
      <c r="I1405">
        <v>1</v>
      </c>
      <c r="J1405">
        <v>2058</v>
      </c>
      <c r="K1405">
        <v>0.05</v>
      </c>
      <c r="L1405">
        <v>1955.1</v>
      </c>
      <c r="M1405">
        <v>1377.03</v>
      </c>
      <c r="N1405">
        <v>578.07000000000005</v>
      </c>
      <c r="O1405" t="s">
        <v>78</v>
      </c>
      <c r="P1405" t="s">
        <v>85</v>
      </c>
    </row>
    <row r="1406" spans="1:16" x14ac:dyDescent="0.25">
      <c r="A1406">
        <v>1405</v>
      </c>
      <c r="B1406" s="2">
        <v>45859</v>
      </c>
      <c r="C1406" t="s">
        <v>20</v>
      </c>
      <c r="D1406" t="s">
        <v>26</v>
      </c>
      <c r="E1406" t="s">
        <v>34</v>
      </c>
      <c r="F1406" t="s">
        <v>55</v>
      </c>
      <c r="G1406" t="s">
        <v>71</v>
      </c>
      <c r="H1406" t="s">
        <v>73</v>
      </c>
      <c r="I1406">
        <v>7</v>
      </c>
      <c r="J1406">
        <v>1135</v>
      </c>
      <c r="K1406">
        <v>0.05</v>
      </c>
      <c r="L1406">
        <v>7547.75</v>
      </c>
      <c r="M1406">
        <v>6441.8</v>
      </c>
      <c r="N1406">
        <v>1105.95</v>
      </c>
      <c r="O1406" t="s">
        <v>78</v>
      </c>
      <c r="P1406" t="s">
        <v>87</v>
      </c>
    </row>
    <row r="1407" spans="1:16" x14ac:dyDescent="0.25">
      <c r="A1407">
        <v>1406</v>
      </c>
      <c r="B1407" s="2">
        <v>45749</v>
      </c>
      <c r="C1407" t="s">
        <v>16</v>
      </c>
      <c r="D1407" t="s">
        <v>24</v>
      </c>
      <c r="E1407" t="s">
        <v>34</v>
      </c>
      <c r="F1407" t="s">
        <v>65</v>
      </c>
      <c r="G1407" t="s">
        <v>72</v>
      </c>
      <c r="H1407" t="s">
        <v>73</v>
      </c>
      <c r="I1407">
        <v>3</v>
      </c>
      <c r="J1407">
        <v>1314</v>
      </c>
      <c r="K1407">
        <v>0.2</v>
      </c>
      <c r="L1407">
        <v>3153.6</v>
      </c>
      <c r="M1407">
        <v>2077.34</v>
      </c>
      <c r="N1407">
        <v>1076.26</v>
      </c>
      <c r="O1407" t="s">
        <v>80</v>
      </c>
      <c r="P1407" t="s">
        <v>86</v>
      </c>
    </row>
    <row r="1408" spans="1:16" x14ac:dyDescent="0.25">
      <c r="A1408">
        <v>1407</v>
      </c>
      <c r="B1408" s="2">
        <v>45973</v>
      </c>
      <c r="C1408" t="s">
        <v>21</v>
      </c>
      <c r="D1408" t="s">
        <v>24</v>
      </c>
      <c r="E1408" t="s">
        <v>29</v>
      </c>
      <c r="F1408" t="s">
        <v>53</v>
      </c>
      <c r="G1408" t="s">
        <v>71</v>
      </c>
      <c r="H1408" t="s">
        <v>73</v>
      </c>
      <c r="I1408">
        <v>6</v>
      </c>
      <c r="J1408">
        <v>3766</v>
      </c>
      <c r="K1408">
        <v>0.15</v>
      </c>
      <c r="L1408">
        <v>19206.599999999999</v>
      </c>
      <c r="M1408">
        <v>14029.38</v>
      </c>
      <c r="N1408">
        <v>5177.22</v>
      </c>
      <c r="O1408" t="s">
        <v>78</v>
      </c>
      <c r="P1408" t="s">
        <v>88</v>
      </c>
    </row>
    <row r="1409" spans="1:16" x14ac:dyDescent="0.25">
      <c r="A1409">
        <v>1408</v>
      </c>
      <c r="B1409" s="2">
        <v>45955</v>
      </c>
      <c r="C1409" t="s">
        <v>20</v>
      </c>
      <c r="D1409" t="s">
        <v>26</v>
      </c>
      <c r="E1409" t="s">
        <v>29</v>
      </c>
      <c r="F1409" t="s">
        <v>53</v>
      </c>
      <c r="G1409" t="s">
        <v>72</v>
      </c>
      <c r="H1409" t="s">
        <v>73</v>
      </c>
      <c r="I1409">
        <v>3</v>
      </c>
      <c r="J1409">
        <v>856</v>
      </c>
      <c r="K1409">
        <v>0</v>
      </c>
      <c r="L1409">
        <v>2568</v>
      </c>
      <c r="M1409">
        <v>1740.99</v>
      </c>
      <c r="N1409">
        <v>827.01</v>
      </c>
      <c r="O1409" t="s">
        <v>77</v>
      </c>
      <c r="P1409" t="s">
        <v>86</v>
      </c>
    </row>
    <row r="1410" spans="1:16" x14ac:dyDescent="0.25">
      <c r="A1410">
        <v>1409</v>
      </c>
      <c r="B1410" s="2">
        <v>45785</v>
      </c>
      <c r="C1410" t="s">
        <v>18</v>
      </c>
      <c r="D1410" t="s">
        <v>26</v>
      </c>
      <c r="E1410" t="s">
        <v>32</v>
      </c>
      <c r="F1410" t="s">
        <v>62</v>
      </c>
      <c r="G1410" t="s">
        <v>72</v>
      </c>
      <c r="H1410" t="s">
        <v>75</v>
      </c>
      <c r="I1410">
        <v>4</v>
      </c>
      <c r="J1410">
        <v>6715</v>
      </c>
      <c r="K1410">
        <v>0.1</v>
      </c>
      <c r="L1410">
        <v>24174</v>
      </c>
      <c r="M1410">
        <v>15953.11</v>
      </c>
      <c r="N1410">
        <v>8220.89</v>
      </c>
      <c r="O1410" t="s">
        <v>79</v>
      </c>
      <c r="P1410" t="s">
        <v>82</v>
      </c>
    </row>
    <row r="1411" spans="1:16" x14ac:dyDescent="0.25">
      <c r="A1411">
        <v>1410</v>
      </c>
      <c r="B1411" s="2">
        <v>46019</v>
      </c>
      <c r="C1411" t="s">
        <v>18</v>
      </c>
      <c r="D1411" t="s">
        <v>26</v>
      </c>
      <c r="E1411" t="s">
        <v>34</v>
      </c>
      <c r="F1411" t="s">
        <v>65</v>
      </c>
      <c r="G1411" t="s">
        <v>70</v>
      </c>
      <c r="H1411" t="s">
        <v>74</v>
      </c>
      <c r="I1411">
        <v>4</v>
      </c>
      <c r="J1411">
        <v>3015</v>
      </c>
      <c r="K1411">
        <v>0.05</v>
      </c>
      <c r="L1411">
        <v>11457</v>
      </c>
      <c r="M1411">
        <v>7048.43</v>
      </c>
      <c r="N1411">
        <v>4408.57</v>
      </c>
      <c r="O1411" t="s">
        <v>78</v>
      </c>
      <c r="P1411" t="s">
        <v>86</v>
      </c>
    </row>
    <row r="1412" spans="1:16" x14ac:dyDescent="0.25">
      <c r="A1412">
        <v>1411</v>
      </c>
      <c r="B1412" s="2">
        <v>45944</v>
      </c>
      <c r="C1412" t="s">
        <v>20</v>
      </c>
      <c r="D1412" t="s">
        <v>26</v>
      </c>
      <c r="E1412" t="s">
        <v>33</v>
      </c>
      <c r="F1412" t="s">
        <v>60</v>
      </c>
      <c r="G1412" t="s">
        <v>70</v>
      </c>
      <c r="H1412" t="s">
        <v>73</v>
      </c>
      <c r="I1412">
        <v>1</v>
      </c>
      <c r="J1412">
        <v>30710</v>
      </c>
      <c r="K1412">
        <v>0.1</v>
      </c>
      <c r="L1412">
        <v>27639</v>
      </c>
      <c r="M1412">
        <v>21577.64</v>
      </c>
      <c r="N1412">
        <v>6061.36</v>
      </c>
      <c r="O1412" t="s">
        <v>76</v>
      </c>
      <c r="P1412" t="s">
        <v>84</v>
      </c>
    </row>
    <row r="1413" spans="1:16" x14ac:dyDescent="0.25">
      <c r="A1413">
        <v>1412</v>
      </c>
      <c r="B1413" s="2">
        <v>45833</v>
      </c>
      <c r="C1413" t="s">
        <v>23</v>
      </c>
      <c r="D1413" t="s">
        <v>27</v>
      </c>
      <c r="E1413" t="s">
        <v>31</v>
      </c>
      <c r="F1413" t="s">
        <v>38</v>
      </c>
      <c r="G1413" t="s">
        <v>72</v>
      </c>
      <c r="H1413" t="s">
        <v>74</v>
      </c>
      <c r="I1413">
        <v>5</v>
      </c>
      <c r="J1413">
        <v>1294</v>
      </c>
      <c r="K1413">
        <v>0.15</v>
      </c>
      <c r="L1413">
        <v>5499.5</v>
      </c>
      <c r="M1413">
        <v>4436.47</v>
      </c>
      <c r="N1413">
        <v>1063.03</v>
      </c>
      <c r="O1413" t="s">
        <v>76</v>
      </c>
      <c r="P1413" t="s">
        <v>87</v>
      </c>
    </row>
    <row r="1414" spans="1:16" x14ac:dyDescent="0.25">
      <c r="A1414">
        <v>1413</v>
      </c>
      <c r="B1414" s="2">
        <v>45802</v>
      </c>
      <c r="C1414" t="s">
        <v>22</v>
      </c>
      <c r="D1414" t="s">
        <v>24</v>
      </c>
      <c r="E1414" t="s">
        <v>34</v>
      </c>
      <c r="F1414" t="s">
        <v>65</v>
      </c>
      <c r="G1414" t="s">
        <v>70</v>
      </c>
      <c r="H1414" t="s">
        <v>75</v>
      </c>
      <c r="I1414">
        <v>6</v>
      </c>
      <c r="J1414">
        <v>1204</v>
      </c>
      <c r="K1414">
        <v>0.1</v>
      </c>
      <c r="L1414">
        <v>6501.6</v>
      </c>
      <c r="M1414">
        <v>3941.08</v>
      </c>
      <c r="N1414">
        <v>2560.52</v>
      </c>
      <c r="O1414" t="s">
        <v>76</v>
      </c>
      <c r="P1414" t="s">
        <v>82</v>
      </c>
    </row>
    <row r="1415" spans="1:16" x14ac:dyDescent="0.25">
      <c r="A1415">
        <v>1414</v>
      </c>
      <c r="B1415" s="2">
        <v>45783</v>
      </c>
      <c r="C1415" t="s">
        <v>20</v>
      </c>
      <c r="D1415" t="s">
        <v>26</v>
      </c>
      <c r="E1415" t="s">
        <v>28</v>
      </c>
      <c r="F1415" t="s">
        <v>54</v>
      </c>
      <c r="G1415" t="s">
        <v>70</v>
      </c>
      <c r="H1415" t="s">
        <v>73</v>
      </c>
      <c r="I1415">
        <v>6</v>
      </c>
      <c r="J1415">
        <v>2093</v>
      </c>
      <c r="K1415">
        <v>0</v>
      </c>
      <c r="L1415">
        <v>12558</v>
      </c>
      <c r="M1415">
        <v>9786.59</v>
      </c>
      <c r="N1415">
        <v>2771.41</v>
      </c>
      <c r="O1415" t="s">
        <v>78</v>
      </c>
      <c r="P1415" t="s">
        <v>84</v>
      </c>
    </row>
    <row r="1416" spans="1:16" x14ac:dyDescent="0.25">
      <c r="A1416">
        <v>1415</v>
      </c>
      <c r="B1416" s="2">
        <v>45884</v>
      </c>
      <c r="C1416" t="s">
        <v>20</v>
      </c>
      <c r="D1416" t="s">
        <v>26</v>
      </c>
      <c r="E1416" t="s">
        <v>30</v>
      </c>
      <c r="F1416" t="s">
        <v>56</v>
      </c>
      <c r="G1416" t="s">
        <v>72</v>
      </c>
      <c r="H1416" t="s">
        <v>75</v>
      </c>
      <c r="I1416">
        <v>2</v>
      </c>
      <c r="J1416">
        <v>57381</v>
      </c>
      <c r="K1416">
        <v>0.1</v>
      </c>
      <c r="L1416">
        <v>103285.8</v>
      </c>
      <c r="M1416">
        <v>73667.62</v>
      </c>
      <c r="N1416">
        <v>29618.18</v>
      </c>
      <c r="O1416" t="s">
        <v>78</v>
      </c>
      <c r="P1416" t="s">
        <v>83</v>
      </c>
    </row>
    <row r="1417" spans="1:16" x14ac:dyDescent="0.25">
      <c r="A1417">
        <v>1416</v>
      </c>
      <c r="B1417" s="2">
        <v>45973</v>
      </c>
      <c r="C1417" t="s">
        <v>23</v>
      </c>
      <c r="D1417" t="s">
        <v>27</v>
      </c>
      <c r="E1417" t="s">
        <v>29</v>
      </c>
      <c r="F1417" t="s">
        <v>45</v>
      </c>
      <c r="G1417" t="s">
        <v>70</v>
      </c>
      <c r="H1417" t="s">
        <v>73</v>
      </c>
      <c r="I1417">
        <v>4</v>
      </c>
      <c r="J1417">
        <v>3362</v>
      </c>
      <c r="K1417">
        <v>0</v>
      </c>
      <c r="L1417">
        <v>13448</v>
      </c>
      <c r="M1417">
        <v>9779.85</v>
      </c>
      <c r="N1417">
        <v>3668.15</v>
      </c>
      <c r="O1417" t="s">
        <v>79</v>
      </c>
      <c r="P1417" t="s">
        <v>87</v>
      </c>
    </row>
    <row r="1418" spans="1:16" x14ac:dyDescent="0.25">
      <c r="A1418">
        <v>1417</v>
      </c>
      <c r="B1418" s="2">
        <v>45779</v>
      </c>
      <c r="C1418" t="s">
        <v>22</v>
      </c>
      <c r="D1418" t="s">
        <v>24</v>
      </c>
      <c r="E1418" t="s">
        <v>28</v>
      </c>
      <c r="F1418" t="s">
        <v>54</v>
      </c>
      <c r="G1418" t="s">
        <v>71</v>
      </c>
      <c r="H1418" t="s">
        <v>75</v>
      </c>
      <c r="I1418">
        <v>5</v>
      </c>
      <c r="J1418">
        <v>1502</v>
      </c>
      <c r="K1418">
        <v>0.15</v>
      </c>
      <c r="L1418">
        <v>6383.5</v>
      </c>
      <c r="M1418">
        <v>3590.87</v>
      </c>
      <c r="N1418">
        <v>2792.63</v>
      </c>
      <c r="O1418" t="s">
        <v>79</v>
      </c>
      <c r="P1418" t="s">
        <v>82</v>
      </c>
    </row>
    <row r="1419" spans="1:16" x14ac:dyDescent="0.25">
      <c r="A1419">
        <v>1418</v>
      </c>
      <c r="B1419" s="2">
        <v>45810</v>
      </c>
      <c r="C1419" t="s">
        <v>22</v>
      </c>
      <c r="D1419" t="s">
        <v>24</v>
      </c>
      <c r="E1419" t="s">
        <v>28</v>
      </c>
      <c r="F1419" t="s">
        <v>54</v>
      </c>
      <c r="G1419" t="s">
        <v>72</v>
      </c>
      <c r="H1419" t="s">
        <v>73</v>
      </c>
      <c r="I1419">
        <v>1</v>
      </c>
      <c r="J1419">
        <v>1963</v>
      </c>
      <c r="K1419">
        <v>0.05</v>
      </c>
      <c r="L1419">
        <v>1864.85</v>
      </c>
      <c r="M1419">
        <v>1167.8</v>
      </c>
      <c r="N1419">
        <v>697.05</v>
      </c>
      <c r="O1419" t="s">
        <v>76</v>
      </c>
      <c r="P1419" t="s">
        <v>85</v>
      </c>
    </row>
    <row r="1420" spans="1:16" x14ac:dyDescent="0.25">
      <c r="A1420">
        <v>1419</v>
      </c>
      <c r="B1420" s="2">
        <v>45710</v>
      </c>
      <c r="C1420" t="s">
        <v>23</v>
      </c>
      <c r="D1420" t="s">
        <v>27</v>
      </c>
      <c r="E1420" t="s">
        <v>32</v>
      </c>
      <c r="F1420" t="s">
        <v>66</v>
      </c>
      <c r="G1420" t="s">
        <v>70</v>
      </c>
      <c r="H1420" t="s">
        <v>75</v>
      </c>
      <c r="I1420">
        <v>3</v>
      </c>
      <c r="J1420">
        <v>11210</v>
      </c>
      <c r="K1420">
        <v>0.1</v>
      </c>
      <c r="L1420">
        <v>30267</v>
      </c>
      <c r="M1420">
        <v>22989.81</v>
      </c>
      <c r="N1420">
        <v>7277.19</v>
      </c>
      <c r="O1420" t="s">
        <v>77</v>
      </c>
      <c r="P1420" t="s">
        <v>87</v>
      </c>
    </row>
    <row r="1421" spans="1:16" x14ac:dyDescent="0.25">
      <c r="A1421">
        <v>1420</v>
      </c>
      <c r="B1421" s="2">
        <v>45679</v>
      </c>
      <c r="C1421" t="s">
        <v>19</v>
      </c>
      <c r="D1421" t="s">
        <v>26</v>
      </c>
      <c r="E1421" t="s">
        <v>30</v>
      </c>
      <c r="F1421" t="s">
        <v>64</v>
      </c>
      <c r="G1421" t="s">
        <v>71</v>
      </c>
      <c r="H1421" t="s">
        <v>75</v>
      </c>
      <c r="I1421">
        <v>7</v>
      </c>
      <c r="J1421">
        <v>68086</v>
      </c>
      <c r="K1421">
        <v>0.1</v>
      </c>
      <c r="L1421">
        <v>428941.8</v>
      </c>
      <c r="M1421">
        <v>292525.37</v>
      </c>
      <c r="N1421">
        <v>136416.43</v>
      </c>
      <c r="O1421" t="s">
        <v>78</v>
      </c>
      <c r="P1421" t="s">
        <v>85</v>
      </c>
    </row>
    <row r="1422" spans="1:16" x14ac:dyDescent="0.25">
      <c r="A1422">
        <v>1421</v>
      </c>
      <c r="B1422" s="2">
        <v>45954</v>
      </c>
      <c r="C1422" t="s">
        <v>23</v>
      </c>
      <c r="D1422" t="s">
        <v>27</v>
      </c>
      <c r="E1422" t="s">
        <v>28</v>
      </c>
      <c r="F1422" t="s">
        <v>54</v>
      </c>
      <c r="G1422" t="s">
        <v>72</v>
      </c>
      <c r="H1422" t="s">
        <v>75</v>
      </c>
      <c r="I1422">
        <v>2</v>
      </c>
      <c r="J1422">
        <v>487</v>
      </c>
      <c r="K1422">
        <v>0</v>
      </c>
      <c r="L1422">
        <v>974</v>
      </c>
      <c r="M1422">
        <v>801.05</v>
      </c>
      <c r="N1422">
        <v>172.95</v>
      </c>
      <c r="O1422" t="s">
        <v>78</v>
      </c>
      <c r="P1422" t="s">
        <v>86</v>
      </c>
    </row>
    <row r="1423" spans="1:16" x14ac:dyDescent="0.25">
      <c r="A1423">
        <v>1422</v>
      </c>
      <c r="B1423" s="2">
        <v>45873</v>
      </c>
      <c r="C1423" t="s">
        <v>21</v>
      </c>
      <c r="D1423" t="s">
        <v>24</v>
      </c>
      <c r="E1423" t="s">
        <v>29</v>
      </c>
      <c r="F1423" t="s">
        <v>53</v>
      </c>
      <c r="G1423" t="s">
        <v>71</v>
      </c>
      <c r="H1423" t="s">
        <v>74</v>
      </c>
      <c r="I1423">
        <v>3</v>
      </c>
      <c r="J1423">
        <v>6628</v>
      </c>
      <c r="K1423">
        <v>0.05</v>
      </c>
      <c r="L1423">
        <v>18889.8</v>
      </c>
      <c r="M1423">
        <v>13472.76</v>
      </c>
      <c r="N1423">
        <v>5417.04</v>
      </c>
      <c r="O1423" t="s">
        <v>79</v>
      </c>
      <c r="P1423" t="s">
        <v>86</v>
      </c>
    </row>
    <row r="1424" spans="1:16" x14ac:dyDescent="0.25">
      <c r="A1424">
        <v>1423</v>
      </c>
      <c r="B1424" s="2">
        <v>45897</v>
      </c>
      <c r="C1424" t="s">
        <v>16</v>
      </c>
      <c r="D1424" t="s">
        <v>24</v>
      </c>
      <c r="E1424" t="s">
        <v>29</v>
      </c>
      <c r="F1424" t="s">
        <v>57</v>
      </c>
      <c r="G1424" t="s">
        <v>72</v>
      </c>
      <c r="H1424" t="s">
        <v>75</v>
      </c>
      <c r="I1424">
        <v>7</v>
      </c>
      <c r="J1424">
        <v>11143</v>
      </c>
      <c r="K1424">
        <v>0.2</v>
      </c>
      <c r="L1424">
        <v>62400.800000000003</v>
      </c>
      <c r="M1424">
        <v>42733.38</v>
      </c>
      <c r="N1424">
        <v>19667.419999999998</v>
      </c>
      <c r="O1424" t="s">
        <v>78</v>
      </c>
      <c r="P1424" t="s">
        <v>81</v>
      </c>
    </row>
    <row r="1425" spans="1:16" x14ac:dyDescent="0.25">
      <c r="A1425">
        <v>1424</v>
      </c>
      <c r="B1425" s="2">
        <v>45721</v>
      </c>
      <c r="C1425" t="s">
        <v>21</v>
      </c>
      <c r="D1425" t="s">
        <v>24</v>
      </c>
      <c r="E1425" t="s">
        <v>34</v>
      </c>
      <c r="F1425" t="s">
        <v>55</v>
      </c>
      <c r="G1425" t="s">
        <v>70</v>
      </c>
      <c r="H1425" t="s">
        <v>75</v>
      </c>
      <c r="I1425">
        <v>7</v>
      </c>
      <c r="J1425">
        <v>1636</v>
      </c>
      <c r="K1425">
        <v>0.05</v>
      </c>
      <c r="L1425">
        <v>10879.4</v>
      </c>
      <c r="M1425">
        <v>6300.16</v>
      </c>
      <c r="N1425">
        <v>4579.24</v>
      </c>
      <c r="O1425" t="s">
        <v>76</v>
      </c>
      <c r="P1425" t="s">
        <v>83</v>
      </c>
    </row>
    <row r="1426" spans="1:16" x14ac:dyDescent="0.25">
      <c r="A1426">
        <v>1425</v>
      </c>
      <c r="B1426" s="2">
        <v>45789</v>
      </c>
      <c r="C1426" t="s">
        <v>23</v>
      </c>
      <c r="D1426" t="s">
        <v>27</v>
      </c>
      <c r="E1426" t="s">
        <v>31</v>
      </c>
      <c r="F1426" t="s">
        <v>69</v>
      </c>
      <c r="G1426" t="s">
        <v>71</v>
      </c>
      <c r="H1426" t="s">
        <v>75</v>
      </c>
      <c r="I1426">
        <v>1</v>
      </c>
      <c r="J1426">
        <v>2256</v>
      </c>
      <c r="K1426">
        <v>0</v>
      </c>
      <c r="L1426">
        <v>2256</v>
      </c>
      <c r="M1426">
        <v>1793.63</v>
      </c>
      <c r="N1426">
        <v>462.37</v>
      </c>
      <c r="O1426" t="s">
        <v>77</v>
      </c>
      <c r="P1426" t="s">
        <v>86</v>
      </c>
    </row>
    <row r="1427" spans="1:16" x14ac:dyDescent="0.25">
      <c r="A1427">
        <v>1426</v>
      </c>
      <c r="B1427" s="2">
        <v>45893</v>
      </c>
      <c r="C1427" t="s">
        <v>23</v>
      </c>
      <c r="D1427" t="s">
        <v>27</v>
      </c>
      <c r="E1427" t="s">
        <v>30</v>
      </c>
      <c r="F1427" t="s">
        <v>44</v>
      </c>
      <c r="G1427" t="s">
        <v>71</v>
      </c>
      <c r="H1427" t="s">
        <v>73</v>
      </c>
      <c r="I1427">
        <v>5</v>
      </c>
      <c r="J1427">
        <v>69196</v>
      </c>
      <c r="K1427">
        <v>0.15</v>
      </c>
      <c r="L1427">
        <v>294083</v>
      </c>
      <c r="M1427">
        <v>247412.96</v>
      </c>
      <c r="N1427">
        <v>46670.04</v>
      </c>
      <c r="O1427" t="s">
        <v>76</v>
      </c>
      <c r="P1427" t="s">
        <v>82</v>
      </c>
    </row>
    <row r="1428" spans="1:16" x14ac:dyDescent="0.25">
      <c r="A1428">
        <v>1427</v>
      </c>
      <c r="B1428" s="2">
        <v>45963</v>
      </c>
      <c r="C1428" t="s">
        <v>19</v>
      </c>
      <c r="D1428" t="s">
        <v>26</v>
      </c>
      <c r="E1428" t="s">
        <v>31</v>
      </c>
      <c r="F1428" t="s">
        <v>67</v>
      </c>
      <c r="G1428" t="s">
        <v>72</v>
      </c>
      <c r="H1428" t="s">
        <v>75</v>
      </c>
      <c r="I1428">
        <v>8</v>
      </c>
      <c r="J1428">
        <v>1745</v>
      </c>
      <c r="K1428">
        <v>0.1</v>
      </c>
      <c r="L1428">
        <v>12564</v>
      </c>
      <c r="M1428">
        <v>8573.48</v>
      </c>
      <c r="N1428">
        <v>3990.52</v>
      </c>
      <c r="O1428" t="s">
        <v>76</v>
      </c>
      <c r="P1428" t="s">
        <v>81</v>
      </c>
    </row>
    <row r="1429" spans="1:16" x14ac:dyDescent="0.25">
      <c r="A1429">
        <v>1428</v>
      </c>
      <c r="B1429" s="2">
        <v>45715</v>
      </c>
      <c r="C1429" t="s">
        <v>21</v>
      </c>
      <c r="D1429" t="s">
        <v>24</v>
      </c>
      <c r="E1429" t="s">
        <v>31</v>
      </c>
      <c r="F1429" t="s">
        <v>67</v>
      </c>
      <c r="G1429" t="s">
        <v>72</v>
      </c>
      <c r="H1429" t="s">
        <v>75</v>
      </c>
      <c r="I1429">
        <v>1</v>
      </c>
      <c r="J1429">
        <v>1707</v>
      </c>
      <c r="K1429">
        <v>0.05</v>
      </c>
      <c r="L1429">
        <v>1621.65</v>
      </c>
      <c r="M1429">
        <v>984.13</v>
      </c>
      <c r="N1429">
        <v>637.52</v>
      </c>
      <c r="O1429" t="s">
        <v>76</v>
      </c>
      <c r="P1429" t="s">
        <v>84</v>
      </c>
    </row>
    <row r="1430" spans="1:16" x14ac:dyDescent="0.25">
      <c r="A1430">
        <v>1429</v>
      </c>
      <c r="B1430" s="2">
        <v>45853</v>
      </c>
      <c r="C1430" t="s">
        <v>23</v>
      </c>
      <c r="D1430" t="s">
        <v>27</v>
      </c>
      <c r="E1430" t="s">
        <v>33</v>
      </c>
      <c r="F1430" t="s">
        <v>41</v>
      </c>
      <c r="G1430" t="s">
        <v>70</v>
      </c>
      <c r="H1430" t="s">
        <v>74</v>
      </c>
      <c r="I1430">
        <v>1</v>
      </c>
      <c r="J1430">
        <v>48031</v>
      </c>
      <c r="K1430">
        <v>0.1</v>
      </c>
      <c r="L1430">
        <v>43227.9</v>
      </c>
      <c r="M1430">
        <v>35982.5</v>
      </c>
      <c r="N1430">
        <v>7245.4</v>
      </c>
      <c r="O1430" t="s">
        <v>79</v>
      </c>
      <c r="P1430" t="s">
        <v>87</v>
      </c>
    </row>
    <row r="1431" spans="1:16" x14ac:dyDescent="0.25">
      <c r="A1431">
        <v>1430</v>
      </c>
      <c r="B1431" s="2">
        <v>45725</v>
      </c>
      <c r="C1431" t="s">
        <v>22</v>
      </c>
      <c r="D1431" t="s">
        <v>24</v>
      </c>
      <c r="E1431" t="s">
        <v>30</v>
      </c>
      <c r="F1431" t="s">
        <v>44</v>
      </c>
      <c r="G1431" t="s">
        <v>71</v>
      </c>
      <c r="H1431" t="s">
        <v>73</v>
      </c>
      <c r="I1431">
        <v>1</v>
      </c>
      <c r="J1431">
        <v>26778</v>
      </c>
      <c r="K1431">
        <v>0.1</v>
      </c>
      <c r="L1431">
        <v>24100.2</v>
      </c>
      <c r="M1431">
        <v>20292.22</v>
      </c>
      <c r="N1431">
        <v>3807.98</v>
      </c>
      <c r="O1431" t="s">
        <v>78</v>
      </c>
      <c r="P1431" t="s">
        <v>86</v>
      </c>
    </row>
    <row r="1432" spans="1:16" x14ac:dyDescent="0.25">
      <c r="A1432">
        <v>1431</v>
      </c>
      <c r="B1432" s="2">
        <v>45941</v>
      </c>
      <c r="C1432" t="s">
        <v>19</v>
      </c>
      <c r="D1432" t="s">
        <v>26</v>
      </c>
      <c r="E1432" t="s">
        <v>28</v>
      </c>
      <c r="F1432" t="s">
        <v>54</v>
      </c>
      <c r="G1432" t="s">
        <v>70</v>
      </c>
      <c r="H1432" t="s">
        <v>74</v>
      </c>
      <c r="I1432">
        <v>8</v>
      </c>
      <c r="J1432">
        <v>2002</v>
      </c>
      <c r="K1432">
        <v>0.05</v>
      </c>
      <c r="L1432">
        <v>15215.2</v>
      </c>
      <c r="M1432">
        <v>11203.87</v>
      </c>
      <c r="N1432">
        <v>4011.33</v>
      </c>
      <c r="O1432" t="s">
        <v>79</v>
      </c>
      <c r="P1432" t="s">
        <v>88</v>
      </c>
    </row>
    <row r="1433" spans="1:16" x14ac:dyDescent="0.25">
      <c r="A1433">
        <v>1432</v>
      </c>
      <c r="B1433" s="2">
        <v>45862</v>
      </c>
      <c r="C1433" t="s">
        <v>19</v>
      </c>
      <c r="D1433" t="s">
        <v>26</v>
      </c>
      <c r="E1433" t="s">
        <v>28</v>
      </c>
      <c r="F1433" t="s">
        <v>58</v>
      </c>
      <c r="G1433" t="s">
        <v>70</v>
      </c>
      <c r="H1433" t="s">
        <v>73</v>
      </c>
      <c r="I1433">
        <v>8</v>
      </c>
      <c r="J1433">
        <v>1480</v>
      </c>
      <c r="K1433">
        <v>0.1</v>
      </c>
      <c r="L1433">
        <v>10656</v>
      </c>
      <c r="M1433">
        <v>8988.9</v>
      </c>
      <c r="N1433">
        <v>1667.1</v>
      </c>
      <c r="O1433" t="s">
        <v>76</v>
      </c>
      <c r="P1433" t="s">
        <v>83</v>
      </c>
    </row>
    <row r="1434" spans="1:16" x14ac:dyDescent="0.25">
      <c r="A1434">
        <v>1433</v>
      </c>
      <c r="B1434" s="2">
        <v>45694</v>
      </c>
      <c r="C1434" t="s">
        <v>20</v>
      </c>
      <c r="D1434" t="s">
        <v>26</v>
      </c>
      <c r="E1434" t="s">
        <v>32</v>
      </c>
      <c r="F1434" t="s">
        <v>49</v>
      </c>
      <c r="G1434" t="s">
        <v>72</v>
      </c>
      <c r="H1434" t="s">
        <v>75</v>
      </c>
      <c r="I1434">
        <v>4</v>
      </c>
      <c r="J1434">
        <v>15182</v>
      </c>
      <c r="K1434">
        <v>0.1</v>
      </c>
      <c r="L1434">
        <v>54655.199999999997</v>
      </c>
      <c r="M1434">
        <v>47459.22</v>
      </c>
      <c r="N1434">
        <v>7195.98</v>
      </c>
      <c r="O1434" t="s">
        <v>77</v>
      </c>
      <c r="P1434" t="s">
        <v>85</v>
      </c>
    </row>
    <row r="1435" spans="1:16" x14ac:dyDescent="0.25">
      <c r="A1435">
        <v>1434</v>
      </c>
      <c r="B1435" s="2">
        <v>45682</v>
      </c>
      <c r="C1435" t="s">
        <v>20</v>
      </c>
      <c r="D1435" t="s">
        <v>26</v>
      </c>
      <c r="E1435" t="s">
        <v>32</v>
      </c>
      <c r="F1435" t="s">
        <v>66</v>
      </c>
      <c r="G1435" t="s">
        <v>70</v>
      </c>
      <c r="H1435" t="s">
        <v>73</v>
      </c>
      <c r="I1435">
        <v>8</v>
      </c>
      <c r="J1435">
        <v>5906</v>
      </c>
      <c r="K1435">
        <v>0.1</v>
      </c>
      <c r="L1435">
        <v>42523.199999999997</v>
      </c>
      <c r="M1435">
        <v>26750.720000000001</v>
      </c>
      <c r="N1435">
        <v>15772.48</v>
      </c>
      <c r="O1435" t="s">
        <v>79</v>
      </c>
      <c r="P1435" t="s">
        <v>81</v>
      </c>
    </row>
    <row r="1436" spans="1:16" x14ac:dyDescent="0.25">
      <c r="A1436">
        <v>1435</v>
      </c>
      <c r="B1436" s="2">
        <v>45665</v>
      </c>
      <c r="C1436" t="s">
        <v>21</v>
      </c>
      <c r="D1436" t="s">
        <v>24</v>
      </c>
      <c r="E1436" t="s">
        <v>32</v>
      </c>
      <c r="F1436" t="s">
        <v>62</v>
      </c>
      <c r="G1436" t="s">
        <v>72</v>
      </c>
      <c r="H1436" t="s">
        <v>73</v>
      </c>
      <c r="I1436">
        <v>2</v>
      </c>
      <c r="J1436">
        <v>8268</v>
      </c>
      <c r="K1436">
        <v>0.05</v>
      </c>
      <c r="L1436">
        <v>15709.2</v>
      </c>
      <c r="M1436">
        <v>10359.85</v>
      </c>
      <c r="N1436">
        <v>5349.35</v>
      </c>
      <c r="O1436" t="s">
        <v>79</v>
      </c>
      <c r="P1436" t="s">
        <v>81</v>
      </c>
    </row>
    <row r="1437" spans="1:16" x14ac:dyDescent="0.25">
      <c r="A1437">
        <v>1436</v>
      </c>
      <c r="B1437" s="2">
        <v>45959</v>
      </c>
      <c r="C1437" t="s">
        <v>23</v>
      </c>
      <c r="D1437" t="s">
        <v>27</v>
      </c>
      <c r="E1437" t="s">
        <v>28</v>
      </c>
      <c r="F1437" t="s">
        <v>58</v>
      </c>
      <c r="G1437" t="s">
        <v>70</v>
      </c>
      <c r="H1437" t="s">
        <v>74</v>
      </c>
      <c r="I1437">
        <v>1</v>
      </c>
      <c r="J1437">
        <v>1832</v>
      </c>
      <c r="K1437">
        <v>0.1</v>
      </c>
      <c r="L1437">
        <v>1648.8</v>
      </c>
      <c r="M1437">
        <v>1366.74</v>
      </c>
      <c r="N1437">
        <v>282.06</v>
      </c>
      <c r="O1437" t="s">
        <v>76</v>
      </c>
      <c r="P1437" t="s">
        <v>82</v>
      </c>
    </row>
    <row r="1438" spans="1:16" x14ac:dyDescent="0.25">
      <c r="A1438">
        <v>1437</v>
      </c>
      <c r="B1438" s="2">
        <v>46012</v>
      </c>
      <c r="C1438" t="s">
        <v>20</v>
      </c>
      <c r="D1438" t="s">
        <v>26</v>
      </c>
      <c r="E1438" t="s">
        <v>28</v>
      </c>
      <c r="F1438" t="s">
        <v>54</v>
      </c>
      <c r="G1438" t="s">
        <v>70</v>
      </c>
      <c r="H1438" t="s">
        <v>75</v>
      </c>
      <c r="I1438">
        <v>3</v>
      </c>
      <c r="J1438">
        <v>1692</v>
      </c>
      <c r="K1438">
        <v>0.05</v>
      </c>
      <c r="L1438">
        <v>4822.2</v>
      </c>
      <c r="M1438">
        <v>4124.43</v>
      </c>
      <c r="N1438">
        <v>697.77</v>
      </c>
      <c r="O1438" t="s">
        <v>80</v>
      </c>
      <c r="P1438" t="s">
        <v>86</v>
      </c>
    </row>
    <row r="1439" spans="1:16" x14ac:dyDescent="0.25">
      <c r="A1439">
        <v>1438</v>
      </c>
      <c r="B1439" s="2">
        <v>45815</v>
      </c>
      <c r="C1439" t="s">
        <v>18</v>
      </c>
      <c r="D1439" t="s">
        <v>26</v>
      </c>
      <c r="E1439" t="s">
        <v>28</v>
      </c>
      <c r="F1439" t="s">
        <v>35</v>
      </c>
      <c r="G1439" t="s">
        <v>70</v>
      </c>
      <c r="H1439" t="s">
        <v>73</v>
      </c>
      <c r="I1439">
        <v>6</v>
      </c>
      <c r="J1439">
        <v>151</v>
      </c>
      <c r="K1439">
        <v>0.1</v>
      </c>
      <c r="L1439">
        <v>815.4</v>
      </c>
      <c r="M1439">
        <v>448.56</v>
      </c>
      <c r="N1439">
        <v>366.84</v>
      </c>
      <c r="O1439" t="s">
        <v>76</v>
      </c>
      <c r="P1439" t="s">
        <v>81</v>
      </c>
    </row>
    <row r="1440" spans="1:16" x14ac:dyDescent="0.25">
      <c r="A1440">
        <v>1439</v>
      </c>
      <c r="B1440" s="2">
        <v>45776</v>
      </c>
      <c r="C1440" t="s">
        <v>23</v>
      </c>
      <c r="D1440" t="s">
        <v>27</v>
      </c>
      <c r="E1440" t="s">
        <v>31</v>
      </c>
      <c r="F1440" t="s">
        <v>47</v>
      </c>
      <c r="G1440" t="s">
        <v>70</v>
      </c>
      <c r="H1440" t="s">
        <v>74</v>
      </c>
      <c r="I1440">
        <v>3</v>
      </c>
      <c r="J1440">
        <v>1392</v>
      </c>
      <c r="K1440">
        <v>0.1</v>
      </c>
      <c r="L1440">
        <v>3758.4</v>
      </c>
      <c r="M1440">
        <v>2486.33</v>
      </c>
      <c r="N1440">
        <v>1272.07</v>
      </c>
      <c r="O1440" t="s">
        <v>78</v>
      </c>
      <c r="P1440" t="s">
        <v>85</v>
      </c>
    </row>
    <row r="1441" spans="1:16" x14ac:dyDescent="0.25">
      <c r="A1441">
        <v>1440</v>
      </c>
      <c r="B1441" s="2">
        <v>45683</v>
      </c>
      <c r="C1441" t="s">
        <v>17</v>
      </c>
      <c r="D1441" t="s">
        <v>25</v>
      </c>
      <c r="E1441" t="s">
        <v>30</v>
      </c>
      <c r="F1441" t="s">
        <v>37</v>
      </c>
      <c r="G1441" t="s">
        <v>71</v>
      </c>
      <c r="H1441" t="s">
        <v>73</v>
      </c>
      <c r="I1441">
        <v>2</v>
      </c>
      <c r="J1441">
        <v>65866</v>
      </c>
      <c r="K1441">
        <v>0.15</v>
      </c>
      <c r="L1441">
        <v>111972.2</v>
      </c>
      <c r="M1441">
        <v>69131.58</v>
      </c>
      <c r="N1441">
        <v>42840.62</v>
      </c>
      <c r="O1441" t="s">
        <v>80</v>
      </c>
      <c r="P1441" t="s">
        <v>87</v>
      </c>
    </row>
    <row r="1442" spans="1:16" x14ac:dyDescent="0.25">
      <c r="A1442">
        <v>1441</v>
      </c>
      <c r="B1442" s="2">
        <v>45677</v>
      </c>
      <c r="C1442" t="s">
        <v>20</v>
      </c>
      <c r="D1442" t="s">
        <v>26</v>
      </c>
      <c r="E1442" t="s">
        <v>32</v>
      </c>
      <c r="F1442" t="s">
        <v>39</v>
      </c>
      <c r="G1442" t="s">
        <v>72</v>
      </c>
      <c r="H1442" t="s">
        <v>75</v>
      </c>
      <c r="I1442">
        <v>2</v>
      </c>
      <c r="J1442">
        <v>12056</v>
      </c>
      <c r="K1442">
        <v>0</v>
      </c>
      <c r="L1442">
        <v>24112</v>
      </c>
      <c r="M1442">
        <v>20324.66</v>
      </c>
      <c r="N1442">
        <v>3787.34</v>
      </c>
      <c r="O1442" t="s">
        <v>80</v>
      </c>
      <c r="P1442" t="s">
        <v>87</v>
      </c>
    </row>
    <row r="1443" spans="1:16" x14ac:dyDescent="0.25">
      <c r="A1443">
        <v>1442</v>
      </c>
      <c r="B1443" s="2">
        <v>45768</v>
      </c>
      <c r="C1443" t="s">
        <v>23</v>
      </c>
      <c r="D1443" t="s">
        <v>27</v>
      </c>
      <c r="E1443" t="s">
        <v>34</v>
      </c>
      <c r="F1443" t="s">
        <v>55</v>
      </c>
      <c r="G1443" t="s">
        <v>70</v>
      </c>
      <c r="H1443" t="s">
        <v>75</v>
      </c>
      <c r="I1443">
        <v>2</v>
      </c>
      <c r="J1443">
        <v>3582</v>
      </c>
      <c r="K1443">
        <v>0.05</v>
      </c>
      <c r="L1443">
        <v>6805.8</v>
      </c>
      <c r="M1443">
        <v>5374.27</v>
      </c>
      <c r="N1443">
        <v>1431.53</v>
      </c>
      <c r="O1443" t="s">
        <v>80</v>
      </c>
      <c r="P1443" t="s">
        <v>88</v>
      </c>
    </row>
    <row r="1444" spans="1:16" x14ac:dyDescent="0.25">
      <c r="A1444">
        <v>1443</v>
      </c>
      <c r="B1444" s="2">
        <v>45713</v>
      </c>
      <c r="C1444" t="s">
        <v>21</v>
      </c>
      <c r="D1444" t="s">
        <v>24</v>
      </c>
      <c r="E1444" t="s">
        <v>34</v>
      </c>
      <c r="F1444" t="s">
        <v>51</v>
      </c>
      <c r="G1444" t="s">
        <v>72</v>
      </c>
      <c r="H1444" t="s">
        <v>73</v>
      </c>
      <c r="I1444">
        <v>5</v>
      </c>
      <c r="J1444">
        <v>484</v>
      </c>
      <c r="K1444">
        <v>0</v>
      </c>
      <c r="L1444">
        <v>2420</v>
      </c>
      <c r="M1444">
        <v>1393.6</v>
      </c>
      <c r="N1444">
        <v>1026.4000000000001</v>
      </c>
      <c r="O1444" t="s">
        <v>79</v>
      </c>
      <c r="P1444" t="s">
        <v>88</v>
      </c>
    </row>
    <row r="1445" spans="1:16" x14ac:dyDescent="0.25">
      <c r="A1445">
        <v>1444</v>
      </c>
      <c r="B1445" s="2">
        <v>45659</v>
      </c>
      <c r="C1445" t="s">
        <v>18</v>
      </c>
      <c r="D1445" t="s">
        <v>26</v>
      </c>
      <c r="E1445" t="s">
        <v>34</v>
      </c>
      <c r="F1445" t="s">
        <v>68</v>
      </c>
      <c r="G1445" t="s">
        <v>72</v>
      </c>
      <c r="H1445" t="s">
        <v>74</v>
      </c>
      <c r="I1445">
        <v>4</v>
      </c>
      <c r="J1445">
        <v>4811</v>
      </c>
      <c r="K1445">
        <v>0.05</v>
      </c>
      <c r="L1445">
        <v>18281.8</v>
      </c>
      <c r="M1445">
        <v>11164.75</v>
      </c>
      <c r="N1445">
        <v>7117.05</v>
      </c>
      <c r="O1445" t="s">
        <v>80</v>
      </c>
      <c r="P1445" t="s">
        <v>85</v>
      </c>
    </row>
    <row r="1446" spans="1:16" x14ac:dyDescent="0.25">
      <c r="A1446">
        <v>1445</v>
      </c>
      <c r="B1446" s="2">
        <v>45887</v>
      </c>
      <c r="C1446" t="s">
        <v>20</v>
      </c>
      <c r="D1446" t="s">
        <v>26</v>
      </c>
      <c r="E1446" t="s">
        <v>33</v>
      </c>
      <c r="F1446" t="s">
        <v>59</v>
      </c>
      <c r="G1446" t="s">
        <v>72</v>
      </c>
      <c r="H1446" t="s">
        <v>74</v>
      </c>
      <c r="I1446">
        <v>3</v>
      </c>
      <c r="J1446">
        <v>10780</v>
      </c>
      <c r="K1446">
        <v>0.15</v>
      </c>
      <c r="L1446">
        <v>27489</v>
      </c>
      <c r="M1446">
        <v>17991.61</v>
      </c>
      <c r="N1446">
        <v>9497.39</v>
      </c>
      <c r="O1446" t="s">
        <v>76</v>
      </c>
      <c r="P1446" t="s">
        <v>81</v>
      </c>
    </row>
    <row r="1447" spans="1:16" x14ac:dyDescent="0.25">
      <c r="A1447">
        <v>1446</v>
      </c>
      <c r="B1447" s="2">
        <v>45904</v>
      </c>
      <c r="C1447" t="s">
        <v>23</v>
      </c>
      <c r="D1447" t="s">
        <v>27</v>
      </c>
      <c r="E1447" t="s">
        <v>29</v>
      </c>
      <c r="F1447" t="s">
        <v>57</v>
      </c>
      <c r="G1447" t="s">
        <v>70</v>
      </c>
      <c r="H1447" t="s">
        <v>75</v>
      </c>
      <c r="I1447">
        <v>3</v>
      </c>
      <c r="J1447">
        <v>6464</v>
      </c>
      <c r="K1447">
        <v>0.1</v>
      </c>
      <c r="L1447">
        <v>17452.8</v>
      </c>
      <c r="M1447">
        <v>13542.35</v>
      </c>
      <c r="N1447">
        <v>3910.45</v>
      </c>
      <c r="O1447" t="s">
        <v>78</v>
      </c>
      <c r="P1447" t="s">
        <v>88</v>
      </c>
    </row>
    <row r="1448" spans="1:16" x14ac:dyDescent="0.25">
      <c r="A1448">
        <v>1447</v>
      </c>
      <c r="B1448" s="2">
        <v>45705</v>
      </c>
      <c r="C1448" t="s">
        <v>16</v>
      </c>
      <c r="D1448" t="s">
        <v>24</v>
      </c>
      <c r="E1448" t="s">
        <v>34</v>
      </c>
      <c r="F1448" t="s">
        <v>43</v>
      </c>
      <c r="G1448" t="s">
        <v>72</v>
      </c>
      <c r="H1448" t="s">
        <v>73</v>
      </c>
      <c r="I1448">
        <v>7</v>
      </c>
      <c r="J1448">
        <v>910</v>
      </c>
      <c r="K1448">
        <v>0</v>
      </c>
      <c r="L1448">
        <v>6370</v>
      </c>
      <c r="M1448">
        <v>4698.0600000000004</v>
      </c>
      <c r="N1448">
        <v>1671.94</v>
      </c>
      <c r="O1448" t="s">
        <v>78</v>
      </c>
      <c r="P1448" t="s">
        <v>84</v>
      </c>
    </row>
    <row r="1449" spans="1:16" x14ac:dyDescent="0.25">
      <c r="A1449">
        <v>1448</v>
      </c>
      <c r="B1449" s="2">
        <v>45983</v>
      </c>
      <c r="C1449" t="s">
        <v>22</v>
      </c>
      <c r="D1449" t="s">
        <v>24</v>
      </c>
      <c r="E1449" t="s">
        <v>29</v>
      </c>
      <c r="F1449" t="s">
        <v>45</v>
      </c>
      <c r="G1449" t="s">
        <v>71</v>
      </c>
      <c r="H1449" t="s">
        <v>73</v>
      </c>
      <c r="I1449">
        <v>6</v>
      </c>
      <c r="J1449">
        <v>7107</v>
      </c>
      <c r="K1449">
        <v>0.05</v>
      </c>
      <c r="L1449">
        <v>40509.9</v>
      </c>
      <c r="M1449">
        <v>30521.43</v>
      </c>
      <c r="N1449">
        <v>9988.4699999999993</v>
      </c>
      <c r="O1449" t="s">
        <v>78</v>
      </c>
      <c r="P1449" t="s">
        <v>87</v>
      </c>
    </row>
    <row r="1450" spans="1:16" x14ac:dyDescent="0.25">
      <c r="A1450">
        <v>1449</v>
      </c>
      <c r="B1450" s="2">
        <v>45756</v>
      </c>
      <c r="C1450" t="s">
        <v>17</v>
      </c>
      <c r="D1450" t="s">
        <v>25</v>
      </c>
      <c r="E1450" t="s">
        <v>33</v>
      </c>
      <c r="F1450" t="s">
        <v>46</v>
      </c>
      <c r="G1450" t="s">
        <v>70</v>
      </c>
      <c r="H1450" t="s">
        <v>74</v>
      </c>
      <c r="I1450">
        <v>5</v>
      </c>
      <c r="J1450">
        <v>22841</v>
      </c>
      <c r="K1450">
        <v>0.05</v>
      </c>
      <c r="L1450">
        <v>108494.75</v>
      </c>
      <c r="M1450">
        <v>94862.44</v>
      </c>
      <c r="N1450">
        <v>13632.31</v>
      </c>
      <c r="O1450" t="s">
        <v>78</v>
      </c>
      <c r="P1450" t="s">
        <v>87</v>
      </c>
    </row>
    <row r="1451" spans="1:16" x14ac:dyDescent="0.25">
      <c r="A1451">
        <v>1450</v>
      </c>
      <c r="B1451" s="2">
        <v>45713</v>
      </c>
      <c r="C1451" t="s">
        <v>23</v>
      </c>
      <c r="D1451" t="s">
        <v>27</v>
      </c>
      <c r="E1451" t="s">
        <v>32</v>
      </c>
      <c r="F1451" t="s">
        <v>66</v>
      </c>
      <c r="G1451" t="s">
        <v>71</v>
      </c>
      <c r="H1451" t="s">
        <v>73</v>
      </c>
      <c r="I1451">
        <v>6</v>
      </c>
      <c r="J1451">
        <v>16851</v>
      </c>
      <c r="K1451">
        <v>0.15</v>
      </c>
      <c r="L1451">
        <v>85940.1</v>
      </c>
      <c r="M1451">
        <v>64283.32</v>
      </c>
      <c r="N1451">
        <v>21656.78</v>
      </c>
      <c r="O1451" t="s">
        <v>80</v>
      </c>
      <c r="P1451" t="s">
        <v>84</v>
      </c>
    </row>
    <row r="1452" spans="1:16" x14ac:dyDescent="0.25">
      <c r="A1452">
        <v>1451</v>
      </c>
      <c r="B1452" s="2">
        <v>45733</v>
      </c>
      <c r="C1452" t="s">
        <v>23</v>
      </c>
      <c r="D1452" t="s">
        <v>27</v>
      </c>
      <c r="E1452" t="s">
        <v>28</v>
      </c>
      <c r="F1452" t="s">
        <v>63</v>
      </c>
      <c r="G1452" t="s">
        <v>71</v>
      </c>
      <c r="H1452" t="s">
        <v>73</v>
      </c>
      <c r="I1452">
        <v>4</v>
      </c>
      <c r="J1452">
        <v>2150</v>
      </c>
      <c r="K1452">
        <v>0.1</v>
      </c>
      <c r="L1452">
        <v>7740</v>
      </c>
      <c r="M1452">
        <v>5447.15</v>
      </c>
      <c r="N1452">
        <v>2292.85</v>
      </c>
      <c r="O1452" t="s">
        <v>77</v>
      </c>
      <c r="P1452" t="s">
        <v>87</v>
      </c>
    </row>
    <row r="1453" spans="1:16" x14ac:dyDescent="0.25">
      <c r="A1453">
        <v>1452</v>
      </c>
      <c r="B1453" s="2">
        <v>45966</v>
      </c>
      <c r="C1453" t="s">
        <v>22</v>
      </c>
      <c r="D1453" t="s">
        <v>24</v>
      </c>
      <c r="E1453" t="s">
        <v>30</v>
      </c>
      <c r="F1453" t="s">
        <v>37</v>
      </c>
      <c r="G1453" t="s">
        <v>70</v>
      </c>
      <c r="H1453" t="s">
        <v>74</v>
      </c>
      <c r="I1453">
        <v>8</v>
      </c>
      <c r="J1453">
        <v>49243</v>
      </c>
      <c r="K1453">
        <v>0.05</v>
      </c>
      <c r="L1453">
        <v>374246.8</v>
      </c>
      <c r="M1453">
        <v>254358.51</v>
      </c>
      <c r="N1453">
        <v>119888.29</v>
      </c>
      <c r="O1453" t="s">
        <v>79</v>
      </c>
      <c r="P1453" t="s">
        <v>82</v>
      </c>
    </row>
    <row r="1454" spans="1:16" x14ac:dyDescent="0.25">
      <c r="A1454">
        <v>1453</v>
      </c>
      <c r="B1454" s="2">
        <v>45710</v>
      </c>
      <c r="C1454" t="s">
        <v>19</v>
      </c>
      <c r="D1454" t="s">
        <v>26</v>
      </c>
      <c r="E1454" t="s">
        <v>30</v>
      </c>
      <c r="F1454" t="s">
        <v>44</v>
      </c>
      <c r="G1454" t="s">
        <v>70</v>
      </c>
      <c r="H1454" t="s">
        <v>74</v>
      </c>
      <c r="I1454">
        <v>5</v>
      </c>
      <c r="J1454">
        <v>41994</v>
      </c>
      <c r="K1454">
        <v>0</v>
      </c>
      <c r="L1454">
        <v>209970</v>
      </c>
      <c r="M1454">
        <v>174231.89</v>
      </c>
      <c r="N1454">
        <v>35738.11</v>
      </c>
      <c r="O1454" t="s">
        <v>76</v>
      </c>
      <c r="P1454" t="s">
        <v>82</v>
      </c>
    </row>
    <row r="1455" spans="1:16" x14ac:dyDescent="0.25">
      <c r="A1455">
        <v>1454</v>
      </c>
      <c r="B1455" s="2">
        <v>45754</v>
      </c>
      <c r="C1455" t="s">
        <v>23</v>
      </c>
      <c r="D1455" t="s">
        <v>27</v>
      </c>
      <c r="E1455" t="s">
        <v>29</v>
      </c>
      <c r="F1455" t="s">
        <v>45</v>
      </c>
      <c r="G1455" t="s">
        <v>71</v>
      </c>
      <c r="H1455" t="s">
        <v>74</v>
      </c>
      <c r="I1455">
        <v>8</v>
      </c>
      <c r="J1455">
        <v>4813</v>
      </c>
      <c r="K1455">
        <v>0.05</v>
      </c>
      <c r="L1455">
        <v>36578.800000000003</v>
      </c>
      <c r="M1455">
        <v>28746.32</v>
      </c>
      <c r="N1455">
        <v>7832.48</v>
      </c>
      <c r="O1455" t="s">
        <v>76</v>
      </c>
      <c r="P1455" t="s">
        <v>85</v>
      </c>
    </row>
    <row r="1456" spans="1:16" x14ac:dyDescent="0.25">
      <c r="A1456">
        <v>1455</v>
      </c>
      <c r="B1456" s="2">
        <v>45860</v>
      </c>
      <c r="C1456" t="s">
        <v>23</v>
      </c>
      <c r="D1456" t="s">
        <v>27</v>
      </c>
      <c r="E1456" t="s">
        <v>28</v>
      </c>
      <c r="F1456" t="s">
        <v>58</v>
      </c>
      <c r="G1456" t="s">
        <v>70</v>
      </c>
      <c r="H1456" t="s">
        <v>75</v>
      </c>
      <c r="I1456">
        <v>5</v>
      </c>
      <c r="J1456">
        <v>1774</v>
      </c>
      <c r="K1456">
        <v>0.1</v>
      </c>
      <c r="L1456">
        <v>7983</v>
      </c>
      <c r="M1456">
        <v>5416.82</v>
      </c>
      <c r="N1456">
        <v>2566.1799999999998</v>
      </c>
      <c r="O1456" t="s">
        <v>76</v>
      </c>
      <c r="P1456" t="s">
        <v>85</v>
      </c>
    </row>
    <row r="1457" spans="1:16" x14ac:dyDescent="0.25">
      <c r="A1457">
        <v>1456</v>
      </c>
      <c r="B1457" s="2">
        <v>45706</v>
      </c>
      <c r="C1457" t="s">
        <v>23</v>
      </c>
      <c r="D1457" t="s">
        <v>27</v>
      </c>
      <c r="E1457" t="s">
        <v>29</v>
      </c>
      <c r="F1457" t="s">
        <v>42</v>
      </c>
      <c r="G1457" t="s">
        <v>71</v>
      </c>
      <c r="H1457" t="s">
        <v>75</v>
      </c>
      <c r="I1457">
        <v>1</v>
      </c>
      <c r="J1457">
        <v>6729</v>
      </c>
      <c r="K1457">
        <v>0.1</v>
      </c>
      <c r="L1457">
        <v>6056.1</v>
      </c>
      <c r="M1457">
        <v>4821.09</v>
      </c>
      <c r="N1457">
        <v>1235.01</v>
      </c>
      <c r="O1457" t="s">
        <v>77</v>
      </c>
      <c r="P1457" t="s">
        <v>84</v>
      </c>
    </row>
    <row r="1458" spans="1:16" x14ac:dyDescent="0.25">
      <c r="A1458">
        <v>1457</v>
      </c>
      <c r="B1458" s="2">
        <v>45822</v>
      </c>
      <c r="C1458" t="s">
        <v>23</v>
      </c>
      <c r="D1458" t="s">
        <v>27</v>
      </c>
      <c r="E1458" t="s">
        <v>31</v>
      </c>
      <c r="F1458" t="s">
        <v>67</v>
      </c>
      <c r="G1458" t="s">
        <v>70</v>
      </c>
      <c r="H1458" t="s">
        <v>74</v>
      </c>
      <c r="I1458">
        <v>1</v>
      </c>
      <c r="J1458">
        <v>2264</v>
      </c>
      <c r="K1458">
        <v>0.1</v>
      </c>
      <c r="L1458">
        <v>2037.6</v>
      </c>
      <c r="M1458">
        <v>1140.72</v>
      </c>
      <c r="N1458">
        <v>896.88</v>
      </c>
      <c r="O1458" t="s">
        <v>76</v>
      </c>
      <c r="P1458" t="s">
        <v>81</v>
      </c>
    </row>
    <row r="1459" spans="1:16" x14ac:dyDescent="0.25">
      <c r="A1459">
        <v>1458</v>
      </c>
      <c r="B1459" s="2">
        <v>45880</v>
      </c>
      <c r="C1459" t="s">
        <v>19</v>
      </c>
      <c r="D1459" t="s">
        <v>26</v>
      </c>
      <c r="E1459" t="s">
        <v>33</v>
      </c>
      <c r="F1459" t="s">
        <v>59</v>
      </c>
      <c r="G1459" t="s">
        <v>71</v>
      </c>
      <c r="H1459" t="s">
        <v>74</v>
      </c>
      <c r="I1459">
        <v>7</v>
      </c>
      <c r="J1459">
        <v>15049</v>
      </c>
      <c r="K1459">
        <v>0.05</v>
      </c>
      <c r="L1459">
        <v>100075.85</v>
      </c>
      <c r="M1459">
        <v>86033.13</v>
      </c>
      <c r="N1459">
        <v>14042.72</v>
      </c>
      <c r="O1459" t="s">
        <v>80</v>
      </c>
      <c r="P1459" t="s">
        <v>87</v>
      </c>
    </row>
    <row r="1460" spans="1:16" x14ac:dyDescent="0.25">
      <c r="A1460">
        <v>1459</v>
      </c>
      <c r="B1460" s="2">
        <v>45965</v>
      </c>
      <c r="C1460" t="s">
        <v>22</v>
      </c>
      <c r="D1460" t="s">
        <v>24</v>
      </c>
      <c r="E1460" t="s">
        <v>32</v>
      </c>
      <c r="F1460" t="s">
        <v>62</v>
      </c>
      <c r="G1460" t="s">
        <v>70</v>
      </c>
      <c r="H1460" t="s">
        <v>75</v>
      </c>
      <c r="I1460">
        <v>6</v>
      </c>
      <c r="J1460">
        <v>5747</v>
      </c>
      <c r="K1460">
        <v>0</v>
      </c>
      <c r="L1460">
        <v>34482</v>
      </c>
      <c r="M1460">
        <v>19519.48</v>
      </c>
      <c r="N1460">
        <v>14962.52</v>
      </c>
      <c r="O1460" t="s">
        <v>77</v>
      </c>
      <c r="P1460" t="s">
        <v>85</v>
      </c>
    </row>
    <row r="1461" spans="1:16" x14ac:dyDescent="0.25">
      <c r="A1461">
        <v>1460</v>
      </c>
      <c r="B1461" s="2">
        <v>45920</v>
      </c>
      <c r="C1461" t="s">
        <v>17</v>
      </c>
      <c r="D1461" t="s">
        <v>25</v>
      </c>
      <c r="E1461" t="s">
        <v>33</v>
      </c>
      <c r="F1461" t="s">
        <v>59</v>
      </c>
      <c r="G1461" t="s">
        <v>71</v>
      </c>
      <c r="H1461" t="s">
        <v>73</v>
      </c>
      <c r="I1461">
        <v>2</v>
      </c>
      <c r="J1461">
        <v>38995</v>
      </c>
      <c r="K1461">
        <v>0.15</v>
      </c>
      <c r="L1461">
        <v>66291.5</v>
      </c>
      <c r="M1461">
        <v>44270.79</v>
      </c>
      <c r="N1461">
        <v>22020.71</v>
      </c>
      <c r="O1461" t="s">
        <v>78</v>
      </c>
      <c r="P1461" t="s">
        <v>85</v>
      </c>
    </row>
    <row r="1462" spans="1:16" x14ac:dyDescent="0.25">
      <c r="A1462">
        <v>1461</v>
      </c>
      <c r="B1462" s="2">
        <v>45910</v>
      </c>
      <c r="C1462" t="s">
        <v>20</v>
      </c>
      <c r="D1462" t="s">
        <v>26</v>
      </c>
      <c r="E1462" t="s">
        <v>28</v>
      </c>
      <c r="F1462" t="s">
        <v>35</v>
      </c>
      <c r="G1462" t="s">
        <v>72</v>
      </c>
      <c r="H1462" t="s">
        <v>74</v>
      </c>
      <c r="I1462">
        <v>3</v>
      </c>
      <c r="J1462">
        <v>2371</v>
      </c>
      <c r="K1462">
        <v>0.1</v>
      </c>
      <c r="L1462">
        <v>6401.7</v>
      </c>
      <c r="M1462">
        <v>4386.55</v>
      </c>
      <c r="N1462">
        <v>2015.15</v>
      </c>
      <c r="O1462" t="s">
        <v>76</v>
      </c>
      <c r="P1462" t="s">
        <v>88</v>
      </c>
    </row>
    <row r="1463" spans="1:16" x14ac:dyDescent="0.25">
      <c r="A1463">
        <v>1462</v>
      </c>
      <c r="B1463" s="2">
        <v>45708</v>
      </c>
      <c r="C1463" t="s">
        <v>22</v>
      </c>
      <c r="D1463" t="s">
        <v>24</v>
      </c>
      <c r="E1463" t="s">
        <v>32</v>
      </c>
      <c r="F1463" t="s">
        <v>48</v>
      </c>
      <c r="G1463" t="s">
        <v>72</v>
      </c>
      <c r="H1463" t="s">
        <v>75</v>
      </c>
      <c r="I1463">
        <v>5</v>
      </c>
      <c r="J1463">
        <v>11427</v>
      </c>
      <c r="K1463">
        <v>0</v>
      </c>
      <c r="L1463">
        <v>57135</v>
      </c>
      <c r="M1463">
        <v>35402.81</v>
      </c>
      <c r="N1463">
        <v>21732.19</v>
      </c>
      <c r="O1463" t="s">
        <v>78</v>
      </c>
      <c r="P1463" t="s">
        <v>88</v>
      </c>
    </row>
    <row r="1464" spans="1:16" x14ac:dyDescent="0.25">
      <c r="A1464">
        <v>1463</v>
      </c>
      <c r="B1464" s="2">
        <v>45988</v>
      </c>
      <c r="C1464" t="s">
        <v>22</v>
      </c>
      <c r="D1464" t="s">
        <v>24</v>
      </c>
      <c r="E1464" t="s">
        <v>28</v>
      </c>
      <c r="F1464" t="s">
        <v>35</v>
      </c>
      <c r="G1464" t="s">
        <v>70</v>
      </c>
      <c r="H1464" t="s">
        <v>75</v>
      </c>
      <c r="I1464">
        <v>2</v>
      </c>
      <c r="J1464">
        <v>1569</v>
      </c>
      <c r="K1464">
        <v>0.1</v>
      </c>
      <c r="L1464">
        <v>2824.2</v>
      </c>
      <c r="M1464">
        <v>2089.91</v>
      </c>
      <c r="N1464">
        <v>734.29</v>
      </c>
      <c r="O1464" t="s">
        <v>76</v>
      </c>
      <c r="P1464" t="s">
        <v>85</v>
      </c>
    </row>
    <row r="1465" spans="1:16" x14ac:dyDescent="0.25">
      <c r="A1465">
        <v>1464</v>
      </c>
      <c r="B1465" s="2">
        <v>45927</v>
      </c>
      <c r="C1465" t="s">
        <v>20</v>
      </c>
      <c r="D1465" t="s">
        <v>26</v>
      </c>
      <c r="E1465" t="s">
        <v>32</v>
      </c>
      <c r="F1465" t="s">
        <v>62</v>
      </c>
      <c r="G1465" t="s">
        <v>71</v>
      </c>
      <c r="H1465" t="s">
        <v>75</v>
      </c>
      <c r="I1465">
        <v>6</v>
      </c>
      <c r="J1465">
        <v>7638</v>
      </c>
      <c r="K1465">
        <v>0</v>
      </c>
      <c r="L1465">
        <v>45828</v>
      </c>
      <c r="M1465">
        <v>27178.41</v>
      </c>
      <c r="N1465">
        <v>18649.59</v>
      </c>
      <c r="O1465" t="s">
        <v>78</v>
      </c>
      <c r="P1465" t="s">
        <v>81</v>
      </c>
    </row>
    <row r="1466" spans="1:16" x14ac:dyDescent="0.25">
      <c r="A1466">
        <v>1465</v>
      </c>
      <c r="B1466" s="2">
        <v>45712</v>
      </c>
      <c r="C1466" t="s">
        <v>23</v>
      </c>
      <c r="D1466" t="s">
        <v>27</v>
      </c>
      <c r="E1466" t="s">
        <v>31</v>
      </c>
      <c r="F1466" t="s">
        <v>69</v>
      </c>
      <c r="G1466" t="s">
        <v>71</v>
      </c>
      <c r="H1466" t="s">
        <v>74</v>
      </c>
      <c r="I1466">
        <v>8</v>
      </c>
      <c r="J1466">
        <v>1534</v>
      </c>
      <c r="K1466">
        <v>0.05</v>
      </c>
      <c r="L1466">
        <v>11658.4</v>
      </c>
      <c r="M1466">
        <v>6741.64</v>
      </c>
      <c r="N1466">
        <v>4916.76</v>
      </c>
      <c r="O1466" t="s">
        <v>78</v>
      </c>
      <c r="P1466" t="s">
        <v>82</v>
      </c>
    </row>
    <row r="1467" spans="1:16" x14ac:dyDescent="0.25">
      <c r="A1467">
        <v>1466</v>
      </c>
      <c r="B1467" s="2">
        <v>45853</v>
      </c>
      <c r="C1467" t="s">
        <v>20</v>
      </c>
      <c r="D1467" t="s">
        <v>26</v>
      </c>
      <c r="E1467" t="s">
        <v>30</v>
      </c>
      <c r="F1467" t="s">
        <v>56</v>
      </c>
      <c r="G1467" t="s">
        <v>71</v>
      </c>
      <c r="H1467" t="s">
        <v>75</v>
      </c>
      <c r="I1467">
        <v>2</v>
      </c>
      <c r="J1467">
        <v>53350</v>
      </c>
      <c r="K1467">
        <v>0.05</v>
      </c>
      <c r="L1467">
        <v>101365</v>
      </c>
      <c r="M1467">
        <v>83202.2</v>
      </c>
      <c r="N1467">
        <v>18162.8</v>
      </c>
      <c r="O1467" t="s">
        <v>76</v>
      </c>
      <c r="P1467" t="s">
        <v>85</v>
      </c>
    </row>
    <row r="1468" spans="1:16" x14ac:dyDescent="0.25">
      <c r="A1468">
        <v>1467</v>
      </c>
      <c r="B1468" s="2">
        <v>45872</v>
      </c>
      <c r="C1468" t="s">
        <v>19</v>
      </c>
      <c r="D1468" t="s">
        <v>26</v>
      </c>
      <c r="E1468" t="s">
        <v>32</v>
      </c>
      <c r="F1468" t="s">
        <v>49</v>
      </c>
      <c r="G1468" t="s">
        <v>70</v>
      </c>
      <c r="H1468" t="s">
        <v>73</v>
      </c>
      <c r="I1468">
        <v>2</v>
      </c>
      <c r="J1468">
        <v>18395</v>
      </c>
      <c r="K1468">
        <v>0.1</v>
      </c>
      <c r="L1468">
        <v>33111</v>
      </c>
      <c r="M1468">
        <v>24468.01</v>
      </c>
      <c r="N1468">
        <v>8642.99</v>
      </c>
      <c r="O1468" t="s">
        <v>77</v>
      </c>
      <c r="P1468" t="s">
        <v>84</v>
      </c>
    </row>
    <row r="1469" spans="1:16" x14ac:dyDescent="0.25">
      <c r="A1469">
        <v>1468</v>
      </c>
      <c r="B1469" s="2">
        <v>45989</v>
      </c>
      <c r="C1469" t="s">
        <v>20</v>
      </c>
      <c r="D1469" t="s">
        <v>26</v>
      </c>
      <c r="E1469" t="s">
        <v>31</v>
      </c>
      <c r="F1469" t="s">
        <v>67</v>
      </c>
      <c r="G1469" t="s">
        <v>72</v>
      </c>
      <c r="H1469" t="s">
        <v>74</v>
      </c>
      <c r="I1469">
        <v>4</v>
      </c>
      <c r="J1469">
        <v>2213</v>
      </c>
      <c r="K1469">
        <v>0.1</v>
      </c>
      <c r="L1469">
        <v>7966.8</v>
      </c>
      <c r="M1469">
        <v>4737.47</v>
      </c>
      <c r="N1469">
        <v>3229.33</v>
      </c>
      <c r="O1469" t="s">
        <v>77</v>
      </c>
      <c r="P1469" t="s">
        <v>83</v>
      </c>
    </row>
    <row r="1470" spans="1:16" x14ac:dyDescent="0.25">
      <c r="A1470">
        <v>1469</v>
      </c>
      <c r="B1470" s="2">
        <v>45770</v>
      </c>
      <c r="C1470" t="s">
        <v>16</v>
      </c>
      <c r="D1470" t="s">
        <v>24</v>
      </c>
      <c r="E1470" t="s">
        <v>34</v>
      </c>
      <c r="F1470" t="s">
        <v>65</v>
      </c>
      <c r="G1470" t="s">
        <v>71</v>
      </c>
      <c r="H1470" t="s">
        <v>74</v>
      </c>
      <c r="I1470">
        <v>5</v>
      </c>
      <c r="J1470">
        <v>427</v>
      </c>
      <c r="K1470">
        <v>0</v>
      </c>
      <c r="L1470">
        <v>2135</v>
      </c>
      <c r="M1470">
        <v>1694.36</v>
      </c>
      <c r="N1470">
        <v>440.64</v>
      </c>
      <c r="O1470" t="s">
        <v>80</v>
      </c>
      <c r="P1470" t="s">
        <v>82</v>
      </c>
    </row>
    <row r="1471" spans="1:16" x14ac:dyDescent="0.25">
      <c r="A1471">
        <v>1470</v>
      </c>
      <c r="B1471" s="2">
        <v>45783</v>
      </c>
      <c r="C1471" t="s">
        <v>23</v>
      </c>
      <c r="D1471" t="s">
        <v>27</v>
      </c>
      <c r="E1471" t="s">
        <v>32</v>
      </c>
      <c r="F1471" t="s">
        <v>49</v>
      </c>
      <c r="G1471" t="s">
        <v>71</v>
      </c>
      <c r="H1471" t="s">
        <v>73</v>
      </c>
      <c r="I1471">
        <v>7</v>
      </c>
      <c r="J1471">
        <v>17278</v>
      </c>
      <c r="K1471">
        <v>0</v>
      </c>
      <c r="L1471">
        <v>120946</v>
      </c>
      <c r="M1471">
        <v>70112.710000000006</v>
      </c>
      <c r="N1471">
        <v>50833.29</v>
      </c>
      <c r="O1471" t="s">
        <v>79</v>
      </c>
      <c r="P1471" t="s">
        <v>82</v>
      </c>
    </row>
    <row r="1472" spans="1:16" x14ac:dyDescent="0.25">
      <c r="A1472">
        <v>1471</v>
      </c>
      <c r="B1472" s="2">
        <v>45683</v>
      </c>
      <c r="C1472" t="s">
        <v>17</v>
      </c>
      <c r="D1472" t="s">
        <v>25</v>
      </c>
      <c r="E1472" t="s">
        <v>31</v>
      </c>
      <c r="F1472" t="s">
        <v>47</v>
      </c>
      <c r="G1472" t="s">
        <v>70</v>
      </c>
      <c r="H1472" t="s">
        <v>74</v>
      </c>
      <c r="I1472">
        <v>8</v>
      </c>
      <c r="J1472">
        <v>670</v>
      </c>
      <c r="K1472">
        <v>0.1</v>
      </c>
      <c r="L1472">
        <v>4824</v>
      </c>
      <c r="M1472">
        <v>2795.7</v>
      </c>
      <c r="N1472">
        <v>2028.3</v>
      </c>
      <c r="O1472" t="s">
        <v>76</v>
      </c>
      <c r="P1472" t="s">
        <v>83</v>
      </c>
    </row>
    <row r="1473" spans="1:16" x14ac:dyDescent="0.25">
      <c r="A1473">
        <v>1472</v>
      </c>
      <c r="B1473" s="2">
        <v>45807</v>
      </c>
      <c r="C1473" t="s">
        <v>20</v>
      </c>
      <c r="D1473" t="s">
        <v>26</v>
      </c>
      <c r="E1473" t="s">
        <v>33</v>
      </c>
      <c r="F1473" t="s">
        <v>59</v>
      </c>
      <c r="G1473" t="s">
        <v>70</v>
      </c>
      <c r="H1473" t="s">
        <v>74</v>
      </c>
      <c r="I1473">
        <v>6</v>
      </c>
      <c r="J1473">
        <v>35525</v>
      </c>
      <c r="K1473">
        <v>0</v>
      </c>
      <c r="L1473">
        <v>213150</v>
      </c>
      <c r="M1473">
        <v>153463.32</v>
      </c>
      <c r="N1473">
        <v>59686.68</v>
      </c>
      <c r="O1473" t="s">
        <v>77</v>
      </c>
      <c r="P1473" t="s">
        <v>84</v>
      </c>
    </row>
    <row r="1474" spans="1:16" x14ac:dyDescent="0.25">
      <c r="A1474">
        <v>1473</v>
      </c>
      <c r="B1474" s="2">
        <v>45865</v>
      </c>
      <c r="C1474" t="s">
        <v>16</v>
      </c>
      <c r="D1474" t="s">
        <v>24</v>
      </c>
      <c r="E1474" t="s">
        <v>30</v>
      </c>
      <c r="F1474" t="s">
        <v>64</v>
      </c>
      <c r="G1474" t="s">
        <v>71</v>
      </c>
      <c r="H1474" t="s">
        <v>75</v>
      </c>
      <c r="I1474">
        <v>2</v>
      </c>
      <c r="J1474">
        <v>55657</v>
      </c>
      <c r="K1474">
        <v>0</v>
      </c>
      <c r="L1474">
        <v>111314</v>
      </c>
      <c r="M1474">
        <v>96035.06</v>
      </c>
      <c r="N1474">
        <v>15278.94</v>
      </c>
      <c r="O1474" t="s">
        <v>78</v>
      </c>
      <c r="P1474" t="s">
        <v>87</v>
      </c>
    </row>
    <row r="1475" spans="1:16" x14ac:dyDescent="0.25">
      <c r="A1475">
        <v>1474</v>
      </c>
      <c r="B1475" s="2">
        <v>45738</v>
      </c>
      <c r="C1475" t="s">
        <v>22</v>
      </c>
      <c r="D1475" t="s">
        <v>24</v>
      </c>
      <c r="E1475" t="s">
        <v>33</v>
      </c>
      <c r="F1475" t="s">
        <v>46</v>
      </c>
      <c r="G1475" t="s">
        <v>71</v>
      </c>
      <c r="H1475" t="s">
        <v>73</v>
      </c>
      <c r="I1475">
        <v>1</v>
      </c>
      <c r="J1475">
        <v>18302</v>
      </c>
      <c r="K1475">
        <v>0.1</v>
      </c>
      <c r="L1475">
        <v>16471.8</v>
      </c>
      <c r="M1475">
        <v>9740.0499999999993</v>
      </c>
      <c r="N1475">
        <v>6731.75</v>
      </c>
      <c r="O1475" t="s">
        <v>80</v>
      </c>
      <c r="P1475" t="s">
        <v>86</v>
      </c>
    </row>
    <row r="1476" spans="1:16" x14ac:dyDescent="0.25">
      <c r="A1476">
        <v>1475</v>
      </c>
      <c r="B1476" s="2">
        <v>45719</v>
      </c>
      <c r="C1476" t="s">
        <v>19</v>
      </c>
      <c r="D1476" t="s">
        <v>26</v>
      </c>
      <c r="E1476" t="s">
        <v>29</v>
      </c>
      <c r="F1476" t="s">
        <v>53</v>
      </c>
      <c r="G1476" t="s">
        <v>71</v>
      </c>
      <c r="H1476" t="s">
        <v>74</v>
      </c>
      <c r="I1476">
        <v>8</v>
      </c>
      <c r="J1476">
        <v>7728</v>
      </c>
      <c r="K1476">
        <v>0.05</v>
      </c>
      <c r="L1476">
        <v>58732.800000000003</v>
      </c>
      <c r="M1476">
        <v>37356.050000000003</v>
      </c>
      <c r="N1476">
        <v>21376.75</v>
      </c>
      <c r="O1476" t="s">
        <v>77</v>
      </c>
      <c r="P1476" t="s">
        <v>82</v>
      </c>
    </row>
    <row r="1477" spans="1:16" x14ac:dyDescent="0.25">
      <c r="A1477">
        <v>1476</v>
      </c>
      <c r="B1477" s="2">
        <v>45664</v>
      </c>
      <c r="C1477" t="s">
        <v>20</v>
      </c>
      <c r="D1477" t="s">
        <v>26</v>
      </c>
      <c r="E1477" t="s">
        <v>31</v>
      </c>
      <c r="F1477" t="s">
        <v>38</v>
      </c>
      <c r="G1477" t="s">
        <v>70</v>
      </c>
      <c r="H1477" t="s">
        <v>74</v>
      </c>
      <c r="I1477">
        <v>2</v>
      </c>
      <c r="J1477">
        <v>834</v>
      </c>
      <c r="K1477">
        <v>0.15</v>
      </c>
      <c r="L1477">
        <v>1417.8</v>
      </c>
      <c r="M1477">
        <v>1235.1099999999999</v>
      </c>
      <c r="N1477">
        <v>182.69</v>
      </c>
      <c r="O1477" t="s">
        <v>77</v>
      </c>
      <c r="P1477" t="s">
        <v>86</v>
      </c>
    </row>
    <row r="1478" spans="1:16" x14ac:dyDescent="0.25">
      <c r="A1478">
        <v>1477</v>
      </c>
      <c r="B1478" s="2">
        <v>45832</v>
      </c>
      <c r="C1478" t="s">
        <v>16</v>
      </c>
      <c r="D1478" t="s">
        <v>24</v>
      </c>
      <c r="E1478" t="s">
        <v>32</v>
      </c>
      <c r="F1478" t="s">
        <v>62</v>
      </c>
      <c r="G1478" t="s">
        <v>72</v>
      </c>
      <c r="H1478" t="s">
        <v>75</v>
      </c>
      <c r="I1478">
        <v>8</v>
      </c>
      <c r="J1478">
        <v>10608</v>
      </c>
      <c r="K1478">
        <v>0.1</v>
      </c>
      <c r="L1478">
        <v>76377.600000000006</v>
      </c>
      <c r="M1478">
        <v>62153.32</v>
      </c>
      <c r="N1478">
        <v>14224.28</v>
      </c>
      <c r="O1478" t="s">
        <v>80</v>
      </c>
      <c r="P1478" t="s">
        <v>88</v>
      </c>
    </row>
    <row r="1479" spans="1:16" x14ac:dyDescent="0.25">
      <c r="A1479">
        <v>1478</v>
      </c>
      <c r="B1479" s="2">
        <v>45972</v>
      </c>
      <c r="C1479" t="s">
        <v>19</v>
      </c>
      <c r="D1479" t="s">
        <v>26</v>
      </c>
      <c r="E1479" t="s">
        <v>29</v>
      </c>
      <c r="F1479" t="s">
        <v>57</v>
      </c>
      <c r="G1479" t="s">
        <v>72</v>
      </c>
      <c r="H1479" t="s">
        <v>75</v>
      </c>
      <c r="I1479">
        <v>5</v>
      </c>
      <c r="J1479">
        <v>7921</v>
      </c>
      <c r="K1479">
        <v>0</v>
      </c>
      <c r="L1479">
        <v>39605</v>
      </c>
      <c r="M1479">
        <v>25569.23</v>
      </c>
      <c r="N1479">
        <v>14035.77</v>
      </c>
      <c r="O1479" t="s">
        <v>80</v>
      </c>
      <c r="P1479" t="s">
        <v>82</v>
      </c>
    </row>
    <row r="1480" spans="1:16" x14ac:dyDescent="0.25">
      <c r="A1480">
        <v>1479</v>
      </c>
      <c r="B1480" s="2">
        <v>45955</v>
      </c>
      <c r="C1480" t="s">
        <v>18</v>
      </c>
      <c r="D1480" t="s">
        <v>26</v>
      </c>
      <c r="E1480" t="s">
        <v>31</v>
      </c>
      <c r="F1480" t="s">
        <v>38</v>
      </c>
      <c r="G1480" t="s">
        <v>72</v>
      </c>
      <c r="H1480" t="s">
        <v>73</v>
      </c>
      <c r="I1480">
        <v>4</v>
      </c>
      <c r="J1480">
        <v>1158</v>
      </c>
      <c r="K1480">
        <v>0.15</v>
      </c>
      <c r="L1480">
        <v>3937.2</v>
      </c>
      <c r="M1480">
        <v>2234.91</v>
      </c>
      <c r="N1480">
        <v>1702.29</v>
      </c>
      <c r="O1480" t="s">
        <v>79</v>
      </c>
      <c r="P1480" t="s">
        <v>87</v>
      </c>
    </row>
    <row r="1481" spans="1:16" x14ac:dyDescent="0.25">
      <c r="A1481">
        <v>1480</v>
      </c>
      <c r="B1481" s="2">
        <v>45979</v>
      </c>
      <c r="C1481" t="s">
        <v>17</v>
      </c>
      <c r="D1481" t="s">
        <v>25</v>
      </c>
      <c r="E1481" t="s">
        <v>30</v>
      </c>
      <c r="F1481" t="s">
        <v>40</v>
      </c>
      <c r="G1481" t="s">
        <v>70</v>
      </c>
      <c r="H1481" t="s">
        <v>75</v>
      </c>
      <c r="I1481">
        <v>1</v>
      </c>
      <c r="J1481">
        <v>2297</v>
      </c>
      <c r="K1481">
        <v>0</v>
      </c>
      <c r="L1481">
        <v>2297</v>
      </c>
      <c r="M1481">
        <v>1590.59</v>
      </c>
      <c r="N1481">
        <v>706.41</v>
      </c>
      <c r="O1481" t="s">
        <v>77</v>
      </c>
      <c r="P1481" t="s">
        <v>81</v>
      </c>
    </row>
    <row r="1482" spans="1:16" x14ac:dyDescent="0.25">
      <c r="A1482">
        <v>1481</v>
      </c>
      <c r="B1482" s="2">
        <v>45997</v>
      </c>
      <c r="C1482" t="s">
        <v>23</v>
      </c>
      <c r="D1482" t="s">
        <v>27</v>
      </c>
      <c r="E1482" t="s">
        <v>32</v>
      </c>
      <c r="F1482" t="s">
        <v>66</v>
      </c>
      <c r="G1482" t="s">
        <v>71</v>
      </c>
      <c r="H1482" t="s">
        <v>74</v>
      </c>
      <c r="I1482">
        <v>8</v>
      </c>
      <c r="J1482">
        <v>7486</v>
      </c>
      <c r="K1482">
        <v>0.1</v>
      </c>
      <c r="L1482">
        <v>53899.199999999997</v>
      </c>
      <c r="M1482">
        <v>46401.86</v>
      </c>
      <c r="N1482">
        <v>7497.34</v>
      </c>
      <c r="O1482" t="s">
        <v>77</v>
      </c>
      <c r="P1482" t="s">
        <v>85</v>
      </c>
    </row>
    <row r="1483" spans="1:16" x14ac:dyDescent="0.25">
      <c r="A1483">
        <v>1482</v>
      </c>
      <c r="B1483" s="2">
        <v>45730</v>
      </c>
      <c r="C1483" t="s">
        <v>17</v>
      </c>
      <c r="D1483" t="s">
        <v>25</v>
      </c>
      <c r="E1483" t="s">
        <v>32</v>
      </c>
      <c r="F1483" t="s">
        <v>48</v>
      </c>
      <c r="G1483" t="s">
        <v>72</v>
      </c>
      <c r="H1483" t="s">
        <v>73</v>
      </c>
      <c r="I1483">
        <v>1</v>
      </c>
      <c r="J1483">
        <v>2164</v>
      </c>
      <c r="K1483">
        <v>0.05</v>
      </c>
      <c r="L1483">
        <v>2055.8000000000002</v>
      </c>
      <c r="M1483">
        <v>1597.46</v>
      </c>
      <c r="N1483">
        <v>458.34</v>
      </c>
      <c r="O1483" t="s">
        <v>78</v>
      </c>
      <c r="P1483" t="s">
        <v>85</v>
      </c>
    </row>
    <row r="1484" spans="1:16" x14ac:dyDescent="0.25">
      <c r="A1484">
        <v>1483</v>
      </c>
      <c r="B1484" s="2">
        <v>45891</v>
      </c>
      <c r="C1484" t="s">
        <v>21</v>
      </c>
      <c r="D1484" t="s">
        <v>24</v>
      </c>
      <c r="E1484" t="s">
        <v>32</v>
      </c>
      <c r="F1484" t="s">
        <v>62</v>
      </c>
      <c r="G1484" t="s">
        <v>72</v>
      </c>
      <c r="H1484" t="s">
        <v>73</v>
      </c>
      <c r="I1484">
        <v>1</v>
      </c>
      <c r="J1484">
        <v>11986</v>
      </c>
      <c r="K1484">
        <v>0.05</v>
      </c>
      <c r="L1484">
        <v>11386.7</v>
      </c>
      <c r="M1484">
        <v>8875.7999999999993</v>
      </c>
      <c r="N1484">
        <v>2510.9</v>
      </c>
      <c r="O1484" t="s">
        <v>77</v>
      </c>
      <c r="P1484" t="s">
        <v>88</v>
      </c>
    </row>
    <row r="1485" spans="1:16" x14ac:dyDescent="0.25">
      <c r="A1485">
        <v>1484</v>
      </c>
      <c r="B1485" s="2">
        <v>45894</v>
      </c>
      <c r="C1485" t="s">
        <v>23</v>
      </c>
      <c r="D1485" t="s">
        <v>27</v>
      </c>
      <c r="E1485" t="s">
        <v>31</v>
      </c>
      <c r="F1485" t="s">
        <v>69</v>
      </c>
      <c r="G1485" t="s">
        <v>72</v>
      </c>
      <c r="H1485" t="s">
        <v>75</v>
      </c>
      <c r="I1485">
        <v>2</v>
      </c>
      <c r="J1485">
        <v>1773</v>
      </c>
      <c r="K1485">
        <v>0</v>
      </c>
      <c r="L1485">
        <v>3546</v>
      </c>
      <c r="M1485">
        <v>2125.35</v>
      </c>
      <c r="N1485">
        <v>1420.65</v>
      </c>
      <c r="O1485" t="s">
        <v>77</v>
      </c>
      <c r="P1485" t="s">
        <v>81</v>
      </c>
    </row>
    <row r="1486" spans="1:16" x14ac:dyDescent="0.25">
      <c r="A1486">
        <v>1485</v>
      </c>
      <c r="B1486" s="2">
        <v>45729</v>
      </c>
      <c r="C1486" t="s">
        <v>19</v>
      </c>
      <c r="D1486" t="s">
        <v>26</v>
      </c>
      <c r="E1486" t="s">
        <v>33</v>
      </c>
      <c r="F1486" t="s">
        <v>52</v>
      </c>
      <c r="G1486" t="s">
        <v>71</v>
      </c>
      <c r="H1486" t="s">
        <v>74</v>
      </c>
      <c r="I1486">
        <v>6</v>
      </c>
      <c r="J1486">
        <v>37535</v>
      </c>
      <c r="K1486">
        <v>0.05</v>
      </c>
      <c r="L1486">
        <v>213949.5</v>
      </c>
      <c r="M1486">
        <v>155198.18</v>
      </c>
      <c r="N1486">
        <v>58751.32</v>
      </c>
      <c r="O1486" t="s">
        <v>76</v>
      </c>
      <c r="P1486" t="s">
        <v>88</v>
      </c>
    </row>
    <row r="1487" spans="1:16" x14ac:dyDescent="0.25">
      <c r="A1487">
        <v>1486</v>
      </c>
      <c r="B1487" s="2">
        <v>46014</v>
      </c>
      <c r="C1487" t="s">
        <v>20</v>
      </c>
      <c r="D1487" t="s">
        <v>26</v>
      </c>
      <c r="E1487" t="s">
        <v>30</v>
      </c>
      <c r="F1487" t="s">
        <v>40</v>
      </c>
      <c r="G1487" t="s">
        <v>70</v>
      </c>
      <c r="H1487" t="s">
        <v>75</v>
      </c>
      <c r="I1487">
        <v>8</v>
      </c>
      <c r="J1487">
        <v>45497</v>
      </c>
      <c r="K1487">
        <v>0.2</v>
      </c>
      <c r="L1487">
        <v>291180.79999999999</v>
      </c>
      <c r="M1487">
        <v>246938.63</v>
      </c>
      <c r="N1487">
        <v>44242.17</v>
      </c>
      <c r="O1487" t="s">
        <v>80</v>
      </c>
      <c r="P1487" t="s">
        <v>84</v>
      </c>
    </row>
    <row r="1488" spans="1:16" x14ac:dyDescent="0.25">
      <c r="A1488">
        <v>1487</v>
      </c>
      <c r="B1488" s="2">
        <v>45856</v>
      </c>
      <c r="C1488" t="s">
        <v>17</v>
      </c>
      <c r="D1488" t="s">
        <v>25</v>
      </c>
      <c r="E1488" t="s">
        <v>33</v>
      </c>
      <c r="F1488" t="s">
        <v>60</v>
      </c>
      <c r="G1488" t="s">
        <v>72</v>
      </c>
      <c r="H1488" t="s">
        <v>75</v>
      </c>
      <c r="I1488">
        <v>1</v>
      </c>
      <c r="J1488">
        <v>37315</v>
      </c>
      <c r="K1488">
        <v>0.05</v>
      </c>
      <c r="L1488">
        <v>35449.25</v>
      </c>
      <c r="M1488">
        <v>24489.15</v>
      </c>
      <c r="N1488">
        <v>10960.1</v>
      </c>
      <c r="O1488" t="s">
        <v>77</v>
      </c>
      <c r="P1488" t="s">
        <v>86</v>
      </c>
    </row>
    <row r="1489" spans="1:16" x14ac:dyDescent="0.25">
      <c r="A1489">
        <v>1488</v>
      </c>
      <c r="B1489" s="2">
        <v>45771</v>
      </c>
      <c r="C1489" t="s">
        <v>23</v>
      </c>
      <c r="D1489" t="s">
        <v>27</v>
      </c>
      <c r="E1489" t="s">
        <v>32</v>
      </c>
      <c r="F1489" t="s">
        <v>66</v>
      </c>
      <c r="G1489" t="s">
        <v>71</v>
      </c>
      <c r="H1489" t="s">
        <v>73</v>
      </c>
      <c r="I1489">
        <v>3</v>
      </c>
      <c r="J1489">
        <v>18027</v>
      </c>
      <c r="K1489">
        <v>0.05</v>
      </c>
      <c r="L1489">
        <v>51376.95</v>
      </c>
      <c r="M1489">
        <v>39329.49</v>
      </c>
      <c r="N1489">
        <v>12047.46</v>
      </c>
      <c r="O1489" t="s">
        <v>77</v>
      </c>
      <c r="P1489" t="s">
        <v>83</v>
      </c>
    </row>
    <row r="1490" spans="1:16" x14ac:dyDescent="0.25">
      <c r="A1490">
        <v>1489</v>
      </c>
      <c r="B1490" s="2">
        <v>45861</v>
      </c>
      <c r="C1490" t="s">
        <v>23</v>
      </c>
      <c r="D1490" t="s">
        <v>27</v>
      </c>
      <c r="E1490" t="s">
        <v>34</v>
      </c>
      <c r="F1490" t="s">
        <v>51</v>
      </c>
      <c r="G1490" t="s">
        <v>70</v>
      </c>
      <c r="H1490" t="s">
        <v>74</v>
      </c>
      <c r="I1490">
        <v>7</v>
      </c>
      <c r="J1490">
        <v>533</v>
      </c>
      <c r="K1490">
        <v>0.15</v>
      </c>
      <c r="L1490">
        <v>3171.35</v>
      </c>
      <c r="M1490">
        <v>2619.7399999999998</v>
      </c>
      <c r="N1490">
        <v>551.61</v>
      </c>
      <c r="O1490" t="s">
        <v>78</v>
      </c>
      <c r="P1490" t="s">
        <v>81</v>
      </c>
    </row>
    <row r="1491" spans="1:16" x14ac:dyDescent="0.25">
      <c r="A1491">
        <v>1490</v>
      </c>
      <c r="B1491" s="2">
        <v>45679</v>
      </c>
      <c r="C1491" t="s">
        <v>22</v>
      </c>
      <c r="D1491" t="s">
        <v>24</v>
      </c>
      <c r="E1491" t="s">
        <v>32</v>
      </c>
      <c r="F1491" t="s">
        <v>62</v>
      </c>
      <c r="G1491" t="s">
        <v>71</v>
      </c>
      <c r="H1491" t="s">
        <v>74</v>
      </c>
      <c r="I1491">
        <v>5</v>
      </c>
      <c r="J1491">
        <v>23253</v>
      </c>
      <c r="K1491">
        <v>0</v>
      </c>
      <c r="L1491">
        <v>116265</v>
      </c>
      <c r="M1491">
        <v>90744.68</v>
      </c>
      <c r="N1491">
        <v>25520.32</v>
      </c>
      <c r="O1491" t="s">
        <v>76</v>
      </c>
      <c r="P1491" t="s">
        <v>88</v>
      </c>
    </row>
    <row r="1492" spans="1:16" x14ac:dyDescent="0.25">
      <c r="A1492">
        <v>1491</v>
      </c>
      <c r="B1492" s="2">
        <v>45836</v>
      </c>
      <c r="C1492" t="s">
        <v>21</v>
      </c>
      <c r="D1492" t="s">
        <v>24</v>
      </c>
      <c r="E1492" t="s">
        <v>34</v>
      </c>
      <c r="F1492" t="s">
        <v>68</v>
      </c>
      <c r="G1492" t="s">
        <v>72</v>
      </c>
      <c r="H1492" t="s">
        <v>74</v>
      </c>
      <c r="I1492">
        <v>2</v>
      </c>
      <c r="J1492">
        <v>2051</v>
      </c>
      <c r="K1492">
        <v>0.1</v>
      </c>
      <c r="L1492">
        <v>3691.8</v>
      </c>
      <c r="M1492">
        <v>2461.85</v>
      </c>
      <c r="N1492">
        <v>1229.95</v>
      </c>
      <c r="O1492" t="s">
        <v>80</v>
      </c>
      <c r="P1492" t="s">
        <v>85</v>
      </c>
    </row>
    <row r="1493" spans="1:16" x14ac:dyDescent="0.25">
      <c r="A1493">
        <v>1492</v>
      </c>
      <c r="B1493" s="2">
        <v>45969</v>
      </c>
      <c r="C1493" t="s">
        <v>21</v>
      </c>
      <c r="D1493" t="s">
        <v>24</v>
      </c>
      <c r="E1493" t="s">
        <v>32</v>
      </c>
      <c r="F1493" t="s">
        <v>39</v>
      </c>
      <c r="G1493" t="s">
        <v>72</v>
      </c>
      <c r="H1493" t="s">
        <v>75</v>
      </c>
      <c r="I1493">
        <v>4</v>
      </c>
      <c r="J1493">
        <v>9188</v>
      </c>
      <c r="K1493">
        <v>0.05</v>
      </c>
      <c r="L1493">
        <v>34914.400000000001</v>
      </c>
      <c r="M1493">
        <v>23857.21</v>
      </c>
      <c r="N1493">
        <v>11057.19</v>
      </c>
      <c r="O1493" t="s">
        <v>79</v>
      </c>
      <c r="P1493" t="s">
        <v>88</v>
      </c>
    </row>
    <row r="1494" spans="1:16" x14ac:dyDescent="0.25">
      <c r="A1494">
        <v>1493</v>
      </c>
      <c r="B1494" s="2">
        <v>45684</v>
      </c>
      <c r="C1494" t="s">
        <v>17</v>
      </c>
      <c r="D1494" t="s">
        <v>25</v>
      </c>
      <c r="E1494" t="s">
        <v>33</v>
      </c>
      <c r="F1494" t="s">
        <v>60</v>
      </c>
      <c r="G1494" t="s">
        <v>70</v>
      </c>
      <c r="H1494" t="s">
        <v>74</v>
      </c>
      <c r="I1494">
        <v>1</v>
      </c>
      <c r="J1494">
        <v>13879</v>
      </c>
      <c r="K1494">
        <v>0.1</v>
      </c>
      <c r="L1494">
        <v>12491.1</v>
      </c>
      <c r="M1494">
        <v>10627.57</v>
      </c>
      <c r="N1494">
        <v>1863.53</v>
      </c>
      <c r="O1494" t="s">
        <v>76</v>
      </c>
      <c r="P1494" t="s">
        <v>87</v>
      </c>
    </row>
    <row r="1495" spans="1:16" x14ac:dyDescent="0.25">
      <c r="A1495">
        <v>1494</v>
      </c>
      <c r="B1495" s="2">
        <v>45928</v>
      </c>
      <c r="C1495" t="s">
        <v>17</v>
      </c>
      <c r="D1495" t="s">
        <v>25</v>
      </c>
      <c r="E1495" t="s">
        <v>28</v>
      </c>
      <c r="F1495" t="s">
        <v>35</v>
      </c>
      <c r="G1495" t="s">
        <v>70</v>
      </c>
      <c r="H1495" t="s">
        <v>74</v>
      </c>
      <c r="I1495">
        <v>8</v>
      </c>
      <c r="J1495">
        <v>702</v>
      </c>
      <c r="K1495">
        <v>0.05</v>
      </c>
      <c r="L1495">
        <v>5335.2</v>
      </c>
      <c r="M1495">
        <v>3313.62</v>
      </c>
      <c r="N1495">
        <v>2021.58</v>
      </c>
      <c r="O1495" t="s">
        <v>80</v>
      </c>
      <c r="P1495" t="s">
        <v>82</v>
      </c>
    </row>
    <row r="1496" spans="1:16" x14ac:dyDescent="0.25">
      <c r="A1496">
        <v>1495</v>
      </c>
      <c r="B1496" s="2">
        <v>45803</v>
      </c>
      <c r="C1496" t="s">
        <v>19</v>
      </c>
      <c r="D1496" t="s">
        <v>26</v>
      </c>
      <c r="E1496" t="s">
        <v>28</v>
      </c>
      <c r="F1496" t="s">
        <v>54</v>
      </c>
      <c r="G1496" t="s">
        <v>72</v>
      </c>
      <c r="H1496" t="s">
        <v>73</v>
      </c>
      <c r="I1496">
        <v>4</v>
      </c>
      <c r="J1496">
        <v>2214</v>
      </c>
      <c r="K1496">
        <v>0.05</v>
      </c>
      <c r="L1496">
        <v>8413.2000000000007</v>
      </c>
      <c r="M1496">
        <v>6023.89</v>
      </c>
      <c r="N1496">
        <v>2389.31</v>
      </c>
      <c r="O1496" t="s">
        <v>80</v>
      </c>
      <c r="P1496" t="s">
        <v>84</v>
      </c>
    </row>
    <row r="1497" spans="1:16" x14ac:dyDescent="0.25">
      <c r="A1497">
        <v>1496</v>
      </c>
      <c r="B1497" s="2">
        <v>46022</v>
      </c>
      <c r="C1497" t="s">
        <v>19</v>
      </c>
      <c r="D1497" t="s">
        <v>26</v>
      </c>
      <c r="E1497" t="s">
        <v>31</v>
      </c>
      <c r="F1497" t="s">
        <v>67</v>
      </c>
      <c r="G1497" t="s">
        <v>71</v>
      </c>
      <c r="H1497" t="s">
        <v>74</v>
      </c>
      <c r="I1497">
        <v>6</v>
      </c>
      <c r="J1497">
        <v>1182</v>
      </c>
      <c r="K1497">
        <v>0.05</v>
      </c>
      <c r="L1497">
        <v>6737.4</v>
      </c>
      <c r="M1497">
        <v>3709.64</v>
      </c>
      <c r="N1497">
        <v>3027.76</v>
      </c>
      <c r="O1497" t="s">
        <v>77</v>
      </c>
      <c r="P1497" t="s">
        <v>84</v>
      </c>
    </row>
    <row r="1498" spans="1:16" x14ac:dyDescent="0.25">
      <c r="A1498">
        <v>1497</v>
      </c>
      <c r="B1498" s="2">
        <v>45957</v>
      </c>
      <c r="C1498" t="s">
        <v>21</v>
      </c>
      <c r="D1498" t="s">
        <v>24</v>
      </c>
      <c r="E1498" t="s">
        <v>30</v>
      </c>
      <c r="F1498" t="s">
        <v>64</v>
      </c>
      <c r="G1498" t="s">
        <v>70</v>
      </c>
      <c r="H1498" t="s">
        <v>75</v>
      </c>
      <c r="I1498">
        <v>8</v>
      </c>
      <c r="J1498">
        <v>62901</v>
      </c>
      <c r="K1498">
        <v>0</v>
      </c>
      <c r="L1498">
        <v>503208</v>
      </c>
      <c r="M1498">
        <v>300960.02</v>
      </c>
      <c r="N1498">
        <v>202247.98</v>
      </c>
      <c r="O1498" t="s">
        <v>78</v>
      </c>
      <c r="P1498" t="s">
        <v>86</v>
      </c>
    </row>
    <row r="1499" spans="1:16" x14ac:dyDescent="0.25">
      <c r="A1499">
        <v>1498</v>
      </c>
      <c r="B1499" s="2">
        <v>45901</v>
      </c>
      <c r="C1499" t="s">
        <v>20</v>
      </c>
      <c r="D1499" t="s">
        <v>26</v>
      </c>
      <c r="E1499" t="s">
        <v>30</v>
      </c>
      <c r="F1499" t="s">
        <v>44</v>
      </c>
      <c r="G1499" t="s">
        <v>70</v>
      </c>
      <c r="H1499" t="s">
        <v>74</v>
      </c>
      <c r="I1499">
        <v>8</v>
      </c>
      <c r="J1499">
        <v>37201</v>
      </c>
      <c r="K1499">
        <v>0.05</v>
      </c>
      <c r="L1499">
        <v>282727.59999999998</v>
      </c>
      <c r="M1499">
        <v>173301.9</v>
      </c>
      <c r="N1499">
        <v>109425.7</v>
      </c>
      <c r="O1499" t="s">
        <v>78</v>
      </c>
      <c r="P1499" t="s">
        <v>83</v>
      </c>
    </row>
    <row r="1500" spans="1:16" x14ac:dyDescent="0.25">
      <c r="A1500">
        <v>1499</v>
      </c>
      <c r="B1500" s="2">
        <v>45924</v>
      </c>
      <c r="C1500" t="s">
        <v>20</v>
      </c>
      <c r="D1500" t="s">
        <v>26</v>
      </c>
      <c r="E1500" t="s">
        <v>33</v>
      </c>
      <c r="F1500" t="s">
        <v>52</v>
      </c>
      <c r="G1500" t="s">
        <v>71</v>
      </c>
      <c r="H1500" t="s">
        <v>75</v>
      </c>
      <c r="I1500">
        <v>6</v>
      </c>
      <c r="J1500">
        <v>20484</v>
      </c>
      <c r="K1500">
        <v>0.05</v>
      </c>
      <c r="L1500">
        <v>116758.8</v>
      </c>
      <c r="M1500">
        <v>81678.320000000007</v>
      </c>
      <c r="N1500">
        <v>35080.480000000003</v>
      </c>
      <c r="O1500" t="s">
        <v>80</v>
      </c>
      <c r="P1500" t="s">
        <v>87</v>
      </c>
    </row>
    <row r="1501" spans="1:16" x14ac:dyDescent="0.25">
      <c r="A1501">
        <v>1500</v>
      </c>
      <c r="B1501" s="2">
        <v>45752</v>
      </c>
      <c r="C1501" t="s">
        <v>19</v>
      </c>
      <c r="D1501" t="s">
        <v>26</v>
      </c>
      <c r="E1501" t="s">
        <v>31</v>
      </c>
      <c r="F1501" t="s">
        <v>38</v>
      </c>
      <c r="G1501" t="s">
        <v>72</v>
      </c>
      <c r="H1501" t="s">
        <v>73</v>
      </c>
      <c r="I1501">
        <v>3</v>
      </c>
      <c r="J1501">
        <v>1290</v>
      </c>
      <c r="K1501">
        <v>0</v>
      </c>
      <c r="L1501">
        <v>3870</v>
      </c>
      <c r="M1501">
        <v>2566.0500000000002</v>
      </c>
      <c r="N1501">
        <v>1303.95</v>
      </c>
      <c r="O1501" t="s">
        <v>80</v>
      </c>
      <c r="P1501" t="s">
        <v>86</v>
      </c>
    </row>
    <row r="1502" spans="1:16" x14ac:dyDescent="0.25">
      <c r="A1502">
        <v>1501</v>
      </c>
      <c r="B1502" s="2">
        <v>45927</v>
      </c>
      <c r="C1502" t="s">
        <v>17</v>
      </c>
      <c r="D1502" t="s">
        <v>25</v>
      </c>
      <c r="E1502" t="s">
        <v>28</v>
      </c>
      <c r="F1502" t="s">
        <v>54</v>
      </c>
      <c r="G1502" t="s">
        <v>72</v>
      </c>
      <c r="H1502" t="s">
        <v>73</v>
      </c>
      <c r="I1502">
        <v>8</v>
      </c>
      <c r="J1502">
        <v>2121</v>
      </c>
      <c r="K1502">
        <v>0.15</v>
      </c>
      <c r="L1502">
        <v>14422.8</v>
      </c>
      <c r="M1502">
        <v>11308.29</v>
      </c>
      <c r="N1502">
        <v>3114.51</v>
      </c>
      <c r="O1502" t="s">
        <v>80</v>
      </c>
      <c r="P1502" t="s">
        <v>88</v>
      </c>
    </row>
    <row r="1503" spans="1:16" x14ac:dyDescent="0.25">
      <c r="A1503">
        <v>1502</v>
      </c>
      <c r="B1503" s="2">
        <v>45911</v>
      </c>
      <c r="C1503" t="s">
        <v>21</v>
      </c>
      <c r="D1503" t="s">
        <v>24</v>
      </c>
      <c r="E1503" t="s">
        <v>32</v>
      </c>
      <c r="F1503" t="s">
        <v>49</v>
      </c>
      <c r="G1503" t="s">
        <v>70</v>
      </c>
      <c r="H1503" t="s">
        <v>74</v>
      </c>
      <c r="I1503">
        <v>7</v>
      </c>
      <c r="J1503">
        <v>1683</v>
      </c>
      <c r="K1503">
        <v>0.05</v>
      </c>
      <c r="L1503">
        <v>11191.95</v>
      </c>
      <c r="M1503">
        <v>7869.03</v>
      </c>
      <c r="N1503">
        <v>3322.92</v>
      </c>
      <c r="O1503" t="s">
        <v>78</v>
      </c>
      <c r="P1503" t="s">
        <v>82</v>
      </c>
    </row>
    <row r="1504" spans="1:16" x14ac:dyDescent="0.25">
      <c r="A1504">
        <v>1503</v>
      </c>
      <c r="B1504" s="2">
        <v>45739</v>
      </c>
      <c r="C1504" t="s">
        <v>21</v>
      </c>
      <c r="D1504" t="s">
        <v>24</v>
      </c>
      <c r="E1504" t="s">
        <v>32</v>
      </c>
      <c r="F1504" t="s">
        <v>66</v>
      </c>
      <c r="G1504" t="s">
        <v>70</v>
      </c>
      <c r="H1504" t="s">
        <v>74</v>
      </c>
      <c r="I1504">
        <v>8</v>
      </c>
      <c r="J1504">
        <v>4615</v>
      </c>
      <c r="K1504">
        <v>0.1</v>
      </c>
      <c r="L1504">
        <v>33228</v>
      </c>
      <c r="M1504">
        <v>21928.799999999999</v>
      </c>
      <c r="N1504">
        <v>11299.2</v>
      </c>
      <c r="O1504" t="s">
        <v>78</v>
      </c>
      <c r="P1504" t="s">
        <v>82</v>
      </c>
    </row>
    <row r="1505" spans="1:16" x14ac:dyDescent="0.25">
      <c r="A1505">
        <v>1504</v>
      </c>
      <c r="B1505" s="2">
        <v>45715</v>
      </c>
      <c r="C1505" t="s">
        <v>23</v>
      </c>
      <c r="D1505" t="s">
        <v>27</v>
      </c>
      <c r="E1505" t="s">
        <v>34</v>
      </c>
      <c r="F1505" t="s">
        <v>68</v>
      </c>
      <c r="G1505" t="s">
        <v>70</v>
      </c>
      <c r="H1505" t="s">
        <v>75</v>
      </c>
      <c r="I1505">
        <v>3</v>
      </c>
      <c r="J1505">
        <v>4653</v>
      </c>
      <c r="K1505">
        <v>0.15</v>
      </c>
      <c r="L1505">
        <v>11865.15</v>
      </c>
      <c r="M1505">
        <v>9891.4699999999993</v>
      </c>
      <c r="N1505">
        <v>1973.68</v>
      </c>
      <c r="O1505" t="s">
        <v>78</v>
      </c>
      <c r="P1505" t="s">
        <v>86</v>
      </c>
    </row>
    <row r="1506" spans="1:16" x14ac:dyDescent="0.25">
      <c r="A1506">
        <v>1505</v>
      </c>
      <c r="B1506" s="2">
        <v>45900</v>
      </c>
      <c r="C1506" t="s">
        <v>22</v>
      </c>
      <c r="D1506" t="s">
        <v>24</v>
      </c>
      <c r="E1506" t="s">
        <v>32</v>
      </c>
      <c r="F1506" t="s">
        <v>62</v>
      </c>
      <c r="G1506" t="s">
        <v>70</v>
      </c>
      <c r="H1506" t="s">
        <v>74</v>
      </c>
      <c r="I1506">
        <v>1</v>
      </c>
      <c r="J1506">
        <v>13940</v>
      </c>
      <c r="K1506">
        <v>0.05</v>
      </c>
      <c r="L1506">
        <v>13243</v>
      </c>
      <c r="M1506">
        <v>7560.94</v>
      </c>
      <c r="N1506">
        <v>5682.06</v>
      </c>
      <c r="O1506" t="s">
        <v>79</v>
      </c>
      <c r="P1506" t="s">
        <v>86</v>
      </c>
    </row>
    <row r="1507" spans="1:16" x14ac:dyDescent="0.25">
      <c r="A1507">
        <v>1506</v>
      </c>
      <c r="B1507" s="2">
        <v>46003</v>
      </c>
      <c r="C1507" t="s">
        <v>21</v>
      </c>
      <c r="D1507" t="s">
        <v>24</v>
      </c>
      <c r="E1507" t="s">
        <v>30</v>
      </c>
      <c r="F1507" t="s">
        <v>40</v>
      </c>
      <c r="G1507" t="s">
        <v>70</v>
      </c>
      <c r="H1507" t="s">
        <v>75</v>
      </c>
      <c r="I1507">
        <v>1</v>
      </c>
      <c r="J1507">
        <v>7164</v>
      </c>
      <c r="K1507">
        <v>0.15</v>
      </c>
      <c r="L1507">
        <v>6089.4</v>
      </c>
      <c r="M1507">
        <v>4526.68</v>
      </c>
      <c r="N1507">
        <v>1562.72</v>
      </c>
      <c r="O1507" t="s">
        <v>78</v>
      </c>
      <c r="P1507" t="s">
        <v>84</v>
      </c>
    </row>
    <row r="1508" spans="1:16" x14ac:dyDescent="0.25">
      <c r="A1508">
        <v>1507</v>
      </c>
      <c r="B1508" s="2">
        <v>45987</v>
      </c>
      <c r="C1508" t="s">
        <v>19</v>
      </c>
      <c r="D1508" t="s">
        <v>26</v>
      </c>
      <c r="E1508" t="s">
        <v>28</v>
      </c>
      <c r="F1508" t="s">
        <v>58</v>
      </c>
      <c r="G1508" t="s">
        <v>71</v>
      </c>
      <c r="H1508" t="s">
        <v>73</v>
      </c>
      <c r="I1508">
        <v>4</v>
      </c>
      <c r="J1508">
        <v>1595</v>
      </c>
      <c r="K1508">
        <v>0.1</v>
      </c>
      <c r="L1508">
        <v>5742</v>
      </c>
      <c r="M1508">
        <v>4645.5600000000004</v>
      </c>
      <c r="N1508">
        <v>1096.44</v>
      </c>
      <c r="O1508" t="s">
        <v>80</v>
      </c>
      <c r="P1508" t="s">
        <v>81</v>
      </c>
    </row>
    <row r="1509" spans="1:16" x14ac:dyDescent="0.25">
      <c r="A1509">
        <v>1508</v>
      </c>
      <c r="B1509" s="2">
        <v>45936</v>
      </c>
      <c r="C1509" t="s">
        <v>20</v>
      </c>
      <c r="D1509" t="s">
        <v>26</v>
      </c>
      <c r="E1509" t="s">
        <v>29</v>
      </c>
      <c r="F1509" t="s">
        <v>42</v>
      </c>
      <c r="G1509" t="s">
        <v>71</v>
      </c>
      <c r="H1509" t="s">
        <v>73</v>
      </c>
      <c r="I1509">
        <v>1</v>
      </c>
      <c r="J1509">
        <v>2773</v>
      </c>
      <c r="K1509">
        <v>0.1</v>
      </c>
      <c r="L1509">
        <v>2495.6999999999998</v>
      </c>
      <c r="M1509">
        <v>2155.85</v>
      </c>
      <c r="N1509">
        <v>339.85</v>
      </c>
      <c r="O1509" t="s">
        <v>77</v>
      </c>
      <c r="P1509" t="s">
        <v>83</v>
      </c>
    </row>
    <row r="1510" spans="1:16" x14ac:dyDescent="0.25">
      <c r="A1510">
        <v>1509</v>
      </c>
      <c r="B1510" s="2">
        <v>45977</v>
      </c>
      <c r="C1510" t="s">
        <v>20</v>
      </c>
      <c r="D1510" t="s">
        <v>26</v>
      </c>
      <c r="E1510" t="s">
        <v>32</v>
      </c>
      <c r="F1510" t="s">
        <v>39</v>
      </c>
      <c r="G1510" t="s">
        <v>71</v>
      </c>
      <c r="H1510" t="s">
        <v>73</v>
      </c>
      <c r="I1510">
        <v>7</v>
      </c>
      <c r="J1510">
        <v>2533</v>
      </c>
      <c r="K1510">
        <v>0.15</v>
      </c>
      <c r="L1510">
        <v>15071.35</v>
      </c>
      <c r="M1510">
        <v>12016.03</v>
      </c>
      <c r="N1510">
        <v>3055.32</v>
      </c>
      <c r="O1510" t="s">
        <v>80</v>
      </c>
      <c r="P1510" t="s">
        <v>86</v>
      </c>
    </row>
    <row r="1511" spans="1:16" x14ac:dyDescent="0.25">
      <c r="A1511">
        <v>1510</v>
      </c>
      <c r="B1511" s="2">
        <v>45772</v>
      </c>
      <c r="C1511" t="s">
        <v>21</v>
      </c>
      <c r="D1511" t="s">
        <v>24</v>
      </c>
      <c r="E1511" t="s">
        <v>31</v>
      </c>
      <c r="F1511" t="s">
        <v>69</v>
      </c>
      <c r="G1511" t="s">
        <v>72</v>
      </c>
      <c r="H1511" t="s">
        <v>73</v>
      </c>
      <c r="I1511">
        <v>6</v>
      </c>
      <c r="J1511">
        <v>1246</v>
      </c>
      <c r="K1511">
        <v>0.2</v>
      </c>
      <c r="L1511">
        <v>5980.8</v>
      </c>
      <c r="M1511">
        <v>5138.21</v>
      </c>
      <c r="N1511">
        <v>842.59</v>
      </c>
      <c r="O1511" t="s">
        <v>76</v>
      </c>
      <c r="P1511" t="s">
        <v>84</v>
      </c>
    </row>
    <row r="1512" spans="1:16" x14ac:dyDescent="0.25">
      <c r="A1512">
        <v>1511</v>
      </c>
      <c r="B1512" s="2">
        <v>45913</v>
      </c>
      <c r="C1512" t="s">
        <v>23</v>
      </c>
      <c r="D1512" t="s">
        <v>27</v>
      </c>
      <c r="E1512" t="s">
        <v>29</v>
      </c>
      <c r="F1512" t="s">
        <v>53</v>
      </c>
      <c r="G1512" t="s">
        <v>70</v>
      </c>
      <c r="H1512" t="s">
        <v>73</v>
      </c>
      <c r="I1512">
        <v>2</v>
      </c>
      <c r="J1512">
        <v>6490</v>
      </c>
      <c r="K1512">
        <v>0.1</v>
      </c>
      <c r="L1512">
        <v>11682</v>
      </c>
      <c r="M1512">
        <v>7836.21</v>
      </c>
      <c r="N1512">
        <v>3845.79</v>
      </c>
      <c r="O1512" t="s">
        <v>78</v>
      </c>
      <c r="P1512" t="s">
        <v>84</v>
      </c>
    </row>
    <row r="1513" spans="1:16" x14ac:dyDescent="0.25">
      <c r="A1513">
        <v>1512</v>
      </c>
      <c r="B1513" s="2">
        <v>45972</v>
      </c>
      <c r="C1513" t="s">
        <v>20</v>
      </c>
      <c r="D1513" t="s">
        <v>26</v>
      </c>
      <c r="E1513" t="s">
        <v>33</v>
      </c>
      <c r="F1513" t="s">
        <v>60</v>
      </c>
      <c r="G1513" t="s">
        <v>71</v>
      </c>
      <c r="H1513" t="s">
        <v>75</v>
      </c>
      <c r="I1513">
        <v>2</v>
      </c>
      <c r="J1513">
        <v>17349</v>
      </c>
      <c r="K1513">
        <v>0.1</v>
      </c>
      <c r="L1513">
        <v>31228.2</v>
      </c>
      <c r="M1513">
        <v>18220.55</v>
      </c>
      <c r="N1513">
        <v>13007.65</v>
      </c>
      <c r="O1513" t="s">
        <v>78</v>
      </c>
      <c r="P1513" t="s">
        <v>85</v>
      </c>
    </row>
    <row r="1514" spans="1:16" x14ac:dyDescent="0.25">
      <c r="A1514">
        <v>1513</v>
      </c>
      <c r="B1514" s="2">
        <v>45965</v>
      </c>
      <c r="C1514" t="s">
        <v>21</v>
      </c>
      <c r="D1514" t="s">
        <v>24</v>
      </c>
      <c r="E1514" t="s">
        <v>33</v>
      </c>
      <c r="F1514" t="s">
        <v>59</v>
      </c>
      <c r="G1514" t="s">
        <v>70</v>
      </c>
      <c r="H1514" t="s">
        <v>74</v>
      </c>
      <c r="I1514">
        <v>4</v>
      </c>
      <c r="J1514">
        <v>24256</v>
      </c>
      <c r="K1514">
        <v>0</v>
      </c>
      <c r="L1514">
        <v>97024</v>
      </c>
      <c r="M1514">
        <v>72794.509999999995</v>
      </c>
      <c r="N1514">
        <v>24229.49</v>
      </c>
      <c r="O1514" t="s">
        <v>76</v>
      </c>
      <c r="P1514" t="s">
        <v>85</v>
      </c>
    </row>
    <row r="1515" spans="1:16" x14ac:dyDescent="0.25">
      <c r="A1515">
        <v>1514</v>
      </c>
      <c r="B1515" s="2">
        <v>45698</v>
      </c>
      <c r="C1515" t="s">
        <v>16</v>
      </c>
      <c r="D1515" t="s">
        <v>24</v>
      </c>
      <c r="E1515" t="s">
        <v>29</v>
      </c>
      <c r="F1515" t="s">
        <v>57</v>
      </c>
      <c r="G1515" t="s">
        <v>70</v>
      </c>
      <c r="H1515" t="s">
        <v>75</v>
      </c>
      <c r="I1515">
        <v>7</v>
      </c>
      <c r="J1515">
        <v>690</v>
      </c>
      <c r="K1515">
        <v>0.05</v>
      </c>
      <c r="L1515">
        <v>4588.5</v>
      </c>
      <c r="M1515">
        <v>3298.53</v>
      </c>
      <c r="N1515">
        <v>1289.97</v>
      </c>
      <c r="O1515" t="s">
        <v>78</v>
      </c>
      <c r="P1515" t="s">
        <v>83</v>
      </c>
    </row>
    <row r="1516" spans="1:16" x14ac:dyDescent="0.25">
      <c r="A1516">
        <v>1515</v>
      </c>
      <c r="B1516" s="2">
        <v>45830</v>
      </c>
      <c r="C1516" t="s">
        <v>17</v>
      </c>
      <c r="D1516" t="s">
        <v>25</v>
      </c>
      <c r="E1516" t="s">
        <v>34</v>
      </c>
      <c r="F1516" t="s">
        <v>51</v>
      </c>
      <c r="G1516" t="s">
        <v>72</v>
      </c>
      <c r="H1516" t="s">
        <v>73</v>
      </c>
      <c r="I1516">
        <v>7</v>
      </c>
      <c r="J1516">
        <v>3994</v>
      </c>
      <c r="K1516">
        <v>0.05</v>
      </c>
      <c r="L1516">
        <v>26560.1</v>
      </c>
      <c r="M1516">
        <v>18945.240000000002</v>
      </c>
      <c r="N1516">
        <v>7614.86</v>
      </c>
      <c r="O1516" t="s">
        <v>79</v>
      </c>
      <c r="P1516" t="s">
        <v>83</v>
      </c>
    </row>
    <row r="1517" spans="1:16" x14ac:dyDescent="0.25">
      <c r="A1517">
        <v>1516</v>
      </c>
      <c r="B1517" s="2">
        <v>45678</v>
      </c>
      <c r="C1517" t="s">
        <v>18</v>
      </c>
      <c r="D1517" t="s">
        <v>26</v>
      </c>
      <c r="E1517" t="s">
        <v>30</v>
      </c>
      <c r="F1517" t="s">
        <v>64</v>
      </c>
      <c r="G1517" t="s">
        <v>72</v>
      </c>
      <c r="H1517" t="s">
        <v>73</v>
      </c>
      <c r="I1517">
        <v>3</v>
      </c>
      <c r="J1517">
        <v>11690</v>
      </c>
      <c r="K1517">
        <v>0.1</v>
      </c>
      <c r="L1517">
        <v>31563</v>
      </c>
      <c r="M1517">
        <v>21078.46</v>
      </c>
      <c r="N1517">
        <v>10484.540000000001</v>
      </c>
      <c r="O1517" t="s">
        <v>77</v>
      </c>
      <c r="P1517" t="s">
        <v>81</v>
      </c>
    </row>
    <row r="1518" spans="1:16" x14ac:dyDescent="0.25">
      <c r="A1518">
        <v>1517</v>
      </c>
      <c r="B1518" s="2">
        <v>45753</v>
      </c>
      <c r="C1518" t="s">
        <v>23</v>
      </c>
      <c r="D1518" t="s">
        <v>27</v>
      </c>
      <c r="E1518" t="s">
        <v>30</v>
      </c>
      <c r="F1518" t="s">
        <v>56</v>
      </c>
      <c r="G1518" t="s">
        <v>72</v>
      </c>
      <c r="H1518" t="s">
        <v>73</v>
      </c>
      <c r="I1518">
        <v>5</v>
      </c>
      <c r="J1518">
        <v>35263</v>
      </c>
      <c r="K1518">
        <v>0.15</v>
      </c>
      <c r="L1518">
        <v>149867.75</v>
      </c>
      <c r="M1518">
        <v>112295.36</v>
      </c>
      <c r="N1518">
        <v>37572.39</v>
      </c>
      <c r="O1518" t="s">
        <v>76</v>
      </c>
      <c r="P1518" t="s">
        <v>88</v>
      </c>
    </row>
    <row r="1519" spans="1:16" x14ac:dyDescent="0.25">
      <c r="A1519">
        <v>1518</v>
      </c>
      <c r="B1519" s="2">
        <v>45674</v>
      </c>
      <c r="C1519" t="s">
        <v>18</v>
      </c>
      <c r="D1519" t="s">
        <v>26</v>
      </c>
      <c r="E1519" t="s">
        <v>28</v>
      </c>
      <c r="F1519" t="s">
        <v>35</v>
      </c>
      <c r="G1519" t="s">
        <v>71</v>
      </c>
      <c r="H1519" t="s">
        <v>73</v>
      </c>
      <c r="I1519">
        <v>3</v>
      </c>
      <c r="J1519">
        <v>1586</v>
      </c>
      <c r="K1519">
        <v>0.1</v>
      </c>
      <c r="L1519">
        <v>4282.2</v>
      </c>
      <c r="M1519">
        <v>2763.36</v>
      </c>
      <c r="N1519">
        <v>1518.84</v>
      </c>
      <c r="O1519" t="s">
        <v>80</v>
      </c>
      <c r="P1519" t="s">
        <v>88</v>
      </c>
    </row>
    <row r="1520" spans="1:16" x14ac:dyDescent="0.25">
      <c r="A1520">
        <v>1519</v>
      </c>
      <c r="B1520" s="2">
        <v>45997</v>
      </c>
      <c r="C1520" t="s">
        <v>20</v>
      </c>
      <c r="D1520" t="s">
        <v>26</v>
      </c>
      <c r="E1520" t="s">
        <v>33</v>
      </c>
      <c r="F1520" t="s">
        <v>52</v>
      </c>
      <c r="G1520" t="s">
        <v>70</v>
      </c>
      <c r="H1520" t="s">
        <v>73</v>
      </c>
      <c r="I1520">
        <v>7</v>
      </c>
      <c r="J1520">
        <v>20525</v>
      </c>
      <c r="K1520">
        <v>0.05</v>
      </c>
      <c r="L1520">
        <v>136491.25</v>
      </c>
      <c r="M1520">
        <v>75528.490000000005</v>
      </c>
      <c r="N1520">
        <v>60962.76</v>
      </c>
      <c r="O1520" t="s">
        <v>76</v>
      </c>
      <c r="P1520" t="s">
        <v>88</v>
      </c>
    </row>
    <row r="1521" spans="1:16" x14ac:dyDescent="0.25">
      <c r="A1521">
        <v>1520</v>
      </c>
      <c r="B1521" s="2">
        <v>45906</v>
      </c>
      <c r="C1521" t="s">
        <v>20</v>
      </c>
      <c r="D1521" t="s">
        <v>26</v>
      </c>
      <c r="E1521" t="s">
        <v>30</v>
      </c>
      <c r="F1521" t="s">
        <v>37</v>
      </c>
      <c r="G1521" t="s">
        <v>71</v>
      </c>
      <c r="H1521" t="s">
        <v>75</v>
      </c>
      <c r="I1521">
        <v>6</v>
      </c>
      <c r="J1521">
        <v>42496</v>
      </c>
      <c r="K1521">
        <v>0.05</v>
      </c>
      <c r="L1521">
        <v>242227.20000000001</v>
      </c>
      <c r="M1521">
        <v>210494.4</v>
      </c>
      <c r="N1521">
        <v>31732.799999999999</v>
      </c>
      <c r="O1521" t="s">
        <v>79</v>
      </c>
      <c r="P1521" t="s">
        <v>83</v>
      </c>
    </row>
    <row r="1522" spans="1:16" x14ac:dyDescent="0.25">
      <c r="A1522">
        <v>1521</v>
      </c>
      <c r="B1522" s="2">
        <v>45807</v>
      </c>
      <c r="C1522" t="s">
        <v>22</v>
      </c>
      <c r="D1522" t="s">
        <v>24</v>
      </c>
      <c r="E1522" t="s">
        <v>31</v>
      </c>
      <c r="F1522" t="s">
        <v>47</v>
      </c>
      <c r="G1522" t="s">
        <v>70</v>
      </c>
      <c r="H1522" t="s">
        <v>73</v>
      </c>
      <c r="I1522">
        <v>4</v>
      </c>
      <c r="J1522">
        <v>302</v>
      </c>
      <c r="K1522">
        <v>0</v>
      </c>
      <c r="L1522">
        <v>1208</v>
      </c>
      <c r="M1522">
        <v>770.81</v>
      </c>
      <c r="N1522">
        <v>437.19</v>
      </c>
      <c r="O1522" t="s">
        <v>76</v>
      </c>
      <c r="P1522" t="s">
        <v>85</v>
      </c>
    </row>
    <row r="1523" spans="1:16" x14ac:dyDescent="0.25">
      <c r="A1523">
        <v>1522</v>
      </c>
      <c r="B1523" s="2">
        <v>45721</v>
      </c>
      <c r="C1523" t="s">
        <v>19</v>
      </c>
      <c r="D1523" t="s">
        <v>26</v>
      </c>
      <c r="E1523" t="s">
        <v>32</v>
      </c>
      <c r="F1523" t="s">
        <v>48</v>
      </c>
      <c r="G1523" t="s">
        <v>71</v>
      </c>
      <c r="H1523" t="s">
        <v>73</v>
      </c>
      <c r="I1523">
        <v>4</v>
      </c>
      <c r="J1523">
        <v>3611</v>
      </c>
      <c r="K1523">
        <v>0</v>
      </c>
      <c r="L1523">
        <v>14444</v>
      </c>
      <c r="M1523">
        <v>9444.4599999999991</v>
      </c>
      <c r="N1523">
        <v>4999.54</v>
      </c>
      <c r="O1523" t="s">
        <v>80</v>
      </c>
      <c r="P1523" t="s">
        <v>82</v>
      </c>
    </row>
    <row r="1524" spans="1:16" x14ac:dyDescent="0.25">
      <c r="A1524">
        <v>1523</v>
      </c>
      <c r="B1524" s="2">
        <v>45909</v>
      </c>
      <c r="C1524" t="s">
        <v>22</v>
      </c>
      <c r="D1524" t="s">
        <v>24</v>
      </c>
      <c r="E1524" t="s">
        <v>30</v>
      </c>
      <c r="F1524" t="s">
        <v>40</v>
      </c>
      <c r="G1524" t="s">
        <v>71</v>
      </c>
      <c r="H1524" t="s">
        <v>74</v>
      </c>
      <c r="I1524">
        <v>5</v>
      </c>
      <c r="J1524">
        <v>53640</v>
      </c>
      <c r="K1524">
        <v>0.15</v>
      </c>
      <c r="L1524">
        <v>227970</v>
      </c>
      <c r="M1524">
        <v>182322.66</v>
      </c>
      <c r="N1524">
        <v>45647.34</v>
      </c>
      <c r="O1524" t="s">
        <v>77</v>
      </c>
      <c r="P1524" t="s">
        <v>87</v>
      </c>
    </row>
    <row r="1525" spans="1:16" x14ac:dyDescent="0.25">
      <c r="A1525">
        <v>1524</v>
      </c>
      <c r="B1525" s="2">
        <v>45890</v>
      </c>
      <c r="C1525" t="s">
        <v>23</v>
      </c>
      <c r="D1525" t="s">
        <v>27</v>
      </c>
      <c r="E1525" t="s">
        <v>34</v>
      </c>
      <c r="F1525" t="s">
        <v>43</v>
      </c>
      <c r="G1525" t="s">
        <v>72</v>
      </c>
      <c r="H1525" t="s">
        <v>74</v>
      </c>
      <c r="I1525">
        <v>5</v>
      </c>
      <c r="J1525">
        <v>562</v>
      </c>
      <c r="K1525">
        <v>0.15</v>
      </c>
      <c r="L1525">
        <v>2388.5</v>
      </c>
      <c r="M1525">
        <v>1682.22</v>
      </c>
      <c r="N1525">
        <v>706.28</v>
      </c>
      <c r="O1525" t="s">
        <v>80</v>
      </c>
      <c r="P1525" t="s">
        <v>87</v>
      </c>
    </row>
    <row r="1526" spans="1:16" x14ac:dyDescent="0.25">
      <c r="A1526">
        <v>1525</v>
      </c>
      <c r="B1526" s="2">
        <v>45900</v>
      </c>
      <c r="C1526" t="s">
        <v>22</v>
      </c>
      <c r="D1526" t="s">
        <v>24</v>
      </c>
      <c r="E1526" t="s">
        <v>34</v>
      </c>
      <c r="F1526" t="s">
        <v>65</v>
      </c>
      <c r="G1526" t="s">
        <v>70</v>
      </c>
      <c r="H1526" t="s">
        <v>73</v>
      </c>
      <c r="I1526">
        <v>6</v>
      </c>
      <c r="J1526">
        <v>2751</v>
      </c>
      <c r="K1526">
        <v>0.1</v>
      </c>
      <c r="L1526">
        <v>14855.4</v>
      </c>
      <c r="M1526">
        <v>9495.0400000000009</v>
      </c>
      <c r="N1526">
        <v>5360.36</v>
      </c>
      <c r="O1526" t="s">
        <v>80</v>
      </c>
      <c r="P1526" t="s">
        <v>86</v>
      </c>
    </row>
    <row r="1527" spans="1:16" x14ac:dyDescent="0.25">
      <c r="A1527">
        <v>1526</v>
      </c>
      <c r="B1527" s="2">
        <v>45997</v>
      </c>
      <c r="C1527" t="s">
        <v>23</v>
      </c>
      <c r="D1527" t="s">
        <v>27</v>
      </c>
      <c r="E1527" t="s">
        <v>31</v>
      </c>
      <c r="F1527" t="s">
        <v>50</v>
      </c>
      <c r="G1527" t="s">
        <v>70</v>
      </c>
      <c r="H1527" t="s">
        <v>73</v>
      </c>
      <c r="I1527">
        <v>7</v>
      </c>
      <c r="J1527">
        <v>720</v>
      </c>
      <c r="K1527">
        <v>0.1</v>
      </c>
      <c r="L1527">
        <v>4536</v>
      </c>
      <c r="M1527">
        <v>3965.65</v>
      </c>
      <c r="N1527">
        <v>570.35</v>
      </c>
      <c r="O1527" t="s">
        <v>76</v>
      </c>
      <c r="P1527" t="s">
        <v>85</v>
      </c>
    </row>
    <row r="1528" spans="1:16" x14ac:dyDescent="0.25">
      <c r="A1528">
        <v>1527</v>
      </c>
      <c r="B1528" s="2">
        <v>45923</v>
      </c>
      <c r="C1528" t="s">
        <v>17</v>
      </c>
      <c r="D1528" t="s">
        <v>25</v>
      </c>
      <c r="E1528" t="s">
        <v>34</v>
      </c>
      <c r="F1528" t="s">
        <v>51</v>
      </c>
      <c r="G1528" t="s">
        <v>71</v>
      </c>
      <c r="H1528" t="s">
        <v>73</v>
      </c>
      <c r="I1528">
        <v>3</v>
      </c>
      <c r="J1528">
        <v>5181</v>
      </c>
      <c r="K1528">
        <v>0</v>
      </c>
      <c r="L1528">
        <v>15543</v>
      </c>
      <c r="M1528">
        <v>9979.7800000000007</v>
      </c>
      <c r="N1528">
        <v>5563.22</v>
      </c>
      <c r="O1528" t="s">
        <v>80</v>
      </c>
      <c r="P1528" t="s">
        <v>81</v>
      </c>
    </row>
    <row r="1529" spans="1:16" x14ac:dyDescent="0.25">
      <c r="A1529">
        <v>1528</v>
      </c>
      <c r="B1529" s="2">
        <v>45969</v>
      </c>
      <c r="C1529" t="s">
        <v>23</v>
      </c>
      <c r="D1529" t="s">
        <v>27</v>
      </c>
      <c r="E1529" t="s">
        <v>32</v>
      </c>
      <c r="F1529" t="s">
        <v>62</v>
      </c>
      <c r="G1529" t="s">
        <v>71</v>
      </c>
      <c r="H1529" t="s">
        <v>75</v>
      </c>
      <c r="I1529">
        <v>8</v>
      </c>
      <c r="J1529">
        <v>2747</v>
      </c>
      <c r="K1529">
        <v>0.15</v>
      </c>
      <c r="L1529">
        <v>18679.599999999999</v>
      </c>
      <c r="M1529">
        <v>16394.68</v>
      </c>
      <c r="N1529">
        <v>2284.92</v>
      </c>
      <c r="O1529" t="s">
        <v>76</v>
      </c>
      <c r="P1529" t="s">
        <v>82</v>
      </c>
    </row>
    <row r="1530" spans="1:16" x14ac:dyDescent="0.25">
      <c r="A1530">
        <v>1529</v>
      </c>
      <c r="B1530" s="2">
        <v>45762</v>
      </c>
      <c r="C1530" t="s">
        <v>19</v>
      </c>
      <c r="D1530" t="s">
        <v>26</v>
      </c>
      <c r="E1530" t="s">
        <v>32</v>
      </c>
      <c r="F1530" t="s">
        <v>39</v>
      </c>
      <c r="G1530" t="s">
        <v>71</v>
      </c>
      <c r="H1530" t="s">
        <v>74</v>
      </c>
      <c r="I1530">
        <v>6</v>
      </c>
      <c r="J1530">
        <v>13608</v>
      </c>
      <c r="K1530">
        <v>0.15</v>
      </c>
      <c r="L1530">
        <v>69400.800000000003</v>
      </c>
      <c r="M1530">
        <v>39383.61</v>
      </c>
      <c r="N1530">
        <v>30017.19</v>
      </c>
      <c r="O1530" t="s">
        <v>77</v>
      </c>
      <c r="P1530" t="s">
        <v>86</v>
      </c>
    </row>
    <row r="1531" spans="1:16" x14ac:dyDescent="0.25">
      <c r="A1531">
        <v>1530</v>
      </c>
      <c r="B1531" s="2">
        <v>45970</v>
      </c>
      <c r="C1531" t="s">
        <v>16</v>
      </c>
      <c r="D1531" t="s">
        <v>24</v>
      </c>
      <c r="E1531" t="s">
        <v>32</v>
      </c>
      <c r="F1531" t="s">
        <v>49</v>
      </c>
      <c r="G1531" t="s">
        <v>72</v>
      </c>
      <c r="H1531" t="s">
        <v>74</v>
      </c>
      <c r="I1531">
        <v>1</v>
      </c>
      <c r="J1531">
        <v>20391</v>
      </c>
      <c r="K1531">
        <v>0</v>
      </c>
      <c r="L1531">
        <v>20391</v>
      </c>
      <c r="M1531">
        <v>15975.96</v>
      </c>
      <c r="N1531">
        <v>4415.04</v>
      </c>
      <c r="O1531" t="s">
        <v>76</v>
      </c>
      <c r="P1531" t="s">
        <v>83</v>
      </c>
    </row>
    <row r="1532" spans="1:16" x14ac:dyDescent="0.25">
      <c r="A1532">
        <v>1531</v>
      </c>
      <c r="B1532" s="2">
        <v>45897</v>
      </c>
      <c r="C1532" t="s">
        <v>21</v>
      </c>
      <c r="D1532" t="s">
        <v>24</v>
      </c>
      <c r="E1532" t="s">
        <v>32</v>
      </c>
      <c r="F1532" t="s">
        <v>48</v>
      </c>
      <c r="G1532" t="s">
        <v>71</v>
      </c>
      <c r="H1532" t="s">
        <v>73</v>
      </c>
      <c r="I1532">
        <v>6</v>
      </c>
      <c r="J1532">
        <v>19381</v>
      </c>
      <c r="K1532">
        <v>0.05</v>
      </c>
      <c r="L1532">
        <v>110471.7</v>
      </c>
      <c r="M1532">
        <v>65819.13</v>
      </c>
      <c r="N1532">
        <v>44652.57</v>
      </c>
      <c r="O1532" t="s">
        <v>80</v>
      </c>
      <c r="P1532" t="s">
        <v>82</v>
      </c>
    </row>
    <row r="1533" spans="1:16" x14ac:dyDescent="0.25">
      <c r="A1533">
        <v>1532</v>
      </c>
      <c r="B1533" s="2">
        <v>45710</v>
      </c>
      <c r="C1533" t="s">
        <v>22</v>
      </c>
      <c r="D1533" t="s">
        <v>24</v>
      </c>
      <c r="E1533" t="s">
        <v>32</v>
      </c>
      <c r="F1533" t="s">
        <v>66</v>
      </c>
      <c r="G1533" t="s">
        <v>72</v>
      </c>
      <c r="H1533" t="s">
        <v>75</v>
      </c>
      <c r="I1533">
        <v>7</v>
      </c>
      <c r="J1533">
        <v>11916</v>
      </c>
      <c r="K1533">
        <v>0.15</v>
      </c>
      <c r="L1533">
        <v>70900.2</v>
      </c>
      <c r="M1533">
        <v>41726.129999999997</v>
      </c>
      <c r="N1533">
        <v>29174.07</v>
      </c>
      <c r="O1533" t="s">
        <v>77</v>
      </c>
      <c r="P1533" t="s">
        <v>84</v>
      </c>
    </row>
    <row r="1534" spans="1:16" x14ac:dyDescent="0.25">
      <c r="A1534">
        <v>1533</v>
      </c>
      <c r="B1534" s="2">
        <v>45706</v>
      </c>
      <c r="C1534" t="s">
        <v>23</v>
      </c>
      <c r="D1534" t="s">
        <v>27</v>
      </c>
      <c r="E1534" t="s">
        <v>28</v>
      </c>
      <c r="F1534" t="s">
        <v>63</v>
      </c>
      <c r="G1534" t="s">
        <v>71</v>
      </c>
      <c r="H1534" t="s">
        <v>75</v>
      </c>
      <c r="I1534">
        <v>5</v>
      </c>
      <c r="J1534">
        <v>1352</v>
      </c>
      <c r="K1534">
        <v>0.1</v>
      </c>
      <c r="L1534">
        <v>6084</v>
      </c>
      <c r="M1534">
        <v>4601.3500000000004</v>
      </c>
      <c r="N1534">
        <v>1482.65</v>
      </c>
      <c r="O1534" t="s">
        <v>80</v>
      </c>
      <c r="P1534" t="s">
        <v>83</v>
      </c>
    </row>
    <row r="1535" spans="1:16" x14ac:dyDescent="0.25">
      <c r="A1535">
        <v>1534</v>
      </c>
      <c r="B1535" s="2">
        <v>45915</v>
      </c>
      <c r="C1535" t="s">
        <v>21</v>
      </c>
      <c r="D1535" t="s">
        <v>24</v>
      </c>
      <c r="E1535" t="s">
        <v>30</v>
      </c>
      <c r="F1535" t="s">
        <v>40</v>
      </c>
      <c r="G1535" t="s">
        <v>71</v>
      </c>
      <c r="H1535" t="s">
        <v>74</v>
      </c>
      <c r="I1535">
        <v>7</v>
      </c>
      <c r="J1535">
        <v>43471</v>
      </c>
      <c r="K1535">
        <v>0.05</v>
      </c>
      <c r="L1535">
        <v>289082.15000000002</v>
      </c>
      <c r="M1535">
        <v>208164.99</v>
      </c>
      <c r="N1535">
        <v>80917.16</v>
      </c>
      <c r="O1535" t="s">
        <v>80</v>
      </c>
      <c r="P1535" t="s">
        <v>81</v>
      </c>
    </row>
    <row r="1536" spans="1:16" x14ac:dyDescent="0.25">
      <c r="A1536">
        <v>1535</v>
      </c>
      <c r="B1536" s="2">
        <v>45957</v>
      </c>
      <c r="C1536" t="s">
        <v>19</v>
      </c>
      <c r="D1536" t="s">
        <v>26</v>
      </c>
      <c r="E1536" t="s">
        <v>31</v>
      </c>
      <c r="F1536" t="s">
        <v>38</v>
      </c>
      <c r="G1536" t="s">
        <v>72</v>
      </c>
      <c r="H1536" t="s">
        <v>75</v>
      </c>
      <c r="I1536">
        <v>8</v>
      </c>
      <c r="J1536">
        <v>1890</v>
      </c>
      <c r="K1536">
        <v>0.1</v>
      </c>
      <c r="L1536">
        <v>13608</v>
      </c>
      <c r="M1536">
        <v>10447.07</v>
      </c>
      <c r="N1536">
        <v>3160.93</v>
      </c>
      <c r="O1536" t="s">
        <v>80</v>
      </c>
      <c r="P1536" t="s">
        <v>88</v>
      </c>
    </row>
    <row r="1537" spans="1:16" x14ac:dyDescent="0.25">
      <c r="A1537">
        <v>1536</v>
      </c>
      <c r="B1537" s="2">
        <v>46011</v>
      </c>
      <c r="C1537" t="s">
        <v>18</v>
      </c>
      <c r="D1537" t="s">
        <v>26</v>
      </c>
      <c r="E1537" t="s">
        <v>34</v>
      </c>
      <c r="F1537" t="s">
        <v>68</v>
      </c>
      <c r="G1537" t="s">
        <v>70</v>
      </c>
      <c r="H1537" t="s">
        <v>75</v>
      </c>
      <c r="I1537">
        <v>4</v>
      </c>
      <c r="J1537">
        <v>4692</v>
      </c>
      <c r="K1537">
        <v>0.2</v>
      </c>
      <c r="L1537">
        <v>15014.4</v>
      </c>
      <c r="M1537">
        <v>8331.41</v>
      </c>
      <c r="N1537">
        <v>6682.99</v>
      </c>
      <c r="O1537" t="s">
        <v>80</v>
      </c>
      <c r="P1537" t="s">
        <v>86</v>
      </c>
    </row>
    <row r="1538" spans="1:16" x14ac:dyDescent="0.25">
      <c r="A1538">
        <v>1537</v>
      </c>
      <c r="B1538" s="2">
        <v>45687</v>
      </c>
      <c r="C1538" t="s">
        <v>20</v>
      </c>
      <c r="D1538" t="s">
        <v>26</v>
      </c>
      <c r="E1538" t="s">
        <v>31</v>
      </c>
      <c r="F1538" t="s">
        <v>38</v>
      </c>
      <c r="G1538" t="s">
        <v>72</v>
      </c>
      <c r="H1538" t="s">
        <v>75</v>
      </c>
      <c r="I1538">
        <v>7</v>
      </c>
      <c r="J1538">
        <v>1935</v>
      </c>
      <c r="K1538">
        <v>0</v>
      </c>
      <c r="L1538">
        <v>13545</v>
      </c>
      <c r="M1538">
        <v>9701.11</v>
      </c>
      <c r="N1538">
        <v>3843.89</v>
      </c>
      <c r="O1538" t="s">
        <v>76</v>
      </c>
      <c r="P1538" t="s">
        <v>83</v>
      </c>
    </row>
    <row r="1539" spans="1:16" x14ac:dyDescent="0.25">
      <c r="A1539">
        <v>1538</v>
      </c>
      <c r="B1539" s="2">
        <v>45752</v>
      </c>
      <c r="C1539" t="s">
        <v>22</v>
      </c>
      <c r="D1539" t="s">
        <v>24</v>
      </c>
      <c r="E1539" t="s">
        <v>30</v>
      </c>
      <c r="F1539" t="s">
        <v>64</v>
      </c>
      <c r="G1539" t="s">
        <v>71</v>
      </c>
      <c r="H1539" t="s">
        <v>74</v>
      </c>
      <c r="I1539">
        <v>6</v>
      </c>
      <c r="J1539">
        <v>12084</v>
      </c>
      <c r="K1539">
        <v>0</v>
      </c>
      <c r="L1539">
        <v>72504</v>
      </c>
      <c r="M1539">
        <v>40687.65</v>
      </c>
      <c r="N1539">
        <v>31816.35</v>
      </c>
      <c r="O1539" t="s">
        <v>76</v>
      </c>
      <c r="P1539" t="s">
        <v>87</v>
      </c>
    </row>
    <row r="1540" spans="1:16" x14ac:dyDescent="0.25">
      <c r="A1540">
        <v>1539</v>
      </c>
      <c r="B1540" s="2">
        <v>45933</v>
      </c>
      <c r="C1540" t="s">
        <v>19</v>
      </c>
      <c r="D1540" t="s">
        <v>26</v>
      </c>
      <c r="E1540" t="s">
        <v>29</v>
      </c>
      <c r="F1540" t="s">
        <v>53</v>
      </c>
      <c r="G1540" t="s">
        <v>71</v>
      </c>
      <c r="H1540" t="s">
        <v>74</v>
      </c>
      <c r="I1540">
        <v>8</v>
      </c>
      <c r="J1540">
        <v>1763</v>
      </c>
      <c r="K1540">
        <v>0</v>
      </c>
      <c r="L1540">
        <v>14104</v>
      </c>
      <c r="M1540">
        <v>7982.92</v>
      </c>
      <c r="N1540">
        <v>6121.08</v>
      </c>
      <c r="O1540" t="s">
        <v>76</v>
      </c>
      <c r="P1540" t="s">
        <v>87</v>
      </c>
    </row>
    <row r="1541" spans="1:16" x14ac:dyDescent="0.25">
      <c r="A1541">
        <v>1540</v>
      </c>
      <c r="B1541" s="2">
        <v>46012</v>
      </c>
      <c r="C1541" t="s">
        <v>22</v>
      </c>
      <c r="D1541" t="s">
        <v>24</v>
      </c>
      <c r="E1541" t="s">
        <v>29</v>
      </c>
      <c r="F1541" t="s">
        <v>42</v>
      </c>
      <c r="G1541" t="s">
        <v>72</v>
      </c>
      <c r="H1541" t="s">
        <v>75</v>
      </c>
      <c r="I1541">
        <v>4</v>
      </c>
      <c r="J1541">
        <v>9650</v>
      </c>
      <c r="K1541">
        <v>0.2</v>
      </c>
      <c r="L1541">
        <v>30880</v>
      </c>
      <c r="M1541">
        <v>24836.18</v>
      </c>
      <c r="N1541">
        <v>6043.82</v>
      </c>
      <c r="O1541" t="s">
        <v>78</v>
      </c>
      <c r="P1541" t="s">
        <v>81</v>
      </c>
    </row>
    <row r="1542" spans="1:16" x14ac:dyDescent="0.25">
      <c r="A1542">
        <v>1541</v>
      </c>
      <c r="B1542" s="2">
        <v>46007</v>
      </c>
      <c r="C1542" t="s">
        <v>20</v>
      </c>
      <c r="D1542" t="s">
        <v>26</v>
      </c>
      <c r="E1542" t="s">
        <v>34</v>
      </c>
      <c r="F1542" t="s">
        <v>51</v>
      </c>
      <c r="G1542" t="s">
        <v>71</v>
      </c>
      <c r="H1542" t="s">
        <v>74</v>
      </c>
      <c r="I1542">
        <v>3</v>
      </c>
      <c r="J1542">
        <v>2998</v>
      </c>
      <c r="K1542">
        <v>0.05</v>
      </c>
      <c r="L1542">
        <v>8544.2999999999993</v>
      </c>
      <c r="M1542">
        <v>6553.34</v>
      </c>
      <c r="N1542">
        <v>1990.96</v>
      </c>
      <c r="O1542" t="s">
        <v>76</v>
      </c>
      <c r="P1542" t="s">
        <v>83</v>
      </c>
    </row>
    <row r="1543" spans="1:16" x14ac:dyDescent="0.25">
      <c r="A1543">
        <v>1542</v>
      </c>
      <c r="B1543" s="2">
        <v>45760</v>
      </c>
      <c r="C1543" t="s">
        <v>17</v>
      </c>
      <c r="D1543" t="s">
        <v>25</v>
      </c>
      <c r="E1543" t="s">
        <v>31</v>
      </c>
      <c r="F1543" t="s">
        <v>38</v>
      </c>
      <c r="G1543" t="s">
        <v>70</v>
      </c>
      <c r="H1543" t="s">
        <v>73</v>
      </c>
      <c r="I1543">
        <v>2</v>
      </c>
      <c r="J1543">
        <v>1545</v>
      </c>
      <c r="K1543">
        <v>0.1</v>
      </c>
      <c r="L1543">
        <v>2781</v>
      </c>
      <c r="M1543">
        <v>1972.7</v>
      </c>
      <c r="N1543">
        <v>808.3</v>
      </c>
      <c r="O1543" t="s">
        <v>80</v>
      </c>
      <c r="P1543" t="s">
        <v>85</v>
      </c>
    </row>
    <row r="1544" spans="1:16" x14ac:dyDescent="0.25">
      <c r="A1544">
        <v>1543</v>
      </c>
      <c r="B1544" s="2">
        <v>45996</v>
      </c>
      <c r="C1544" t="s">
        <v>22</v>
      </c>
      <c r="D1544" t="s">
        <v>24</v>
      </c>
      <c r="E1544" t="s">
        <v>31</v>
      </c>
      <c r="F1544" t="s">
        <v>50</v>
      </c>
      <c r="G1544" t="s">
        <v>71</v>
      </c>
      <c r="H1544" t="s">
        <v>74</v>
      </c>
      <c r="I1544">
        <v>2</v>
      </c>
      <c r="J1544">
        <v>1983</v>
      </c>
      <c r="K1544">
        <v>0.1</v>
      </c>
      <c r="L1544">
        <v>3569.4</v>
      </c>
      <c r="M1544">
        <v>2455.44</v>
      </c>
      <c r="N1544">
        <v>1113.96</v>
      </c>
      <c r="O1544" t="s">
        <v>80</v>
      </c>
      <c r="P1544" t="s">
        <v>83</v>
      </c>
    </row>
    <row r="1545" spans="1:16" x14ac:dyDescent="0.25">
      <c r="A1545">
        <v>1544</v>
      </c>
      <c r="B1545" s="2">
        <v>45666</v>
      </c>
      <c r="C1545" t="s">
        <v>18</v>
      </c>
      <c r="D1545" t="s">
        <v>26</v>
      </c>
      <c r="E1545" t="s">
        <v>29</v>
      </c>
      <c r="F1545" t="s">
        <v>53</v>
      </c>
      <c r="G1545" t="s">
        <v>71</v>
      </c>
      <c r="H1545" t="s">
        <v>75</v>
      </c>
      <c r="I1545">
        <v>8</v>
      </c>
      <c r="J1545">
        <v>9392</v>
      </c>
      <c r="K1545">
        <v>0.1</v>
      </c>
      <c r="L1545">
        <v>67622.399999999994</v>
      </c>
      <c r="M1545">
        <v>37936.400000000001</v>
      </c>
      <c r="N1545">
        <v>29686</v>
      </c>
      <c r="O1545" t="s">
        <v>78</v>
      </c>
      <c r="P1545" t="s">
        <v>83</v>
      </c>
    </row>
    <row r="1546" spans="1:16" x14ac:dyDescent="0.25">
      <c r="A1546">
        <v>1545</v>
      </c>
      <c r="B1546" s="2">
        <v>45781</v>
      </c>
      <c r="C1546" t="s">
        <v>19</v>
      </c>
      <c r="D1546" t="s">
        <v>26</v>
      </c>
      <c r="E1546" t="s">
        <v>34</v>
      </c>
      <c r="F1546" t="s">
        <v>55</v>
      </c>
      <c r="G1546" t="s">
        <v>70</v>
      </c>
      <c r="H1546" t="s">
        <v>74</v>
      </c>
      <c r="I1546">
        <v>7</v>
      </c>
      <c r="J1546">
        <v>4303</v>
      </c>
      <c r="K1546">
        <v>0.15</v>
      </c>
      <c r="L1546">
        <v>25602.85</v>
      </c>
      <c r="M1546">
        <v>15464.09</v>
      </c>
      <c r="N1546">
        <v>10138.76</v>
      </c>
      <c r="O1546" t="s">
        <v>76</v>
      </c>
      <c r="P1546" t="s">
        <v>82</v>
      </c>
    </row>
    <row r="1547" spans="1:16" x14ac:dyDescent="0.25">
      <c r="A1547">
        <v>1546</v>
      </c>
      <c r="B1547" s="2">
        <v>45812</v>
      </c>
      <c r="C1547" t="s">
        <v>19</v>
      </c>
      <c r="D1547" t="s">
        <v>26</v>
      </c>
      <c r="E1547" t="s">
        <v>30</v>
      </c>
      <c r="F1547" t="s">
        <v>64</v>
      </c>
      <c r="G1547" t="s">
        <v>71</v>
      </c>
      <c r="H1547" t="s">
        <v>74</v>
      </c>
      <c r="I1547">
        <v>8</v>
      </c>
      <c r="J1547">
        <v>15337</v>
      </c>
      <c r="K1547">
        <v>0.05</v>
      </c>
      <c r="L1547">
        <v>116561.2</v>
      </c>
      <c r="M1547">
        <v>94108.49</v>
      </c>
      <c r="N1547">
        <v>22452.71</v>
      </c>
      <c r="O1547" t="s">
        <v>80</v>
      </c>
      <c r="P1547" t="s">
        <v>86</v>
      </c>
    </row>
    <row r="1548" spans="1:16" x14ac:dyDescent="0.25">
      <c r="A1548">
        <v>1547</v>
      </c>
      <c r="B1548" s="2">
        <v>45759</v>
      </c>
      <c r="C1548" t="s">
        <v>21</v>
      </c>
      <c r="D1548" t="s">
        <v>24</v>
      </c>
      <c r="E1548" t="s">
        <v>33</v>
      </c>
      <c r="F1548" t="s">
        <v>46</v>
      </c>
      <c r="G1548" t="s">
        <v>72</v>
      </c>
      <c r="H1548" t="s">
        <v>74</v>
      </c>
      <c r="I1548">
        <v>1</v>
      </c>
      <c r="J1548">
        <v>40777</v>
      </c>
      <c r="K1548">
        <v>0.1</v>
      </c>
      <c r="L1548">
        <v>36699.300000000003</v>
      </c>
      <c r="M1548">
        <v>24334.52</v>
      </c>
      <c r="N1548">
        <v>12364.78</v>
      </c>
      <c r="O1548" t="s">
        <v>76</v>
      </c>
      <c r="P1548" t="s">
        <v>85</v>
      </c>
    </row>
    <row r="1549" spans="1:16" x14ac:dyDescent="0.25">
      <c r="A1549">
        <v>1548</v>
      </c>
      <c r="B1549" s="2">
        <v>45999</v>
      </c>
      <c r="C1549" t="s">
        <v>21</v>
      </c>
      <c r="D1549" t="s">
        <v>24</v>
      </c>
      <c r="E1549" t="s">
        <v>30</v>
      </c>
      <c r="F1549" t="s">
        <v>64</v>
      </c>
      <c r="G1549" t="s">
        <v>71</v>
      </c>
      <c r="H1549" t="s">
        <v>75</v>
      </c>
      <c r="I1549">
        <v>3</v>
      </c>
      <c r="J1549">
        <v>58524</v>
      </c>
      <c r="K1549">
        <v>0</v>
      </c>
      <c r="L1549">
        <v>175572</v>
      </c>
      <c r="M1549">
        <v>99793.25</v>
      </c>
      <c r="N1549">
        <v>75778.75</v>
      </c>
      <c r="O1549" t="s">
        <v>78</v>
      </c>
      <c r="P1549" t="s">
        <v>88</v>
      </c>
    </row>
    <row r="1550" spans="1:16" x14ac:dyDescent="0.25">
      <c r="A1550">
        <v>1549</v>
      </c>
      <c r="B1550" s="2">
        <v>45717</v>
      </c>
      <c r="C1550" t="s">
        <v>21</v>
      </c>
      <c r="D1550" t="s">
        <v>24</v>
      </c>
      <c r="E1550" t="s">
        <v>33</v>
      </c>
      <c r="F1550" t="s">
        <v>46</v>
      </c>
      <c r="G1550" t="s">
        <v>71</v>
      </c>
      <c r="H1550" t="s">
        <v>74</v>
      </c>
      <c r="I1550">
        <v>3</v>
      </c>
      <c r="J1550">
        <v>3975</v>
      </c>
      <c r="K1550">
        <v>0.05</v>
      </c>
      <c r="L1550">
        <v>11328.75</v>
      </c>
      <c r="M1550">
        <v>7411.54</v>
      </c>
      <c r="N1550">
        <v>3917.21</v>
      </c>
      <c r="O1550" t="s">
        <v>76</v>
      </c>
      <c r="P1550" t="s">
        <v>81</v>
      </c>
    </row>
    <row r="1551" spans="1:16" x14ac:dyDescent="0.25">
      <c r="A1551">
        <v>1550</v>
      </c>
      <c r="B1551" s="2">
        <v>45865</v>
      </c>
      <c r="C1551" t="s">
        <v>17</v>
      </c>
      <c r="D1551" t="s">
        <v>25</v>
      </c>
      <c r="E1551" t="s">
        <v>34</v>
      </c>
      <c r="F1551" t="s">
        <v>55</v>
      </c>
      <c r="G1551" t="s">
        <v>71</v>
      </c>
      <c r="H1551" t="s">
        <v>73</v>
      </c>
      <c r="I1551">
        <v>6</v>
      </c>
      <c r="J1551">
        <v>5950</v>
      </c>
      <c r="K1551">
        <v>0.15</v>
      </c>
      <c r="L1551">
        <v>30345</v>
      </c>
      <c r="M1551">
        <v>22738.22</v>
      </c>
      <c r="N1551">
        <v>7606.78</v>
      </c>
      <c r="O1551" t="s">
        <v>77</v>
      </c>
      <c r="P1551" t="s">
        <v>84</v>
      </c>
    </row>
    <row r="1552" spans="1:16" x14ac:dyDescent="0.25">
      <c r="A1552">
        <v>1551</v>
      </c>
      <c r="B1552" s="2">
        <v>45814</v>
      </c>
      <c r="C1552" t="s">
        <v>18</v>
      </c>
      <c r="D1552" t="s">
        <v>26</v>
      </c>
      <c r="E1552" t="s">
        <v>28</v>
      </c>
      <c r="F1552" t="s">
        <v>54</v>
      </c>
      <c r="G1552" t="s">
        <v>71</v>
      </c>
      <c r="H1552" t="s">
        <v>75</v>
      </c>
      <c r="I1552">
        <v>8</v>
      </c>
      <c r="J1552">
        <v>884</v>
      </c>
      <c r="K1552">
        <v>0</v>
      </c>
      <c r="L1552">
        <v>7072</v>
      </c>
      <c r="M1552">
        <v>4161.54</v>
      </c>
      <c r="N1552">
        <v>2910.46</v>
      </c>
      <c r="O1552" t="s">
        <v>77</v>
      </c>
      <c r="P1552" t="s">
        <v>82</v>
      </c>
    </row>
    <row r="1553" spans="1:16" x14ac:dyDescent="0.25">
      <c r="A1553">
        <v>1552</v>
      </c>
      <c r="B1553" s="2">
        <v>45980</v>
      </c>
      <c r="C1553" t="s">
        <v>20</v>
      </c>
      <c r="D1553" t="s">
        <v>26</v>
      </c>
      <c r="E1553" t="s">
        <v>32</v>
      </c>
      <c r="F1553" t="s">
        <v>66</v>
      </c>
      <c r="G1553" t="s">
        <v>71</v>
      </c>
      <c r="H1553" t="s">
        <v>73</v>
      </c>
      <c r="I1553">
        <v>2</v>
      </c>
      <c r="J1553">
        <v>19581</v>
      </c>
      <c r="K1553">
        <v>0</v>
      </c>
      <c r="L1553">
        <v>39162</v>
      </c>
      <c r="M1553">
        <v>30115.74</v>
      </c>
      <c r="N1553">
        <v>9046.26</v>
      </c>
      <c r="O1553" t="s">
        <v>77</v>
      </c>
      <c r="P1553" t="s">
        <v>88</v>
      </c>
    </row>
    <row r="1554" spans="1:16" x14ac:dyDescent="0.25">
      <c r="A1554">
        <v>1553</v>
      </c>
      <c r="B1554" s="2">
        <v>45928</v>
      </c>
      <c r="C1554" t="s">
        <v>22</v>
      </c>
      <c r="D1554" t="s">
        <v>24</v>
      </c>
      <c r="E1554" t="s">
        <v>31</v>
      </c>
      <c r="F1554" t="s">
        <v>47</v>
      </c>
      <c r="G1554" t="s">
        <v>70</v>
      </c>
      <c r="H1554" t="s">
        <v>73</v>
      </c>
      <c r="I1554">
        <v>5</v>
      </c>
      <c r="J1554">
        <v>2207</v>
      </c>
      <c r="K1554">
        <v>0.05</v>
      </c>
      <c r="L1554">
        <v>10483.25</v>
      </c>
      <c r="M1554">
        <v>6576.45</v>
      </c>
      <c r="N1554">
        <v>3906.8</v>
      </c>
      <c r="O1554" t="s">
        <v>77</v>
      </c>
      <c r="P1554" t="s">
        <v>82</v>
      </c>
    </row>
    <row r="1555" spans="1:16" x14ac:dyDescent="0.25">
      <c r="A1555">
        <v>1554</v>
      </c>
      <c r="B1555" s="2">
        <v>45923</v>
      </c>
      <c r="C1555" t="s">
        <v>19</v>
      </c>
      <c r="D1555" t="s">
        <v>26</v>
      </c>
      <c r="E1555" t="s">
        <v>32</v>
      </c>
      <c r="F1555" t="s">
        <v>49</v>
      </c>
      <c r="G1555" t="s">
        <v>70</v>
      </c>
      <c r="H1555" t="s">
        <v>75</v>
      </c>
      <c r="I1555">
        <v>4</v>
      </c>
      <c r="J1555">
        <v>18394</v>
      </c>
      <c r="K1555">
        <v>0.05</v>
      </c>
      <c r="L1555">
        <v>69897.2</v>
      </c>
      <c r="M1555">
        <v>49521.84</v>
      </c>
      <c r="N1555">
        <v>20375.36</v>
      </c>
      <c r="O1555" t="s">
        <v>78</v>
      </c>
      <c r="P1555" t="s">
        <v>82</v>
      </c>
    </row>
    <row r="1556" spans="1:16" x14ac:dyDescent="0.25">
      <c r="A1556">
        <v>1555</v>
      </c>
      <c r="B1556" s="2">
        <v>45789</v>
      </c>
      <c r="C1556" t="s">
        <v>20</v>
      </c>
      <c r="D1556" t="s">
        <v>26</v>
      </c>
      <c r="E1556" t="s">
        <v>29</v>
      </c>
      <c r="F1556" t="s">
        <v>36</v>
      </c>
      <c r="G1556" t="s">
        <v>70</v>
      </c>
      <c r="H1556" t="s">
        <v>75</v>
      </c>
      <c r="I1556">
        <v>3</v>
      </c>
      <c r="J1556">
        <v>5922</v>
      </c>
      <c r="K1556">
        <v>0.05</v>
      </c>
      <c r="L1556">
        <v>16877.7</v>
      </c>
      <c r="M1556">
        <v>13593.07</v>
      </c>
      <c r="N1556">
        <v>3284.63</v>
      </c>
      <c r="O1556" t="s">
        <v>79</v>
      </c>
      <c r="P1556" t="s">
        <v>85</v>
      </c>
    </row>
    <row r="1557" spans="1:16" x14ac:dyDescent="0.25">
      <c r="A1557">
        <v>1556</v>
      </c>
      <c r="B1557" s="2">
        <v>45728</v>
      </c>
      <c r="C1557" t="s">
        <v>18</v>
      </c>
      <c r="D1557" t="s">
        <v>26</v>
      </c>
      <c r="E1557" t="s">
        <v>28</v>
      </c>
      <c r="F1557" t="s">
        <v>54</v>
      </c>
      <c r="G1557" t="s">
        <v>70</v>
      </c>
      <c r="H1557" t="s">
        <v>75</v>
      </c>
      <c r="I1557">
        <v>5</v>
      </c>
      <c r="J1557">
        <v>295</v>
      </c>
      <c r="K1557">
        <v>0</v>
      </c>
      <c r="L1557">
        <v>1475</v>
      </c>
      <c r="M1557">
        <v>1017.17</v>
      </c>
      <c r="N1557">
        <v>457.83</v>
      </c>
      <c r="O1557" t="s">
        <v>76</v>
      </c>
      <c r="P1557" t="s">
        <v>85</v>
      </c>
    </row>
    <row r="1558" spans="1:16" x14ac:dyDescent="0.25">
      <c r="A1558">
        <v>1557</v>
      </c>
      <c r="B1558" s="2">
        <v>45778</v>
      </c>
      <c r="C1558" t="s">
        <v>22</v>
      </c>
      <c r="D1558" t="s">
        <v>24</v>
      </c>
      <c r="E1558" t="s">
        <v>34</v>
      </c>
      <c r="F1558" t="s">
        <v>68</v>
      </c>
      <c r="G1558" t="s">
        <v>72</v>
      </c>
      <c r="H1558" t="s">
        <v>74</v>
      </c>
      <c r="I1558">
        <v>6</v>
      </c>
      <c r="J1558">
        <v>2753</v>
      </c>
      <c r="K1558">
        <v>0.15</v>
      </c>
      <c r="L1558">
        <v>14040.3</v>
      </c>
      <c r="M1558">
        <v>9119.66</v>
      </c>
      <c r="N1558">
        <v>4920.6400000000003</v>
      </c>
      <c r="O1558" t="s">
        <v>80</v>
      </c>
      <c r="P1558" t="s">
        <v>87</v>
      </c>
    </row>
    <row r="1559" spans="1:16" x14ac:dyDescent="0.25">
      <c r="A1559">
        <v>1558</v>
      </c>
      <c r="B1559" s="2">
        <v>45709</v>
      </c>
      <c r="C1559" t="s">
        <v>20</v>
      </c>
      <c r="D1559" t="s">
        <v>26</v>
      </c>
      <c r="E1559" t="s">
        <v>28</v>
      </c>
      <c r="F1559" t="s">
        <v>58</v>
      </c>
      <c r="G1559" t="s">
        <v>71</v>
      </c>
      <c r="H1559" t="s">
        <v>74</v>
      </c>
      <c r="I1559">
        <v>3</v>
      </c>
      <c r="J1559">
        <v>1308</v>
      </c>
      <c r="K1559">
        <v>0.15</v>
      </c>
      <c r="L1559">
        <v>3335.4</v>
      </c>
      <c r="M1559">
        <v>2176.2600000000002</v>
      </c>
      <c r="N1559">
        <v>1159.1400000000001</v>
      </c>
      <c r="O1559" t="s">
        <v>77</v>
      </c>
      <c r="P1559" t="s">
        <v>87</v>
      </c>
    </row>
    <row r="1560" spans="1:16" x14ac:dyDescent="0.25">
      <c r="A1560">
        <v>1559</v>
      </c>
      <c r="B1560" s="2">
        <v>45934</v>
      </c>
      <c r="C1560" t="s">
        <v>16</v>
      </c>
      <c r="D1560" t="s">
        <v>24</v>
      </c>
      <c r="E1560" t="s">
        <v>28</v>
      </c>
      <c r="F1560" t="s">
        <v>61</v>
      </c>
      <c r="G1560" t="s">
        <v>71</v>
      </c>
      <c r="H1560" t="s">
        <v>75</v>
      </c>
      <c r="I1560">
        <v>4</v>
      </c>
      <c r="J1560">
        <v>2212</v>
      </c>
      <c r="K1560">
        <v>0.1</v>
      </c>
      <c r="L1560">
        <v>7963.2</v>
      </c>
      <c r="M1560">
        <v>4940.1099999999997</v>
      </c>
      <c r="N1560">
        <v>3023.09</v>
      </c>
      <c r="O1560" t="s">
        <v>79</v>
      </c>
      <c r="P1560" t="s">
        <v>85</v>
      </c>
    </row>
    <row r="1561" spans="1:16" x14ac:dyDescent="0.25">
      <c r="A1561">
        <v>1560</v>
      </c>
      <c r="B1561" s="2">
        <v>45780</v>
      </c>
      <c r="C1561" t="s">
        <v>20</v>
      </c>
      <c r="D1561" t="s">
        <v>26</v>
      </c>
      <c r="E1561" t="s">
        <v>28</v>
      </c>
      <c r="F1561" t="s">
        <v>58</v>
      </c>
      <c r="G1561" t="s">
        <v>70</v>
      </c>
      <c r="H1561" t="s">
        <v>73</v>
      </c>
      <c r="I1561">
        <v>6</v>
      </c>
      <c r="J1561">
        <v>1854</v>
      </c>
      <c r="K1561">
        <v>0.2</v>
      </c>
      <c r="L1561">
        <v>8899.2000000000007</v>
      </c>
      <c r="M1561">
        <v>7554.02</v>
      </c>
      <c r="N1561">
        <v>1345.18</v>
      </c>
      <c r="O1561" t="s">
        <v>80</v>
      </c>
      <c r="P1561" t="s">
        <v>81</v>
      </c>
    </row>
    <row r="1562" spans="1:16" x14ac:dyDescent="0.25">
      <c r="A1562">
        <v>1561</v>
      </c>
      <c r="B1562" s="2">
        <v>45989</v>
      </c>
      <c r="C1562" t="s">
        <v>20</v>
      </c>
      <c r="D1562" t="s">
        <v>26</v>
      </c>
      <c r="E1562" t="s">
        <v>30</v>
      </c>
      <c r="F1562" t="s">
        <v>56</v>
      </c>
      <c r="G1562" t="s">
        <v>70</v>
      </c>
      <c r="H1562" t="s">
        <v>73</v>
      </c>
      <c r="I1562">
        <v>5</v>
      </c>
      <c r="J1562">
        <v>62937</v>
      </c>
      <c r="K1562">
        <v>0</v>
      </c>
      <c r="L1562">
        <v>314685</v>
      </c>
      <c r="M1562">
        <v>249960.69</v>
      </c>
      <c r="N1562">
        <v>64724.31</v>
      </c>
      <c r="O1562" t="s">
        <v>78</v>
      </c>
      <c r="P1562" t="s">
        <v>81</v>
      </c>
    </row>
    <row r="1563" spans="1:16" x14ac:dyDescent="0.25">
      <c r="A1563">
        <v>1562</v>
      </c>
      <c r="B1563" s="2">
        <v>45931</v>
      </c>
      <c r="C1563" t="s">
        <v>22</v>
      </c>
      <c r="D1563" t="s">
        <v>24</v>
      </c>
      <c r="E1563" t="s">
        <v>33</v>
      </c>
      <c r="F1563" t="s">
        <v>52</v>
      </c>
      <c r="G1563" t="s">
        <v>70</v>
      </c>
      <c r="H1563" t="s">
        <v>74</v>
      </c>
      <c r="I1563">
        <v>6</v>
      </c>
      <c r="J1563">
        <v>15909</v>
      </c>
      <c r="K1563">
        <v>0.05</v>
      </c>
      <c r="L1563">
        <v>90681.3</v>
      </c>
      <c r="M1563">
        <v>64804.93</v>
      </c>
      <c r="N1563">
        <v>25876.37</v>
      </c>
      <c r="O1563" t="s">
        <v>77</v>
      </c>
      <c r="P1563" t="s">
        <v>87</v>
      </c>
    </row>
    <row r="1564" spans="1:16" x14ac:dyDescent="0.25">
      <c r="A1564">
        <v>1563</v>
      </c>
      <c r="B1564" s="2">
        <v>45867</v>
      </c>
      <c r="C1564" t="s">
        <v>23</v>
      </c>
      <c r="D1564" t="s">
        <v>27</v>
      </c>
      <c r="E1564" t="s">
        <v>32</v>
      </c>
      <c r="F1564" t="s">
        <v>66</v>
      </c>
      <c r="G1564" t="s">
        <v>71</v>
      </c>
      <c r="H1564" t="s">
        <v>73</v>
      </c>
      <c r="I1564">
        <v>6</v>
      </c>
      <c r="J1564">
        <v>11717</v>
      </c>
      <c r="K1564">
        <v>0.05</v>
      </c>
      <c r="L1564">
        <v>66786.899999999994</v>
      </c>
      <c r="M1564">
        <v>42776.24</v>
      </c>
      <c r="N1564">
        <v>24010.66</v>
      </c>
      <c r="O1564" t="s">
        <v>80</v>
      </c>
      <c r="P1564" t="s">
        <v>82</v>
      </c>
    </row>
    <row r="1565" spans="1:16" x14ac:dyDescent="0.25">
      <c r="A1565">
        <v>1564</v>
      </c>
      <c r="B1565" s="2">
        <v>45782</v>
      </c>
      <c r="C1565" t="s">
        <v>21</v>
      </c>
      <c r="D1565" t="s">
        <v>24</v>
      </c>
      <c r="E1565" t="s">
        <v>34</v>
      </c>
      <c r="F1565" t="s">
        <v>68</v>
      </c>
      <c r="G1565" t="s">
        <v>72</v>
      </c>
      <c r="H1565" t="s">
        <v>75</v>
      </c>
      <c r="I1565">
        <v>3</v>
      </c>
      <c r="J1565">
        <v>2856</v>
      </c>
      <c r="K1565">
        <v>0.1</v>
      </c>
      <c r="L1565">
        <v>7711.2</v>
      </c>
      <c r="M1565">
        <v>6029.48</v>
      </c>
      <c r="N1565">
        <v>1681.72</v>
      </c>
      <c r="O1565" t="s">
        <v>76</v>
      </c>
      <c r="P1565" t="s">
        <v>88</v>
      </c>
    </row>
    <row r="1566" spans="1:16" x14ac:dyDescent="0.25">
      <c r="A1566">
        <v>1565</v>
      </c>
      <c r="B1566" s="2">
        <v>45877</v>
      </c>
      <c r="C1566" t="s">
        <v>20</v>
      </c>
      <c r="D1566" t="s">
        <v>26</v>
      </c>
      <c r="E1566" t="s">
        <v>34</v>
      </c>
      <c r="F1566" t="s">
        <v>68</v>
      </c>
      <c r="G1566" t="s">
        <v>72</v>
      </c>
      <c r="H1566" t="s">
        <v>74</v>
      </c>
      <c r="I1566">
        <v>2</v>
      </c>
      <c r="J1566">
        <v>314</v>
      </c>
      <c r="K1566">
        <v>0.1</v>
      </c>
      <c r="L1566">
        <v>565.20000000000005</v>
      </c>
      <c r="M1566">
        <v>455.69</v>
      </c>
      <c r="N1566">
        <v>109.51</v>
      </c>
      <c r="O1566" t="s">
        <v>80</v>
      </c>
      <c r="P1566" t="s">
        <v>86</v>
      </c>
    </row>
    <row r="1567" spans="1:16" x14ac:dyDescent="0.25">
      <c r="A1567">
        <v>1566</v>
      </c>
      <c r="B1567" s="2">
        <v>45740</v>
      </c>
      <c r="C1567" t="s">
        <v>20</v>
      </c>
      <c r="D1567" t="s">
        <v>26</v>
      </c>
      <c r="E1567" t="s">
        <v>29</v>
      </c>
      <c r="F1567" t="s">
        <v>42</v>
      </c>
      <c r="G1567" t="s">
        <v>72</v>
      </c>
      <c r="H1567" t="s">
        <v>74</v>
      </c>
      <c r="I1567">
        <v>1</v>
      </c>
      <c r="J1567">
        <v>4783</v>
      </c>
      <c r="K1567">
        <v>0.05</v>
      </c>
      <c r="L1567">
        <v>4543.8500000000004</v>
      </c>
      <c r="M1567">
        <v>3254.47</v>
      </c>
      <c r="N1567">
        <v>1289.3800000000001</v>
      </c>
      <c r="O1567" t="s">
        <v>80</v>
      </c>
      <c r="P1567" t="s">
        <v>86</v>
      </c>
    </row>
    <row r="1568" spans="1:16" x14ac:dyDescent="0.25">
      <c r="A1568">
        <v>1567</v>
      </c>
      <c r="B1568" s="2">
        <v>45988</v>
      </c>
      <c r="C1568" t="s">
        <v>20</v>
      </c>
      <c r="D1568" t="s">
        <v>26</v>
      </c>
      <c r="E1568" t="s">
        <v>31</v>
      </c>
      <c r="F1568" t="s">
        <v>50</v>
      </c>
      <c r="G1568" t="s">
        <v>71</v>
      </c>
      <c r="H1568" t="s">
        <v>73</v>
      </c>
      <c r="I1568">
        <v>4</v>
      </c>
      <c r="J1568">
        <v>1571</v>
      </c>
      <c r="K1568">
        <v>0.05</v>
      </c>
      <c r="L1568">
        <v>5969.8</v>
      </c>
      <c r="M1568">
        <v>4868.3599999999997</v>
      </c>
      <c r="N1568">
        <v>1101.44</v>
      </c>
      <c r="O1568" t="s">
        <v>78</v>
      </c>
      <c r="P1568" t="s">
        <v>83</v>
      </c>
    </row>
    <row r="1569" spans="1:16" x14ac:dyDescent="0.25">
      <c r="A1569">
        <v>1568</v>
      </c>
      <c r="B1569" s="2">
        <v>45698</v>
      </c>
      <c r="C1569" t="s">
        <v>18</v>
      </c>
      <c r="D1569" t="s">
        <v>26</v>
      </c>
      <c r="E1569" t="s">
        <v>33</v>
      </c>
      <c r="F1569" t="s">
        <v>41</v>
      </c>
      <c r="G1569" t="s">
        <v>72</v>
      </c>
      <c r="H1569" t="s">
        <v>74</v>
      </c>
      <c r="I1569">
        <v>8</v>
      </c>
      <c r="J1569">
        <v>15578</v>
      </c>
      <c r="K1569">
        <v>0.15</v>
      </c>
      <c r="L1569">
        <v>105930.4</v>
      </c>
      <c r="M1569">
        <v>72395.009999999995</v>
      </c>
      <c r="N1569">
        <v>33535.39</v>
      </c>
      <c r="O1569" t="s">
        <v>76</v>
      </c>
      <c r="P1569" t="s">
        <v>87</v>
      </c>
    </row>
    <row r="1570" spans="1:16" x14ac:dyDescent="0.25">
      <c r="A1570">
        <v>1569</v>
      </c>
      <c r="B1570" s="2">
        <v>45694</v>
      </c>
      <c r="C1570" t="s">
        <v>22</v>
      </c>
      <c r="D1570" t="s">
        <v>24</v>
      </c>
      <c r="E1570" t="s">
        <v>29</v>
      </c>
      <c r="F1570" t="s">
        <v>45</v>
      </c>
      <c r="G1570" t="s">
        <v>72</v>
      </c>
      <c r="H1570" t="s">
        <v>73</v>
      </c>
      <c r="I1570">
        <v>1</v>
      </c>
      <c r="J1570">
        <v>3318</v>
      </c>
      <c r="K1570">
        <v>0.1</v>
      </c>
      <c r="L1570">
        <v>2986.2</v>
      </c>
      <c r="M1570">
        <v>1940.46</v>
      </c>
      <c r="N1570">
        <v>1045.74</v>
      </c>
      <c r="O1570" t="s">
        <v>80</v>
      </c>
      <c r="P1570" t="s">
        <v>81</v>
      </c>
    </row>
    <row r="1571" spans="1:16" x14ac:dyDescent="0.25">
      <c r="A1571">
        <v>1570</v>
      </c>
      <c r="B1571" s="2">
        <v>45920</v>
      </c>
      <c r="C1571" t="s">
        <v>17</v>
      </c>
      <c r="D1571" t="s">
        <v>25</v>
      </c>
      <c r="E1571" t="s">
        <v>31</v>
      </c>
      <c r="F1571" t="s">
        <v>38</v>
      </c>
      <c r="G1571" t="s">
        <v>70</v>
      </c>
      <c r="H1571" t="s">
        <v>73</v>
      </c>
      <c r="I1571">
        <v>6</v>
      </c>
      <c r="J1571">
        <v>701</v>
      </c>
      <c r="K1571">
        <v>0</v>
      </c>
      <c r="L1571">
        <v>4206</v>
      </c>
      <c r="M1571">
        <v>3182.25</v>
      </c>
      <c r="N1571">
        <v>1023.75</v>
      </c>
      <c r="O1571" t="s">
        <v>78</v>
      </c>
      <c r="P1571" t="s">
        <v>82</v>
      </c>
    </row>
    <row r="1572" spans="1:16" x14ac:dyDescent="0.25">
      <c r="A1572">
        <v>1571</v>
      </c>
      <c r="B1572" s="2">
        <v>45954</v>
      </c>
      <c r="C1572" t="s">
        <v>22</v>
      </c>
      <c r="D1572" t="s">
        <v>24</v>
      </c>
      <c r="E1572" t="s">
        <v>31</v>
      </c>
      <c r="F1572" t="s">
        <v>47</v>
      </c>
      <c r="G1572" t="s">
        <v>70</v>
      </c>
      <c r="H1572" t="s">
        <v>74</v>
      </c>
      <c r="I1572">
        <v>1</v>
      </c>
      <c r="J1572">
        <v>652</v>
      </c>
      <c r="K1572">
        <v>0.15</v>
      </c>
      <c r="L1572">
        <v>554.20000000000005</v>
      </c>
      <c r="M1572">
        <v>356.67</v>
      </c>
      <c r="N1572">
        <v>197.53</v>
      </c>
      <c r="O1572" t="s">
        <v>79</v>
      </c>
      <c r="P1572" t="s">
        <v>83</v>
      </c>
    </row>
    <row r="1573" spans="1:16" x14ac:dyDescent="0.25">
      <c r="A1573">
        <v>1572</v>
      </c>
      <c r="B1573" s="2">
        <v>45928</v>
      </c>
      <c r="C1573" t="s">
        <v>19</v>
      </c>
      <c r="D1573" t="s">
        <v>26</v>
      </c>
      <c r="E1573" t="s">
        <v>29</v>
      </c>
      <c r="F1573" t="s">
        <v>53</v>
      </c>
      <c r="G1573" t="s">
        <v>72</v>
      </c>
      <c r="H1573" t="s">
        <v>75</v>
      </c>
      <c r="I1573">
        <v>2</v>
      </c>
      <c r="J1573">
        <v>9411</v>
      </c>
      <c r="K1573">
        <v>0.15</v>
      </c>
      <c r="L1573">
        <v>15998.7</v>
      </c>
      <c r="M1573">
        <v>12589.06</v>
      </c>
      <c r="N1573">
        <v>3409.64</v>
      </c>
      <c r="O1573" t="s">
        <v>76</v>
      </c>
      <c r="P1573" t="s">
        <v>81</v>
      </c>
    </row>
    <row r="1574" spans="1:16" x14ac:dyDescent="0.25">
      <c r="A1574">
        <v>1573</v>
      </c>
      <c r="B1574" s="2">
        <v>45884</v>
      </c>
      <c r="C1574" t="s">
        <v>21</v>
      </c>
      <c r="D1574" t="s">
        <v>24</v>
      </c>
      <c r="E1574" t="s">
        <v>29</v>
      </c>
      <c r="F1574" t="s">
        <v>42</v>
      </c>
      <c r="G1574" t="s">
        <v>70</v>
      </c>
      <c r="H1574" t="s">
        <v>75</v>
      </c>
      <c r="I1574">
        <v>2</v>
      </c>
      <c r="J1574">
        <v>10484</v>
      </c>
      <c r="K1574">
        <v>0.1</v>
      </c>
      <c r="L1574">
        <v>18871.2</v>
      </c>
      <c r="M1574">
        <v>12290.72</v>
      </c>
      <c r="N1574">
        <v>6580.48</v>
      </c>
      <c r="O1574" t="s">
        <v>76</v>
      </c>
      <c r="P1574" t="s">
        <v>86</v>
      </c>
    </row>
    <row r="1575" spans="1:16" x14ac:dyDescent="0.25">
      <c r="A1575">
        <v>1574</v>
      </c>
      <c r="B1575" s="2">
        <v>45859</v>
      </c>
      <c r="C1575" t="s">
        <v>20</v>
      </c>
      <c r="D1575" t="s">
        <v>26</v>
      </c>
      <c r="E1575" t="s">
        <v>31</v>
      </c>
      <c r="F1575" t="s">
        <v>50</v>
      </c>
      <c r="G1575" t="s">
        <v>72</v>
      </c>
      <c r="H1575" t="s">
        <v>74</v>
      </c>
      <c r="I1575">
        <v>5</v>
      </c>
      <c r="J1575">
        <v>976</v>
      </c>
      <c r="K1575">
        <v>0.05</v>
      </c>
      <c r="L1575">
        <v>4636</v>
      </c>
      <c r="M1575">
        <v>3670.89</v>
      </c>
      <c r="N1575">
        <v>965.11</v>
      </c>
      <c r="O1575" t="s">
        <v>80</v>
      </c>
      <c r="P1575" t="s">
        <v>87</v>
      </c>
    </row>
    <row r="1576" spans="1:16" x14ac:dyDescent="0.25">
      <c r="A1576">
        <v>1575</v>
      </c>
      <c r="B1576" s="2">
        <v>45786</v>
      </c>
      <c r="C1576" t="s">
        <v>23</v>
      </c>
      <c r="D1576" t="s">
        <v>27</v>
      </c>
      <c r="E1576" t="s">
        <v>28</v>
      </c>
      <c r="F1576" t="s">
        <v>54</v>
      </c>
      <c r="G1576" t="s">
        <v>71</v>
      </c>
      <c r="H1576" t="s">
        <v>73</v>
      </c>
      <c r="I1576">
        <v>1</v>
      </c>
      <c r="J1576">
        <v>2496</v>
      </c>
      <c r="K1576">
        <v>0</v>
      </c>
      <c r="L1576">
        <v>2496</v>
      </c>
      <c r="M1576">
        <v>1547.99</v>
      </c>
      <c r="N1576">
        <v>948.01</v>
      </c>
      <c r="O1576" t="s">
        <v>80</v>
      </c>
      <c r="P1576" t="s">
        <v>85</v>
      </c>
    </row>
    <row r="1577" spans="1:16" x14ac:dyDescent="0.25">
      <c r="A1577">
        <v>1576</v>
      </c>
      <c r="B1577" s="2">
        <v>45974</v>
      </c>
      <c r="C1577" t="s">
        <v>20</v>
      </c>
      <c r="D1577" t="s">
        <v>26</v>
      </c>
      <c r="E1577" t="s">
        <v>30</v>
      </c>
      <c r="F1577" t="s">
        <v>40</v>
      </c>
      <c r="G1577" t="s">
        <v>72</v>
      </c>
      <c r="H1577" t="s">
        <v>73</v>
      </c>
      <c r="I1577">
        <v>5</v>
      </c>
      <c r="J1577">
        <v>22950</v>
      </c>
      <c r="K1577">
        <v>0.1</v>
      </c>
      <c r="L1577">
        <v>103275</v>
      </c>
      <c r="M1577">
        <v>84235.520000000004</v>
      </c>
      <c r="N1577">
        <v>19039.48</v>
      </c>
      <c r="O1577" t="s">
        <v>79</v>
      </c>
      <c r="P1577" t="s">
        <v>87</v>
      </c>
    </row>
    <row r="1578" spans="1:16" x14ac:dyDescent="0.25">
      <c r="A1578">
        <v>1577</v>
      </c>
      <c r="B1578" s="2">
        <v>45990</v>
      </c>
      <c r="C1578" t="s">
        <v>17</v>
      </c>
      <c r="D1578" t="s">
        <v>25</v>
      </c>
      <c r="E1578" t="s">
        <v>30</v>
      </c>
      <c r="F1578" t="s">
        <v>44</v>
      </c>
      <c r="G1578" t="s">
        <v>70</v>
      </c>
      <c r="H1578" t="s">
        <v>73</v>
      </c>
      <c r="I1578">
        <v>6</v>
      </c>
      <c r="J1578">
        <v>39974</v>
      </c>
      <c r="K1578">
        <v>0.15</v>
      </c>
      <c r="L1578">
        <v>203867.4</v>
      </c>
      <c r="M1578">
        <v>161155.4</v>
      </c>
      <c r="N1578">
        <v>42712</v>
      </c>
      <c r="O1578" t="s">
        <v>79</v>
      </c>
      <c r="P1578" t="s">
        <v>85</v>
      </c>
    </row>
    <row r="1579" spans="1:16" x14ac:dyDescent="0.25">
      <c r="A1579">
        <v>1578</v>
      </c>
      <c r="B1579" s="2">
        <v>45689</v>
      </c>
      <c r="C1579" t="s">
        <v>22</v>
      </c>
      <c r="D1579" t="s">
        <v>24</v>
      </c>
      <c r="E1579" t="s">
        <v>29</v>
      </c>
      <c r="F1579" t="s">
        <v>42</v>
      </c>
      <c r="G1579" t="s">
        <v>71</v>
      </c>
      <c r="H1579" t="s">
        <v>73</v>
      </c>
      <c r="I1579">
        <v>3</v>
      </c>
      <c r="J1579">
        <v>3654</v>
      </c>
      <c r="K1579">
        <v>0.1</v>
      </c>
      <c r="L1579">
        <v>9865.7999999999993</v>
      </c>
      <c r="M1579">
        <v>7298.5</v>
      </c>
      <c r="N1579">
        <v>2567.3000000000002</v>
      </c>
      <c r="O1579" t="s">
        <v>80</v>
      </c>
      <c r="P1579" t="s">
        <v>83</v>
      </c>
    </row>
    <row r="1580" spans="1:16" x14ac:dyDescent="0.25">
      <c r="A1580">
        <v>1579</v>
      </c>
      <c r="B1580" s="2">
        <v>45849</v>
      </c>
      <c r="C1580" t="s">
        <v>17</v>
      </c>
      <c r="D1580" t="s">
        <v>25</v>
      </c>
      <c r="E1580" t="s">
        <v>32</v>
      </c>
      <c r="F1580" t="s">
        <v>66</v>
      </c>
      <c r="G1580" t="s">
        <v>70</v>
      </c>
      <c r="H1580" t="s">
        <v>73</v>
      </c>
      <c r="I1580">
        <v>4</v>
      </c>
      <c r="J1580">
        <v>10611</v>
      </c>
      <c r="K1580">
        <v>0.1</v>
      </c>
      <c r="L1580">
        <v>38199.599999999999</v>
      </c>
      <c r="M1580">
        <v>27397.9</v>
      </c>
      <c r="N1580">
        <v>10801.7</v>
      </c>
      <c r="O1580" t="s">
        <v>78</v>
      </c>
      <c r="P1580" t="s">
        <v>81</v>
      </c>
    </row>
    <row r="1581" spans="1:16" x14ac:dyDescent="0.25">
      <c r="A1581">
        <v>1580</v>
      </c>
      <c r="B1581" s="2">
        <v>45745</v>
      </c>
      <c r="C1581" t="s">
        <v>19</v>
      </c>
      <c r="D1581" t="s">
        <v>26</v>
      </c>
      <c r="E1581" t="s">
        <v>30</v>
      </c>
      <c r="F1581" t="s">
        <v>56</v>
      </c>
      <c r="G1581" t="s">
        <v>72</v>
      </c>
      <c r="H1581" t="s">
        <v>73</v>
      </c>
      <c r="I1581">
        <v>4</v>
      </c>
      <c r="J1581">
        <v>30192</v>
      </c>
      <c r="K1581">
        <v>0</v>
      </c>
      <c r="L1581">
        <v>120768</v>
      </c>
      <c r="M1581">
        <v>95948.32</v>
      </c>
      <c r="N1581">
        <v>24819.68</v>
      </c>
      <c r="O1581" t="s">
        <v>77</v>
      </c>
      <c r="P1581" t="s">
        <v>85</v>
      </c>
    </row>
    <row r="1582" spans="1:16" x14ac:dyDescent="0.25">
      <c r="A1582">
        <v>1581</v>
      </c>
      <c r="B1582" s="2">
        <v>45701</v>
      </c>
      <c r="C1582" t="s">
        <v>22</v>
      </c>
      <c r="D1582" t="s">
        <v>24</v>
      </c>
      <c r="E1582" t="s">
        <v>30</v>
      </c>
      <c r="F1582" t="s">
        <v>40</v>
      </c>
      <c r="G1582" t="s">
        <v>71</v>
      </c>
      <c r="H1582" t="s">
        <v>74</v>
      </c>
      <c r="I1582">
        <v>8</v>
      </c>
      <c r="J1582">
        <v>26064</v>
      </c>
      <c r="K1582">
        <v>0</v>
      </c>
      <c r="L1582">
        <v>208512</v>
      </c>
      <c r="M1582">
        <v>172383.1</v>
      </c>
      <c r="N1582">
        <v>36128.9</v>
      </c>
      <c r="O1582" t="s">
        <v>78</v>
      </c>
      <c r="P1582" t="s">
        <v>87</v>
      </c>
    </row>
    <row r="1583" spans="1:16" x14ac:dyDescent="0.25">
      <c r="A1583">
        <v>1582</v>
      </c>
      <c r="B1583" s="2">
        <v>45681</v>
      </c>
      <c r="C1583" t="s">
        <v>19</v>
      </c>
      <c r="D1583" t="s">
        <v>26</v>
      </c>
      <c r="E1583" t="s">
        <v>28</v>
      </c>
      <c r="F1583" t="s">
        <v>54</v>
      </c>
      <c r="G1583" t="s">
        <v>71</v>
      </c>
      <c r="H1583" t="s">
        <v>73</v>
      </c>
      <c r="I1583">
        <v>1</v>
      </c>
      <c r="J1583">
        <v>2002</v>
      </c>
      <c r="K1583">
        <v>0</v>
      </c>
      <c r="L1583">
        <v>2002</v>
      </c>
      <c r="M1583">
        <v>1347.04</v>
      </c>
      <c r="N1583">
        <v>654.96</v>
      </c>
      <c r="O1583" t="s">
        <v>76</v>
      </c>
      <c r="P1583" t="s">
        <v>85</v>
      </c>
    </row>
    <row r="1584" spans="1:16" x14ac:dyDescent="0.25">
      <c r="A1584">
        <v>1583</v>
      </c>
      <c r="B1584" s="2">
        <v>45778</v>
      </c>
      <c r="C1584" t="s">
        <v>20</v>
      </c>
      <c r="D1584" t="s">
        <v>26</v>
      </c>
      <c r="E1584" t="s">
        <v>28</v>
      </c>
      <c r="F1584" t="s">
        <v>54</v>
      </c>
      <c r="G1584" t="s">
        <v>72</v>
      </c>
      <c r="H1584" t="s">
        <v>73</v>
      </c>
      <c r="I1584">
        <v>8</v>
      </c>
      <c r="J1584">
        <v>1313</v>
      </c>
      <c r="K1584">
        <v>0.1</v>
      </c>
      <c r="L1584">
        <v>9453.6</v>
      </c>
      <c r="M1584">
        <v>5449.01</v>
      </c>
      <c r="N1584">
        <v>4004.59</v>
      </c>
      <c r="O1584" t="s">
        <v>77</v>
      </c>
      <c r="P1584" t="s">
        <v>83</v>
      </c>
    </row>
    <row r="1585" spans="1:16" x14ac:dyDescent="0.25">
      <c r="A1585">
        <v>1584</v>
      </c>
      <c r="B1585" s="2">
        <v>45744</v>
      </c>
      <c r="C1585" t="s">
        <v>16</v>
      </c>
      <c r="D1585" t="s">
        <v>24</v>
      </c>
      <c r="E1585" t="s">
        <v>31</v>
      </c>
      <c r="F1585" t="s">
        <v>38</v>
      </c>
      <c r="G1585" t="s">
        <v>72</v>
      </c>
      <c r="H1585" t="s">
        <v>75</v>
      </c>
      <c r="I1585">
        <v>2</v>
      </c>
      <c r="J1585">
        <v>2308</v>
      </c>
      <c r="K1585">
        <v>0.05</v>
      </c>
      <c r="L1585">
        <v>4385.2</v>
      </c>
      <c r="M1585">
        <v>3594.8</v>
      </c>
      <c r="N1585">
        <v>790.4</v>
      </c>
      <c r="O1585" t="s">
        <v>80</v>
      </c>
      <c r="P1585" t="s">
        <v>83</v>
      </c>
    </row>
    <row r="1586" spans="1:16" x14ac:dyDescent="0.25">
      <c r="A1586">
        <v>1585</v>
      </c>
      <c r="B1586" s="2">
        <v>45848</v>
      </c>
      <c r="C1586" t="s">
        <v>17</v>
      </c>
      <c r="D1586" t="s">
        <v>25</v>
      </c>
      <c r="E1586" t="s">
        <v>34</v>
      </c>
      <c r="F1586" t="s">
        <v>51</v>
      </c>
      <c r="G1586" t="s">
        <v>71</v>
      </c>
      <c r="H1586" t="s">
        <v>75</v>
      </c>
      <c r="I1586">
        <v>3</v>
      </c>
      <c r="J1586">
        <v>5611</v>
      </c>
      <c r="K1586">
        <v>0.2</v>
      </c>
      <c r="L1586">
        <v>13466.4</v>
      </c>
      <c r="M1586">
        <v>8476.3700000000008</v>
      </c>
      <c r="N1586">
        <v>4990.03</v>
      </c>
      <c r="O1586" t="s">
        <v>76</v>
      </c>
      <c r="P1586" t="s">
        <v>84</v>
      </c>
    </row>
    <row r="1587" spans="1:16" x14ac:dyDescent="0.25">
      <c r="A1587">
        <v>1586</v>
      </c>
      <c r="B1587" s="2">
        <v>45768</v>
      </c>
      <c r="C1587" t="s">
        <v>19</v>
      </c>
      <c r="D1587" t="s">
        <v>26</v>
      </c>
      <c r="E1587" t="s">
        <v>32</v>
      </c>
      <c r="F1587" t="s">
        <v>66</v>
      </c>
      <c r="G1587" t="s">
        <v>71</v>
      </c>
      <c r="H1587" t="s">
        <v>73</v>
      </c>
      <c r="I1587">
        <v>5</v>
      </c>
      <c r="J1587">
        <v>14799</v>
      </c>
      <c r="K1587">
        <v>0.05</v>
      </c>
      <c r="L1587">
        <v>70295.25</v>
      </c>
      <c r="M1587">
        <v>58688.87</v>
      </c>
      <c r="N1587">
        <v>11606.38</v>
      </c>
      <c r="O1587" t="s">
        <v>78</v>
      </c>
      <c r="P1587" t="s">
        <v>84</v>
      </c>
    </row>
    <row r="1588" spans="1:16" x14ac:dyDescent="0.25">
      <c r="A1588">
        <v>1587</v>
      </c>
      <c r="B1588" s="2">
        <v>45932</v>
      </c>
      <c r="C1588" t="s">
        <v>23</v>
      </c>
      <c r="D1588" t="s">
        <v>27</v>
      </c>
      <c r="E1588" t="s">
        <v>34</v>
      </c>
      <c r="F1588" t="s">
        <v>55</v>
      </c>
      <c r="G1588" t="s">
        <v>72</v>
      </c>
      <c r="H1588" t="s">
        <v>74</v>
      </c>
      <c r="I1588">
        <v>7</v>
      </c>
      <c r="J1588">
        <v>5171</v>
      </c>
      <c r="K1588">
        <v>0</v>
      </c>
      <c r="L1588">
        <v>36197</v>
      </c>
      <c r="M1588">
        <v>20118.02</v>
      </c>
      <c r="N1588">
        <v>16078.98</v>
      </c>
      <c r="O1588" t="s">
        <v>80</v>
      </c>
      <c r="P1588" t="s">
        <v>84</v>
      </c>
    </row>
    <row r="1589" spans="1:16" x14ac:dyDescent="0.25">
      <c r="A1589">
        <v>1588</v>
      </c>
      <c r="B1589" s="2">
        <v>45925</v>
      </c>
      <c r="C1589" t="s">
        <v>21</v>
      </c>
      <c r="D1589" t="s">
        <v>24</v>
      </c>
      <c r="E1589" t="s">
        <v>32</v>
      </c>
      <c r="F1589" t="s">
        <v>48</v>
      </c>
      <c r="G1589" t="s">
        <v>70</v>
      </c>
      <c r="H1589" t="s">
        <v>73</v>
      </c>
      <c r="I1589">
        <v>2</v>
      </c>
      <c r="J1589">
        <v>8626</v>
      </c>
      <c r="K1589">
        <v>0.2</v>
      </c>
      <c r="L1589">
        <v>13801.6</v>
      </c>
      <c r="M1589">
        <v>11540.95</v>
      </c>
      <c r="N1589">
        <v>2260.65</v>
      </c>
      <c r="O1589" t="s">
        <v>79</v>
      </c>
      <c r="P1589" t="s">
        <v>88</v>
      </c>
    </row>
    <row r="1590" spans="1:16" x14ac:dyDescent="0.25">
      <c r="A1590">
        <v>1589</v>
      </c>
      <c r="B1590" s="2">
        <v>45811</v>
      </c>
      <c r="C1590" t="s">
        <v>21</v>
      </c>
      <c r="D1590" t="s">
        <v>24</v>
      </c>
      <c r="E1590" t="s">
        <v>29</v>
      </c>
      <c r="F1590" t="s">
        <v>53</v>
      </c>
      <c r="G1590" t="s">
        <v>71</v>
      </c>
      <c r="H1590" t="s">
        <v>74</v>
      </c>
      <c r="I1590">
        <v>2</v>
      </c>
      <c r="J1590">
        <v>3878</v>
      </c>
      <c r="K1590">
        <v>0.15</v>
      </c>
      <c r="L1590">
        <v>6592.6</v>
      </c>
      <c r="M1590">
        <v>3816.86</v>
      </c>
      <c r="N1590">
        <v>2775.74</v>
      </c>
      <c r="O1590" t="s">
        <v>76</v>
      </c>
      <c r="P1590" t="s">
        <v>85</v>
      </c>
    </row>
    <row r="1591" spans="1:16" x14ac:dyDescent="0.25">
      <c r="A1591">
        <v>1590</v>
      </c>
      <c r="B1591" s="2">
        <v>45813</v>
      </c>
      <c r="C1591" t="s">
        <v>20</v>
      </c>
      <c r="D1591" t="s">
        <v>26</v>
      </c>
      <c r="E1591" t="s">
        <v>31</v>
      </c>
      <c r="F1591" t="s">
        <v>47</v>
      </c>
      <c r="G1591" t="s">
        <v>72</v>
      </c>
      <c r="H1591" t="s">
        <v>75</v>
      </c>
      <c r="I1591">
        <v>4</v>
      </c>
      <c r="J1591">
        <v>1071</v>
      </c>
      <c r="K1591">
        <v>0.1</v>
      </c>
      <c r="L1591">
        <v>3855.6</v>
      </c>
      <c r="M1591">
        <v>3281.67</v>
      </c>
      <c r="N1591">
        <v>573.92999999999995</v>
      </c>
      <c r="O1591" t="s">
        <v>76</v>
      </c>
      <c r="P1591" t="s">
        <v>87</v>
      </c>
    </row>
    <row r="1592" spans="1:16" x14ac:dyDescent="0.25">
      <c r="A1592">
        <v>1591</v>
      </c>
      <c r="B1592" s="2">
        <v>45854</v>
      </c>
      <c r="C1592" t="s">
        <v>20</v>
      </c>
      <c r="D1592" t="s">
        <v>26</v>
      </c>
      <c r="E1592" t="s">
        <v>29</v>
      </c>
      <c r="F1592" t="s">
        <v>57</v>
      </c>
      <c r="G1592" t="s">
        <v>71</v>
      </c>
      <c r="H1592" t="s">
        <v>74</v>
      </c>
      <c r="I1592">
        <v>4</v>
      </c>
      <c r="J1592">
        <v>1045</v>
      </c>
      <c r="K1592">
        <v>0.15</v>
      </c>
      <c r="L1592">
        <v>3553</v>
      </c>
      <c r="M1592">
        <v>2140.63</v>
      </c>
      <c r="N1592">
        <v>1412.37</v>
      </c>
      <c r="O1592" t="s">
        <v>76</v>
      </c>
      <c r="P1592" t="s">
        <v>81</v>
      </c>
    </row>
    <row r="1593" spans="1:16" x14ac:dyDescent="0.25">
      <c r="A1593">
        <v>1592</v>
      </c>
      <c r="B1593" s="2">
        <v>45758</v>
      </c>
      <c r="C1593" t="s">
        <v>20</v>
      </c>
      <c r="D1593" t="s">
        <v>26</v>
      </c>
      <c r="E1593" t="s">
        <v>31</v>
      </c>
      <c r="F1593" t="s">
        <v>50</v>
      </c>
      <c r="G1593" t="s">
        <v>72</v>
      </c>
      <c r="H1593" t="s">
        <v>75</v>
      </c>
      <c r="I1593">
        <v>3</v>
      </c>
      <c r="J1593">
        <v>2003</v>
      </c>
      <c r="K1593">
        <v>0</v>
      </c>
      <c r="L1593">
        <v>6009</v>
      </c>
      <c r="M1593">
        <v>4275.51</v>
      </c>
      <c r="N1593">
        <v>1733.49</v>
      </c>
      <c r="O1593" t="s">
        <v>79</v>
      </c>
      <c r="P1593" t="s">
        <v>85</v>
      </c>
    </row>
    <row r="1594" spans="1:16" x14ac:dyDescent="0.25">
      <c r="A1594">
        <v>1593</v>
      </c>
      <c r="B1594" s="2">
        <v>45904</v>
      </c>
      <c r="C1594" t="s">
        <v>20</v>
      </c>
      <c r="D1594" t="s">
        <v>26</v>
      </c>
      <c r="E1594" t="s">
        <v>32</v>
      </c>
      <c r="F1594" t="s">
        <v>62</v>
      </c>
      <c r="G1594" t="s">
        <v>71</v>
      </c>
      <c r="H1594" t="s">
        <v>74</v>
      </c>
      <c r="I1594">
        <v>1</v>
      </c>
      <c r="J1594">
        <v>11482</v>
      </c>
      <c r="K1594">
        <v>0.1</v>
      </c>
      <c r="L1594">
        <v>10333.799999999999</v>
      </c>
      <c r="M1594">
        <v>6409.83</v>
      </c>
      <c r="N1594">
        <v>3923.97</v>
      </c>
      <c r="O1594" t="s">
        <v>77</v>
      </c>
      <c r="P1594" t="s">
        <v>82</v>
      </c>
    </row>
    <row r="1595" spans="1:16" x14ac:dyDescent="0.25">
      <c r="A1595">
        <v>1594</v>
      </c>
      <c r="B1595" s="2">
        <v>45771</v>
      </c>
      <c r="C1595" t="s">
        <v>20</v>
      </c>
      <c r="D1595" t="s">
        <v>26</v>
      </c>
      <c r="E1595" t="s">
        <v>28</v>
      </c>
      <c r="F1595" t="s">
        <v>54</v>
      </c>
      <c r="G1595" t="s">
        <v>71</v>
      </c>
      <c r="H1595" t="s">
        <v>73</v>
      </c>
      <c r="I1595">
        <v>4</v>
      </c>
      <c r="J1595">
        <v>493</v>
      </c>
      <c r="K1595">
        <v>0.1</v>
      </c>
      <c r="L1595">
        <v>1774.8</v>
      </c>
      <c r="M1595">
        <v>983.72</v>
      </c>
      <c r="N1595">
        <v>791.08</v>
      </c>
      <c r="O1595" t="s">
        <v>79</v>
      </c>
      <c r="P1595" t="s">
        <v>85</v>
      </c>
    </row>
    <row r="1596" spans="1:16" x14ac:dyDescent="0.25">
      <c r="A1596">
        <v>1595</v>
      </c>
      <c r="B1596" s="2">
        <v>45874</v>
      </c>
      <c r="C1596" t="s">
        <v>18</v>
      </c>
      <c r="D1596" t="s">
        <v>26</v>
      </c>
      <c r="E1596" t="s">
        <v>28</v>
      </c>
      <c r="F1596" t="s">
        <v>63</v>
      </c>
      <c r="G1596" t="s">
        <v>71</v>
      </c>
      <c r="H1596" t="s">
        <v>75</v>
      </c>
      <c r="I1596">
        <v>1</v>
      </c>
      <c r="J1596">
        <v>587</v>
      </c>
      <c r="K1596">
        <v>0.05</v>
      </c>
      <c r="L1596">
        <v>557.65</v>
      </c>
      <c r="M1596">
        <v>354.4</v>
      </c>
      <c r="N1596">
        <v>203.25</v>
      </c>
      <c r="O1596" t="s">
        <v>78</v>
      </c>
      <c r="P1596" t="s">
        <v>83</v>
      </c>
    </row>
    <row r="1597" spans="1:16" x14ac:dyDescent="0.25">
      <c r="A1597">
        <v>1596</v>
      </c>
      <c r="B1597" s="2">
        <v>45879</v>
      </c>
      <c r="C1597" t="s">
        <v>17</v>
      </c>
      <c r="D1597" t="s">
        <v>25</v>
      </c>
      <c r="E1597" t="s">
        <v>32</v>
      </c>
      <c r="F1597" t="s">
        <v>49</v>
      </c>
      <c r="G1597" t="s">
        <v>70</v>
      </c>
      <c r="H1597" t="s">
        <v>73</v>
      </c>
      <c r="I1597">
        <v>2</v>
      </c>
      <c r="J1597">
        <v>22963</v>
      </c>
      <c r="K1597">
        <v>0.05</v>
      </c>
      <c r="L1597">
        <v>43629.7</v>
      </c>
      <c r="M1597">
        <v>30501.45</v>
      </c>
      <c r="N1597">
        <v>13128.25</v>
      </c>
      <c r="O1597" t="s">
        <v>79</v>
      </c>
      <c r="P1597" t="s">
        <v>87</v>
      </c>
    </row>
    <row r="1598" spans="1:16" x14ac:dyDescent="0.25">
      <c r="A1598">
        <v>1597</v>
      </c>
      <c r="B1598" s="2">
        <v>45662</v>
      </c>
      <c r="C1598" t="s">
        <v>23</v>
      </c>
      <c r="D1598" t="s">
        <v>27</v>
      </c>
      <c r="E1598" t="s">
        <v>34</v>
      </c>
      <c r="F1598" t="s">
        <v>65</v>
      </c>
      <c r="G1598" t="s">
        <v>71</v>
      </c>
      <c r="H1598" t="s">
        <v>73</v>
      </c>
      <c r="I1598">
        <v>4</v>
      </c>
      <c r="J1598">
        <v>490</v>
      </c>
      <c r="K1598">
        <v>0.2</v>
      </c>
      <c r="L1598">
        <v>1568</v>
      </c>
      <c r="M1598">
        <v>1011.84</v>
      </c>
      <c r="N1598">
        <v>556.16</v>
      </c>
      <c r="O1598" t="s">
        <v>77</v>
      </c>
      <c r="P1598" t="s">
        <v>88</v>
      </c>
    </row>
    <row r="1599" spans="1:16" x14ac:dyDescent="0.25">
      <c r="A1599">
        <v>1598</v>
      </c>
      <c r="B1599" s="2">
        <v>46012</v>
      </c>
      <c r="C1599" t="s">
        <v>23</v>
      </c>
      <c r="D1599" t="s">
        <v>27</v>
      </c>
      <c r="E1599" t="s">
        <v>29</v>
      </c>
      <c r="F1599" t="s">
        <v>57</v>
      </c>
      <c r="G1599" t="s">
        <v>72</v>
      </c>
      <c r="H1599" t="s">
        <v>74</v>
      </c>
      <c r="I1599">
        <v>3</v>
      </c>
      <c r="J1599">
        <v>10377</v>
      </c>
      <c r="K1599">
        <v>0</v>
      </c>
      <c r="L1599">
        <v>31131</v>
      </c>
      <c r="M1599">
        <v>21652.82</v>
      </c>
      <c r="N1599">
        <v>9478.18</v>
      </c>
      <c r="O1599" t="s">
        <v>79</v>
      </c>
      <c r="P1599" t="s">
        <v>82</v>
      </c>
    </row>
    <row r="1600" spans="1:16" x14ac:dyDescent="0.25">
      <c r="A1600">
        <v>1599</v>
      </c>
      <c r="B1600" s="2">
        <v>45787</v>
      </c>
      <c r="C1600" t="s">
        <v>23</v>
      </c>
      <c r="D1600" t="s">
        <v>27</v>
      </c>
      <c r="E1600" t="s">
        <v>33</v>
      </c>
      <c r="F1600" t="s">
        <v>46</v>
      </c>
      <c r="G1600" t="s">
        <v>70</v>
      </c>
      <c r="H1600" t="s">
        <v>75</v>
      </c>
      <c r="I1600">
        <v>1</v>
      </c>
      <c r="J1600">
        <v>5448</v>
      </c>
      <c r="K1600">
        <v>0</v>
      </c>
      <c r="L1600">
        <v>5448</v>
      </c>
      <c r="M1600">
        <v>3555.15</v>
      </c>
      <c r="N1600">
        <v>1892.85</v>
      </c>
      <c r="O1600" t="s">
        <v>77</v>
      </c>
      <c r="P1600" t="s">
        <v>81</v>
      </c>
    </row>
    <row r="1601" spans="1:16" x14ac:dyDescent="0.25">
      <c r="A1601">
        <v>1600</v>
      </c>
      <c r="B1601" s="2">
        <v>45866</v>
      </c>
      <c r="C1601" t="s">
        <v>21</v>
      </c>
      <c r="D1601" t="s">
        <v>24</v>
      </c>
      <c r="E1601" t="s">
        <v>34</v>
      </c>
      <c r="F1601" t="s">
        <v>55</v>
      </c>
      <c r="G1601" t="s">
        <v>71</v>
      </c>
      <c r="H1601" t="s">
        <v>74</v>
      </c>
      <c r="I1601">
        <v>8</v>
      </c>
      <c r="J1601">
        <v>4001</v>
      </c>
      <c r="K1601">
        <v>0</v>
      </c>
      <c r="L1601">
        <v>32008</v>
      </c>
      <c r="M1601">
        <v>24299.439999999999</v>
      </c>
      <c r="N1601">
        <v>7708.56</v>
      </c>
      <c r="O1601" t="s">
        <v>76</v>
      </c>
      <c r="P1601" t="s">
        <v>88</v>
      </c>
    </row>
    <row r="1602" spans="1:16" x14ac:dyDescent="0.25">
      <c r="A1602">
        <v>1601</v>
      </c>
      <c r="B1602" s="2">
        <v>45762</v>
      </c>
      <c r="C1602" t="s">
        <v>21</v>
      </c>
      <c r="D1602" t="s">
        <v>24</v>
      </c>
      <c r="E1602" t="s">
        <v>31</v>
      </c>
      <c r="F1602" t="s">
        <v>67</v>
      </c>
      <c r="G1602" t="s">
        <v>72</v>
      </c>
      <c r="H1602" t="s">
        <v>75</v>
      </c>
      <c r="I1602">
        <v>6</v>
      </c>
      <c r="J1602">
        <v>1481</v>
      </c>
      <c r="K1602">
        <v>0.05</v>
      </c>
      <c r="L1602">
        <v>8441.7000000000007</v>
      </c>
      <c r="M1602">
        <v>7180.83</v>
      </c>
      <c r="N1602">
        <v>1260.8699999999999</v>
      </c>
      <c r="O1602" t="s">
        <v>77</v>
      </c>
      <c r="P1602" t="s">
        <v>81</v>
      </c>
    </row>
    <row r="1603" spans="1:16" x14ac:dyDescent="0.25">
      <c r="A1603">
        <v>1602</v>
      </c>
      <c r="B1603" s="2">
        <v>45807</v>
      </c>
      <c r="C1603" t="s">
        <v>16</v>
      </c>
      <c r="D1603" t="s">
        <v>24</v>
      </c>
      <c r="E1603" t="s">
        <v>30</v>
      </c>
      <c r="F1603" t="s">
        <v>37</v>
      </c>
      <c r="G1603" t="s">
        <v>71</v>
      </c>
      <c r="H1603" t="s">
        <v>74</v>
      </c>
      <c r="I1603">
        <v>4</v>
      </c>
      <c r="J1603">
        <v>41326</v>
      </c>
      <c r="K1603">
        <v>0.1</v>
      </c>
      <c r="L1603">
        <v>148773.6</v>
      </c>
      <c r="M1603">
        <v>110679.67999999999</v>
      </c>
      <c r="N1603">
        <v>38093.919999999998</v>
      </c>
      <c r="O1603" t="s">
        <v>77</v>
      </c>
      <c r="P1603" t="s">
        <v>84</v>
      </c>
    </row>
    <row r="1604" spans="1:16" x14ac:dyDescent="0.25">
      <c r="A1604">
        <v>1603</v>
      </c>
      <c r="B1604" s="2">
        <v>45976</v>
      </c>
      <c r="C1604" t="s">
        <v>17</v>
      </c>
      <c r="D1604" t="s">
        <v>25</v>
      </c>
      <c r="E1604" t="s">
        <v>31</v>
      </c>
      <c r="F1604" t="s">
        <v>47</v>
      </c>
      <c r="G1604" t="s">
        <v>72</v>
      </c>
      <c r="H1604" t="s">
        <v>75</v>
      </c>
      <c r="I1604">
        <v>1</v>
      </c>
      <c r="J1604">
        <v>1016</v>
      </c>
      <c r="K1604">
        <v>0</v>
      </c>
      <c r="L1604">
        <v>1016</v>
      </c>
      <c r="M1604">
        <v>831.54</v>
      </c>
      <c r="N1604">
        <v>184.46</v>
      </c>
      <c r="O1604" t="s">
        <v>77</v>
      </c>
      <c r="P1604" t="s">
        <v>81</v>
      </c>
    </row>
    <row r="1605" spans="1:16" x14ac:dyDescent="0.25">
      <c r="A1605">
        <v>1604</v>
      </c>
      <c r="B1605" s="2">
        <v>45846</v>
      </c>
      <c r="C1605" t="s">
        <v>22</v>
      </c>
      <c r="D1605" t="s">
        <v>24</v>
      </c>
      <c r="E1605" t="s">
        <v>31</v>
      </c>
      <c r="F1605" t="s">
        <v>69</v>
      </c>
      <c r="G1605" t="s">
        <v>70</v>
      </c>
      <c r="H1605" t="s">
        <v>75</v>
      </c>
      <c r="I1605">
        <v>4</v>
      </c>
      <c r="J1605">
        <v>2055</v>
      </c>
      <c r="K1605">
        <v>0.1</v>
      </c>
      <c r="L1605">
        <v>7398</v>
      </c>
      <c r="M1605">
        <v>4826.6899999999996</v>
      </c>
      <c r="N1605">
        <v>2571.31</v>
      </c>
      <c r="O1605" t="s">
        <v>79</v>
      </c>
      <c r="P1605" t="s">
        <v>82</v>
      </c>
    </row>
    <row r="1606" spans="1:16" x14ac:dyDescent="0.25">
      <c r="A1606">
        <v>1605</v>
      </c>
      <c r="B1606" s="2">
        <v>45837</v>
      </c>
      <c r="C1606" t="s">
        <v>19</v>
      </c>
      <c r="D1606" t="s">
        <v>26</v>
      </c>
      <c r="E1606" t="s">
        <v>30</v>
      </c>
      <c r="F1606" t="s">
        <v>37</v>
      </c>
      <c r="G1606" t="s">
        <v>71</v>
      </c>
      <c r="H1606" t="s">
        <v>74</v>
      </c>
      <c r="I1606">
        <v>6</v>
      </c>
      <c r="J1606">
        <v>22685</v>
      </c>
      <c r="K1606">
        <v>0.15</v>
      </c>
      <c r="L1606">
        <v>115693.5</v>
      </c>
      <c r="M1606">
        <v>72114.350000000006</v>
      </c>
      <c r="N1606">
        <v>43579.15</v>
      </c>
      <c r="O1606" t="s">
        <v>80</v>
      </c>
      <c r="P1606" t="s">
        <v>82</v>
      </c>
    </row>
    <row r="1607" spans="1:16" x14ac:dyDescent="0.25">
      <c r="A1607">
        <v>1606</v>
      </c>
      <c r="B1607" s="2">
        <v>45759</v>
      </c>
      <c r="C1607" t="s">
        <v>19</v>
      </c>
      <c r="D1607" t="s">
        <v>26</v>
      </c>
      <c r="E1607" t="s">
        <v>34</v>
      </c>
      <c r="F1607" t="s">
        <v>43</v>
      </c>
      <c r="G1607" t="s">
        <v>71</v>
      </c>
      <c r="H1607" t="s">
        <v>73</v>
      </c>
      <c r="I1607">
        <v>7</v>
      </c>
      <c r="J1607">
        <v>755</v>
      </c>
      <c r="K1607">
        <v>0.1</v>
      </c>
      <c r="L1607">
        <v>4756.5</v>
      </c>
      <c r="M1607">
        <v>3092.2</v>
      </c>
      <c r="N1607">
        <v>1664.3</v>
      </c>
      <c r="O1607" t="s">
        <v>80</v>
      </c>
      <c r="P1607" t="s">
        <v>84</v>
      </c>
    </row>
    <row r="1608" spans="1:16" x14ac:dyDescent="0.25">
      <c r="A1608">
        <v>1607</v>
      </c>
      <c r="B1608" s="2">
        <v>45709</v>
      </c>
      <c r="C1608" t="s">
        <v>19</v>
      </c>
      <c r="D1608" t="s">
        <v>26</v>
      </c>
      <c r="E1608" t="s">
        <v>29</v>
      </c>
      <c r="F1608" t="s">
        <v>45</v>
      </c>
      <c r="G1608" t="s">
        <v>71</v>
      </c>
      <c r="H1608" t="s">
        <v>75</v>
      </c>
      <c r="I1608">
        <v>5</v>
      </c>
      <c r="J1608">
        <v>10141</v>
      </c>
      <c r="K1608">
        <v>0.05</v>
      </c>
      <c r="L1608">
        <v>48169.75</v>
      </c>
      <c r="M1608">
        <v>32295.07</v>
      </c>
      <c r="N1608">
        <v>15874.68</v>
      </c>
      <c r="O1608" t="s">
        <v>78</v>
      </c>
      <c r="P1608" t="s">
        <v>86</v>
      </c>
    </row>
    <row r="1609" spans="1:16" x14ac:dyDescent="0.25">
      <c r="A1609">
        <v>1608</v>
      </c>
      <c r="B1609" s="2">
        <v>45694</v>
      </c>
      <c r="C1609" t="s">
        <v>16</v>
      </c>
      <c r="D1609" t="s">
        <v>24</v>
      </c>
      <c r="E1609" t="s">
        <v>31</v>
      </c>
      <c r="F1609" t="s">
        <v>50</v>
      </c>
      <c r="G1609" t="s">
        <v>72</v>
      </c>
      <c r="H1609" t="s">
        <v>75</v>
      </c>
      <c r="I1609">
        <v>3</v>
      </c>
      <c r="J1609">
        <v>408</v>
      </c>
      <c r="K1609">
        <v>0.2</v>
      </c>
      <c r="L1609">
        <v>979.2</v>
      </c>
      <c r="M1609">
        <v>586.64</v>
      </c>
      <c r="N1609">
        <v>392.56</v>
      </c>
      <c r="O1609" t="s">
        <v>80</v>
      </c>
      <c r="P1609" t="s">
        <v>85</v>
      </c>
    </row>
    <row r="1610" spans="1:16" x14ac:dyDescent="0.25">
      <c r="A1610">
        <v>1609</v>
      </c>
      <c r="B1610" s="2">
        <v>45689</v>
      </c>
      <c r="C1610" t="s">
        <v>21</v>
      </c>
      <c r="D1610" t="s">
        <v>24</v>
      </c>
      <c r="E1610" t="s">
        <v>33</v>
      </c>
      <c r="F1610" t="s">
        <v>59</v>
      </c>
      <c r="G1610" t="s">
        <v>72</v>
      </c>
      <c r="H1610" t="s">
        <v>75</v>
      </c>
      <c r="I1610">
        <v>1</v>
      </c>
      <c r="J1610">
        <v>36384</v>
      </c>
      <c r="K1610">
        <v>0</v>
      </c>
      <c r="L1610">
        <v>36384</v>
      </c>
      <c r="M1610">
        <v>31436.1</v>
      </c>
      <c r="N1610">
        <v>4947.8999999999996</v>
      </c>
      <c r="O1610" t="s">
        <v>79</v>
      </c>
      <c r="P1610" t="s">
        <v>86</v>
      </c>
    </row>
    <row r="1611" spans="1:16" x14ac:dyDescent="0.25">
      <c r="A1611">
        <v>1610</v>
      </c>
      <c r="B1611" s="2">
        <v>45933</v>
      </c>
      <c r="C1611" t="s">
        <v>16</v>
      </c>
      <c r="D1611" t="s">
        <v>24</v>
      </c>
      <c r="E1611" t="s">
        <v>34</v>
      </c>
      <c r="F1611" t="s">
        <v>68</v>
      </c>
      <c r="G1611" t="s">
        <v>70</v>
      </c>
      <c r="H1611" t="s">
        <v>73</v>
      </c>
      <c r="I1611">
        <v>4</v>
      </c>
      <c r="J1611">
        <v>5886</v>
      </c>
      <c r="K1611">
        <v>0.05</v>
      </c>
      <c r="L1611">
        <v>22366.799999999999</v>
      </c>
      <c r="M1611">
        <v>14063.44</v>
      </c>
      <c r="N1611">
        <v>8303.36</v>
      </c>
      <c r="O1611" t="s">
        <v>77</v>
      </c>
      <c r="P1611" t="s">
        <v>86</v>
      </c>
    </row>
    <row r="1612" spans="1:16" x14ac:dyDescent="0.25">
      <c r="A1612">
        <v>1611</v>
      </c>
      <c r="B1612" s="2">
        <v>45906</v>
      </c>
      <c r="C1612" t="s">
        <v>19</v>
      </c>
      <c r="D1612" t="s">
        <v>26</v>
      </c>
      <c r="E1612" t="s">
        <v>31</v>
      </c>
      <c r="F1612" t="s">
        <v>67</v>
      </c>
      <c r="G1612" t="s">
        <v>71</v>
      </c>
      <c r="H1612" t="s">
        <v>73</v>
      </c>
      <c r="I1612">
        <v>1</v>
      </c>
      <c r="J1612">
        <v>2414</v>
      </c>
      <c r="K1612">
        <v>0.15</v>
      </c>
      <c r="L1612">
        <v>2051.9</v>
      </c>
      <c r="M1612">
        <v>1636.41</v>
      </c>
      <c r="N1612">
        <v>415.49</v>
      </c>
      <c r="O1612" t="s">
        <v>76</v>
      </c>
      <c r="P1612" t="s">
        <v>88</v>
      </c>
    </row>
    <row r="1613" spans="1:16" x14ac:dyDescent="0.25">
      <c r="A1613">
        <v>1612</v>
      </c>
      <c r="B1613" s="2">
        <v>45721</v>
      </c>
      <c r="C1613" t="s">
        <v>20</v>
      </c>
      <c r="D1613" t="s">
        <v>26</v>
      </c>
      <c r="E1613" t="s">
        <v>30</v>
      </c>
      <c r="F1613" t="s">
        <v>56</v>
      </c>
      <c r="G1613" t="s">
        <v>70</v>
      </c>
      <c r="H1613" t="s">
        <v>75</v>
      </c>
      <c r="I1613">
        <v>3</v>
      </c>
      <c r="J1613">
        <v>40942</v>
      </c>
      <c r="K1613">
        <v>0.15</v>
      </c>
      <c r="L1613">
        <v>104402.1</v>
      </c>
      <c r="M1613">
        <v>57431.73</v>
      </c>
      <c r="N1613">
        <v>46970.37</v>
      </c>
      <c r="O1613" t="s">
        <v>76</v>
      </c>
      <c r="P1613" t="s">
        <v>83</v>
      </c>
    </row>
    <row r="1614" spans="1:16" x14ac:dyDescent="0.25">
      <c r="A1614">
        <v>1613</v>
      </c>
      <c r="B1614" s="2">
        <v>45662</v>
      </c>
      <c r="C1614" t="s">
        <v>20</v>
      </c>
      <c r="D1614" t="s">
        <v>26</v>
      </c>
      <c r="E1614" t="s">
        <v>34</v>
      </c>
      <c r="F1614" t="s">
        <v>55</v>
      </c>
      <c r="G1614" t="s">
        <v>72</v>
      </c>
      <c r="H1614" t="s">
        <v>73</v>
      </c>
      <c r="I1614">
        <v>5</v>
      </c>
      <c r="J1614">
        <v>4164</v>
      </c>
      <c r="K1614">
        <v>0</v>
      </c>
      <c r="L1614">
        <v>20820</v>
      </c>
      <c r="M1614">
        <v>17853.009999999998</v>
      </c>
      <c r="N1614">
        <v>2966.99</v>
      </c>
      <c r="O1614" t="s">
        <v>79</v>
      </c>
      <c r="P1614" t="s">
        <v>86</v>
      </c>
    </row>
    <row r="1615" spans="1:16" x14ac:dyDescent="0.25">
      <c r="A1615">
        <v>1614</v>
      </c>
      <c r="B1615" s="2">
        <v>46001</v>
      </c>
      <c r="C1615" t="s">
        <v>20</v>
      </c>
      <c r="D1615" t="s">
        <v>26</v>
      </c>
      <c r="E1615" t="s">
        <v>33</v>
      </c>
      <c r="F1615" t="s">
        <v>60</v>
      </c>
      <c r="G1615" t="s">
        <v>72</v>
      </c>
      <c r="H1615" t="s">
        <v>75</v>
      </c>
      <c r="I1615">
        <v>8</v>
      </c>
      <c r="J1615">
        <v>17941</v>
      </c>
      <c r="K1615">
        <v>0</v>
      </c>
      <c r="L1615">
        <v>143528</v>
      </c>
      <c r="M1615">
        <v>104857.31</v>
      </c>
      <c r="N1615">
        <v>38670.69</v>
      </c>
      <c r="O1615" t="s">
        <v>78</v>
      </c>
      <c r="P1615" t="s">
        <v>85</v>
      </c>
    </row>
    <row r="1616" spans="1:16" x14ac:dyDescent="0.25">
      <c r="A1616">
        <v>1615</v>
      </c>
      <c r="B1616" s="2">
        <v>45856</v>
      </c>
      <c r="C1616" t="s">
        <v>16</v>
      </c>
      <c r="D1616" t="s">
        <v>24</v>
      </c>
      <c r="E1616" t="s">
        <v>33</v>
      </c>
      <c r="F1616" t="s">
        <v>46</v>
      </c>
      <c r="G1616" t="s">
        <v>71</v>
      </c>
      <c r="H1616" t="s">
        <v>73</v>
      </c>
      <c r="I1616">
        <v>6</v>
      </c>
      <c r="J1616">
        <v>29756</v>
      </c>
      <c r="K1616">
        <v>0.2</v>
      </c>
      <c r="L1616">
        <v>142828.79999999999</v>
      </c>
      <c r="M1616">
        <v>125102.71</v>
      </c>
      <c r="N1616">
        <v>17726.09</v>
      </c>
      <c r="O1616" t="s">
        <v>79</v>
      </c>
      <c r="P1616" t="s">
        <v>88</v>
      </c>
    </row>
    <row r="1617" spans="1:16" x14ac:dyDescent="0.25">
      <c r="A1617">
        <v>1616</v>
      </c>
      <c r="B1617" s="2">
        <v>45980</v>
      </c>
      <c r="C1617" t="s">
        <v>23</v>
      </c>
      <c r="D1617" t="s">
        <v>27</v>
      </c>
      <c r="E1617" t="s">
        <v>33</v>
      </c>
      <c r="F1617" t="s">
        <v>46</v>
      </c>
      <c r="G1617" t="s">
        <v>70</v>
      </c>
      <c r="H1617" t="s">
        <v>73</v>
      </c>
      <c r="I1617">
        <v>1</v>
      </c>
      <c r="J1617">
        <v>25599</v>
      </c>
      <c r="K1617">
        <v>0.05</v>
      </c>
      <c r="L1617">
        <v>24319.05</v>
      </c>
      <c r="M1617">
        <v>19013.22</v>
      </c>
      <c r="N1617">
        <v>5305.83</v>
      </c>
      <c r="O1617" t="s">
        <v>77</v>
      </c>
      <c r="P1617" t="s">
        <v>85</v>
      </c>
    </row>
    <row r="1618" spans="1:16" x14ac:dyDescent="0.25">
      <c r="A1618">
        <v>1617</v>
      </c>
      <c r="B1618" s="2">
        <v>45824</v>
      </c>
      <c r="C1618" t="s">
        <v>23</v>
      </c>
      <c r="D1618" t="s">
        <v>27</v>
      </c>
      <c r="E1618" t="s">
        <v>33</v>
      </c>
      <c r="F1618" t="s">
        <v>46</v>
      </c>
      <c r="G1618" t="s">
        <v>71</v>
      </c>
      <c r="H1618" t="s">
        <v>75</v>
      </c>
      <c r="I1618">
        <v>2</v>
      </c>
      <c r="J1618">
        <v>11234</v>
      </c>
      <c r="K1618">
        <v>0.05</v>
      </c>
      <c r="L1618">
        <v>21344.6</v>
      </c>
      <c r="M1618">
        <v>16280.21</v>
      </c>
      <c r="N1618">
        <v>5064.3900000000003</v>
      </c>
      <c r="O1618" t="s">
        <v>80</v>
      </c>
      <c r="P1618" t="s">
        <v>84</v>
      </c>
    </row>
    <row r="1619" spans="1:16" x14ac:dyDescent="0.25">
      <c r="A1619">
        <v>1618</v>
      </c>
      <c r="B1619" s="2">
        <v>45776</v>
      </c>
      <c r="C1619" t="s">
        <v>22</v>
      </c>
      <c r="D1619" t="s">
        <v>24</v>
      </c>
      <c r="E1619" t="s">
        <v>34</v>
      </c>
      <c r="F1619" t="s">
        <v>55</v>
      </c>
      <c r="G1619" t="s">
        <v>70</v>
      </c>
      <c r="H1619" t="s">
        <v>74</v>
      </c>
      <c r="I1619">
        <v>8</v>
      </c>
      <c r="J1619">
        <v>5014</v>
      </c>
      <c r="K1619">
        <v>0.05</v>
      </c>
      <c r="L1619">
        <v>38106.400000000001</v>
      </c>
      <c r="M1619">
        <v>30321.54</v>
      </c>
      <c r="N1619">
        <v>7784.86</v>
      </c>
      <c r="O1619" t="s">
        <v>78</v>
      </c>
      <c r="P1619" t="s">
        <v>87</v>
      </c>
    </row>
    <row r="1620" spans="1:16" x14ac:dyDescent="0.25">
      <c r="A1620">
        <v>1619</v>
      </c>
      <c r="B1620" s="2">
        <v>45960</v>
      </c>
      <c r="C1620" t="s">
        <v>19</v>
      </c>
      <c r="D1620" t="s">
        <v>26</v>
      </c>
      <c r="E1620" t="s">
        <v>29</v>
      </c>
      <c r="F1620" t="s">
        <v>57</v>
      </c>
      <c r="G1620" t="s">
        <v>71</v>
      </c>
      <c r="H1620" t="s">
        <v>73</v>
      </c>
      <c r="I1620">
        <v>3</v>
      </c>
      <c r="J1620">
        <v>6899</v>
      </c>
      <c r="K1620">
        <v>0.15</v>
      </c>
      <c r="L1620">
        <v>17592.45</v>
      </c>
      <c r="M1620">
        <v>12427.84</v>
      </c>
      <c r="N1620">
        <v>5164.6099999999997</v>
      </c>
      <c r="O1620" t="s">
        <v>79</v>
      </c>
      <c r="P1620" t="s">
        <v>87</v>
      </c>
    </row>
    <row r="1621" spans="1:16" x14ac:dyDescent="0.25">
      <c r="A1621">
        <v>1620</v>
      </c>
      <c r="B1621" s="2">
        <v>45928</v>
      </c>
      <c r="C1621" t="s">
        <v>23</v>
      </c>
      <c r="D1621" t="s">
        <v>27</v>
      </c>
      <c r="E1621" t="s">
        <v>32</v>
      </c>
      <c r="F1621" t="s">
        <v>62</v>
      </c>
      <c r="G1621" t="s">
        <v>70</v>
      </c>
      <c r="H1621" t="s">
        <v>73</v>
      </c>
      <c r="I1621">
        <v>6</v>
      </c>
      <c r="J1621">
        <v>17702</v>
      </c>
      <c r="K1621">
        <v>0</v>
      </c>
      <c r="L1621">
        <v>106212</v>
      </c>
      <c r="M1621">
        <v>64115.24</v>
      </c>
      <c r="N1621">
        <v>42096.76</v>
      </c>
      <c r="O1621" t="s">
        <v>79</v>
      </c>
      <c r="P1621" t="s">
        <v>83</v>
      </c>
    </row>
    <row r="1622" spans="1:16" x14ac:dyDescent="0.25">
      <c r="A1622">
        <v>1621</v>
      </c>
      <c r="B1622" s="2">
        <v>45941</v>
      </c>
      <c r="C1622" t="s">
        <v>16</v>
      </c>
      <c r="D1622" t="s">
        <v>24</v>
      </c>
      <c r="E1622" t="s">
        <v>33</v>
      </c>
      <c r="F1622" t="s">
        <v>46</v>
      </c>
      <c r="G1622" t="s">
        <v>71</v>
      </c>
      <c r="H1622" t="s">
        <v>73</v>
      </c>
      <c r="I1622">
        <v>3</v>
      </c>
      <c r="J1622">
        <v>10780</v>
      </c>
      <c r="K1622">
        <v>0.05</v>
      </c>
      <c r="L1622">
        <v>30723</v>
      </c>
      <c r="M1622">
        <v>19161.39</v>
      </c>
      <c r="N1622">
        <v>11561.61</v>
      </c>
      <c r="O1622" t="s">
        <v>78</v>
      </c>
      <c r="P1622" t="s">
        <v>84</v>
      </c>
    </row>
    <row r="1623" spans="1:16" x14ac:dyDescent="0.25">
      <c r="A1623">
        <v>1622</v>
      </c>
      <c r="B1623" s="2">
        <v>45806</v>
      </c>
      <c r="C1623" t="s">
        <v>16</v>
      </c>
      <c r="D1623" t="s">
        <v>24</v>
      </c>
      <c r="E1623" t="s">
        <v>34</v>
      </c>
      <c r="F1623" t="s">
        <v>55</v>
      </c>
      <c r="G1623" t="s">
        <v>71</v>
      </c>
      <c r="H1623" t="s">
        <v>75</v>
      </c>
      <c r="I1623">
        <v>3</v>
      </c>
      <c r="J1623">
        <v>2081</v>
      </c>
      <c r="K1623">
        <v>0.15</v>
      </c>
      <c r="L1623">
        <v>5306.55</v>
      </c>
      <c r="M1623">
        <v>4178.25</v>
      </c>
      <c r="N1623">
        <v>1128.3</v>
      </c>
      <c r="O1623" t="s">
        <v>76</v>
      </c>
      <c r="P1623" t="s">
        <v>87</v>
      </c>
    </row>
    <row r="1624" spans="1:16" x14ac:dyDescent="0.25">
      <c r="A1624">
        <v>1623</v>
      </c>
      <c r="B1624" s="2">
        <v>45992</v>
      </c>
      <c r="C1624" t="s">
        <v>17</v>
      </c>
      <c r="D1624" t="s">
        <v>25</v>
      </c>
      <c r="E1624" t="s">
        <v>30</v>
      </c>
      <c r="F1624" t="s">
        <v>64</v>
      </c>
      <c r="G1624" t="s">
        <v>71</v>
      </c>
      <c r="H1624" t="s">
        <v>73</v>
      </c>
      <c r="I1624">
        <v>4</v>
      </c>
      <c r="J1624">
        <v>50706</v>
      </c>
      <c r="K1624">
        <v>0.05</v>
      </c>
      <c r="L1624">
        <v>192682.8</v>
      </c>
      <c r="M1624">
        <v>163871</v>
      </c>
      <c r="N1624">
        <v>28811.8</v>
      </c>
      <c r="O1624" t="s">
        <v>76</v>
      </c>
      <c r="P1624" t="s">
        <v>86</v>
      </c>
    </row>
    <row r="1625" spans="1:16" x14ac:dyDescent="0.25">
      <c r="A1625">
        <v>1624</v>
      </c>
      <c r="B1625" s="2">
        <v>45760</v>
      </c>
      <c r="C1625" t="s">
        <v>18</v>
      </c>
      <c r="D1625" t="s">
        <v>26</v>
      </c>
      <c r="E1625" t="s">
        <v>30</v>
      </c>
      <c r="F1625" t="s">
        <v>56</v>
      </c>
      <c r="G1625" t="s">
        <v>72</v>
      </c>
      <c r="H1625" t="s">
        <v>74</v>
      </c>
      <c r="I1625">
        <v>6</v>
      </c>
      <c r="J1625">
        <v>5130</v>
      </c>
      <c r="K1625">
        <v>0.15</v>
      </c>
      <c r="L1625">
        <v>26163</v>
      </c>
      <c r="M1625">
        <v>16419.12</v>
      </c>
      <c r="N1625">
        <v>9743.8799999999992</v>
      </c>
      <c r="O1625" t="s">
        <v>77</v>
      </c>
      <c r="P1625" t="s">
        <v>85</v>
      </c>
    </row>
    <row r="1626" spans="1:16" x14ac:dyDescent="0.25">
      <c r="A1626">
        <v>1625</v>
      </c>
      <c r="B1626" s="2">
        <v>45700</v>
      </c>
      <c r="C1626" t="s">
        <v>20</v>
      </c>
      <c r="D1626" t="s">
        <v>26</v>
      </c>
      <c r="E1626" t="s">
        <v>30</v>
      </c>
      <c r="F1626" t="s">
        <v>37</v>
      </c>
      <c r="G1626" t="s">
        <v>71</v>
      </c>
      <c r="H1626" t="s">
        <v>73</v>
      </c>
      <c r="I1626">
        <v>3</v>
      </c>
      <c r="J1626">
        <v>66547</v>
      </c>
      <c r="K1626">
        <v>0.15</v>
      </c>
      <c r="L1626">
        <v>169694.85</v>
      </c>
      <c r="M1626">
        <v>147894.85</v>
      </c>
      <c r="N1626">
        <v>21800</v>
      </c>
      <c r="O1626" t="s">
        <v>78</v>
      </c>
      <c r="P1626" t="s">
        <v>87</v>
      </c>
    </row>
    <row r="1627" spans="1:16" x14ac:dyDescent="0.25">
      <c r="A1627">
        <v>1626</v>
      </c>
      <c r="B1627" s="2">
        <v>45957</v>
      </c>
      <c r="C1627" t="s">
        <v>16</v>
      </c>
      <c r="D1627" t="s">
        <v>24</v>
      </c>
      <c r="E1627" t="s">
        <v>30</v>
      </c>
      <c r="F1627" t="s">
        <v>64</v>
      </c>
      <c r="G1627" t="s">
        <v>70</v>
      </c>
      <c r="H1627" t="s">
        <v>74</v>
      </c>
      <c r="I1627">
        <v>8</v>
      </c>
      <c r="J1627">
        <v>26185</v>
      </c>
      <c r="K1627">
        <v>0</v>
      </c>
      <c r="L1627">
        <v>209480</v>
      </c>
      <c r="M1627">
        <v>181733.61</v>
      </c>
      <c r="N1627">
        <v>27746.39</v>
      </c>
      <c r="O1627" t="s">
        <v>78</v>
      </c>
      <c r="P1627" t="s">
        <v>87</v>
      </c>
    </row>
    <row r="1628" spans="1:16" x14ac:dyDescent="0.25">
      <c r="A1628">
        <v>1627</v>
      </c>
      <c r="B1628" s="2">
        <v>45767</v>
      </c>
      <c r="C1628" t="s">
        <v>23</v>
      </c>
      <c r="D1628" t="s">
        <v>27</v>
      </c>
      <c r="E1628" t="s">
        <v>33</v>
      </c>
      <c r="F1628" t="s">
        <v>59</v>
      </c>
      <c r="G1628" t="s">
        <v>71</v>
      </c>
      <c r="H1628" t="s">
        <v>73</v>
      </c>
      <c r="I1628">
        <v>2</v>
      </c>
      <c r="J1628">
        <v>33445</v>
      </c>
      <c r="K1628">
        <v>0.15</v>
      </c>
      <c r="L1628">
        <v>56856.5</v>
      </c>
      <c r="M1628">
        <v>40818.480000000003</v>
      </c>
      <c r="N1628">
        <v>16038.02</v>
      </c>
      <c r="O1628" t="s">
        <v>77</v>
      </c>
      <c r="P1628" t="s">
        <v>84</v>
      </c>
    </row>
    <row r="1629" spans="1:16" x14ac:dyDescent="0.25">
      <c r="A1629">
        <v>1628</v>
      </c>
      <c r="B1629" s="2">
        <v>45824</v>
      </c>
      <c r="C1629" t="s">
        <v>18</v>
      </c>
      <c r="D1629" t="s">
        <v>26</v>
      </c>
      <c r="E1629" t="s">
        <v>28</v>
      </c>
      <c r="F1629" t="s">
        <v>61</v>
      </c>
      <c r="G1629" t="s">
        <v>71</v>
      </c>
      <c r="H1629" t="s">
        <v>75</v>
      </c>
      <c r="I1629">
        <v>2</v>
      </c>
      <c r="J1629">
        <v>844</v>
      </c>
      <c r="K1629">
        <v>0.2</v>
      </c>
      <c r="L1629">
        <v>1350.4</v>
      </c>
      <c r="M1629">
        <v>816.27</v>
      </c>
      <c r="N1629">
        <v>534.13</v>
      </c>
      <c r="O1629" t="s">
        <v>80</v>
      </c>
      <c r="P1629" t="s">
        <v>88</v>
      </c>
    </row>
    <row r="1630" spans="1:16" x14ac:dyDescent="0.25">
      <c r="A1630">
        <v>1629</v>
      </c>
      <c r="B1630" s="2">
        <v>45766</v>
      </c>
      <c r="C1630" t="s">
        <v>21</v>
      </c>
      <c r="D1630" t="s">
        <v>24</v>
      </c>
      <c r="E1630" t="s">
        <v>33</v>
      </c>
      <c r="F1630" t="s">
        <v>52</v>
      </c>
      <c r="G1630" t="s">
        <v>72</v>
      </c>
      <c r="H1630" t="s">
        <v>74</v>
      </c>
      <c r="I1630">
        <v>7</v>
      </c>
      <c r="J1630">
        <v>25849</v>
      </c>
      <c r="K1630">
        <v>0.1</v>
      </c>
      <c r="L1630">
        <v>162848.70000000001</v>
      </c>
      <c r="M1630">
        <v>117577.8</v>
      </c>
      <c r="N1630">
        <v>45270.9</v>
      </c>
      <c r="O1630" t="s">
        <v>77</v>
      </c>
      <c r="P1630" t="s">
        <v>83</v>
      </c>
    </row>
    <row r="1631" spans="1:16" x14ac:dyDescent="0.25">
      <c r="A1631">
        <v>1630</v>
      </c>
      <c r="B1631" s="2">
        <v>45667</v>
      </c>
      <c r="C1631" t="s">
        <v>20</v>
      </c>
      <c r="D1631" t="s">
        <v>26</v>
      </c>
      <c r="E1631" t="s">
        <v>33</v>
      </c>
      <c r="F1631" t="s">
        <v>52</v>
      </c>
      <c r="G1631" t="s">
        <v>71</v>
      </c>
      <c r="H1631" t="s">
        <v>74</v>
      </c>
      <c r="I1631">
        <v>4</v>
      </c>
      <c r="J1631">
        <v>21571</v>
      </c>
      <c r="K1631">
        <v>0.15</v>
      </c>
      <c r="L1631">
        <v>73341.399999999994</v>
      </c>
      <c r="M1631">
        <v>51921.05</v>
      </c>
      <c r="N1631">
        <v>21420.35</v>
      </c>
      <c r="O1631" t="s">
        <v>77</v>
      </c>
      <c r="P1631" t="s">
        <v>81</v>
      </c>
    </row>
    <row r="1632" spans="1:16" x14ac:dyDescent="0.25">
      <c r="A1632">
        <v>1631</v>
      </c>
      <c r="B1632" s="2">
        <v>45678</v>
      </c>
      <c r="C1632" t="s">
        <v>17</v>
      </c>
      <c r="D1632" t="s">
        <v>25</v>
      </c>
      <c r="E1632" t="s">
        <v>28</v>
      </c>
      <c r="F1632" t="s">
        <v>63</v>
      </c>
      <c r="G1632" t="s">
        <v>71</v>
      </c>
      <c r="H1632" t="s">
        <v>74</v>
      </c>
      <c r="I1632">
        <v>2</v>
      </c>
      <c r="J1632">
        <v>794</v>
      </c>
      <c r="K1632">
        <v>0.05</v>
      </c>
      <c r="L1632">
        <v>1508.6</v>
      </c>
      <c r="M1632">
        <v>944.32</v>
      </c>
      <c r="N1632">
        <v>564.28</v>
      </c>
      <c r="O1632" t="s">
        <v>77</v>
      </c>
      <c r="P1632" t="s">
        <v>85</v>
      </c>
    </row>
    <row r="1633" spans="1:16" x14ac:dyDescent="0.25">
      <c r="A1633">
        <v>1632</v>
      </c>
      <c r="B1633" s="2">
        <v>45929</v>
      </c>
      <c r="C1633" t="s">
        <v>23</v>
      </c>
      <c r="D1633" t="s">
        <v>27</v>
      </c>
      <c r="E1633" t="s">
        <v>30</v>
      </c>
      <c r="F1633" t="s">
        <v>56</v>
      </c>
      <c r="G1633" t="s">
        <v>72</v>
      </c>
      <c r="H1633" t="s">
        <v>73</v>
      </c>
      <c r="I1633">
        <v>3</v>
      </c>
      <c r="J1633">
        <v>28544</v>
      </c>
      <c r="K1633">
        <v>0.05</v>
      </c>
      <c r="L1633">
        <v>81350.399999999994</v>
      </c>
      <c r="M1633">
        <v>52221.52</v>
      </c>
      <c r="N1633">
        <v>29128.880000000001</v>
      </c>
      <c r="O1633" t="s">
        <v>76</v>
      </c>
      <c r="P1633" t="s">
        <v>86</v>
      </c>
    </row>
    <row r="1634" spans="1:16" x14ac:dyDescent="0.25">
      <c r="A1634">
        <v>1633</v>
      </c>
      <c r="B1634" s="2">
        <v>45662</v>
      </c>
      <c r="C1634" t="s">
        <v>20</v>
      </c>
      <c r="D1634" t="s">
        <v>26</v>
      </c>
      <c r="E1634" t="s">
        <v>33</v>
      </c>
      <c r="F1634" t="s">
        <v>46</v>
      </c>
      <c r="G1634" t="s">
        <v>71</v>
      </c>
      <c r="H1634" t="s">
        <v>74</v>
      </c>
      <c r="I1634">
        <v>1</v>
      </c>
      <c r="J1634">
        <v>11116</v>
      </c>
      <c r="K1634">
        <v>0.1</v>
      </c>
      <c r="L1634">
        <v>10004.4</v>
      </c>
      <c r="M1634">
        <v>6332.84</v>
      </c>
      <c r="N1634">
        <v>3671.56</v>
      </c>
      <c r="O1634" t="s">
        <v>77</v>
      </c>
      <c r="P1634" t="s">
        <v>88</v>
      </c>
    </row>
    <row r="1635" spans="1:16" x14ac:dyDescent="0.25">
      <c r="A1635">
        <v>1634</v>
      </c>
      <c r="B1635" s="2">
        <v>45783</v>
      </c>
      <c r="C1635" t="s">
        <v>17</v>
      </c>
      <c r="D1635" t="s">
        <v>25</v>
      </c>
      <c r="E1635" t="s">
        <v>31</v>
      </c>
      <c r="F1635" t="s">
        <v>50</v>
      </c>
      <c r="G1635" t="s">
        <v>71</v>
      </c>
      <c r="H1635" t="s">
        <v>74</v>
      </c>
      <c r="I1635">
        <v>2</v>
      </c>
      <c r="J1635">
        <v>811</v>
      </c>
      <c r="K1635">
        <v>0</v>
      </c>
      <c r="L1635">
        <v>1622</v>
      </c>
      <c r="M1635">
        <v>981.96</v>
      </c>
      <c r="N1635">
        <v>640.04</v>
      </c>
      <c r="O1635" t="s">
        <v>79</v>
      </c>
      <c r="P1635" t="s">
        <v>82</v>
      </c>
    </row>
    <row r="1636" spans="1:16" x14ac:dyDescent="0.25">
      <c r="A1636">
        <v>1635</v>
      </c>
      <c r="B1636" s="2">
        <v>45658</v>
      </c>
      <c r="C1636" t="s">
        <v>20</v>
      </c>
      <c r="D1636" t="s">
        <v>26</v>
      </c>
      <c r="E1636" t="s">
        <v>32</v>
      </c>
      <c r="F1636" t="s">
        <v>39</v>
      </c>
      <c r="G1636" t="s">
        <v>71</v>
      </c>
      <c r="H1636" t="s">
        <v>74</v>
      </c>
      <c r="I1636">
        <v>7</v>
      </c>
      <c r="J1636">
        <v>2281</v>
      </c>
      <c r="K1636">
        <v>0.05</v>
      </c>
      <c r="L1636">
        <v>15168.65</v>
      </c>
      <c r="M1636">
        <v>11533.5</v>
      </c>
      <c r="N1636">
        <v>3635.15</v>
      </c>
      <c r="O1636" t="s">
        <v>77</v>
      </c>
      <c r="P1636" t="s">
        <v>88</v>
      </c>
    </row>
    <row r="1637" spans="1:16" x14ac:dyDescent="0.25">
      <c r="A1637">
        <v>1636</v>
      </c>
      <c r="B1637" s="2">
        <v>45978</v>
      </c>
      <c r="C1637" t="s">
        <v>19</v>
      </c>
      <c r="D1637" t="s">
        <v>26</v>
      </c>
      <c r="E1637" t="s">
        <v>30</v>
      </c>
      <c r="F1637" t="s">
        <v>44</v>
      </c>
      <c r="G1637" t="s">
        <v>70</v>
      </c>
      <c r="H1637" t="s">
        <v>73</v>
      </c>
      <c r="I1637">
        <v>8</v>
      </c>
      <c r="J1637">
        <v>62944</v>
      </c>
      <c r="K1637">
        <v>0.1</v>
      </c>
      <c r="L1637">
        <v>453196.79999999999</v>
      </c>
      <c r="M1637">
        <v>376254.78</v>
      </c>
      <c r="N1637">
        <v>76942.02</v>
      </c>
      <c r="O1637" t="s">
        <v>76</v>
      </c>
      <c r="P1637" t="s">
        <v>84</v>
      </c>
    </row>
    <row r="1638" spans="1:16" x14ac:dyDescent="0.25">
      <c r="A1638">
        <v>1637</v>
      </c>
      <c r="B1638" s="2">
        <v>45687</v>
      </c>
      <c r="C1638" t="s">
        <v>22</v>
      </c>
      <c r="D1638" t="s">
        <v>24</v>
      </c>
      <c r="E1638" t="s">
        <v>28</v>
      </c>
      <c r="F1638" t="s">
        <v>61</v>
      </c>
      <c r="G1638" t="s">
        <v>71</v>
      </c>
      <c r="H1638" t="s">
        <v>74</v>
      </c>
      <c r="I1638">
        <v>1</v>
      </c>
      <c r="J1638">
        <v>1097</v>
      </c>
      <c r="K1638">
        <v>0.15</v>
      </c>
      <c r="L1638">
        <v>932.45</v>
      </c>
      <c r="M1638">
        <v>799.5</v>
      </c>
      <c r="N1638">
        <v>132.94999999999999</v>
      </c>
      <c r="O1638" t="s">
        <v>79</v>
      </c>
      <c r="P1638" t="s">
        <v>83</v>
      </c>
    </row>
    <row r="1639" spans="1:16" x14ac:dyDescent="0.25">
      <c r="A1639">
        <v>1638</v>
      </c>
      <c r="B1639" s="2">
        <v>45853</v>
      </c>
      <c r="C1639" t="s">
        <v>22</v>
      </c>
      <c r="D1639" t="s">
        <v>24</v>
      </c>
      <c r="E1639" t="s">
        <v>34</v>
      </c>
      <c r="F1639" t="s">
        <v>51</v>
      </c>
      <c r="G1639" t="s">
        <v>70</v>
      </c>
      <c r="H1639" t="s">
        <v>73</v>
      </c>
      <c r="I1639">
        <v>3</v>
      </c>
      <c r="J1639">
        <v>3561</v>
      </c>
      <c r="K1639">
        <v>0.15</v>
      </c>
      <c r="L1639">
        <v>9080.5499999999993</v>
      </c>
      <c r="M1639">
        <v>6167.13</v>
      </c>
      <c r="N1639">
        <v>2913.42</v>
      </c>
      <c r="O1639" t="s">
        <v>79</v>
      </c>
      <c r="P1639" t="s">
        <v>83</v>
      </c>
    </row>
    <row r="1640" spans="1:16" x14ac:dyDescent="0.25">
      <c r="A1640">
        <v>1639</v>
      </c>
      <c r="B1640" s="2">
        <v>45924</v>
      </c>
      <c r="C1640" t="s">
        <v>20</v>
      </c>
      <c r="D1640" t="s">
        <v>26</v>
      </c>
      <c r="E1640" t="s">
        <v>33</v>
      </c>
      <c r="F1640" t="s">
        <v>59</v>
      </c>
      <c r="G1640" t="s">
        <v>72</v>
      </c>
      <c r="H1640" t="s">
        <v>75</v>
      </c>
      <c r="I1640">
        <v>4</v>
      </c>
      <c r="J1640">
        <v>32725</v>
      </c>
      <c r="K1640">
        <v>0.05</v>
      </c>
      <c r="L1640">
        <v>124355</v>
      </c>
      <c r="M1640">
        <v>98415.92</v>
      </c>
      <c r="N1640">
        <v>25939.08</v>
      </c>
      <c r="O1640" t="s">
        <v>77</v>
      </c>
      <c r="P1640" t="s">
        <v>81</v>
      </c>
    </row>
    <row r="1641" spans="1:16" x14ac:dyDescent="0.25">
      <c r="A1641">
        <v>1640</v>
      </c>
      <c r="B1641" s="2">
        <v>45978</v>
      </c>
      <c r="C1641" t="s">
        <v>18</v>
      </c>
      <c r="D1641" t="s">
        <v>26</v>
      </c>
      <c r="E1641" t="s">
        <v>30</v>
      </c>
      <c r="F1641" t="s">
        <v>44</v>
      </c>
      <c r="G1641" t="s">
        <v>71</v>
      </c>
      <c r="H1641" t="s">
        <v>75</v>
      </c>
      <c r="I1641">
        <v>1</v>
      </c>
      <c r="J1641">
        <v>13408</v>
      </c>
      <c r="K1641">
        <v>0.1</v>
      </c>
      <c r="L1641">
        <v>12067.2</v>
      </c>
      <c r="M1641">
        <v>8369.09</v>
      </c>
      <c r="N1641">
        <v>3698.11</v>
      </c>
      <c r="O1641" t="s">
        <v>77</v>
      </c>
      <c r="P1641" t="s">
        <v>81</v>
      </c>
    </row>
    <row r="1642" spans="1:16" x14ac:dyDescent="0.25">
      <c r="A1642">
        <v>1641</v>
      </c>
      <c r="B1642" s="2">
        <v>45848</v>
      </c>
      <c r="C1642" t="s">
        <v>20</v>
      </c>
      <c r="D1642" t="s">
        <v>26</v>
      </c>
      <c r="E1642" t="s">
        <v>30</v>
      </c>
      <c r="F1642" t="s">
        <v>40</v>
      </c>
      <c r="G1642" t="s">
        <v>71</v>
      </c>
      <c r="H1642" t="s">
        <v>75</v>
      </c>
      <c r="I1642">
        <v>3</v>
      </c>
      <c r="J1642">
        <v>5525</v>
      </c>
      <c r="K1642">
        <v>0.15</v>
      </c>
      <c r="L1642">
        <v>14088.75</v>
      </c>
      <c r="M1642">
        <v>7816.8</v>
      </c>
      <c r="N1642">
        <v>6271.95</v>
      </c>
      <c r="O1642" t="s">
        <v>76</v>
      </c>
      <c r="P1642" t="s">
        <v>88</v>
      </c>
    </row>
    <row r="1643" spans="1:16" x14ac:dyDescent="0.25">
      <c r="A1643">
        <v>1642</v>
      </c>
      <c r="B1643" s="2">
        <v>45818</v>
      </c>
      <c r="C1643" t="s">
        <v>21</v>
      </c>
      <c r="D1643" t="s">
        <v>24</v>
      </c>
      <c r="E1643" t="s">
        <v>34</v>
      </c>
      <c r="F1643" t="s">
        <v>68</v>
      </c>
      <c r="G1643" t="s">
        <v>70</v>
      </c>
      <c r="H1643" t="s">
        <v>73</v>
      </c>
      <c r="I1643">
        <v>8</v>
      </c>
      <c r="J1643">
        <v>2741</v>
      </c>
      <c r="K1643">
        <v>0.1</v>
      </c>
      <c r="L1643">
        <v>19735.2</v>
      </c>
      <c r="M1643">
        <v>13181.18</v>
      </c>
      <c r="N1643">
        <v>6554.02</v>
      </c>
      <c r="O1643" t="s">
        <v>80</v>
      </c>
      <c r="P1643" t="s">
        <v>83</v>
      </c>
    </row>
    <row r="1644" spans="1:16" x14ac:dyDescent="0.25">
      <c r="A1644">
        <v>1643</v>
      </c>
      <c r="B1644" s="2">
        <v>45764</v>
      </c>
      <c r="C1644" t="s">
        <v>23</v>
      </c>
      <c r="D1644" t="s">
        <v>27</v>
      </c>
      <c r="E1644" t="s">
        <v>29</v>
      </c>
      <c r="F1644" t="s">
        <v>36</v>
      </c>
      <c r="G1644" t="s">
        <v>72</v>
      </c>
      <c r="H1644" t="s">
        <v>73</v>
      </c>
      <c r="I1644">
        <v>8</v>
      </c>
      <c r="J1644">
        <v>3904</v>
      </c>
      <c r="K1644">
        <v>0.1</v>
      </c>
      <c r="L1644">
        <v>28108.799999999999</v>
      </c>
      <c r="M1644">
        <v>16452.36</v>
      </c>
      <c r="N1644">
        <v>11656.44</v>
      </c>
      <c r="O1644" t="s">
        <v>78</v>
      </c>
      <c r="P1644" t="s">
        <v>88</v>
      </c>
    </row>
    <row r="1645" spans="1:16" x14ac:dyDescent="0.25">
      <c r="A1645">
        <v>1644</v>
      </c>
      <c r="B1645" s="2">
        <v>45836</v>
      </c>
      <c r="C1645" t="s">
        <v>21</v>
      </c>
      <c r="D1645" t="s">
        <v>24</v>
      </c>
      <c r="E1645" t="s">
        <v>32</v>
      </c>
      <c r="F1645" t="s">
        <v>48</v>
      </c>
      <c r="G1645" t="s">
        <v>70</v>
      </c>
      <c r="H1645" t="s">
        <v>74</v>
      </c>
      <c r="I1645">
        <v>1</v>
      </c>
      <c r="J1645">
        <v>11200</v>
      </c>
      <c r="K1645">
        <v>0.1</v>
      </c>
      <c r="L1645">
        <v>10080</v>
      </c>
      <c r="M1645">
        <v>5857.23</v>
      </c>
      <c r="N1645">
        <v>4222.7700000000004</v>
      </c>
      <c r="O1645" t="s">
        <v>79</v>
      </c>
      <c r="P1645" t="s">
        <v>83</v>
      </c>
    </row>
    <row r="1646" spans="1:16" x14ac:dyDescent="0.25">
      <c r="A1646">
        <v>1645</v>
      </c>
      <c r="B1646" s="2">
        <v>45699</v>
      </c>
      <c r="C1646" t="s">
        <v>18</v>
      </c>
      <c r="D1646" t="s">
        <v>26</v>
      </c>
      <c r="E1646" t="s">
        <v>34</v>
      </c>
      <c r="F1646" t="s">
        <v>68</v>
      </c>
      <c r="G1646" t="s">
        <v>70</v>
      </c>
      <c r="H1646" t="s">
        <v>75</v>
      </c>
      <c r="I1646">
        <v>7</v>
      </c>
      <c r="J1646">
        <v>825</v>
      </c>
      <c r="K1646">
        <v>0.15</v>
      </c>
      <c r="L1646">
        <v>4908.75</v>
      </c>
      <c r="M1646">
        <v>4156.08</v>
      </c>
      <c r="N1646">
        <v>752.67</v>
      </c>
      <c r="O1646" t="s">
        <v>79</v>
      </c>
      <c r="P1646" t="s">
        <v>84</v>
      </c>
    </row>
    <row r="1647" spans="1:16" x14ac:dyDescent="0.25">
      <c r="A1647">
        <v>1646</v>
      </c>
      <c r="B1647" s="2">
        <v>45911</v>
      </c>
      <c r="C1647" t="s">
        <v>16</v>
      </c>
      <c r="D1647" t="s">
        <v>24</v>
      </c>
      <c r="E1647" t="s">
        <v>34</v>
      </c>
      <c r="F1647" t="s">
        <v>68</v>
      </c>
      <c r="G1647" t="s">
        <v>70</v>
      </c>
      <c r="H1647" t="s">
        <v>75</v>
      </c>
      <c r="I1647">
        <v>2</v>
      </c>
      <c r="J1647">
        <v>3478</v>
      </c>
      <c r="K1647">
        <v>0.05</v>
      </c>
      <c r="L1647">
        <v>6608.2</v>
      </c>
      <c r="M1647">
        <v>5502.25</v>
      </c>
      <c r="N1647">
        <v>1105.95</v>
      </c>
      <c r="O1647" t="s">
        <v>79</v>
      </c>
      <c r="P1647" t="s">
        <v>88</v>
      </c>
    </row>
    <row r="1648" spans="1:16" x14ac:dyDescent="0.25">
      <c r="A1648">
        <v>1647</v>
      </c>
      <c r="B1648" s="2">
        <v>45978</v>
      </c>
      <c r="C1648" t="s">
        <v>20</v>
      </c>
      <c r="D1648" t="s">
        <v>26</v>
      </c>
      <c r="E1648" t="s">
        <v>33</v>
      </c>
      <c r="F1648" t="s">
        <v>41</v>
      </c>
      <c r="G1648" t="s">
        <v>72</v>
      </c>
      <c r="H1648" t="s">
        <v>74</v>
      </c>
      <c r="I1648">
        <v>6</v>
      </c>
      <c r="J1648">
        <v>21643</v>
      </c>
      <c r="K1648">
        <v>0.1</v>
      </c>
      <c r="L1648">
        <v>116872.2</v>
      </c>
      <c r="M1648">
        <v>90406.54</v>
      </c>
      <c r="N1648">
        <v>26465.66</v>
      </c>
      <c r="O1648" t="s">
        <v>79</v>
      </c>
      <c r="P1648" t="s">
        <v>88</v>
      </c>
    </row>
    <row r="1649" spans="1:16" x14ac:dyDescent="0.25">
      <c r="A1649">
        <v>1648</v>
      </c>
      <c r="B1649" s="2">
        <v>45771</v>
      </c>
      <c r="C1649" t="s">
        <v>17</v>
      </c>
      <c r="D1649" t="s">
        <v>25</v>
      </c>
      <c r="E1649" t="s">
        <v>28</v>
      </c>
      <c r="F1649" t="s">
        <v>54</v>
      </c>
      <c r="G1649" t="s">
        <v>70</v>
      </c>
      <c r="H1649" t="s">
        <v>75</v>
      </c>
      <c r="I1649">
        <v>2</v>
      </c>
      <c r="J1649">
        <v>910</v>
      </c>
      <c r="K1649">
        <v>0.1</v>
      </c>
      <c r="L1649">
        <v>1638</v>
      </c>
      <c r="M1649">
        <v>1179.43</v>
      </c>
      <c r="N1649">
        <v>458.57</v>
      </c>
      <c r="O1649" t="s">
        <v>78</v>
      </c>
      <c r="P1649" t="s">
        <v>82</v>
      </c>
    </row>
    <row r="1650" spans="1:16" x14ac:dyDescent="0.25">
      <c r="A1650">
        <v>1649</v>
      </c>
      <c r="B1650" s="2">
        <v>45730</v>
      </c>
      <c r="C1650" t="s">
        <v>18</v>
      </c>
      <c r="D1650" t="s">
        <v>26</v>
      </c>
      <c r="E1650" t="s">
        <v>29</v>
      </c>
      <c r="F1650" t="s">
        <v>45</v>
      </c>
      <c r="G1650" t="s">
        <v>71</v>
      </c>
      <c r="H1650" t="s">
        <v>74</v>
      </c>
      <c r="I1650">
        <v>1</v>
      </c>
      <c r="J1650">
        <v>6201</v>
      </c>
      <c r="K1650">
        <v>0.05</v>
      </c>
      <c r="L1650">
        <v>5890.95</v>
      </c>
      <c r="M1650">
        <v>3343.42</v>
      </c>
      <c r="N1650">
        <v>2547.5300000000002</v>
      </c>
      <c r="O1650" t="s">
        <v>78</v>
      </c>
      <c r="P1650" t="s">
        <v>82</v>
      </c>
    </row>
    <row r="1651" spans="1:16" x14ac:dyDescent="0.25">
      <c r="A1651">
        <v>1650</v>
      </c>
      <c r="B1651" s="2">
        <v>45994</v>
      </c>
      <c r="C1651" t="s">
        <v>17</v>
      </c>
      <c r="D1651" t="s">
        <v>25</v>
      </c>
      <c r="E1651" t="s">
        <v>32</v>
      </c>
      <c r="F1651" t="s">
        <v>48</v>
      </c>
      <c r="G1651" t="s">
        <v>72</v>
      </c>
      <c r="H1651" t="s">
        <v>75</v>
      </c>
      <c r="I1651">
        <v>4</v>
      </c>
      <c r="J1651">
        <v>7016</v>
      </c>
      <c r="K1651">
        <v>0</v>
      </c>
      <c r="L1651">
        <v>28064</v>
      </c>
      <c r="M1651">
        <v>21882.99</v>
      </c>
      <c r="N1651">
        <v>6181.01</v>
      </c>
      <c r="O1651" t="s">
        <v>77</v>
      </c>
      <c r="P1651" t="s">
        <v>82</v>
      </c>
    </row>
    <row r="1652" spans="1:16" x14ac:dyDescent="0.25">
      <c r="A1652">
        <v>1651</v>
      </c>
      <c r="B1652" s="2">
        <v>45715</v>
      </c>
      <c r="C1652" t="s">
        <v>23</v>
      </c>
      <c r="D1652" t="s">
        <v>27</v>
      </c>
      <c r="E1652" t="s">
        <v>32</v>
      </c>
      <c r="F1652" t="s">
        <v>49</v>
      </c>
      <c r="G1652" t="s">
        <v>70</v>
      </c>
      <c r="H1652" t="s">
        <v>75</v>
      </c>
      <c r="I1652">
        <v>7</v>
      </c>
      <c r="J1652">
        <v>8966</v>
      </c>
      <c r="K1652">
        <v>0.2</v>
      </c>
      <c r="L1652">
        <v>50209.599999999999</v>
      </c>
      <c r="M1652">
        <v>37227.339999999997</v>
      </c>
      <c r="N1652">
        <v>12982.26</v>
      </c>
      <c r="O1652" t="s">
        <v>77</v>
      </c>
      <c r="P1652" t="s">
        <v>82</v>
      </c>
    </row>
    <row r="1653" spans="1:16" x14ac:dyDescent="0.25">
      <c r="A1653">
        <v>1652</v>
      </c>
      <c r="B1653" s="2">
        <v>45790</v>
      </c>
      <c r="C1653" t="s">
        <v>20</v>
      </c>
      <c r="D1653" t="s">
        <v>26</v>
      </c>
      <c r="E1653" t="s">
        <v>34</v>
      </c>
      <c r="F1653" t="s">
        <v>43</v>
      </c>
      <c r="G1653" t="s">
        <v>71</v>
      </c>
      <c r="H1653" t="s">
        <v>75</v>
      </c>
      <c r="I1653">
        <v>7</v>
      </c>
      <c r="J1653">
        <v>3092</v>
      </c>
      <c r="K1653">
        <v>0.1</v>
      </c>
      <c r="L1653">
        <v>19479.599999999999</v>
      </c>
      <c r="M1653">
        <v>16281.8</v>
      </c>
      <c r="N1653">
        <v>3197.8</v>
      </c>
      <c r="O1653" t="s">
        <v>79</v>
      </c>
      <c r="P1653" t="s">
        <v>84</v>
      </c>
    </row>
    <row r="1654" spans="1:16" x14ac:dyDescent="0.25">
      <c r="A1654">
        <v>1653</v>
      </c>
      <c r="B1654" s="2">
        <v>45810</v>
      </c>
      <c r="C1654" t="s">
        <v>21</v>
      </c>
      <c r="D1654" t="s">
        <v>24</v>
      </c>
      <c r="E1654" t="s">
        <v>32</v>
      </c>
      <c r="F1654" t="s">
        <v>49</v>
      </c>
      <c r="G1654" t="s">
        <v>70</v>
      </c>
      <c r="H1654" t="s">
        <v>75</v>
      </c>
      <c r="I1654">
        <v>3</v>
      </c>
      <c r="J1654">
        <v>14215</v>
      </c>
      <c r="K1654">
        <v>0.15</v>
      </c>
      <c r="L1654">
        <v>36248.25</v>
      </c>
      <c r="M1654">
        <v>23145.78</v>
      </c>
      <c r="N1654">
        <v>13102.47</v>
      </c>
      <c r="O1654" t="s">
        <v>80</v>
      </c>
      <c r="P1654" t="s">
        <v>87</v>
      </c>
    </row>
    <row r="1655" spans="1:16" x14ac:dyDescent="0.25">
      <c r="A1655">
        <v>1654</v>
      </c>
      <c r="B1655" s="2">
        <v>45695</v>
      </c>
      <c r="C1655" t="s">
        <v>22</v>
      </c>
      <c r="D1655" t="s">
        <v>24</v>
      </c>
      <c r="E1655" t="s">
        <v>31</v>
      </c>
      <c r="F1655" t="s">
        <v>47</v>
      </c>
      <c r="G1655" t="s">
        <v>70</v>
      </c>
      <c r="H1655" t="s">
        <v>73</v>
      </c>
      <c r="I1655">
        <v>4</v>
      </c>
      <c r="J1655">
        <v>1792</v>
      </c>
      <c r="K1655">
        <v>0.05</v>
      </c>
      <c r="L1655">
        <v>6809.6</v>
      </c>
      <c r="M1655">
        <v>3991.43</v>
      </c>
      <c r="N1655">
        <v>2818.17</v>
      </c>
      <c r="O1655" t="s">
        <v>76</v>
      </c>
      <c r="P1655" t="s">
        <v>86</v>
      </c>
    </row>
    <row r="1656" spans="1:16" x14ac:dyDescent="0.25">
      <c r="A1656">
        <v>1655</v>
      </c>
      <c r="B1656" s="2">
        <v>45977</v>
      </c>
      <c r="C1656" t="s">
        <v>19</v>
      </c>
      <c r="D1656" t="s">
        <v>26</v>
      </c>
      <c r="E1656" t="s">
        <v>30</v>
      </c>
      <c r="F1656" t="s">
        <v>56</v>
      </c>
      <c r="G1656" t="s">
        <v>70</v>
      </c>
      <c r="H1656" t="s">
        <v>73</v>
      </c>
      <c r="I1656">
        <v>7</v>
      </c>
      <c r="J1656">
        <v>3172</v>
      </c>
      <c r="K1656">
        <v>0.05</v>
      </c>
      <c r="L1656">
        <v>21093.8</v>
      </c>
      <c r="M1656">
        <v>12950.19</v>
      </c>
      <c r="N1656">
        <v>8143.61</v>
      </c>
      <c r="O1656" t="s">
        <v>78</v>
      </c>
      <c r="P1656" t="s">
        <v>86</v>
      </c>
    </row>
    <row r="1657" spans="1:16" x14ac:dyDescent="0.25">
      <c r="A1657">
        <v>1656</v>
      </c>
      <c r="B1657" s="2">
        <v>45812</v>
      </c>
      <c r="C1657" t="s">
        <v>19</v>
      </c>
      <c r="D1657" t="s">
        <v>26</v>
      </c>
      <c r="E1657" t="s">
        <v>33</v>
      </c>
      <c r="F1657" t="s">
        <v>52</v>
      </c>
      <c r="G1657" t="s">
        <v>72</v>
      </c>
      <c r="H1657" t="s">
        <v>75</v>
      </c>
      <c r="I1657">
        <v>3</v>
      </c>
      <c r="J1657">
        <v>33306</v>
      </c>
      <c r="K1657">
        <v>0.1</v>
      </c>
      <c r="L1657">
        <v>89926.2</v>
      </c>
      <c r="M1657">
        <v>72032.77</v>
      </c>
      <c r="N1657">
        <v>17893.43</v>
      </c>
      <c r="O1657" t="s">
        <v>78</v>
      </c>
      <c r="P1657" t="s">
        <v>86</v>
      </c>
    </row>
    <row r="1658" spans="1:16" x14ac:dyDescent="0.25">
      <c r="A1658">
        <v>1657</v>
      </c>
      <c r="B1658" s="2">
        <v>45687</v>
      </c>
      <c r="C1658" t="s">
        <v>21</v>
      </c>
      <c r="D1658" t="s">
        <v>24</v>
      </c>
      <c r="E1658" t="s">
        <v>32</v>
      </c>
      <c r="F1658" t="s">
        <v>62</v>
      </c>
      <c r="G1658" t="s">
        <v>71</v>
      </c>
      <c r="H1658" t="s">
        <v>74</v>
      </c>
      <c r="I1658">
        <v>7</v>
      </c>
      <c r="J1658">
        <v>18418</v>
      </c>
      <c r="K1658">
        <v>0.15</v>
      </c>
      <c r="L1658">
        <v>109587.1</v>
      </c>
      <c r="M1658">
        <v>71471.34</v>
      </c>
      <c r="N1658">
        <v>38115.760000000002</v>
      </c>
      <c r="O1658" t="s">
        <v>76</v>
      </c>
      <c r="P1658" t="s">
        <v>83</v>
      </c>
    </row>
    <row r="1659" spans="1:16" x14ac:dyDescent="0.25">
      <c r="A1659">
        <v>1658</v>
      </c>
      <c r="B1659" s="2">
        <v>45901</v>
      </c>
      <c r="C1659" t="s">
        <v>23</v>
      </c>
      <c r="D1659" t="s">
        <v>27</v>
      </c>
      <c r="E1659" t="s">
        <v>28</v>
      </c>
      <c r="F1659" t="s">
        <v>54</v>
      </c>
      <c r="G1659" t="s">
        <v>72</v>
      </c>
      <c r="H1659" t="s">
        <v>74</v>
      </c>
      <c r="I1659">
        <v>8</v>
      </c>
      <c r="J1659">
        <v>1224</v>
      </c>
      <c r="K1659">
        <v>0.15</v>
      </c>
      <c r="L1659">
        <v>8323.2000000000007</v>
      </c>
      <c r="M1659">
        <v>6624.62</v>
      </c>
      <c r="N1659">
        <v>1698.58</v>
      </c>
      <c r="O1659" t="s">
        <v>76</v>
      </c>
      <c r="P1659" t="s">
        <v>87</v>
      </c>
    </row>
    <row r="1660" spans="1:16" x14ac:dyDescent="0.25">
      <c r="A1660">
        <v>1659</v>
      </c>
      <c r="B1660" s="2">
        <v>45677</v>
      </c>
      <c r="C1660" t="s">
        <v>19</v>
      </c>
      <c r="D1660" t="s">
        <v>26</v>
      </c>
      <c r="E1660" t="s">
        <v>34</v>
      </c>
      <c r="F1660" t="s">
        <v>55</v>
      </c>
      <c r="G1660" t="s">
        <v>70</v>
      </c>
      <c r="H1660" t="s">
        <v>75</v>
      </c>
      <c r="I1660">
        <v>6</v>
      </c>
      <c r="J1660">
        <v>5353</v>
      </c>
      <c r="K1660">
        <v>0.05</v>
      </c>
      <c r="L1660">
        <v>30512.1</v>
      </c>
      <c r="M1660">
        <v>24764.66</v>
      </c>
      <c r="N1660">
        <v>5747.44</v>
      </c>
      <c r="O1660" t="s">
        <v>76</v>
      </c>
      <c r="P1660" t="s">
        <v>88</v>
      </c>
    </row>
    <row r="1661" spans="1:16" x14ac:dyDescent="0.25">
      <c r="A1661">
        <v>1660</v>
      </c>
      <c r="B1661" s="2">
        <v>45973</v>
      </c>
      <c r="C1661" t="s">
        <v>23</v>
      </c>
      <c r="D1661" t="s">
        <v>27</v>
      </c>
      <c r="E1661" t="s">
        <v>32</v>
      </c>
      <c r="F1661" t="s">
        <v>62</v>
      </c>
      <c r="G1661" t="s">
        <v>71</v>
      </c>
      <c r="H1661" t="s">
        <v>75</v>
      </c>
      <c r="I1661">
        <v>3</v>
      </c>
      <c r="J1661">
        <v>21494</v>
      </c>
      <c r="K1661">
        <v>0.1</v>
      </c>
      <c r="L1661">
        <v>58033.8</v>
      </c>
      <c r="M1661">
        <v>38148</v>
      </c>
      <c r="N1661">
        <v>19885.8</v>
      </c>
      <c r="O1661" t="s">
        <v>79</v>
      </c>
      <c r="P1661" t="s">
        <v>87</v>
      </c>
    </row>
    <row r="1662" spans="1:16" x14ac:dyDescent="0.25">
      <c r="A1662">
        <v>1661</v>
      </c>
      <c r="B1662" s="2">
        <v>45777</v>
      </c>
      <c r="C1662" t="s">
        <v>23</v>
      </c>
      <c r="D1662" t="s">
        <v>27</v>
      </c>
      <c r="E1662" t="s">
        <v>29</v>
      </c>
      <c r="F1662" t="s">
        <v>42</v>
      </c>
      <c r="G1662" t="s">
        <v>71</v>
      </c>
      <c r="H1662" t="s">
        <v>73</v>
      </c>
      <c r="I1662">
        <v>6</v>
      </c>
      <c r="J1662">
        <v>11573</v>
      </c>
      <c r="K1662">
        <v>0</v>
      </c>
      <c r="L1662">
        <v>69438</v>
      </c>
      <c r="M1662">
        <v>49818.94</v>
      </c>
      <c r="N1662">
        <v>19619.060000000001</v>
      </c>
      <c r="O1662" t="s">
        <v>77</v>
      </c>
      <c r="P1662" t="s">
        <v>81</v>
      </c>
    </row>
    <row r="1663" spans="1:16" x14ac:dyDescent="0.25">
      <c r="A1663">
        <v>1662</v>
      </c>
      <c r="B1663" s="2">
        <v>45683</v>
      </c>
      <c r="C1663" t="s">
        <v>21</v>
      </c>
      <c r="D1663" t="s">
        <v>24</v>
      </c>
      <c r="E1663" t="s">
        <v>31</v>
      </c>
      <c r="F1663" t="s">
        <v>47</v>
      </c>
      <c r="G1663" t="s">
        <v>72</v>
      </c>
      <c r="H1663" t="s">
        <v>74</v>
      </c>
      <c r="I1663">
        <v>5</v>
      </c>
      <c r="J1663">
        <v>1384</v>
      </c>
      <c r="K1663">
        <v>0.15</v>
      </c>
      <c r="L1663">
        <v>5882</v>
      </c>
      <c r="M1663">
        <v>5173.3</v>
      </c>
      <c r="N1663">
        <v>708.7</v>
      </c>
      <c r="O1663" t="s">
        <v>78</v>
      </c>
      <c r="P1663" t="s">
        <v>82</v>
      </c>
    </row>
    <row r="1664" spans="1:16" x14ac:dyDescent="0.25">
      <c r="A1664">
        <v>1663</v>
      </c>
      <c r="B1664" s="2">
        <v>45932</v>
      </c>
      <c r="C1664" t="s">
        <v>16</v>
      </c>
      <c r="D1664" t="s">
        <v>24</v>
      </c>
      <c r="E1664" t="s">
        <v>29</v>
      </c>
      <c r="F1664" t="s">
        <v>45</v>
      </c>
      <c r="G1664" t="s">
        <v>71</v>
      </c>
      <c r="H1664" t="s">
        <v>74</v>
      </c>
      <c r="I1664">
        <v>3</v>
      </c>
      <c r="J1664">
        <v>5767</v>
      </c>
      <c r="K1664">
        <v>0.1</v>
      </c>
      <c r="L1664">
        <v>15570.9</v>
      </c>
      <c r="M1664">
        <v>12120.36</v>
      </c>
      <c r="N1664">
        <v>3450.54</v>
      </c>
      <c r="O1664" t="s">
        <v>77</v>
      </c>
      <c r="P1664" t="s">
        <v>86</v>
      </c>
    </row>
    <row r="1665" spans="1:16" x14ac:dyDescent="0.25">
      <c r="A1665">
        <v>1664</v>
      </c>
      <c r="B1665" s="2">
        <v>45718</v>
      </c>
      <c r="C1665" t="s">
        <v>20</v>
      </c>
      <c r="D1665" t="s">
        <v>26</v>
      </c>
      <c r="E1665" t="s">
        <v>31</v>
      </c>
      <c r="F1665" t="s">
        <v>67</v>
      </c>
      <c r="G1665" t="s">
        <v>71</v>
      </c>
      <c r="H1665" t="s">
        <v>73</v>
      </c>
      <c r="I1665">
        <v>1</v>
      </c>
      <c r="J1665">
        <v>695</v>
      </c>
      <c r="K1665">
        <v>0.1</v>
      </c>
      <c r="L1665">
        <v>625.5</v>
      </c>
      <c r="M1665">
        <v>371.7</v>
      </c>
      <c r="N1665">
        <v>253.8</v>
      </c>
      <c r="O1665" t="s">
        <v>76</v>
      </c>
      <c r="P1665" t="s">
        <v>82</v>
      </c>
    </row>
    <row r="1666" spans="1:16" x14ac:dyDescent="0.25">
      <c r="A1666">
        <v>1665</v>
      </c>
      <c r="B1666" s="2">
        <v>45706</v>
      </c>
      <c r="C1666" t="s">
        <v>22</v>
      </c>
      <c r="D1666" t="s">
        <v>24</v>
      </c>
      <c r="E1666" t="s">
        <v>33</v>
      </c>
      <c r="F1666" t="s">
        <v>41</v>
      </c>
      <c r="G1666" t="s">
        <v>70</v>
      </c>
      <c r="H1666" t="s">
        <v>73</v>
      </c>
      <c r="I1666">
        <v>5</v>
      </c>
      <c r="J1666">
        <v>29298</v>
      </c>
      <c r="K1666">
        <v>0.1</v>
      </c>
      <c r="L1666">
        <v>131841</v>
      </c>
      <c r="M1666">
        <v>115273.46</v>
      </c>
      <c r="N1666">
        <v>16567.54</v>
      </c>
      <c r="O1666" t="s">
        <v>79</v>
      </c>
      <c r="P1666" t="s">
        <v>81</v>
      </c>
    </row>
    <row r="1667" spans="1:16" x14ac:dyDescent="0.25">
      <c r="A1667">
        <v>1666</v>
      </c>
      <c r="B1667" s="2">
        <v>45771</v>
      </c>
      <c r="C1667" t="s">
        <v>21</v>
      </c>
      <c r="D1667" t="s">
        <v>24</v>
      </c>
      <c r="E1667" t="s">
        <v>31</v>
      </c>
      <c r="F1667" t="s">
        <v>69</v>
      </c>
      <c r="G1667" t="s">
        <v>70</v>
      </c>
      <c r="H1667" t="s">
        <v>73</v>
      </c>
      <c r="I1667">
        <v>3</v>
      </c>
      <c r="J1667">
        <v>1368</v>
      </c>
      <c r="K1667">
        <v>0.2</v>
      </c>
      <c r="L1667">
        <v>3283.2</v>
      </c>
      <c r="M1667">
        <v>2363.3200000000002</v>
      </c>
      <c r="N1667">
        <v>919.88</v>
      </c>
      <c r="O1667" t="s">
        <v>76</v>
      </c>
      <c r="P1667" t="s">
        <v>82</v>
      </c>
    </row>
    <row r="1668" spans="1:16" x14ac:dyDescent="0.25">
      <c r="A1668">
        <v>1667</v>
      </c>
      <c r="B1668" s="2">
        <v>45721</v>
      </c>
      <c r="C1668" t="s">
        <v>20</v>
      </c>
      <c r="D1668" t="s">
        <v>26</v>
      </c>
      <c r="E1668" t="s">
        <v>32</v>
      </c>
      <c r="F1668" t="s">
        <v>39</v>
      </c>
      <c r="G1668" t="s">
        <v>71</v>
      </c>
      <c r="H1668" t="s">
        <v>73</v>
      </c>
      <c r="I1668">
        <v>8</v>
      </c>
      <c r="J1668">
        <v>10596</v>
      </c>
      <c r="K1668">
        <v>0.1</v>
      </c>
      <c r="L1668">
        <v>76291.199999999997</v>
      </c>
      <c r="M1668">
        <v>54468.05</v>
      </c>
      <c r="N1668">
        <v>21823.15</v>
      </c>
      <c r="O1668" t="s">
        <v>77</v>
      </c>
      <c r="P1668" t="s">
        <v>84</v>
      </c>
    </row>
    <row r="1669" spans="1:16" x14ac:dyDescent="0.25">
      <c r="A1669">
        <v>1668</v>
      </c>
      <c r="B1669" s="2">
        <v>45790</v>
      </c>
      <c r="C1669" t="s">
        <v>19</v>
      </c>
      <c r="D1669" t="s">
        <v>26</v>
      </c>
      <c r="E1669" t="s">
        <v>33</v>
      </c>
      <c r="F1669" t="s">
        <v>60</v>
      </c>
      <c r="G1669" t="s">
        <v>71</v>
      </c>
      <c r="H1669" t="s">
        <v>73</v>
      </c>
      <c r="I1669">
        <v>8</v>
      </c>
      <c r="J1669">
        <v>48683</v>
      </c>
      <c r="K1669">
        <v>0.05</v>
      </c>
      <c r="L1669">
        <v>369990.8</v>
      </c>
      <c r="M1669">
        <v>287949.83</v>
      </c>
      <c r="N1669">
        <v>82040.97</v>
      </c>
      <c r="O1669" t="s">
        <v>78</v>
      </c>
      <c r="P1669" t="s">
        <v>88</v>
      </c>
    </row>
    <row r="1670" spans="1:16" x14ac:dyDescent="0.25">
      <c r="A1670">
        <v>1669</v>
      </c>
      <c r="B1670" s="2">
        <v>45971</v>
      </c>
      <c r="C1670" t="s">
        <v>18</v>
      </c>
      <c r="D1670" t="s">
        <v>26</v>
      </c>
      <c r="E1670" t="s">
        <v>28</v>
      </c>
      <c r="F1670" t="s">
        <v>58</v>
      </c>
      <c r="G1670" t="s">
        <v>71</v>
      </c>
      <c r="H1670" t="s">
        <v>75</v>
      </c>
      <c r="I1670">
        <v>2</v>
      </c>
      <c r="J1670">
        <v>2360</v>
      </c>
      <c r="K1670">
        <v>0</v>
      </c>
      <c r="L1670">
        <v>4720</v>
      </c>
      <c r="M1670">
        <v>3186.03</v>
      </c>
      <c r="N1670">
        <v>1533.97</v>
      </c>
      <c r="O1670" t="s">
        <v>76</v>
      </c>
      <c r="P1670" t="s">
        <v>87</v>
      </c>
    </row>
    <row r="1671" spans="1:16" x14ac:dyDescent="0.25">
      <c r="A1671">
        <v>1670</v>
      </c>
      <c r="B1671" s="2">
        <v>45889</v>
      </c>
      <c r="C1671" t="s">
        <v>21</v>
      </c>
      <c r="D1671" t="s">
        <v>24</v>
      </c>
      <c r="E1671" t="s">
        <v>29</v>
      </c>
      <c r="F1671" t="s">
        <v>36</v>
      </c>
      <c r="G1671" t="s">
        <v>70</v>
      </c>
      <c r="H1671" t="s">
        <v>74</v>
      </c>
      <c r="I1671">
        <v>4</v>
      </c>
      <c r="J1671">
        <v>11354</v>
      </c>
      <c r="K1671">
        <v>0.1</v>
      </c>
      <c r="L1671">
        <v>40874.400000000001</v>
      </c>
      <c r="M1671">
        <v>23002.799999999999</v>
      </c>
      <c r="N1671">
        <v>17871.599999999999</v>
      </c>
      <c r="O1671" t="s">
        <v>78</v>
      </c>
      <c r="P1671" t="s">
        <v>82</v>
      </c>
    </row>
    <row r="1672" spans="1:16" x14ac:dyDescent="0.25">
      <c r="A1672">
        <v>1671</v>
      </c>
      <c r="B1672" s="2">
        <v>45949</v>
      </c>
      <c r="C1672" t="s">
        <v>20</v>
      </c>
      <c r="D1672" t="s">
        <v>26</v>
      </c>
      <c r="E1672" t="s">
        <v>31</v>
      </c>
      <c r="F1672" t="s">
        <v>50</v>
      </c>
      <c r="G1672" t="s">
        <v>72</v>
      </c>
      <c r="H1672" t="s">
        <v>75</v>
      </c>
      <c r="I1672">
        <v>6</v>
      </c>
      <c r="J1672">
        <v>2061</v>
      </c>
      <c r="K1672">
        <v>0</v>
      </c>
      <c r="L1672">
        <v>12366</v>
      </c>
      <c r="M1672">
        <v>8010.56</v>
      </c>
      <c r="N1672">
        <v>4355.4399999999996</v>
      </c>
      <c r="O1672" t="s">
        <v>77</v>
      </c>
      <c r="P1672" t="s">
        <v>84</v>
      </c>
    </row>
    <row r="1673" spans="1:16" x14ac:dyDescent="0.25">
      <c r="A1673">
        <v>1672</v>
      </c>
      <c r="B1673" s="2">
        <v>45935</v>
      </c>
      <c r="C1673" t="s">
        <v>19</v>
      </c>
      <c r="D1673" t="s">
        <v>26</v>
      </c>
      <c r="E1673" t="s">
        <v>34</v>
      </c>
      <c r="F1673" t="s">
        <v>43</v>
      </c>
      <c r="G1673" t="s">
        <v>71</v>
      </c>
      <c r="H1673" t="s">
        <v>73</v>
      </c>
      <c r="I1673">
        <v>8</v>
      </c>
      <c r="J1673">
        <v>652</v>
      </c>
      <c r="K1673">
        <v>0.15</v>
      </c>
      <c r="L1673">
        <v>4433.6000000000004</v>
      </c>
      <c r="M1673">
        <v>3420.98</v>
      </c>
      <c r="N1673">
        <v>1012.62</v>
      </c>
      <c r="O1673" t="s">
        <v>78</v>
      </c>
      <c r="P1673" t="s">
        <v>83</v>
      </c>
    </row>
    <row r="1674" spans="1:16" x14ac:dyDescent="0.25">
      <c r="A1674">
        <v>1673</v>
      </c>
      <c r="B1674" s="2">
        <v>46021</v>
      </c>
      <c r="C1674" t="s">
        <v>23</v>
      </c>
      <c r="D1674" t="s">
        <v>27</v>
      </c>
      <c r="E1674" t="s">
        <v>29</v>
      </c>
      <c r="F1674" t="s">
        <v>45</v>
      </c>
      <c r="G1674" t="s">
        <v>70</v>
      </c>
      <c r="H1674" t="s">
        <v>75</v>
      </c>
      <c r="I1674">
        <v>7</v>
      </c>
      <c r="J1674">
        <v>10732</v>
      </c>
      <c r="K1674">
        <v>0.15</v>
      </c>
      <c r="L1674">
        <v>63855.4</v>
      </c>
      <c r="M1674">
        <v>53027.31</v>
      </c>
      <c r="N1674">
        <v>10828.09</v>
      </c>
      <c r="O1674" t="s">
        <v>78</v>
      </c>
      <c r="P1674" t="s">
        <v>86</v>
      </c>
    </row>
    <row r="1675" spans="1:16" x14ac:dyDescent="0.25">
      <c r="A1675">
        <v>1674</v>
      </c>
      <c r="B1675" s="2">
        <v>45802</v>
      </c>
      <c r="C1675" t="s">
        <v>18</v>
      </c>
      <c r="D1675" t="s">
        <v>26</v>
      </c>
      <c r="E1675" t="s">
        <v>31</v>
      </c>
      <c r="F1675" t="s">
        <v>67</v>
      </c>
      <c r="G1675" t="s">
        <v>70</v>
      </c>
      <c r="H1675" t="s">
        <v>73</v>
      </c>
      <c r="I1675">
        <v>8</v>
      </c>
      <c r="J1675">
        <v>1823</v>
      </c>
      <c r="K1675">
        <v>0.15</v>
      </c>
      <c r="L1675">
        <v>12396.4</v>
      </c>
      <c r="M1675">
        <v>9016.34</v>
      </c>
      <c r="N1675">
        <v>3380.06</v>
      </c>
      <c r="O1675" t="s">
        <v>78</v>
      </c>
      <c r="P1675" t="s">
        <v>84</v>
      </c>
    </row>
    <row r="1676" spans="1:16" x14ac:dyDescent="0.25">
      <c r="A1676">
        <v>1675</v>
      </c>
      <c r="B1676" s="2">
        <v>45742</v>
      </c>
      <c r="C1676" t="s">
        <v>18</v>
      </c>
      <c r="D1676" t="s">
        <v>26</v>
      </c>
      <c r="E1676" t="s">
        <v>29</v>
      </c>
      <c r="F1676" t="s">
        <v>45</v>
      </c>
      <c r="G1676" t="s">
        <v>70</v>
      </c>
      <c r="H1676" t="s">
        <v>75</v>
      </c>
      <c r="I1676">
        <v>3</v>
      </c>
      <c r="J1676">
        <v>11404</v>
      </c>
      <c r="K1676">
        <v>0.1</v>
      </c>
      <c r="L1676">
        <v>30790.799999999999</v>
      </c>
      <c r="M1676">
        <v>26404.16</v>
      </c>
      <c r="N1676">
        <v>4386.6400000000003</v>
      </c>
      <c r="O1676" t="s">
        <v>79</v>
      </c>
      <c r="P1676" t="s">
        <v>88</v>
      </c>
    </row>
    <row r="1677" spans="1:16" x14ac:dyDescent="0.25">
      <c r="A1677">
        <v>1676</v>
      </c>
      <c r="B1677" s="2">
        <v>45667</v>
      </c>
      <c r="C1677" t="s">
        <v>23</v>
      </c>
      <c r="D1677" t="s">
        <v>27</v>
      </c>
      <c r="E1677" t="s">
        <v>29</v>
      </c>
      <c r="F1677" t="s">
        <v>53</v>
      </c>
      <c r="G1677" t="s">
        <v>71</v>
      </c>
      <c r="H1677" t="s">
        <v>73</v>
      </c>
      <c r="I1677">
        <v>7</v>
      </c>
      <c r="J1677">
        <v>2892</v>
      </c>
      <c r="K1677">
        <v>0</v>
      </c>
      <c r="L1677">
        <v>20244</v>
      </c>
      <c r="M1677">
        <v>12483.22</v>
      </c>
      <c r="N1677">
        <v>7760.78</v>
      </c>
      <c r="O1677" t="s">
        <v>77</v>
      </c>
      <c r="P1677" t="s">
        <v>83</v>
      </c>
    </row>
    <row r="1678" spans="1:16" x14ac:dyDescent="0.25">
      <c r="A1678">
        <v>1677</v>
      </c>
      <c r="B1678" s="2">
        <v>45678</v>
      </c>
      <c r="C1678" t="s">
        <v>20</v>
      </c>
      <c r="D1678" t="s">
        <v>26</v>
      </c>
      <c r="E1678" t="s">
        <v>31</v>
      </c>
      <c r="F1678" t="s">
        <v>69</v>
      </c>
      <c r="G1678" t="s">
        <v>70</v>
      </c>
      <c r="H1678" t="s">
        <v>74</v>
      </c>
      <c r="I1678">
        <v>6</v>
      </c>
      <c r="J1678">
        <v>508</v>
      </c>
      <c r="K1678">
        <v>0.1</v>
      </c>
      <c r="L1678">
        <v>2743.2</v>
      </c>
      <c r="M1678">
        <v>1561.39</v>
      </c>
      <c r="N1678">
        <v>1181.81</v>
      </c>
      <c r="O1678" t="s">
        <v>80</v>
      </c>
      <c r="P1678" t="s">
        <v>85</v>
      </c>
    </row>
    <row r="1679" spans="1:16" x14ac:dyDescent="0.25">
      <c r="A1679">
        <v>1678</v>
      </c>
      <c r="B1679" s="2">
        <v>45812</v>
      </c>
      <c r="C1679" t="s">
        <v>20</v>
      </c>
      <c r="D1679" t="s">
        <v>26</v>
      </c>
      <c r="E1679" t="s">
        <v>34</v>
      </c>
      <c r="F1679" t="s">
        <v>43</v>
      </c>
      <c r="G1679" t="s">
        <v>70</v>
      </c>
      <c r="H1679" t="s">
        <v>74</v>
      </c>
      <c r="I1679">
        <v>3</v>
      </c>
      <c r="J1679">
        <v>3296</v>
      </c>
      <c r="K1679">
        <v>0</v>
      </c>
      <c r="L1679">
        <v>9888</v>
      </c>
      <c r="M1679">
        <v>7689.1</v>
      </c>
      <c r="N1679">
        <v>2198.9</v>
      </c>
      <c r="O1679" t="s">
        <v>79</v>
      </c>
      <c r="P1679" t="s">
        <v>83</v>
      </c>
    </row>
    <row r="1680" spans="1:16" x14ac:dyDescent="0.25">
      <c r="A1680">
        <v>1679</v>
      </c>
      <c r="B1680" s="2">
        <v>45674</v>
      </c>
      <c r="C1680" t="s">
        <v>18</v>
      </c>
      <c r="D1680" t="s">
        <v>26</v>
      </c>
      <c r="E1680" t="s">
        <v>30</v>
      </c>
      <c r="F1680" t="s">
        <v>56</v>
      </c>
      <c r="G1680" t="s">
        <v>71</v>
      </c>
      <c r="H1680" t="s">
        <v>74</v>
      </c>
      <c r="I1680">
        <v>7</v>
      </c>
      <c r="J1680">
        <v>68196</v>
      </c>
      <c r="K1680">
        <v>0</v>
      </c>
      <c r="L1680">
        <v>477372</v>
      </c>
      <c r="M1680">
        <v>290696.56</v>
      </c>
      <c r="N1680">
        <v>186675.44</v>
      </c>
      <c r="O1680" t="s">
        <v>79</v>
      </c>
      <c r="P1680" t="s">
        <v>88</v>
      </c>
    </row>
    <row r="1681" spans="1:16" x14ac:dyDescent="0.25">
      <c r="A1681">
        <v>1680</v>
      </c>
      <c r="B1681" s="2">
        <v>45981</v>
      </c>
      <c r="C1681" t="s">
        <v>22</v>
      </c>
      <c r="D1681" t="s">
        <v>24</v>
      </c>
      <c r="E1681" t="s">
        <v>34</v>
      </c>
      <c r="F1681" t="s">
        <v>51</v>
      </c>
      <c r="G1681" t="s">
        <v>72</v>
      </c>
      <c r="H1681" t="s">
        <v>73</v>
      </c>
      <c r="I1681">
        <v>3</v>
      </c>
      <c r="J1681">
        <v>4128</v>
      </c>
      <c r="K1681">
        <v>0</v>
      </c>
      <c r="L1681">
        <v>12384</v>
      </c>
      <c r="M1681">
        <v>8500.41</v>
      </c>
      <c r="N1681">
        <v>3883.59</v>
      </c>
      <c r="O1681" t="s">
        <v>76</v>
      </c>
      <c r="P1681" t="s">
        <v>82</v>
      </c>
    </row>
    <row r="1682" spans="1:16" x14ac:dyDescent="0.25">
      <c r="A1682">
        <v>1681</v>
      </c>
      <c r="B1682" s="2">
        <v>46011</v>
      </c>
      <c r="C1682" t="s">
        <v>20</v>
      </c>
      <c r="D1682" t="s">
        <v>26</v>
      </c>
      <c r="E1682" t="s">
        <v>32</v>
      </c>
      <c r="F1682" t="s">
        <v>62</v>
      </c>
      <c r="G1682" t="s">
        <v>71</v>
      </c>
      <c r="H1682" t="s">
        <v>73</v>
      </c>
      <c r="I1682">
        <v>1</v>
      </c>
      <c r="J1682">
        <v>12740</v>
      </c>
      <c r="K1682">
        <v>0</v>
      </c>
      <c r="L1682">
        <v>12740</v>
      </c>
      <c r="M1682">
        <v>8379.14</v>
      </c>
      <c r="N1682">
        <v>4360.8599999999997</v>
      </c>
      <c r="O1682" t="s">
        <v>77</v>
      </c>
      <c r="P1682" t="s">
        <v>82</v>
      </c>
    </row>
    <row r="1683" spans="1:16" x14ac:dyDescent="0.25">
      <c r="A1683">
        <v>1682</v>
      </c>
      <c r="B1683" s="2">
        <v>45749</v>
      </c>
      <c r="C1683" t="s">
        <v>16</v>
      </c>
      <c r="D1683" t="s">
        <v>24</v>
      </c>
      <c r="E1683" t="s">
        <v>29</v>
      </c>
      <c r="F1683" t="s">
        <v>42</v>
      </c>
      <c r="G1683" t="s">
        <v>70</v>
      </c>
      <c r="H1683" t="s">
        <v>73</v>
      </c>
      <c r="I1683">
        <v>3</v>
      </c>
      <c r="J1683">
        <v>5499</v>
      </c>
      <c r="K1683">
        <v>0</v>
      </c>
      <c r="L1683">
        <v>16497</v>
      </c>
      <c r="M1683">
        <v>12858.6</v>
      </c>
      <c r="N1683">
        <v>3638.4</v>
      </c>
      <c r="O1683" t="s">
        <v>79</v>
      </c>
      <c r="P1683" t="s">
        <v>81</v>
      </c>
    </row>
    <row r="1684" spans="1:16" x14ac:dyDescent="0.25">
      <c r="A1684">
        <v>1683</v>
      </c>
      <c r="B1684" s="2">
        <v>45951</v>
      </c>
      <c r="C1684" t="s">
        <v>21</v>
      </c>
      <c r="D1684" t="s">
        <v>24</v>
      </c>
      <c r="E1684" t="s">
        <v>33</v>
      </c>
      <c r="F1684" t="s">
        <v>41</v>
      </c>
      <c r="G1684" t="s">
        <v>72</v>
      </c>
      <c r="H1684" t="s">
        <v>75</v>
      </c>
      <c r="I1684">
        <v>1</v>
      </c>
      <c r="J1684">
        <v>27630</v>
      </c>
      <c r="K1684">
        <v>0.1</v>
      </c>
      <c r="L1684">
        <v>24867</v>
      </c>
      <c r="M1684">
        <v>14698.97</v>
      </c>
      <c r="N1684">
        <v>10168.030000000001</v>
      </c>
      <c r="O1684" t="s">
        <v>76</v>
      </c>
      <c r="P1684" t="s">
        <v>81</v>
      </c>
    </row>
    <row r="1685" spans="1:16" x14ac:dyDescent="0.25">
      <c r="A1685">
        <v>1684</v>
      </c>
      <c r="B1685" s="2">
        <v>45911</v>
      </c>
      <c r="C1685" t="s">
        <v>19</v>
      </c>
      <c r="D1685" t="s">
        <v>26</v>
      </c>
      <c r="E1685" t="s">
        <v>33</v>
      </c>
      <c r="F1685" t="s">
        <v>52</v>
      </c>
      <c r="G1685" t="s">
        <v>72</v>
      </c>
      <c r="H1685" t="s">
        <v>75</v>
      </c>
      <c r="I1685">
        <v>6</v>
      </c>
      <c r="J1685">
        <v>8740</v>
      </c>
      <c r="K1685">
        <v>0</v>
      </c>
      <c r="L1685">
        <v>52440</v>
      </c>
      <c r="M1685">
        <v>42060.71</v>
      </c>
      <c r="N1685">
        <v>10379.290000000001</v>
      </c>
      <c r="O1685" t="s">
        <v>76</v>
      </c>
      <c r="P1685" t="s">
        <v>82</v>
      </c>
    </row>
    <row r="1686" spans="1:16" x14ac:dyDescent="0.25">
      <c r="A1686">
        <v>1685</v>
      </c>
      <c r="B1686" s="2">
        <v>45815</v>
      </c>
      <c r="C1686" t="s">
        <v>17</v>
      </c>
      <c r="D1686" t="s">
        <v>25</v>
      </c>
      <c r="E1686" t="s">
        <v>34</v>
      </c>
      <c r="F1686" t="s">
        <v>68</v>
      </c>
      <c r="G1686" t="s">
        <v>71</v>
      </c>
      <c r="H1686" t="s">
        <v>75</v>
      </c>
      <c r="I1686">
        <v>4</v>
      </c>
      <c r="J1686">
        <v>1666</v>
      </c>
      <c r="K1686">
        <v>0.05</v>
      </c>
      <c r="L1686">
        <v>6330.8</v>
      </c>
      <c r="M1686">
        <v>4993.6099999999997</v>
      </c>
      <c r="N1686">
        <v>1337.19</v>
      </c>
      <c r="O1686" t="s">
        <v>77</v>
      </c>
      <c r="P1686" t="s">
        <v>87</v>
      </c>
    </row>
    <row r="1687" spans="1:16" x14ac:dyDescent="0.25">
      <c r="A1687">
        <v>1686</v>
      </c>
      <c r="B1687" s="2">
        <v>45981</v>
      </c>
      <c r="C1687" t="s">
        <v>20</v>
      </c>
      <c r="D1687" t="s">
        <v>26</v>
      </c>
      <c r="E1687" t="s">
        <v>28</v>
      </c>
      <c r="F1687" t="s">
        <v>54</v>
      </c>
      <c r="G1687" t="s">
        <v>70</v>
      </c>
      <c r="H1687" t="s">
        <v>75</v>
      </c>
      <c r="I1687">
        <v>8</v>
      </c>
      <c r="J1687">
        <v>1097</v>
      </c>
      <c r="K1687">
        <v>0</v>
      </c>
      <c r="L1687">
        <v>8776</v>
      </c>
      <c r="M1687">
        <v>7363.73</v>
      </c>
      <c r="N1687">
        <v>1412.27</v>
      </c>
      <c r="O1687" t="s">
        <v>78</v>
      </c>
      <c r="P1687" t="s">
        <v>84</v>
      </c>
    </row>
    <row r="1688" spans="1:16" x14ac:dyDescent="0.25">
      <c r="A1688">
        <v>1687</v>
      </c>
      <c r="B1688" s="2">
        <v>45973</v>
      </c>
      <c r="C1688" t="s">
        <v>19</v>
      </c>
      <c r="D1688" t="s">
        <v>26</v>
      </c>
      <c r="E1688" t="s">
        <v>32</v>
      </c>
      <c r="F1688" t="s">
        <v>62</v>
      </c>
      <c r="G1688" t="s">
        <v>72</v>
      </c>
      <c r="H1688" t="s">
        <v>74</v>
      </c>
      <c r="I1688">
        <v>8</v>
      </c>
      <c r="J1688">
        <v>18983</v>
      </c>
      <c r="K1688">
        <v>0</v>
      </c>
      <c r="L1688">
        <v>151864</v>
      </c>
      <c r="M1688">
        <v>94859.4</v>
      </c>
      <c r="N1688">
        <v>57004.6</v>
      </c>
      <c r="O1688" t="s">
        <v>76</v>
      </c>
      <c r="P1688" t="s">
        <v>84</v>
      </c>
    </row>
    <row r="1689" spans="1:16" x14ac:dyDescent="0.25">
      <c r="A1689">
        <v>1688</v>
      </c>
      <c r="B1689" s="2">
        <v>45995</v>
      </c>
      <c r="C1689" t="s">
        <v>20</v>
      </c>
      <c r="D1689" t="s">
        <v>26</v>
      </c>
      <c r="E1689" t="s">
        <v>34</v>
      </c>
      <c r="F1689" t="s">
        <v>51</v>
      </c>
      <c r="G1689" t="s">
        <v>70</v>
      </c>
      <c r="H1689" t="s">
        <v>73</v>
      </c>
      <c r="I1689">
        <v>1</v>
      </c>
      <c r="J1689">
        <v>2120</v>
      </c>
      <c r="K1689">
        <v>0</v>
      </c>
      <c r="L1689">
        <v>2120</v>
      </c>
      <c r="M1689">
        <v>1739.92</v>
      </c>
      <c r="N1689">
        <v>380.08</v>
      </c>
      <c r="O1689" t="s">
        <v>79</v>
      </c>
      <c r="P1689" t="s">
        <v>85</v>
      </c>
    </row>
    <row r="1690" spans="1:16" x14ac:dyDescent="0.25">
      <c r="A1690">
        <v>1689</v>
      </c>
      <c r="B1690" s="2">
        <v>45972</v>
      </c>
      <c r="C1690" t="s">
        <v>16</v>
      </c>
      <c r="D1690" t="s">
        <v>24</v>
      </c>
      <c r="E1690" t="s">
        <v>29</v>
      </c>
      <c r="F1690" t="s">
        <v>36</v>
      </c>
      <c r="G1690" t="s">
        <v>71</v>
      </c>
      <c r="H1690" t="s">
        <v>74</v>
      </c>
      <c r="I1690">
        <v>6</v>
      </c>
      <c r="J1690">
        <v>4571</v>
      </c>
      <c r="K1690">
        <v>0.05</v>
      </c>
      <c r="L1690">
        <v>26054.7</v>
      </c>
      <c r="M1690">
        <v>22290.560000000001</v>
      </c>
      <c r="N1690">
        <v>3764.14</v>
      </c>
      <c r="O1690" t="s">
        <v>79</v>
      </c>
      <c r="P1690" t="s">
        <v>88</v>
      </c>
    </row>
    <row r="1691" spans="1:16" x14ac:dyDescent="0.25">
      <c r="A1691">
        <v>1690</v>
      </c>
      <c r="B1691" s="2">
        <v>45987</v>
      </c>
      <c r="C1691" t="s">
        <v>22</v>
      </c>
      <c r="D1691" t="s">
        <v>24</v>
      </c>
      <c r="E1691" t="s">
        <v>28</v>
      </c>
      <c r="F1691" t="s">
        <v>54</v>
      </c>
      <c r="G1691" t="s">
        <v>72</v>
      </c>
      <c r="H1691" t="s">
        <v>74</v>
      </c>
      <c r="I1691">
        <v>2</v>
      </c>
      <c r="J1691">
        <v>241</v>
      </c>
      <c r="K1691">
        <v>0.15</v>
      </c>
      <c r="L1691">
        <v>409.7</v>
      </c>
      <c r="M1691">
        <v>229.48</v>
      </c>
      <c r="N1691">
        <v>180.22</v>
      </c>
      <c r="O1691" t="s">
        <v>76</v>
      </c>
      <c r="P1691" t="s">
        <v>86</v>
      </c>
    </row>
    <row r="1692" spans="1:16" x14ac:dyDescent="0.25">
      <c r="A1692">
        <v>1691</v>
      </c>
      <c r="B1692" s="2">
        <v>45882</v>
      </c>
      <c r="C1692" t="s">
        <v>20</v>
      </c>
      <c r="D1692" t="s">
        <v>26</v>
      </c>
      <c r="E1692" t="s">
        <v>33</v>
      </c>
      <c r="F1692" t="s">
        <v>52</v>
      </c>
      <c r="G1692" t="s">
        <v>71</v>
      </c>
      <c r="H1692" t="s">
        <v>75</v>
      </c>
      <c r="I1692">
        <v>6</v>
      </c>
      <c r="J1692">
        <v>38633</v>
      </c>
      <c r="K1692">
        <v>0.15</v>
      </c>
      <c r="L1692">
        <v>197028.3</v>
      </c>
      <c r="M1692">
        <v>136266.88</v>
      </c>
      <c r="N1692">
        <v>60761.42</v>
      </c>
      <c r="O1692" t="s">
        <v>76</v>
      </c>
      <c r="P1692" t="s">
        <v>83</v>
      </c>
    </row>
    <row r="1693" spans="1:16" x14ac:dyDescent="0.25">
      <c r="A1693">
        <v>1692</v>
      </c>
      <c r="B1693" s="2">
        <v>45794</v>
      </c>
      <c r="C1693" t="s">
        <v>21</v>
      </c>
      <c r="D1693" t="s">
        <v>24</v>
      </c>
      <c r="E1693" t="s">
        <v>30</v>
      </c>
      <c r="F1693" t="s">
        <v>37</v>
      </c>
      <c r="G1693" t="s">
        <v>71</v>
      </c>
      <c r="H1693" t="s">
        <v>74</v>
      </c>
      <c r="I1693">
        <v>5</v>
      </c>
      <c r="J1693">
        <v>10845</v>
      </c>
      <c r="K1693">
        <v>0</v>
      </c>
      <c r="L1693">
        <v>54225</v>
      </c>
      <c r="M1693">
        <v>36620.959999999999</v>
      </c>
      <c r="N1693">
        <v>17604.04</v>
      </c>
      <c r="O1693" t="s">
        <v>79</v>
      </c>
      <c r="P1693" t="s">
        <v>86</v>
      </c>
    </row>
    <row r="1694" spans="1:16" x14ac:dyDescent="0.25">
      <c r="A1694">
        <v>1693</v>
      </c>
      <c r="B1694" s="2">
        <v>45800</v>
      </c>
      <c r="C1694" t="s">
        <v>20</v>
      </c>
      <c r="D1694" t="s">
        <v>26</v>
      </c>
      <c r="E1694" t="s">
        <v>31</v>
      </c>
      <c r="F1694" t="s">
        <v>47</v>
      </c>
      <c r="G1694" t="s">
        <v>70</v>
      </c>
      <c r="H1694" t="s">
        <v>75</v>
      </c>
      <c r="I1694">
        <v>4</v>
      </c>
      <c r="J1694">
        <v>2316</v>
      </c>
      <c r="K1694">
        <v>0.05</v>
      </c>
      <c r="L1694">
        <v>8800.7999999999993</v>
      </c>
      <c r="M1694">
        <v>5912.85</v>
      </c>
      <c r="N1694">
        <v>2887.95</v>
      </c>
      <c r="O1694" t="s">
        <v>76</v>
      </c>
      <c r="P1694" t="s">
        <v>85</v>
      </c>
    </row>
    <row r="1695" spans="1:16" x14ac:dyDescent="0.25">
      <c r="A1695">
        <v>1694</v>
      </c>
      <c r="B1695" s="2">
        <v>45889</v>
      </c>
      <c r="C1695" t="s">
        <v>18</v>
      </c>
      <c r="D1695" t="s">
        <v>26</v>
      </c>
      <c r="E1695" t="s">
        <v>28</v>
      </c>
      <c r="F1695" t="s">
        <v>61</v>
      </c>
      <c r="G1695" t="s">
        <v>72</v>
      </c>
      <c r="H1695" t="s">
        <v>73</v>
      </c>
      <c r="I1695">
        <v>3</v>
      </c>
      <c r="J1695">
        <v>1070</v>
      </c>
      <c r="K1695">
        <v>0.05</v>
      </c>
      <c r="L1695">
        <v>3049.5</v>
      </c>
      <c r="M1695">
        <v>2612.96</v>
      </c>
      <c r="N1695">
        <v>436.54</v>
      </c>
      <c r="O1695" t="s">
        <v>78</v>
      </c>
      <c r="P1695" t="s">
        <v>86</v>
      </c>
    </row>
    <row r="1696" spans="1:16" x14ac:dyDescent="0.25">
      <c r="A1696">
        <v>1695</v>
      </c>
      <c r="B1696" s="2">
        <v>45843</v>
      </c>
      <c r="C1696" t="s">
        <v>20</v>
      </c>
      <c r="D1696" t="s">
        <v>26</v>
      </c>
      <c r="E1696" t="s">
        <v>32</v>
      </c>
      <c r="F1696" t="s">
        <v>49</v>
      </c>
      <c r="G1696" t="s">
        <v>72</v>
      </c>
      <c r="H1696" t="s">
        <v>74</v>
      </c>
      <c r="I1696">
        <v>7</v>
      </c>
      <c r="J1696">
        <v>22475</v>
      </c>
      <c r="K1696">
        <v>0.05</v>
      </c>
      <c r="L1696">
        <v>149458.75</v>
      </c>
      <c r="M1696">
        <v>113295.31</v>
      </c>
      <c r="N1696">
        <v>36163.440000000002</v>
      </c>
      <c r="O1696" t="s">
        <v>76</v>
      </c>
      <c r="P1696" t="s">
        <v>85</v>
      </c>
    </row>
    <row r="1697" spans="1:16" x14ac:dyDescent="0.25">
      <c r="A1697">
        <v>1696</v>
      </c>
      <c r="B1697" s="2">
        <v>45687</v>
      </c>
      <c r="C1697" t="s">
        <v>20</v>
      </c>
      <c r="D1697" t="s">
        <v>26</v>
      </c>
      <c r="E1697" t="s">
        <v>33</v>
      </c>
      <c r="F1697" t="s">
        <v>59</v>
      </c>
      <c r="G1697" t="s">
        <v>71</v>
      </c>
      <c r="H1697" t="s">
        <v>75</v>
      </c>
      <c r="I1697">
        <v>3</v>
      </c>
      <c r="J1697">
        <v>3145</v>
      </c>
      <c r="K1697">
        <v>0.15</v>
      </c>
      <c r="L1697">
        <v>8019.75</v>
      </c>
      <c r="M1697">
        <v>6640.5</v>
      </c>
      <c r="N1697">
        <v>1379.25</v>
      </c>
      <c r="O1697" t="s">
        <v>76</v>
      </c>
      <c r="P1697" t="s">
        <v>88</v>
      </c>
    </row>
    <row r="1698" spans="1:16" x14ac:dyDescent="0.25">
      <c r="A1698">
        <v>1697</v>
      </c>
      <c r="B1698" s="2">
        <v>45877</v>
      </c>
      <c r="C1698" t="s">
        <v>18</v>
      </c>
      <c r="D1698" t="s">
        <v>26</v>
      </c>
      <c r="E1698" t="s">
        <v>31</v>
      </c>
      <c r="F1698" t="s">
        <v>69</v>
      </c>
      <c r="G1698" t="s">
        <v>70</v>
      </c>
      <c r="H1698" t="s">
        <v>74</v>
      </c>
      <c r="I1698">
        <v>8</v>
      </c>
      <c r="J1698">
        <v>1263</v>
      </c>
      <c r="K1698">
        <v>0.15</v>
      </c>
      <c r="L1698">
        <v>8588.4</v>
      </c>
      <c r="M1698">
        <v>5359.36</v>
      </c>
      <c r="N1698">
        <v>3229.04</v>
      </c>
      <c r="O1698" t="s">
        <v>78</v>
      </c>
      <c r="P1698" t="s">
        <v>84</v>
      </c>
    </row>
    <row r="1699" spans="1:16" x14ac:dyDescent="0.25">
      <c r="A1699">
        <v>1698</v>
      </c>
      <c r="B1699" s="2">
        <v>45758</v>
      </c>
      <c r="C1699" t="s">
        <v>23</v>
      </c>
      <c r="D1699" t="s">
        <v>27</v>
      </c>
      <c r="E1699" t="s">
        <v>28</v>
      </c>
      <c r="F1699" t="s">
        <v>35</v>
      </c>
      <c r="G1699" t="s">
        <v>71</v>
      </c>
      <c r="H1699" t="s">
        <v>75</v>
      </c>
      <c r="I1699">
        <v>3</v>
      </c>
      <c r="J1699">
        <v>1534</v>
      </c>
      <c r="K1699">
        <v>0.15</v>
      </c>
      <c r="L1699">
        <v>3911.7</v>
      </c>
      <c r="M1699">
        <v>2275.4299999999998</v>
      </c>
      <c r="N1699">
        <v>1636.27</v>
      </c>
      <c r="O1699" t="s">
        <v>80</v>
      </c>
      <c r="P1699" t="s">
        <v>83</v>
      </c>
    </row>
    <row r="1700" spans="1:16" x14ac:dyDescent="0.25">
      <c r="A1700">
        <v>1699</v>
      </c>
      <c r="B1700" s="2">
        <v>45954</v>
      </c>
      <c r="C1700" t="s">
        <v>20</v>
      </c>
      <c r="D1700" t="s">
        <v>26</v>
      </c>
      <c r="E1700" t="s">
        <v>33</v>
      </c>
      <c r="F1700" t="s">
        <v>41</v>
      </c>
      <c r="G1700" t="s">
        <v>72</v>
      </c>
      <c r="H1700" t="s">
        <v>75</v>
      </c>
      <c r="I1700">
        <v>5</v>
      </c>
      <c r="J1700">
        <v>44560</v>
      </c>
      <c r="K1700">
        <v>0.05</v>
      </c>
      <c r="L1700">
        <v>211660</v>
      </c>
      <c r="M1700">
        <v>116745.9</v>
      </c>
      <c r="N1700">
        <v>94914.1</v>
      </c>
      <c r="O1700" t="s">
        <v>77</v>
      </c>
      <c r="P1700" t="s">
        <v>86</v>
      </c>
    </row>
    <row r="1701" spans="1:16" x14ac:dyDescent="0.25">
      <c r="A1701">
        <v>1700</v>
      </c>
      <c r="B1701" s="2">
        <v>45901</v>
      </c>
      <c r="C1701" t="s">
        <v>23</v>
      </c>
      <c r="D1701" t="s">
        <v>27</v>
      </c>
      <c r="E1701" t="s">
        <v>28</v>
      </c>
      <c r="F1701" t="s">
        <v>63</v>
      </c>
      <c r="G1701" t="s">
        <v>71</v>
      </c>
      <c r="H1701" t="s">
        <v>74</v>
      </c>
      <c r="I1701">
        <v>4</v>
      </c>
      <c r="J1701">
        <v>1314</v>
      </c>
      <c r="K1701">
        <v>0.05</v>
      </c>
      <c r="L1701">
        <v>4993.2</v>
      </c>
      <c r="M1701">
        <v>3170.34</v>
      </c>
      <c r="N1701">
        <v>1822.86</v>
      </c>
      <c r="O1701" t="s">
        <v>80</v>
      </c>
      <c r="P1701" t="s">
        <v>88</v>
      </c>
    </row>
    <row r="1702" spans="1:16" x14ac:dyDescent="0.25">
      <c r="A1702">
        <v>1701</v>
      </c>
      <c r="B1702" s="2">
        <v>45732</v>
      </c>
      <c r="C1702" t="s">
        <v>20</v>
      </c>
      <c r="D1702" t="s">
        <v>26</v>
      </c>
      <c r="E1702" t="s">
        <v>28</v>
      </c>
      <c r="F1702" t="s">
        <v>58</v>
      </c>
      <c r="G1702" t="s">
        <v>72</v>
      </c>
      <c r="H1702" t="s">
        <v>73</v>
      </c>
      <c r="I1702">
        <v>7</v>
      </c>
      <c r="J1702">
        <v>1804</v>
      </c>
      <c r="K1702">
        <v>0</v>
      </c>
      <c r="L1702">
        <v>12628</v>
      </c>
      <c r="M1702">
        <v>7106.55</v>
      </c>
      <c r="N1702">
        <v>5521.45</v>
      </c>
      <c r="O1702" t="s">
        <v>76</v>
      </c>
      <c r="P1702" t="s">
        <v>86</v>
      </c>
    </row>
    <row r="1703" spans="1:16" x14ac:dyDescent="0.25">
      <c r="A1703">
        <v>1702</v>
      </c>
      <c r="B1703" s="2">
        <v>45699</v>
      </c>
      <c r="C1703" t="s">
        <v>17</v>
      </c>
      <c r="D1703" t="s">
        <v>25</v>
      </c>
      <c r="E1703" t="s">
        <v>31</v>
      </c>
      <c r="F1703" t="s">
        <v>69</v>
      </c>
      <c r="G1703" t="s">
        <v>71</v>
      </c>
      <c r="H1703" t="s">
        <v>73</v>
      </c>
      <c r="I1703">
        <v>4</v>
      </c>
      <c r="J1703">
        <v>1492</v>
      </c>
      <c r="K1703">
        <v>0.15</v>
      </c>
      <c r="L1703">
        <v>5072.8</v>
      </c>
      <c r="M1703">
        <v>3987.55</v>
      </c>
      <c r="N1703">
        <v>1085.25</v>
      </c>
      <c r="O1703" t="s">
        <v>80</v>
      </c>
      <c r="P1703" t="s">
        <v>84</v>
      </c>
    </row>
    <row r="1704" spans="1:16" x14ac:dyDescent="0.25">
      <c r="A1704">
        <v>1703</v>
      </c>
      <c r="B1704" s="2">
        <v>45875</v>
      </c>
      <c r="C1704" t="s">
        <v>18</v>
      </c>
      <c r="D1704" t="s">
        <v>26</v>
      </c>
      <c r="E1704" t="s">
        <v>31</v>
      </c>
      <c r="F1704" t="s">
        <v>67</v>
      </c>
      <c r="G1704" t="s">
        <v>71</v>
      </c>
      <c r="H1704" t="s">
        <v>73</v>
      </c>
      <c r="I1704">
        <v>7</v>
      </c>
      <c r="J1704">
        <v>608</v>
      </c>
      <c r="K1704">
        <v>0.1</v>
      </c>
      <c r="L1704">
        <v>3830.4</v>
      </c>
      <c r="M1704">
        <v>3272.43</v>
      </c>
      <c r="N1704">
        <v>557.97</v>
      </c>
      <c r="O1704" t="s">
        <v>80</v>
      </c>
      <c r="P1704" t="s">
        <v>82</v>
      </c>
    </row>
    <row r="1705" spans="1:16" x14ac:dyDescent="0.25">
      <c r="A1705">
        <v>1704</v>
      </c>
      <c r="B1705" s="2">
        <v>45669</v>
      </c>
      <c r="C1705" t="s">
        <v>23</v>
      </c>
      <c r="D1705" t="s">
        <v>27</v>
      </c>
      <c r="E1705" t="s">
        <v>33</v>
      </c>
      <c r="F1705" t="s">
        <v>41</v>
      </c>
      <c r="G1705" t="s">
        <v>72</v>
      </c>
      <c r="H1705" t="s">
        <v>74</v>
      </c>
      <c r="I1705">
        <v>6</v>
      </c>
      <c r="J1705">
        <v>3235</v>
      </c>
      <c r="K1705">
        <v>0</v>
      </c>
      <c r="L1705">
        <v>19410</v>
      </c>
      <c r="M1705">
        <v>15552.94</v>
      </c>
      <c r="N1705">
        <v>3857.06</v>
      </c>
      <c r="O1705" t="s">
        <v>79</v>
      </c>
      <c r="P1705" t="s">
        <v>83</v>
      </c>
    </row>
    <row r="1706" spans="1:16" x14ac:dyDescent="0.25">
      <c r="A1706">
        <v>1705</v>
      </c>
      <c r="B1706" s="2">
        <v>45706</v>
      </c>
      <c r="C1706" t="s">
        <v>19</v>
      </c>
      <c r="D1706" t="s">
        <v>26</v>
      </c>
      <c r="E1706" t="s">
        <v>32</v>
      </c>
      <c r="F1706" t="s">
        <v>48</v>
      </c>
      <c r="G1706" t="s">
        <v>71</v>
      </c>
      <c r="H1706" t="s">
        <v>73</v>
      </c>
      <c r="I1706">
        <v>2</v>
      </c>
      <c r="J1706">
        <v>22449</v>
      </c>
      <c r="K1706">
        <v>0</v>
      </c>
      <c r="L1706">
        <v>44898</v>
      </c>
      <c r="M1706">
        <v>33247.06</v>
      </c>
      <c r="N1706">
        <v>11650.94</v>
      </c>
      <c r="O1706" t="s">
        <v>77</v>
      </c>
      <c r="P1706" t="s">
        <v>85</v>
      </c>
    </row>
    <row r="1707" spans="1:16" x14ac:dyDescent="0.25">
      <c r="A1707">
        <v>1706</v>
      </c>
      <c r="B1707" s="2">
        <v>45707</v>
      </c>
      <c r="C1707" t="s">
        <v>22</v>
      </c>
      <c r="D1707" t="s">
        <v>24</v>
      </c>
      <c r="E1707" t="s">
        <v>31</v>
      </c>
      <c r="F1707" t="s">
        <v>67</v>
      </c>
      <c r="G1707" t="s">
        <v>70</v>
      </c>
      <c r="H1707" t="s">
        <v>75</v>
      </c>
      <c r="I1707">
        <v>8</v>
      </c>
      <c r="J1707">
        <v>665</v>
      </c>
      <c r="K1707">
        <v>0.05</v>
      </c>
      <c r="L1707">
        <v>5054</v>
      </c>
      <c r="M1707">
        <v>4317.38</v>
      </c>
      <c r="N1707">
        <v>736.62</v>
      </c>
      <c r="O1707" t="s">
        <v>76</v>
      </c>
      <c r="P1707" t="s">
        <v>86</v>
      </c>
    </row>
    <row r="1708" spans="1:16" x14ac:dyDescent="0.25">
      <c r="A1708">
        <v>1707</v>
      </c>
      <c r="B1708" s="2">
        <v>45690</v>
      </c>
      <c r="C1708" t="s">
        <v>20</v>
      </c>
      <c r="D1708" t="s">
        <v>26</v>
      </c>
      <c r="E1708" t="s">
        <v>28</v>
      </c>
      <c r="F1708" t="s">
        <v>58</v>
      </c>
      <c r="G1708" t="s">
        <v>71</v>
      </c>
      <c r="H1708" t="s">
        <v>73</v>
      </c>
      <c r="I1708">
        <v>4</v>
      </c>
      <c r="J1708">
        <v>2416</v>
      </c>
      <c r="K1708">
        <v>0.1</v>
      </c>
      <c r="L1708">
        <v>8697.6</v>
      </c>
      <c r="M1708">
        <v>5637.28</v>
      </c>
      <c r="N1708">
        <v>3060.32</v>
      </c>
      <c r="O1708" t="s">
        <v>80</v>
      </c>
      <c r="P1708" t="s">
        <v>84</v>
      </c>
    </row>
    <row r="1709" spans="1:16" x14ac:dyDescent="0.25">
      <c r="A1709">
        <v>1708</v>
      </c>
      <c r="B1709" s="2">
        <v>45676</v>
      </c>
      <c r="C1709" t="s">
        <v>23</v>
      </c>
      <c r="D1709" t="s">
        <v>27</v>
      </c>
      <c r="E1709" t="s">
        <v>31</v>
      </c>
      <c r="F1709" t="s">
        <v>38</v>
      </c>
      <c r="G1709" t="s">
        <v>72</v>
      </c>
      <c r="H1709" t="s">
        <v>73</v>
      </c>
      <c r="I1709">
        <v>2</v>
      </c>
      <c r="J1709">
        <v>142</v>
      </c>
      <c r="K1709">
        <v>0.15</v>
      </c>
      <c r="L1709">
        <v>241.4</v>
      </c>
      <c r="M1709">
        <v>158.47</v>
      </c>
      <c r="N1709">
        <v>82.93</v>
      </c>
      <c r="O1709" t="s">
        <v>76</v>
      </c>
      <c r="P1709" t="s">
        <v>83</v>
      </c>
    </row>
    <row r="1710" spans="1:16" x14ac:dyDescent="0.25">
      <c r="A1710">
        <v>1709</v>
      </c>
      <c r="B1710" s="2">
        <v>45952</v>
      </c>
      <c r="C1710" t="s">
        <v>21</v>
      </c>
      <c r="D1710" t="s">
        <v>24</v>
      </c>
      <c r="E1710" t="s">
        <v>28</v>
      </c>
      <c r="F1710" t="s">
        <v>63</v>
      </c>
      <c r="G1710" t="s">
        <v>71</v>
      </c>
      <c r="H1710" t="s">
        <v>73</v>
      </c>
      <c r="I1710">
        <v>2</v>
      </c>
      <c r="J1710">
        <v>380</v>
      </c>
      <c r="K1710">
        <v>0</v>
      </c>
      <c r="L1710">
        <v>760</v>
      </c>
      <c r="M1710">
        <v>455.39</v>
      </c>
      <c r="N1710">
        <v>304.61</v>
      </c>
      <c r="O1710" t="s">
        <v>78</v>
      </c>
      <c r="P1710" t="s">
        <v>82</v>
      </c>
    </row>
    <row r="1711" spans="1:16" x14ac:dyDescent="0.25">
      <c r="A1711">
        <v>1710</v>
      </c>
      <c r="B1711" s="2">
        <v>45955</v>
      </c>
      <c r="C1711" t="s">
        <v>20</v>
      </c>
      <c r="D1711" t="s">
        <v>26</v>
      </c>
      <c r="E1711" t="s">
        <v>33</v>
      </c>
      <c r="F1711" t="s">
        <v>59</v>
      </c>
      <c r="G1711" t="s">
        <v>71</v>
      </c>
      <c r="H1711" t="s">
        <v>74</v>
      </c>
      <c r="I1711">
        <v>3</v>
      </c>
      <c r="J1711">
        <v>45828</v>
      </c>
      <c r="K1711">
        <v>0.1</v>
      </c>
      <c r="L1711">
        <v>123735.6</v>
      </c>
      <c r="M1711">
        <v>100619.55</v>
      </c>
      <c r="N1711">
        <v>23116.05</v>
      </c>
      <c r="O1711" t="s">
        <v>80</v>
      </c>
      <c r="P1711" t="s">
        <v>85</v>
      </c>
    </row>
    <row r="1712" spans="1:16" x14ac:dyDescent="0.25">
      <c r="A1712">
        <v>1711</v>
      </c>
      <c r="B1712" s="2">
        <v>45800</v>
      </c>
      <c r="C1712" t="s">
        <v>16</v>
      </c>
      <c r="D1712" t="s">
        <v>24</v>
      </c>
      <c r="E1712" t="s">
        <v>30</v>
      </c>
      <c r="F1712" t="s">
        <v>64</v>
      </c>
      <c r="G1712" t="s">
        <v>70</v>
      </c>
      <c r="H1712" t="s">
        <v>73</v>
      </c>
      <c r="I1712">
        <v>7</v>
      </c>
      <c r="J1712">
        <v>69962</v>
      </c>
      <c r="K1712">
        <v>0.05</v>
      </c>
      <c r="L1712">
        <v>465247.3</v>
      </c>
      <c r="M1712">
        <v>401518.23</v>
      </c>
      <c r="N1712">
        <v>63729.07</v>
      </c>
      <c r="O1712" t="s">
        <v>80</v>
      </c>
      <c r="P1712" t="s">
        <v>85</v>
      </c>
    </row>
    <row r="1713" spans="1:16" x14ac:dyDescent="0.25">
      <c r="A1713">
        <v>1712</v>
      </c>
      <c r="B1713" s="2">
        <v>45901</v>
      </c>
      <c r="C1713" t="s">
        <v>21</v>
      </c>
      <c r="D1713" t="s">
        <v>24</v>
      </c>
      <c r="E1713" t="s">
        <v>33</v>
      </c>
      <c r="F1713" t="s">
        <v>52</v>
      </c>
      <c r="G1713" t="s">
        <v>70</v>
      </c>
      <c r="H1713" t="s">
        <v>75</v>
      </c>
      <c r="I1713">
        <v>4</v>
      </c>
      <c r="J1713">
        <v>41778</v>
      </c>
      <c r="K1713">
        <v>0.1</v>
      </c>
      <c r="L1713">
        <v>150400.79999999999</v>
      </c>
      <c r="M1713">
        <v>93922.59</v>
      </c>
      <c r="N1713">
        <v>56478.21</v>
      </c>
      <c r="O1713" t="s">
        <v>80</v>
      </c>
      <c r="P1713" t="s">
        <v>84</v>
      </c>
    </row>
    <row r="1714" spans="1:16" x14ac:dyDescent="0.25">
      <c r="A1714">
        <v>1713</v>
      </c>
      <c r="B1714" s="2">
        <v>45963</v>
      </c>
      <c r="C1714" t="s">
        <v>17</v>
      </c>
      <c r="D1714" t="s">
        <v>25</v>
      </c>
      <c r="E1714" t="s">
        <v>31</v>
      </c>
      <c r="F1714" t="s">
        <v>67</v>
      </c>
      <c r="G1714" t="s">
        <v>71</v>
      </c>
      <c r="H1714" t="s">
        <v>73</v>
      </c>
      <c r="I1714">
        <v>8</v>
      </c>
      <c r="J1714">
        <v>2212</v>
      </c>
      <c r="K1714">
        <v>0</v>
      </c>
      <c r="L1714">
        <v>17696</v>
      </c>
      <c r="M1714">
        <v>14047.41</v>
      </c>
      <c r="N1714">
        <v>3648.59</v>
      </c>
      <c r="O1714" t="s">
        <v>77</v>
      </c>
      <c r="P1714" t="s">
        <v>83</v>
      </c>
    </row>
    <row r="1715" spans="1:16" x14ac:dyDescent="0.25">
      <c r="A1715">
        <v>1714</v>
      </c>
      <c r="B1715" s="2">
        <v>45857</v>
      </c>
      <c r="C1715" t="s">
        <v>20</v>
      </c>
      <c r="D1715" t="s">
        <v>26</v>
      </c>
      <c r="E1715" t="s">
        <v>31</v>
      </c>
      <c r="F1715" t="s">
        <v>67</v>
      </c>
      <c r="G1715" t="s">
        <v>70</v>
      </c>
      <c r="H1715" t="s">
        <v>74</v>
      </c>
      <c r="I1715">
        <v>4</v>
      </c>
      <c r="J1715">
        <v>463</v>
      </c>
      <c r="K1715">
        <v>0.15</v>
      </c>
      <c r="L1715">
        <v>1574.2</v>
      </c>
      <c r="M1715">
        <v>1208.73</v>
      </c>
      <c r="N1715">
        <v>365.47</v>
      </c>
      <c r="O1715" t="s">
        <v>79</v>
      </c>
      <c r="P1715" t="s">
        <v>82</v>
      </c>
    </row>
    <row r="1716" spans="1:16" x14ac:dyDescent="0.25">
      <c r="A1716">
        <v>1715</v>
      </c>
      <c r="B1716" s="2">
        <v>45883</v>
      </c>
      <c r="C1716" t="s">
        <v>20</v>
      </c>
      <c r="D1716" t="s">
        <v>26</v>
      </c>
      <c r="E1716" t="s">
        <v>34</v>
      </c>
      <c r="F1716" t="s">
        <v>68</v>
      </c>
      <c r="G1716" t="s">
        <v>70</v>
      </c>
      <c r="H1716" t="s">
        <v>75</v>
      </c>
      <c r="I1716">
        <v>4</v>
      </c>
      <c r="J1716">
        <v>3439</v>
      </c>
      <c r="K1716">
        <v>0.1</v>
      </c>
      <c r="L1716">
        <v>12380.4</v>
      </c>
      <c r="M1716">
        <v>7033.78</v>
      </c>
      <c r="N1716">
        <v>5346.62</v>
      </c>
      <c r="O1716" t="s">
        <v>80</v>
      </c>
      <c r="P1716" t="s">
        <v>82</v>
      </c>
    </row>
    <row r="1717" spans="1:16" x14ac:dyDescent="0.25">
      <c r="A1717">
        <v>1716</v>
      </c>
      <c r="B1717" s="2">
        <v>45796</v>
      </c>
      <c r="C1717" t="s">
        <v>22</v>
      </c>
      <c r="D1717" t="s">
        <v>24</v>
      </c>
      <c r="E1717" t="s">
        <v>30</v>
      </c>
      <c r="F1717" t="s">
        <v>40</v>
      </c>
      <c r="G1717" t="s">
        <v>72</v>
      </c>
      <c r="H1717" t="s">
        <v>74</v>
      </c>
      <c r="I1717">
        <v>4</v>
      </c>
      <c r="J1717">
        <v>59777</v>
      </c>
      <c r="K1717">
        <v>0.05</v>
      </c>
      <c r="L1717">
        <v>227152.6</v>
      </c>
      <c r="M1717">
        <v>132085.41</v>
      </c>
      <c r="N1717">
        <v>95067.19</v>
      </c>
      <c r="O1717" t="s">
        <v>80</v>
      </c>
      <c r="P1717" t="s">
        <v>85</v>
      </c>
    </row>
    <row r="1718" spans="1:16" x14ac:dyDescent="0.25">
      <c r="A1718">
        <v>1717</v>
      </c>
      <c r="B1718" s="2">
        <v>45727</v>
      </c>
      <c r="C1718" t="s">
        <v>20</v>
      </c>
      <c r="D1718" t="s">
        <v>26</v>
      </c>
      <c r="E1718" t="s">
        <v>31</v>
      </c>
      <c r="F1718" t="s">
        <v>67</v>
      </c>
      <c r="G1718" t="s">
        <v>70</v>
      </c>
      <c r="H1718" t="s">
        <v>73</v>
      </c>
      <c r="I1718">
        <v>7</v>
      </c>
      <c r="J1718">
        <v>2454</v>
      </c>
      <c r="K1718">
        <v>0</v>
      </c>
      <c r="L1718">
        <v>17178</v>
      </c>
      <c r="M1718">
        <v>9529.36</v>
      </c>
      <c r="N1718">
        <v>7648.64</v>
      </c>
      <c r="O1718" t="s">
        <v>77</v>
      </c>
      <c r="P1718" t="s">
        <v>83</v>
      </c>
    </row>
    <row r="1719" spans="1:16" x14ac:dyDescent="0.25">
      <c r="A1719">
        <v>1718</v>
      </c>
      <c r="B1719" s="2">
        <v>45856</v>
      </c>
      <c r="C1719" t="s">
        <v>20</v>
      </c>
      <c r="D1719" t="s">
        <v>26</v>
      </c>
      <c r="E1719" t="s">
        <v>33</v>
      </c>
      <c r="F1719" t="s">
        <v>60</v>
      </c>
      <c r="G1719" t="s">
        <v>72</v>
      </c>
      <c r="H1719" t="s">
        <v>73</v>
      </c>
      <c r="I1719">
        <v>2</v>
      </c>
      <c r="J1719">
        <v>35561</v>
      </c>
      <c r="K1719">
        <v>0.05</v>
      </c>
      <c r="L1719">
        <v>67565.899999999994</v>
      </c>
      <c r="M1719">
        <v>51632.639999999999</v>
      </c>
      <c r="N1719">
        <v>15933.26</v>
      </c>
      <c r="O1719" t="s">
        <v>80</v>
      </c>
      <c r="P1719" t="s">
        <v>87</v>
      </c>
    </row>
    <row r="1720" spans="1:16" x14ac:dyDescent="0.25">
      <c r="A1720">
        <v>1719</v>
      </c>
      <c r="B1720" s="2">
        <v>45923</v>
      </c>
      <c r="C1720" t="s">
        <v>17</v>
      </c>
      <c r="D1720" t="s">
        <v>25</v>
      </c>
      <c r="E1720" t="s">
        <v>29</v>
      </c>
      <c r="F1720" t="s">
        <v>45</v>
      </c>
      <c r="G1720" t="s">
        <v>72</v>
      </c>
      <c r="H1720" t="s">
        <v>74</v>
      </c>
      <c r="I1720">
        <v>8</v>
      </c>
      <c r="J1720">
        <v>4390</v>
      </c>
      <c r="K1720">
        <v>0.15</v>
      </c>
      <c r="L1720">
        <v>29852</v>
      </c>
      <c r="M1720">
        <v>24144.5</v>
      </c>
      <c r="N1720">
        <v>5707.5</v>
      </c>
      <c r="O1720" t="s">
        <v>77</v>
      </c>
      <c r="P1720" t="s">
        <v>84</v>
      </c>
    </row>
    <row r="1721" spans="1:16" x14ac:dyDescent="0.25">
      <c r="A1721">
        <v>1720</v>
      </c>
      <c r="B1721" s="2">
        <v>45761</v>
      </c>
      <c r="C1721" t="s">
        <v>17</v>
      </c>
      <c r="D1721" t="s">
        <v>25</v>
      </c>
      <c r="E1721" t="s">
        <v>29</v>
      </c>
      <c r="F1721" t="s">
        <v>57</v>
      </c>
      <c r="G1721" t="s">
        <v>72</v>
      </c>
      <c r="H1721" t="s">
        <v>73</v>
      </c>
      <c r="I1721">
        <v>2</v>
      </c>
      <c r="J1721">
        <v>5651</v>
      </c>
      <c r="K1721">
        <v>0.15</v>
      </c>
      <c r="L1721">
        <v>9606.7000000000007</v>
      </c>
      <c r="M1721">
        <v>6732.21</v>
      </c>
      <c r="N1721">
        <v>2874.49</v>
      </c>
      <c r="O1721" t="s">
        <v>76</v>
      </c>
      <c r="P1721" t="s">
        <v>83</v>
      </c>
    </row>
    <row r="1722" spans="1:16" x14ac:dyDescent="0.25">
      <c r="A1722">
        <v>1721</v>
      </c>
      <c r="B1722" s="2">
        <v>45671</v>
      </c>
      <c r="C1722" t="s">
        <v>17</v>
      </c>
      <c r="D1722" t="s">
        <v>25</v>
      </c>
      <c r="E1722" t="s">
        <v>32</v>
      </c>
      <c r="F1722" t="s">
        <v>39</v>
      </c>
      <c r="G1722" t="s">
        <v>71</v>
      </c>
      <c r="H1722" t="s">
        <v>73</v>
      </c>
      <c r="I1722">
        <v>3</v>
      </c>
      <c r="J1722">
        <v>4406</v>
      </c>
      <c r="K1722">
        <v>0</v>
      </c>
      <c r="L1722">
        <v>13218</v>
      </c>
      <c r="M1722">
        <v>9114.14</v>
      </c>
      <c r="N1722">
        <v>4103.8599999999997</v>
      </c>
      <c r="O1722" t="s">
        <v>77</v>
      </c>
      <c r="P1722" t="s">
        <v>85</v>
      </c>
    </row>
    <row r="1723" spans="1:16" x14ac:dyDescent="0.25">
      <c r="A1723">
        <v>1722</v>
      </c>
      <c r="B1723" s="2">
        <v>45666</v>
      </c>
      <c r="C1723" t="s">
        <v>19</v>
      </c>
      <c r="D1723" t="s">
        <v>26</v>
      </c>
      <c r="E1723" t="s">
        <v>32</v>
      </c>
      <c r="F1723" t="s">
        <v>62</v>
      </c>
      <c r="G1723" t="s">
        <v>71</v>
      </c>
      <c r="H1723" t="s">
        <v>73</v>
      </c>
      <c r="I1723">
        <v>5</v>
      </c>
      <c r="J1723">
        <v>6999</v>
      </c>
      <c r="K1723">
        <v>0.05</v>
      </c>
      <c r="L1723">
        <v>33245.25</v>
      </c>
      <c r="M1723">
        <v>24832.89</v>
      </c>
      <c r="N1723">
        <v>8412.36</v>
      </c>
      <c r="O1723" t="s">
        <v>79</v>
      </c>
      <c r="P1723" t="s">
        <v>84</v>
      </c>
    </row>
    <row r="1724" spans="1:16" x14ac:dyDescent="0.25">
      <c r="A1724">
        <v>1723</v>
      </c>
      <c r="B1724" s="2">
        <v>45673</v>
      </c>
      <c r="C1724" t="s">
        <v>18</v>
      </c>
      <c r="D1724" t="s">
        <v>26</v>
      </c>
      <c r="E1724" t="s">
        <v>32</v>
      </c>
      <c r="F1724" t="s">
        <v>62</v>
      </c>
      <c r="G1724" t="s">
        <v>70</v>
      </c>
      <c r="H1724" t="s">
        <v>73</v>
      </c>
      <c r="I1724">
        <v>1</v>
      </c>
      <c r="J1724">
        <v>8570</v>
      </c>
      <c r="K1724">
        <v>0.05</v>
      </c>
      <c r="L1724">
        <v>8141.5</v>
      </c>
      <c r="M1724">
        <v>5192.41</v>
      </c>
      <c r="N1724">
        <v>2949.09</v>
      </c>
      <c r="O1724" t="s">
        <v>79</v>
      </c>
      <c r="P1724" t="s">
        <v>81</v>
      </c>
    </row>
    <row r="1725" spans="1:16" x14ac:dyDescent="0.25">
      <c r="A1725">
        <v>1724</v>
      </c>
      <c r="B1725" s="2">
        <v>45719</v>
      </c>
      <c r="C1725" t="s">
        <v>17</v>
      </c>
      <c r="D1725" t="s">
        <v>25</v>
      </c>
      <c r="E1725" t="s">
        <v>32</v>
      </c>
      <c r="F1725" t="s">
        <v>62</v>
      </c>
      <c r="G1725" t="s">
        <v>71</v>
      </c>
      <c r="H1725" t="s">
        <v>75</v>
      </c>
      <c r="I1725">
        <v>6</v>
      </c>
      <c r="J1725">
        <v>13362</v>
      </c>
      <c r="K1725">
        <v>0.1</v>
      </c>
      <c r="L1725">
        <v>72154.8</v>
      </c>
      <c r="M1725">
        <v>55868.160000000003</v>
      </c>
      <c r="N1725">
        <v>16286.64</v>
      </c>
      <c r="O1725" t="s">
        <v>77</v>
      </c>
      <c r="P1725" t="s">
        <v>81</v>
      </c>
    </row>
    <row r="1726" spans="1:16" x14ac:dyDescent="0.25">
      <c r="A1726">
        <v>1725</v>
      </c>
      <c r="B1726" s="2">
        <v>46021</v>
      </c>
      <c r="C1726" t="s">
        <v>23</v>
      </c>
      <c r="D1726" t="s">
        <v>27</v>
      </c>
      <c r="E1726" t="s">
        <v>31</v>
      </c>
      <c r="F1726" t="s">
        <v>50</v>
      </c>
      <c r="G1726" t="s">
        <v>72</v>
      </c>
      <c r="H1726" t="s">
        <v>75</v>
      </c>
      <c r="I1726">
        <v>1</v>
      </c>
      <c r="J1726">
        <v>2031</v>
      </c>
      <c r="K1726">
        <v>0</v>
      </c>
      <c r="L1726">
        <v>2031</v>
      </c>
      <c r="M1726">
        <v>1509.73</v>
      </c>
      <c r="N1726">
        <v>521.27</v>
      </c>
      <c r="O1726" t="s">
        <v>79</v>
      </c>
      <c r="P1726" t="s">
        <v>88</v>
      </c>
    </row>
    <row r="1727" spans="1:16" x14ac:dyDescent="0.25">
      <c r="A1727">
        <v>1726</v>
      </c>
      <c r="B1727" s="2">
        <v>45888</v>
      </c>
      <c r="C1727" t="s">
        <v>19</v>
      </c>
      <c r="D1727" t="s">
        <v>26</v>
      </c>
      <c r="E1727" t="s">
        <v>33</v>
      </c>
      <c r="F1727" t="s">
        <v>41</v>
      </c>
      <c r="G1727" t="s">
        <v>71</v>
      </c>
      <c r="H1727" t="s">
        <v>75</v>
      </c>
      <c r="I1727">
        <v>4</v>
      </c>
      <c r="J1727">
        <v>13152</v>
      </c>
      <c r="K1727">
        <v>0</v>
      </c>
      <c r="L1727">
        <v>52608</v>
      </c>
      <c r="M1727">
        <v>41336.239999999998</v>
      </c>
      <c r="N1727">
        <v>11271.76</v>
      </c>
      <c r="O1727" t="s">
        <v>78</v>
      </c>
      <c r="P1727" t="s">
        <v>88</v>
      </c>
    </row>
    <row r="1728" spans="1:16" x14ac:dyDescent="0.25">
      <c r="A1728">
        <v>1727</v>
      </c>
      <c r="B1728" s="2">
        <v>45669</v>
      </c>
      <c r="C1728" t="s">
        <v>20</v>
      </c>
      <c r="D1728" t="s">
        <v>26</v>
      </c>
      <c r="E1728" t="s">
        <v>28</v>
      </c>
      <c r="F1728" t="s">
        <v>54</v>
      </c>
      <c r="G1728" t="s">
        <v>72</v>
      </c>
      <c r="H1728" t="s">
        <v>75</v>
      </c>
      <c r="I1728">
        <v>8</v>
      </c>
      <c r="J1728">
        <v>1108</v>
      </c>
      <c r="K1728">
        <v>0.1</v>
      </c>
      <c r="L1728">
        <v>7977.6</v>
      </c>
      <c r="M1728">
        <v>5681.12</v>
      </c>
      <c r="N1728">
        <v>2296.48</v>
      </c>
      <c r="O1728" t="s">
        <v>78</v>
      </c>
      <c r="P1728" t="s">
        <v>83</v>
      </c>
    </row>
    <row r="1729" spans="1:16" x14ac:dyDescent="0.25">
      <c r="A1729">
        <v>1728</v>
      </c>
      <c r="B1729" s="2">
        <v>45682</v>
      </c>
      <c r="C1729" t="s">
        <v>21</v>
      </c>
      <c r="D1729" t="s">
        <v>24</v>
      </c>
      <c r="E1729" t="s">
        <v>34</v>
      </c>
      <c r="F1729" t="s">
        <v>55</v>
      </c>
      <c r="G1729" t="s">
        <v>70</v>
      </c>
      <c r="H1729" t="s">
        <v>75</v>
      </c>
      <c r="I1729">
        <v>3</v>
      </c>
      <c r="J1729">
        <v>5204</v>
      </c>
      <c r="K1729">
        <v>0.15</v>
      </c>
      <c r="L1729">
        <v>13270.2</v>
      </c>
      <c r="M1729">
        <v>9370.7099999999991</v>
      </c>
      <c r="N1729">
        <v>3899.49</v>
      </c>
      <c r="O1729" t="s">
        <v>79</v>
      </c>
      <c r="P1729" t="s">
        <v>85</v>
      </c>
    </row>
    <row r="1730" spans="1:16" x14ac:dyDescent="0.25">
      <c r="A1730">
        <v>1729</v>
      </c>
      <c r="B1730" s="2">
        <v>45885</v>
      </c>
      <c r="C1730" t="s">
        <v>23</v>
      </c>
      <c r="D1730" t="s">
        <v>27</v>
      </c>
      <c r="E1730" t="s">
        <v>30</v>
      </c>
      <c r="F1730" t="s">
        <v>40</v>
      </c>
      <c r="G1730" t="s">
        <v>70</v>
      </c>
      <c r="H1730" t="s">
        <v>75</v>
      </c>
      <c r="I1730">
        <v>6</v>
      </c>
      <c r="J1730">
        <v>19705</v>
      </c>
      <c r="K1730">
        <v>0.15</v>
      </c>
      <c r="L1730">
        <v>100495.5</v>
      </c>
      <c r="M1730">
        <v>57620.800000000003</v>
      </c>
      <c r="N1730">
        <v>42874.7</v>
      </c>
      <c r="O1730" t="s">
        <v>80</v>
      </c>
      <c r="P1730" t="s">
        <v>85</v>
      </c>
    </row>
    <row r="1731" spans="1:16" x14ac:dyDescent="0.25">
      <c r="A1731">
        <v>1730</v>
      </c>
      <c r="B1731" s="2">
        <v>45746</v>
      </c>
      <c r="C1731" t="s">
        <v>16</v>
      </c>
      <c r="D1731" t="s">
        <v>24</v>
      </c>
      <c r="E1731" t="s">
        <v>32</v>
      </c>
      <c r="F1731" t="s">
        <v>48</v>
      </c>
      <c r="G1731" t="s">
        <v>70</v>
      </c>
      <c r="H1731" t="s">
        <v>73</v>
      </c>
      <c r="I1731">
        <v>7</v>
      </c>
      <c r="J1731">
        <v>12308</v>
      </c>
      <c r="K1731">
        <v>0.2</v>
      </c>
      <c r="L1731">
        <v>68924.800000000003</v>
      </c>
      <c r="M1731">
        <v>48139.95</v>
      </c>
      <c r="N1731">
        <v>20784.849999999999</v>
      </c>
      <c r="O1731" t="s">
        <v>78</v>
      </c>
      <c r="P1731" t="s">
        <v>86</v>
      </c>
    </row>
    <row r="1732" spans="1:16" x14ac:dyDescent="0.25">
      <c r="A1732">
        <v>1731</v>
      </c>
      <c r="B1732" s="2">
        <v>45745</v>
      </c>
      <c r="C1732" t="s">
        <v>22</v>
      </c>
      <c r="D1732" t="s">
        <v>24</v>
      </c>
      <c r="E1732" t="s">
        <v>31</v>
      </c>
      <c r="F1732" t="s">
        <v>47</v>
      </c>
      <c r="G1732" t="s">
        <v>70</v>
      </c>
      <c r="H1732" t="s">
        <v>73</v>
      </c>
      <c r="I1732">
        <v>7</v>
      </c>
      <c r="J1732">
        <v>1018</v>
      </c>
      <c r="K1732">
        <v>0.05</v>
      </c>
      <c r="L1732">
        <v>6769.7</v>
      </c>
      <c r="M1732">
        <v>5765.03</v>
      </c>
      <c r="N1732">
        <v>1004.67</v>
      </c>
      <c r="O1732" t="s">
        <v>78</v>
      </c>
      <c r="P1732" t="s">
        <v>88</v>
      </c>
    </row>
    <row r="1733" spans="1:16" x14ac:dyDescent="0.25">
      <c r="A1733">
        <v>1732</v>
      </c>
      <c r="B1733" s="2">
        <v>45872</v>
      </c>
      <c r="C1733" t="s">
        <v>23</v>
      </c>
      <c r="D1733" t="s">
        <v>27</v>
      </c>
      <c r="E1733" t="s">
        <v>33</v>
      </c>
      <c r="F1733" t="s">
        <v>46</v>
      </c>
      <c r="G1733" t="s">
        <v>71</v>
      </c>
      <c r="H1733" t="s">
        <v>74</v>
      </c>
      <c r="I1733">
        <v>5</v>
      </c>
      <c r="J1733">
        <v>8056</v>
      </c>
      <c r="K1733">
        <v>0.05</v>
      </c>
      <c r="L1733">
        <v>38266</v>
      </c>
      <c r="M1733">
        <v>32223.98</v>
      </c>
      <c r="N1733">
        <v>6042.02</v>
      </c>
      <c r="O1733" t="s">
        <v>78</v>
      </c>
      <c r="P1733" t="s">
        <v>88</v>
      </c>
    </row>
    <row r="1734" spans="1:16" x14ac:dyDescent="0.25">
      <c r="A1734">
        <v>1733</v>
      </c>
      <c r="B1734" s="2">
        <v>45874</v>
      </c>
      <c r="C1734" t="s">
        <v>20</v>
      </c>
      <c r="D1734" t="s">
        <v>26</v>
      </c>
      <c r="E1734" t="s">
        <v>31</v>
      </c>
      <c r="F1734" t="s">
        <v>47</v>
      </c>
      <c r="G1734" t="s">
        <v>72</v>
      </c>
      <c r="H1734" t="s">
        <v>73</v>
      </c>
      <c r="I1734">
        <v>5</v>
      </c>
      <c r="J1734">
        <v>2244</v>
      </c>
      <c r="K1734">
        <v>0.1</v>
      </c>
      <c r="L1734">
        <v>10098</v>
      </c>
      <c r="M1734">
        <v>6934.53</v>
      </c>
      <c r="N1734">
        <v>3163.47</v>
      </c>
      <c r="O1734" t="s">
        <v>77</v>
      </c>
      <c r="P1734" t="s">
        <v>87</v>
      </c>
    </row>
    <row r="1735" spans="1:16" x14ac:dyDescent="0.25">
      <c r="A1735">
        <v>1734</v>
      </c>
      <c r="B1735" s="2">
        <v>45997</v>
      </c>
      <c r="C1735" t="s">
        <v>21</v>
      </c>
      <c r="D1735" t="s">
        <v>24</v>
      </c>
      <c r="E1735" t="s">
        <v>29</v>
      </c>
      <c r="F1735" t="s">
        <v>53</v>
      </c>
      <c r="G1735" t="s">
        <v>70</v>
      </c>
      <c r="H1735" t="s">
        <v>73</v>
      </c>
      <c r="I1735">
        <v>7</v>
      </c>
      <c r="J1735">
        <v>2967</v>
      </c>
      <c r="K1735">
        <v>0.15</v>
      </c>
      <c r="L1735">
        <v>17653.650000000001</v>
      </c>
      <c r="M1735">
        <v>10554.53</v>
      </c>
      <c r="N1735">
        <v>7099.12</v>
      </c>
      <c r="O1735" t="s">
        <v>76</v>
      </c>
      <c r="P1735" t="s">
        <v>84</v>
      </c>
    </row>
    <row r="1736" spans="1:16" x14ac:dyDescent="0.25">
      <c r="A1736">
        <v>1735</v>
      </c>
      <c r="B1736" s="2">
        <v>46006</v>
      </c>
      <c r="C1736" t="s">
        <v>20</v>
      </c>
      <c r="D1736" t="s">
        <v>26</v>
      </c>
      <c r="E1736" t="s">
        <v>28</v>
      </c>
      <c r="F1736" t="s">
        <v>35</v>
      </c>
      <c r="G1736" t="s">
        <v>70</v>
      </c>
      <c r="H1736" t="s">
        <v>74</v>
      </c>
      <c r="I1736">
        <v>7</v>
      </c>
      <c r="J1736">
        <v>436</v>
      </c>
      <c r="K1736">
        <v>0</v>
      </c>
      <c r="L1736">
        <v>3052</v>
      </c>
      <c r="M1736">
        <v>2576.16</v>
      </c>
      <c r="N1736">
        <v>475.84</v>
      </c>
      <c r="O1736" t="s">
        <v>78</v>
      </c>
      <c r="P1736" t="s">
        <v>88</v>
      </c>
    </row>
    <row r="1737" spans="1:16" x14ac:dyDescent="0.25">
      <c r="A1737">
        <v>1736</v>
      </c>
      <c r="B1737" s="2">
        <v>45775</v>
      </c>
      <c r="C1737" t="s">
        <v>23</v>
      </c>
      <c r="D1737" t="s">
        <v>27</v>
      </c>
      <c r="E1737" t="s">
        <v>28</v>
      </c>
      <c r="F1737" t="s">
        <v>54</v>
      </c>
      <c r="G1737" t="s">
        <v>71</v>
      </c>
      <c r="H1737" t="s">
        <v>75</v>
      </c>
      <c r="I1737">
        <v>3</v>
      </c>
      <c r="J1737">
        <v>1332</v>
      </c>
      <c r="K1737">
        <v>0.05</v>
      </c>
      <c r="L1737">
        <v>3796.2</v>
      </c>
      <c r="M1737">
        <v>2148.8000000000002</v>
      </c>
      <c r="N1737">
        <v>1647.4</v>
      </c>
      <c r="O1737" t="s">
        <v>79</v>
      </c>
      <c r="P1737" t="s">
        <v>84</v>
      </c>
    </row>
    <row r="1738" spans="1:16" x14ac:dyDescent="0.25">
      <c r="A1738">
        <v>1737</v>
      </c>
      <c r="B1738" s="2">
        <v>45924</v>
      </c>
      <c r="C1738" t="s">
        <v>21</v>
      </c>
      <c r="D1738" t="s">
        <v>24</v>
      </c>
      <c r="E1738" t="s">
        <v>29</v>
      </c>
      <c r="F1738" t="s">
        <v>36</v>
      </c>
      <c r="G1738" t="s">
        <v>70</v>
      </c>
      <c r="H1738" t="s">
        <v>74</v>
      </c>
      <c r="I1738">
        <v>3</v>
      </c>
      <c r="J1738">
        <v>11356</v>
      </c>
      <c r="K1738">
        <v>0</v>
      </c>
      <c r="L1738">
        <v>34068</v>
      </c>
      <c r="M1738">
        <v>23829.47</v>
      </c>
      <c r="N1738">
        <v>10238.530000000001</v>
      </c>
      <c r="O1738" t="s">
        <v>76</v>
      </c>
      <c r="P1738" t="s">
        <v>87</v>
      </c>
    </row>
    <row r="1739" spans="1:16" x14ac:dyDescent="0.25">
      <c r="A1739">
        <v>1738</v>
      </c>
      <c r="B1739" s="2">
        <v>45833</v>
      </c>
      <c r="C1739" t="s">
        <v>16</v>
      </c>
      <c r="D1739" t="s">
        <v>24</v>
      </c>
      <c r="E1739" t="s">
        <v>29</v>
      </c>
      <c r="F1739" t="s">
        <v>42</v>
      </c>
      <c r="G1739" t="s">
        <v>71</v>
      </c>
      <c r="H1739" t="s">
        <v>74</v>
      </c>
      <c r="I1739">
        <v>2</v>
      </c>
      <c r="J1739">
        <v>10194</v>
      </c>
      <c r="K1739">
        <v>0.05</v>
      </c>
      <c r="L1739">
        <v>19368.599999999999</v>
      </c>
      <c r="M1739">
        <v>10722.35</v>
      </c>
      <c r="N1739">
        <v>8646.25</v>
      </c>
      <c r="O1739" t="s">
        <v>79</v>
      </c>
      <c r="P1739" t="s">
        <v>83</v>
      </c>
    </row>
    <row r="1740" spans="1:16" x14ac:dyDescent="0.25">
      <c r="A1740">
        <v>1739</v>
      </c>
      <c r="B1740" s="2">
        <v>45690</v>
      </c>
      <c r="C1740" t="s">
        <v>20</v>
      </c>
      <c r="D1740" t="s">
        <v>26</v>
      </c>
      <c r="E1740" t="s">
        <v>28</v>
      </c>
      <c r="F1740" t="s">
        <v>35</v>
      </c>
      <c r="G1740" t="s">
        <v>72</v>
      </c>
      <c r="H1740" t="s">
        <v>73</v>
      </c>
      <c r="I1740">
        <v>7</v>
      </c>
      <c r="J1740">
        <v>1001</v>
      </c>
      <c r="K1740">
        <v>0.1</v>
      </c>
      <c r="L1740">
        <v>6306.3</v>
      </c>
      <c r="M1740">
        <v>4494.66</v>
      </c>
      <c r="N1740">
        <v>1811.64</v>
      </c>
      <c r="O1740" t="s">
        <v>79</v>
      </c>
      <c r="P1740" t="s">
        <v>85</v>
      </c>
    </row>
    <row r="1741" spans="1:16" x14ac:dyDescent="0.25">
      <c r="A1741">
        <v>1740</v>
      </c>
      <c r="B1741" s="2">
        <v>45723</v>
      </c>
      <c r="C1741" t="s">
        <v>19</v>
      </c>
      <c r="D1741" t="s">
        <v>26</v>
      </c>
      <c r="E1741" t="s">
        <v>31</v>
      </c>
      <c r="F1741" t="s">
        <v>38</v>
      </c>
      <c r="G1741" t="s">
        <v>72</v>
      </c>
      <c r="H1741" t="s">
        <v>74</v>
      </c>
      <c r="I1741">
        <v>5</v>
      </c>
      <c r="J1741">
        <v>1242</v>
      </c>
      <c r="K1741">
        <v>0.15</v>
      </c>
      <c r="L1741">
        <v>5278.5</v>
      </c>
      <c r="M1741">
        <v>3223.5</v>
      </c>
      <c r="N1741">
        <v>2055</v>
      </c>
      <c r="O1741" t="s">
        <v>77</v>
      </c>
      <c r="P1741" t="s">
        <v>88</v>
      </c>
    </row>
    <row r="1742" spans="1:16" x14ac:dyDescent="0.25">
      <c r="A1742">
        <v>1741</v>
      </c>
      <c r="B1742" s="2">
        <v>45826</v>
      </c>
      <c r="C1742" t="s">
        <v>20</v>
      </c>
      <c r="D1742" t="s">
        <v>26</v>
      </c>
      <c r="E1742" t="s">
        <v>31</v>
      </c>
      <c r="F1742" t="s">
        <v>50</v>
      </c>
      <c r="G1742" t="s">
        <v>72</v>
      </c>
      <c r="H1742" t="s">
        <v>74</v>
      </c>
      <c r="I1742">
        <v>2</v>
      </c>
      <c r="J1742">
        <v>399</v>
      </c>
      <c r="K1742">
        <v>0.1</v>
      </c>
      <c r="L1742">
        <v>718.2</v>
      </c>
      <c r="M1742">
        <v>569.79999999999995</v>
      </c>
      <c r="N1742">
        <v>148.4</v>
      </c>
      <c r="O1742" t="s">
        <v>79</v>
      </c>
      <c r="P1742" t="s">
        <v>82</v>
      </c>
    </row>
    <row r="1743" spans="1:16" x14ac:dyDescent="0.25">
      <c r="A1743">
        <v>1742</v>
      </c>
      <c r="B1743" s="2">
        <v>45715</v>
      </c>
      <c r="C1743" t="s">
        <v>19</v>
      </c>
      <c r="D1743" t="s">
        <v>26</v>
      </c>
      <c r="E1743" t="s">
        <v>29</v>
      </c>
      <c r="F1743" t="s">
        <v>45</v>
      </c>
      <c r="G1743" t="s">
        <v>70</v>
      </c>
      <c r="H1743" t="s">
        <v>73</v>
      </c>
      <c r="I1743">
        <v>2</v>
      </c>
      <c r="J1743">
        <v>1522</v>
      </c>
      <c r="K1743">
        <v>0.2</v>
      </c>
      <c r="L1743">
        <v>2435.1999999999998</v>
      </c>
      <c r="M1743">
        <v>1731.98</v>
      </c>
      <c r="N1743">
        <v>703.22</v>
      </c>
      <c r="O1743" t="s">
        <v>77</v>
      </c>
      <c r="P1743" t="s">
        <v>85</v>
      </c>
    </row>
    <row r="1744" spans="1:16" x14ac:dyDescent="0.25">
      <c r="A1744">
        <v>1743</v>
      </c>
      <c r="B1744" s="2">
        <v>45699</v>
      </c>
      <c r="C1744" t="s">
        <v>20</v>
      </c>
      <c r="D1744" t="s">
        <v>26</v>
      </c>
      <c r="E1744" t="s">
        <v>29</v>
      </c>
      <c r="F1744" t="s">
        <v>45</v>
      </c>
      <c r="G1744" t="s">
        <v>71</v>
      </c>
      <c r="H1744" t="s">
        <v>75</v>
      </c>
      <c r="I1744">
        <v>4</v>
      </c>
      <c r="J1744">
        <v>3854</v>
      </c>
      <c r="K1744">
        <v>0</v>
      </c>
      <c r="L1744">
        <v>15416</v>
      </c>
      <c r="M1744">
        <v>10664.86</v>
      </c>
      <c r="N1744">
        <v>4751.1400000000003</v>
      </c>
      <c r="O1744" t="s">
        <v>77</v>
      </c>
      <c r="P1744" t="s">
        <v>85</v>
      </c>
    </row>
    <row r="1745" spans="1:16" x14ac:dyDescent="0.25">
      <c r="A1745">
        <v>1744</v>
      </c>
      <c r="B1745" s="2">
        <v>45664</v>
      </c>
      <c r="C1745" t="s">
        <v>23</v>
      </c>
      <c r="D1745" t="s">
        <v>27</v>
      </c>
      <c r="E1745" t="s">
        <v>31</v>
      </c>
      <c r="F1745" t="s">
        <v>67</v>
      </c>
      <c r="G1745" t="s">
        <v>70</v>
      </c>
      <c r="H1745" t="s">
        <v>73</v>
      </c>
      <c r="I1745">
        <v>2</v>
      </c>
      <c r="J1745">
        <v>876</v>
      </c>
      <c r="K1745">
        <v>0.2</v>
      </c>
      <c r="L1745">
        <v>1401.6</v>
      </c>
      <c r="M1745">
        <v>1081.0999999999999</v>
      </c>
      <c r="N1745">
        <v>320.5</v>
      </c>
      <c r="O1745" t="s">
        <v>76</v>
      </c>
      <c r="P1745" t="s">
        <v>85</v>
      </c>
    </row>
    <row r="1746" spans="1:16" x14ac:dyDescent="0.25">
      <c r="A1746">
        <v>1745</v>
      </c>
      <c r="B1746" s="2">
        <v>46012</v>
      </c>
      <c r="C1746" t="s">
        <v>19</v>
      </c>
      <c r="D1746" t="s">
        <v>26</v>
      </c>
      <c r="E1746" t="s">
        <v>33</v>
      </c>
      <c r="F1746" t="s">
        <v>41</v>
      </c>
      <c r="G1746" t="s">
        <v>71</v>
      </c>
      <c r="H1746" t="s">
        <v>74</v>
      </c>
      <c r="I1746">
        <v>4</v>
      </c>
      <c r="J1746">
        <v>40781</v>
      </c>
      <c r="K1746">
        <v>0</v>
      </c>
      <c r="L1746">
        <v>163124</v>
      </c>
      <c r="M1746">
        <v>94032.39</v>
      </c>
      <c r="N1746">
        <v>69091.61</v>
      </c>
      <c r="O1746" t="s">
        <v>80</v>
      </c>
      <c r="P1746" t="s">
        <v>81</v>
      </c>
    </row>
    <row r="1747" spans="1:16" x14ac:dyDescent="0.25">
      <c r="A1747">
        <v>1746</v>
      </c>
      <c r="B1747" s="2">
        <v>45836</v>
      </c>
      <c r="C1747" t="s">
        <v>20</v>
      </c>
      <c r="D1747" t="s">
        <v>26</v>
      </c>
      <c r="E1747" t="s">
        <v>31</v>
      </c>
      <c r="F1747" t="s">
        <v>47</v>
      </c>
      <c r="G1747" t="s">
        <v>72</v>
      </c>
      <c r="H1747" t="s">
        <v>73</v>
      </c>
      <c r="I1747">
        <v>7</v>
      </c>
      <c r="J1747">
        <v>1850</v>
      </c>
      <c r="K1747">
        <v>0</v>
      </c>
      <c r="L1747">
        <v>12950</v>
      </c>
      <c r="M1747">
        <v>8071.61</v>
      </c>
      <c r="N1747">
        <v>4878.3900000000003</v>
      </c>
      <c r="O1747" t="s">
        <v>76</v>
      </c>
      <c r="P1747" t="s">
        <v>86</v>
      </c>
    </row>
    <row r="1748" spans="1:16" x14ac:dyDescent="0.25">
      <c r="A1748">
        <v>1747</v>
      </c>
      <c r="B1748" s="2">
        <v>45688</v>
      </c>
      <c r="C1748" t="s">
        <v>22</v>
      </c>
      <c r="D1748" t="s">
        <v>24</v>
      </c>
      <c r="E1748" t="s">
        <v>29</v>
      </c>
      <c r="F1748" t="s">
        <v>42</v>
      </c>
      <c r="G1748" t="s">
        <v>71</v>
      </c>
      <c r="H1748" t="s">
        <v>74</v>
      </c>
      <c r="I1748">
        <v>4</v>
      </c>
      <c r="J1748">
        <v>2129</v>
      </c>
      <c r="K1748">
        <v>0.1</v>
      </c>
      <c r="L1748">
        <v>7664.4</v>
      </c>
      <c r="M1748">
        <v>4807.51</v>
      </c>
      <c r="N1748">
        <v>2856.89</v>
      </c>
      <c r="O1748" t="s">
        <v>77</v>
      </c>
      <c r="P1748" t="s">
        <v>84</v>
      </c>
    </row>
    <row r="1749" spans="1:16" x14ac:dyDescent="0.25">
      <c r="A1749">
        <v>1748</v>
      </c>
      <c r="B1749" s="2">
        <v>45848</v>
      </c>
      <c r="C1749" t="s">
        <v>20</v>
      </c>
      <c r="D1749" t="s">
        <v>26</v>
      </c>
      <c r="E1749" t="s">
        <v>29</v>
      </c>
      <c r="F1749" t="s">
        <v>45</v>
      </c>
      <c r="G1749" t="s">
        <v>70</v>
      </c>
      <c r="H1749" t="s">
        <v>73</v>
      </c>
      <c r="I1749">
        <v>3</v>
      </c>
      <c r="J1749">
        <v>3780</v>
      </c>
      <c r="K1749">
        <v>0.2</v>
      </c>
      <c r="L1749">
        <v>9072</v>
      </c>
      <c r="M1749">
        <v>7862</v>
      </c>
      <c r="N1749">
        <v>1210</v>
      </c>
      <c r="O1749" t="s">
        <v>77</v>
      </c>
      <c r="P1749" t="s">
        <v>86</v>
      </c>
    </row>
    <row r="1750" spans="1:16" x14ac:dyDescent="0.25">
      <c r="A1750">
        <v>1749</v>
      </c>
      <c r="B1750" s="2">
        <v>45857</v>
      </c>
      <c r="C1750" t="s">
        <v>19</v>
      </c>
      <c r="D1750" t="s">
        <v>26</v>
      </c>
      <c r="E1750" t="s">
        <v>32</v>
      </c>
      <c r="F1750" t="s">
        <v>66</v>
      </c>
      <c r="G1750" t="s">
        <v>72</v>
      </c>
      <c r="H1750" t="s">
        <v>75</v>
      </c>
      <c r="I1750">
        <v>6</v>
      </c>
      <c r="J1750">
        <v>8836</v>
      </c>
      <c r="K1750">
        <v>0.1</v>
      </c>
      <c r="L1750">
        <v>47714.400000000001</v>
      </c>
      <c r="M1750">
        <v>37818.83</v>
      </c>
      <c r="N1750">
        <v>9895.57</v>
      </c>
      <c r="O1750" t="s">
        <v>80</v>
      </c>
      <c r="P1750" t="s">
        <v>83</v>
      </c>
    </row>
    <row r="1751" spans="1:16" x14ac:dyDescent="0.25">
      <c r="A1751">
        <v>1750</v>
      </c>
      <c r="B1751" s="2">
        <v>45776</v>
      </c>
      <c r="C1751" t="s">
        <v>18</v>
      </c>
      <c r="D1751" t="s">
        <v>26</v>
      </c>
      <c r="E1751" t="s">
        <v>34</v>
      </c>
      <c r="F1751" t="s">
        <v>43</v>
      </c>
      <c r="G1751" t="s">
        <v>72</v>
      </c>
      <c r="H1751" t="s">
        <v>75</v>
      </c>
      <c r="I1751">
        <v>1</v>
      </c>
      <c r="J1751">
        <v>1437</v>
      </c>
      <c r="K1751">
        <v>0</v>
      </c>
      <c r="L1751">
        <v>1437</v>
      </c>
      <c r="M1751">
        <v>1182.7</v>
      </c>
      <c r="N1751">
        <v>254.3</v>
      </c>
      <c r="O1751" t="s">
        <v>80</v>
      </c>
      <c r="P1751" t="s">
        <v>84</v>
      </c>
    </row>
    <row r="1752" spans="1:16" x14ac:dyDescent="0.25">
      <c r="A1752">
        <v>1751</v>
      </c>
      <c r="B1752" s="2">
        <v>45725</v>
      </c>
      <c r="C1752" t="s">
        <v>19</v>
      </c>
      <c r="D1752" t="s">
        <v>26</v>
      </c>
      <c r="E1752" t="s">
        <v>28</v>
      </c>
      <c r="F1752" t="s">
        <v>54</v>
      </c>
      <c r="G1752" t="s">
        <v>71</v>
      </c>
      <c r="H1752" t="s">
        <v>75</v>
      </c>
      <c r="I1752">
        <v>8</v>
      </c>
      <c r="J1752">
        <v>643</v>
      </c>
      <c r="K1752">
        <v>0</v>
      </c>
      <c r="L1752">
        <v>5144</v>
      </c>
      <c r="M1752">
        <v>3997.06</v>
      </c>
      <c r="N1752">
        <v>1146.94</v>
      </c>
      <c r="O1752" t="s">
        <v>77</v>
      </c>
      <c r="P1752" t="s">
        <v>87</v>
      </c>
    </row>
    <row r="1753" spans="1:16" x14ac:dyDescent="0.25">
      <c r="A1753">
        <v>1752</v>
      </c>
      <c r="B1753" s="2">
        <v>45911</v>
      </c>
      <c r="C1753" t="s">
        <v>18</v>
      </c>
      <c r="D1753" t="s">
        <v>26</v>
      </c>
      <c r="E1753" t="s">
        <v>33</v>
      </c>
      <c r="F1753" t="s">
        <v>59</v>
      </c>
      <c r="G1753" t="s">
        <v>72</v>
      </c>
      <c r="H1753" t="s">
        <v>74</v>
      </c>
      <c r="I1753">
        <v>8</v>
      </c>
      <c r="J1753">
        <v>27643</v>
      </c>
      <c r="K1753">
        <v>0</v>
      </c>
      <c r="L1753">
        <v>221144</v>
      </c>
      <c r="M1753">
        <v>150761.85999999999</v>
      </c>
      <c r="N1753">
        <v>70382.14</v>
      </c>
      <c r="O1753" t="s">
        <v>78</v>
      </c>
      <c r="P1753" t="s">
        <v>81</v>
      </c>
    </row>
    <row r="1754" spans="1:16" x14ac:dyDescent="0.25">
      <c r="A1754">
        <v>1753</v>
      </c>
      <c r="B1754" s="2">
        <v>45944</v>
      </c>
      <c r="C1754" t="s">
        <v>22</v>
      </c>
      <c r="D1754" t="s">
        <v>24</v>
      </c>
      <c r="E1754" t="s">
        <v>28</v>
      </c>
      <c r="F1754" t="s">
        <v>58</v>
      </c>
      <c r="G1754" t="s">
        <v>72</v>
      </c>
      <c r="H1754" t="s">
        <v>75</v>
      </c>
      <c r="I1754">
        <v>7</v>
      </c>
      <c r="J1754">
        <v>592</v>
      </c>
      <c r="K1754">
        <v>0.1</v>
      </c>
      <c r="L1754">
        <v>3729.6</v>
      </c>
      <c r="M1754">
        <v>2270.44</v>
      </c>
      <c r="N1754">
        <v>1459.16</v>
      </c>
      <c r="O1754" t="s">
        <v>80</v>
      </c>
      <c r="P1754" t="s">
        <v>85</v>
      </c>
    </row>
    <row r="1755" spans="1:16" x14ac:dyDescent="0.25">
      <c r="A1755">
        <v>1754</v>
      </c>
      <c r="B1755" s="2">
        <v>45733</v>
      </c>
      <c r="C1755" t="s">
        <v>23</v>
      </c>
      <c r="D1755" t="s">
        <v>27</v>
      </c>
      <c r="E1755" t="s">
        <v>28</v>
      </c>
      <c r="F1755" t="s">
        <v>35</v>
      </c>
      <c r="G1755" t="s">
        <v>72</v>
      </c>
      <c r="H1755" t="s">
        <v>73</v>
      </c>
      <c r="I1755">
        <v>6</v>
      </c>
      <c r="J1755">
        <v>1034</v>
      </c>
      <c r="K1755">
        <v>0.05</v>
      </c>
      <c r="L1755">
        <v>5893.8</v>
      </c>
      <c r="M1755">
        <v>4653.38</v>
      </c>
      <c r="N1755">
        <v>1240.42</v>
      </c>
      <c r="O1755" t="s">
        <v>79</v>
      </c>
      <c r="P1755" t="s">
        <v>88</v>
      </c>
    </row>
    <row r="1756" spans="1:16" x14ac:dyDescent="0.25">
      <c r="A1756">
        <v>1755</v>
      </c>
      <c r="B1756" s="2">
        <v>45720</v>
      </c>
      <c r="C1756" t="s">
        <v>22</v>
      </c>
      <c r="D1756" t="s">
        <v>24</v>
      </c>
      <c r="E1756" t="s">
        <v>31</v>
      </c>
      <c r="F1756" t="s">
        <v>69</v>
      </c>
      <c r="G1756" t="s">
        <v>70</v>
      </c>
      <c r="H1756" t="s">
        <v>73</v>
      </c>
      <c r="I1756">
        <v>5</v>
      </c>
      <c r="J1756">
        <v>450</v>
      </c>
      <c r="K1756">
        <v>0</v>
      </c>
      <c r="L1756">
        <v>2250</v>
      </c>
      <c r="M1756">
        <v>1683.02</v>
      </c>
      <c r="N1756">
        <v>566.98</v>
      </c>
      <c r="O1756" t="s">
        <v>79</v>
      </c>
      <c r="P1756" t="s">
        <v>81</v>
      </c>
    </row>
    <row r="1757" spans="1:16" x14ac:dyDescent="0.25">
      <c r="A1757">
        <v>1756</v>
      </c>
      <c r="B1757" s="2">
        <v>45851</v>
      </c>
      <c r="C1757" t="s">
        <v>18</v>
      </c>
      <c r="D1757" t="s">
        <v>26</v>
      </c>
      <c r="E1757" t="s">
        <v>30</v>
      </c>
      <c r="F1757" t="s">
        <v>37</v>
      </c>
      <c r="G1757" t="s">
        <v>70</v>
      </c>
      <c r="H1757" t="s">
        <v>73</v>
      </c>
      <c r="I1757">
        <v>1</v>
      </c>
      <c r="J1757">
        <v>5169</v>
      </c>
      <c r="K1757">
        <v>0</v>
      </c>
      <c r="L1757">
        <v>5169</v>
      </c>
      <c r="M1757">
        <v>3373.44</v>
      </c>
      <c r="N1757">
        <v>1795.56</v>
      </c>
      <c r="O1757" t="s">
        <v>77</v>
      </c>
      <c r="P1757" t="s">
        <v>86</v>
      </c>
    </row>
    <row r="1758" spans="1:16" x14ac:dyDescent="0.25">
      <c r="A1758">
        <v>1757</v>
      </c>
      <c r="B1758" s="2">
        <v>45815</v>
      </c>
      <c r="C1758" t="s">
        <v>22</v>
      </c>
      <c r="D1758" t="s">
        <v>24</v>
      </c>
      <c r="E1758" t="s">
        <v>30</v>
      </c>
      <c r="F1758" t="s">
        <v>44</v>
      </c>
      <c r="G1758" t="s">
        <v>72</v>
      </c>
      <c r="H1758" t="s">
        <v>75</v>
      </c>
      <c r="I1758">
        <v>7</v>
      </c>
      <c r="J1758">
        <v>53703</v>
      </c>
      <c r="K1758">
        <v>0.05</v>
      </c>
      <c r="L1758">
        <v>357124.95</v>
      </c>
      <c r="M1758">
        <v>199260.31</v>
      </c>
      <c r="N1758">
        <v>157864.64000000001</v>
      </c>
      <c r="O1758" t="s">
        <v>76</v>
      </c>
      <c r="P1758" t="s">
        <v>87</v>
      </c>
    </row>
    <row r="1759" spans="1:16" x14ac:dyDescent="0.25">
      <c r="A1759">
        <v>1758</v>
      </c>
      <c r="B1759" s="2">
        <v>45830</v>
      </c>
      <c r="C1759" t="s">
        <v>23</v>
      </c>
      <c r="D1759" t="s">
        <v>27</v>
      </c>
      <c r="E1759" t="s">
        <v>28</v>
      </c>
      <c r="F1759" t="s">
        <v>58</v>
      </c>
      <c r="G1759" t="s">
        <v>70</v>
      </c>
      <c r="H1759" t="s">
        <v>73</v>
      </c>
      <c r="I1759">
        <v>2</v>
      </c>
      <c r="J1759">
        <v>557</v>
      </c>
      <c r="K1759">
        <v>0.05</v>
      </c>
      <c r="L1759">
        <v>1058.3</v>
      </c>
      <c r="M1759">
        <v>598.02</v>
      </c>
      <c r="N1759">
        <v>460.28</v>
      </c>
      <c r="O1759" t="s">
        <v>78</v>
      </c>
      <c r="P1759" t="s">
        <v>88</v>
      </c>
    </row>
    <row r="1760" spans="1:16" x14ac:dyDescent="0.25">
      <c r="A1760">
        <v>1759</v>
      </c>
      <c r="B1760" s="2">
        <v>45671</v>
      </c>
      <c r="C1760" t="s">
        <v>21</v>
      </c>
      <c r="D1760" t="s">
        <v>24</v>
      </c>
      <c r="E1760" t="s">
        <v>31</v>
      </c>
      <c r="F1760" t="s">
        <v>50</v>
      </c>
      <c r="G1760" t="s">
        <v>71</v>
      </c>
      <c r="H1760" t="s">
        <v>74</v>
      </c>
      <c r="I1760">
        <v>6</v>
      </c>
      <c r="J1760">
        <v>2182</v>
      </c>
      <c r="K1760">
        <v>0.1</v>
      </c>
      <c r="L1760">
        <v>11782.8</v>
      </c>
      <c r="M1760">
        <v>9527.4</v>
      </c>
      <c r="N1760">
        <v>2255.4</v>
      </c>
      <c r="O1760" t="s">
        <v>80</v>
      </c>
      <c r="P1760" t="s">
        <v>85</v>
      </c>
    </row>
    <row r="1761" spans="1:16" x14ac:dyDescent="0.25">
      <c r="A1761">
        <v>1760</v>
      </c>
      <c r="B1761" s="2">
        <v>45891</v>
      </c>
      <c r="C1761" t="s">
        <v>18</v>
      </c>
      <c r="D1761" t="s">
        <v>26</v>
      </c>
      <c r="E1761" t="s">
        <v>32</v>
      </c>
      <c r="F1761" t="s">
        <v>48</v>
      </c>
      <c r="G1761" t="s">
        <v>71</v>
      </c>
      <c r="H1761" t="s">
        <v>75</v>
      </c>
      <c r="I1761">
        <v>6</v>
      </c>
      <c r="J1761">
        <v>2398</v>
      </c>
      <c r="K1761">
        <v>0.1</v>
      </c>
      <c r="L1761">
        <v>12949.2</v>
      </c>
      <c r="M1761">
        <v>8145.95</v>
      </c>
      <c r="N1761">
        <v>4803.25</v>
      </c>
      <c r="O1761" t="s">
        <v>79</v>
      </c>
      <c r="P1761" t="s">
        <v>88</v>
      </c>
    </row>
    <row r="1762" spans="1:16" x14ac:dyDescent="0.25">
      <c r="A1762">
        <v>1761</v>
      </c>
      <c r="B1762" s="2">
        <v>45971</v>
      </c>
      <c r="C1762" t="s">
        <v>21</v>
      </c>
      <c r="D1762" t="s">
        <v>24</v>
      </c>
      <c r="E1762" t="s">
        <v>31</v>
      </c>
      <c r="F1762" t="s">
        <v>50</v>
      </c>
      <c r="G1762" t="s">
        <v>72</v>
      </c>
      <c r="H1762" t="s">
        <v>75</v>
      </c>
      <c r="I1762">
        <v>2</v>
      </c>
      <c r="J1762">
        <v>468</v>
      </c>
      <c r="K1762">
        <v>0.15</v>
      </c>
      <c r="L1762">
        <v>795.6</v>
      </c>
      <c r="M1762">
        <v>454.74</v>
      </c>
      <c r="N1762">
        <v>340.86</v>
      </c>
      <c r="O1762" t="s">
        <v>78</v>
      </c>
      <c r="P1762" t="s">
        <v>82</v>
      </c>
    </row>
    <row r="1763" spans="1:16" x14ac:dyDescent="0.25">
      <c r="A1763">
        <v>1762</v>
      </c>
      <c r="B1763" s="2">
        <v>45862</v>
      </c>
      <c r="C1763" t="s">
        <v>17</v>
      </c>
      <c r="D1763" t="s">
        <v>25</v>
      </c>
      <c r="E1763" t="s">
        <v>30</v>
      </c>
      <c r="F1763" t="s">
        <v>56</v>
      </c>
      <c r="G1763" t="s">
        <v>72</v>
      </c>
      <c r="H1763" t="s">
        <v>73</v>
      </c>
      <c r="I1763">
        <v>2</v>
      </c>
      <c r="J1763">
        <v>34331</v>
      </c>
      <c r="K1763">
        <v>0.05</v>
      </c>
      <c r="L1763">
        <v>65228.9</v>
      </c>
      <c r="M1763">
        <v>54378.07</v>
      </c>
      <c r="N1763">
        <v>10850.83</v>
      </c>
      <c r="O1763" t="s">
        <v>77</v>
      </c>
      <c r="P1763" t="s">
        <v>88</v>
      </c>
    </row>
    <row r="1764" spans="1:16" x14ac:dyDescent="0.25">
      <c r="A1764">
        <v>1763</v>
      </c>
      <c r="B1764" s="2">
        <v>45756</v>
      </c>
      <c r="C1764" t="s">
        <v>16</v>
      </c>
      <c r="D1764" t="s">
        <v>24</v>
      </c>
      <c r="E1764" t="s">
        <v>29</v>
      </c>
      <c r="F1764" t="s">
        <v>57</v>
      </c>
      <c r="G1764" t="s">
        <v>71</v>
      </c>
      <c r="H1764" t="s">
        <v>75</v>
      </c>
      <c r="I1764">
        <v>2</v>
      </c>
      <c r="J1764">
        <v>7686</v>
      </c>
      <c r="K1764">
        <v>0.1</v>
      </c>
      <c r="L1764">
        <v>13834.8</v>
      </c>
      <c r="M1764">
        <v>9664.9699999999993</v>
      </c>
      <c r="N1764">
        <v>4169.83</v>
      </c>
      <c r="O1764" t="s">
        <v>79</v>
      </c>
      <c r="P1764" t="s">
        <v>82</v>
      </c>
    </row>
    <row r="1765" spans="1:16" x14ac:dyDescent="0.25">
      <c r="A1765">
        <v>1764</v>
      </c>
      <c r="B1765" s="2">
        <v>45860</v>
      </c>
      <c r="C1765" t="s">
        <v>21</v>
      </c>
      <c r="D1765" t="s">
        <v>24</v>
      </c>
      <c r="E1765" t="s">
        <v>29</v>
      </c>
      <c r="F1765" t="s">
        <v>53</v>
      </c>
      <c r="G1765" t="s">
        <v>72</v>
      </c>
      <c r="H1765" t="s">
        <v>73</v>
      </c>
      <c r="I1765">
        <v>2</v>
      </c>
      <c r="J1765">
        <v>8403</v>
      </c>
      <c r="K1765">
        <v>0.1</v>
      </c>
      <c r="L1765">
        <v>15125.4</v>
      </c>
      <c r="M1765">
        <v>9592.2000000000007</v>
      </c>
      <c r="N1765">
        <v>5533.2</v>
      </c>
      <c r="O1765" t="s">
        <v>79</v>
      </c>
      <c r="P1765" t="s">
        <v>87</v>
      </c>
    </row>
    <row r="1766" spans="1:16" x14ac:dyDescent="0.25">
      <c r="A1766">
        <v>1765</v>
      </c>
      <c r="B1766" s="2">
        <v>45739</v>
      </c>
      <c r="C1766" t="s">
        <v>22</v>
      </c>
      <c r="D1766" t="s">
        <v>24</v>
      </c>
      <c r="E1766" t="s">
        <v>29</v>
      </c>
      <c r="F1766" t="s">
        <v>42</v>
      </c>
      <c r="G1766" t="s">
        <v>70</v>
      </c>
      <c r="H1766" t="s">
        <v>73</v>
      </c>
      <c r="I1766">
        <v>4</v>
      </c>
      <c r="J1766">
        <v>7502</v>
      </c>
      <c r="K1766">
        <v>0.05</v>
      </c>
      <c r="L1766">
        <v>28507.599999999999</v>
      </c>
      <c r="M1766">
        <v>16146.91</v>
      </c>
      <c r="N1766">
        <v>12360.69</v>
      </c>
      <c r="O1766" t="s">
        <v>79</v>
      </c>
      <c r="P1766" t="s">
        <v>86</v>
      </c>
    </row>
    <row r="1767" spans="1:16" x14ac:dyDescent="0.25">
      <c r="A1767">
        <v>1766</v>
      </c>
      <c r="B1767" s="2">
        <v>45661</v>
      </c>
      <c r="C1767" t="s">
        <v>19</v>
      </c>
      <c r="D1767" t="s">
        <v>26</v>
      </c>
      <c r="E1767" t="s">
        <v>32</v>
      </c>
      <c r="F1767" t="s">
        <v>39</v>
      </c>
      <c r="G1767" t="s">
        <v>72</v>
      </c>
      <c r="H1767" t="s">
        <v>73</v>
      </c>
      <c r="I1767">
        <v>2</v>
      </c>
      <c r="J1767">
        <v>14084</v>
      </c>
      <c r="K1767">
        <v>0.05</v>
      </c>
      <c r="L1767">
        <v>26759.599999999999</v>
      </c>
      <c r="M1767">
        <v>16439.400000000001</v>
      </c>
      <c r="N1767">
        <v>10320.200000000001</v>
      </c>
      <c r="O1767" t="s">
        <v>78</v>
      </c>
      <c r="P1767" t="s">
        <v>88</v>
      </c>
    </row>
    <row r="1768" spans="1:16" x14ac:dyDescent="0.25">
      <c r="A1768">
        <v>1767</v>
      </c>
      <c r="B1768" s="2">
        <v>45961</v>
      </c>
      <c r="C1768" t="s">
        <v>20</v>
      </c>
      <c r="D1768" t="s">
        <v>26</v>
      </c>
      <c r="E1768" t="s">
        <v>34</v>
      </c>
      <c r="F1768" t="s">
        <v>65</v>
      </c>
      <c r="G1768" t="s">
        <v>71</v>
      </c>
      <c r="H1768" t="s">
        <v>74</v>
      </c>
      <c r="I1768">
        <v>5</v>
      </c>
      <c r="J1768">
        <v>4618</v>
      </c>
      <c r="K1768">
        <v>0.05</v>
      </c>
      <c r="L1768">
        <v>21935.5</v>
      </c>
      <c r="M1768">
        <v>14139.61</v>
      </c>
      <c r="N1768">
        <v>7795.89</v>
      </c>
      <c r="O1768" t="s">
        <v>80</v>
      </c>
      <c r="P1768" t="s">
        <v>87</v>
      </c>
    </row>
    <row r="1769" spans="1:16" x14ac:dyDescent="0.25">
      <c r="A1769">
        <v>1768</v>
      </c>
      <c r="B1769" s="2">
        <v>45792</v>
      </c>
      <c r="C1769" t="s">
        <v>17</v>
      </c>
      <c r="D1769" t="s">
        <v>25</v>
      </c>
      <c r="E1769" t="s">
        <v>28</v>
      </c>
      <c r="F1769" t="s">
        <v>35</v>
      </c>
      <c r="G1769" t="s">
        <v>72</v>
      </c>
      <c r="H1769" t="s">
        <v>73</v>
      </c>
      <c r="I1769">
        <v>7</v>
      </c>
      <c r="J1769">
        <v>346</v>
      </c>
      <c r="K1769">
        <v>0.1</v>
      </c>
      <c r="L1769">
        <v>2179.8000000000002</v>
      </c>
      <c r="M1769">
        <v>1894.79</v>
      </c>
      <c r="N1769">
        <v>285.01</v>
      </c>
      <c r="O1769" t="s">
        <v>80</v>
      </c>
      <c r="P1769" t="s">
        <v>88</v>
      </c>
    </row>
    <row r="1770" spans="1:16" x14ac:dyDescent="0.25">
      <c r="A1770">
        <v>1769</v>
      </c>
      <c r="B1770" s="2">
        <v>45965</v>
      </c>
      <c r="C1770" t="s">
        <v>22</v>
      </c>
      <c r="D1770" t="s">
        <v>24</v>
      </c>
      <c r="E1770" t="s">
        <v>33</v>
      </c>
      <c r="F1770" t="s">
        <v>52</v>
      </c>
      <c r="G1770" t="s">
        <v>71</v>
      </c>
      <c r="H1770" t="s">
        <v>74</v>
      </c>
      <c r="I1770">
        <v>7</v>
      </c>
      <c r="J1770">
        <v>46863</v>
      </c>
      <c r="K1770">
        <v>0.15</v>
      </c>
      <c r="L1770">
        <v>278834.84999999998</v>
      </c>
      <c r="M1770">
        <v>207732.68</v>
      </c>
      <c r="N1770">
        <v>71102.17</v>
      </c>
      <c r="O1770" t="s">
        <v>77</v>
      </c>
      <c r="P1770" t="s">
        <v>86</v>
      </c>
    </row>
    <row r="1771" spans="1:16" x14ac:dyDescent="0.25">
      <c r="A1771">
        <v>1770</v>
      </c>
      <c r="B1771" s="2">
        <v>45699</v>
      </c>
      <c r="C1771" t="s">
        <v>23</v>
      </c>
      <c r="D1771" t="s">
        <v>27</v>
      </c>
      <c r="E1771" t="s">
        <v>34</v>
      </c>
      <c r="F1771" t="s">
        <v>65</v>
      </c>
      <c r="G1771" t="s">
        <v>70</v>
      </c>
      <c r="H1771" t="s">
        <v>74</v>
      </c>
      <c r="I1771">
        <v>6</v>
      </c>
      <c r="J1771">
        <v>3248</v>
      </c>
      <c r="K1771">
        <v>0.15</v>
      </c>
      <c r="L1771">
        <v>16564.8</v>
      </c>
      <c r="M1771">
        <v>12483.01</v>
      </c>
      <c r="N1771">
        <v>4081.79</v>
      </c>
      <c r="O1771" t="s">
        <v>80</v>
      </c>
      <c r="P1771" t="s">
        <v>85</v>
      </c>
    </row>
    <row r="1772" spans="1:16" x14ac:dyDescent="0.25">
      <c r="A1772">
        <v>1771</v>
      </c>
      <c r="B1772" s="2">
        <v>45799</v>
      </c>
      <c r="C1772" t="s">
        <v>21</v>
      </c>
      <c r="D1772" t="s">
        <v>24</v>
      </c>
      <c r="E1772" t="s">
        <v>34</v>
      </c>
      <c r="F1772" t="s">
        <v>65</v>
      </c>
      <c r="G1772" t="s">
        <v>70</v>
      </c>
      <c r="H1772" t="s">
        <v>73</v>
      </c>
      <c r="I1772">
        <v>8</v>
      </c>
      <c r="J1772">
        <v>4001</v>
      </c>
      <c r="K1772">
        <v>0</v>
      </c>
      <c r="L1772">
        <v>32008</v>
      </c>
      <c r="M1772">
        <v>22512.29</v>
      </c>
      <c r="N1772">
        <v>9495.7099999999991</v>
      </c>
      <c r="O1772" t="s">
        <v>79</v>
      </c>
      <c r="P1772" t="s">
        <v>84</v>
      </c>
    </row>
    <row r="1773" spans="1:16" x14ac:dyDescent="0.25">
      <c r="A1773">
        <v>1772</v>
      </c>
      <c r="B1773" s="2">
        <v>45729</v>
      </c>
      <c r="C1773" t="s">
        <v>18</v>
      </c>
      <c r="D1773" t="s">
        <v>26</v>
      </c>
      <c r="E1773" t="s">
        <v>34</v>
      </c>
      <c r="F1773" t="s">
        <v>65</v>
      </c>
      <c r="G1773" t="s">
        <v>72</v>
      </c>
      <c r="H1773" t="s">
        <v>74</v>
      </c>
      <c r="I1773">
        <v>6</v>
      </c>
      <c r="J1773">
        <v>5773</v>
      </c>
      <c r="K1773">
        <v>0.05</v>
      </c>
      <c r="L1773">
        <v>32906.1</v>
      </c>
      <c r="M1773">
        <v>18883.650000000001</v>
      </c>
      <c r="N1773">
        <v>14022.45</v>
      </c>
      <c r="O1773" t="s">
        <v>76</v>
      </c>
      <c r="P1773" t="s">
        <v>81</v>
      </c>
    </row>
    <row r="1774" spans="1:16" x14ac:dyDescent="0.25">
      <c r="A1774">
        <v>1773</v>
      </c>
      <c r="B1774" s="2">
        <v>45811</v>
      </c>
      <c r="C1774" t="s">
        <v>23</v>
      </c>
      <c r="D1774" t="s">
        <v>27</v>
      </c>
      <c r="E1774" t="s">
        <v>29</v>
      </c>
      <c r="F1774" t="s">
        <v>42</v>
      </c>
      <c r="G1774" t="s">
        <v>72</v>
      </c>
      <c r="H1774" t="s">
        <v>75</v>
      </c>
      <c r="I1774">
        <v>3</v>
      </c>
      <c r="J1774">
        <v>11343</v>
      </c>
      <c r="K1774">
        <v>0.1</v>
      </c>
      <c r="L1774">
        <v>30626.1</v>
      </c>
      <c r="M1774">
        <v>26065.15</v>
      </c>
      <c r="N1774">
        <v>4560.95</v>
      </c>
      <c r="O1774" t="s">
        <v>76</v>
      </c>
      <c r="P1774" t="s">
        <v>84</v>
      </c>
    </row>
    <row r="1775" spans="1:16" x14ac:dyDescent="0.25">
      <c r="A1775">
        <v>1774</v>
      </c>
      <c r="B1775" s="2">
        <v>45796</v>
      </c>
      <c r="C1775" t="s">
        <v>23</v>
      </c>
      <c r="D1775" t="s">
        <v>27</v>
      </c>
      <c r="E1775" t="s">
        <v>34</v>
      </c>
      <c r="F1775" t="s">
        <v>51</v>
      </c>
      <c r="G1775" t="s">
        <v>72</v>
      </c>
      <c r="H1775" t="s">
        <v>74</v>
      </c>
      <c r="I1775">
        <v>2</v>
      </c>
      <c r="J1775">
        <v>5324</v>
      </c>
      <c r="K1775">
        <v>0.1</v>
      </c>
      <c r="L1775">
        <v>9583.2000000000007</v>
      </c>
      <c r="M1775">
        <v>7564.15</v>
      </c>
      <c r="N1775">
        <v>2019.05</v>
      </c>
      <c r="O1775" t="s">
        <v>79</v>
      </c>
      <c r="P1775" t="s">
        <v>84</v>
      </c>
    </row>
    <row r="1776" spans="1:16" x14ac:dyDescent="0.25">
      <c r="A1776">
        <v>1775</v>
      </c>
      <c r="B1776" s="2">
        <v>45771</v>
      </c>
      <c r="C1776" t="s">
        <v>16</v>
      </c>
      <c r="D1776" t="s">
        <v>24</v>
      </c>
      <c r="E1776" t="s">
        <v>30</v>
      </c>
      <c r="F1776" t="s">
        <v>64</v>
      </c>
      <c r="G1776" t="s">
        <v>70</v>
      </c>
      <c r="H1776" t="s">
        <v>74</v>
      </c>
      <c r="I1776">
        <v>7</v>
      </c>
      <c r="J1776">
        <v>36436</v>
      </c>
      <c r="K1776">
        <v>0.1</v>
      </c>
      <c r="L1776">
        <v>229546.8</v>
      </c>
      <c r="M1776">
        <v>132828.64000000001</v>
      </c>
      <c r="N1776">
        <v>96718.16</v>
      </c>
      <c r="O1776" t="s">
        <v>79</v>
      </c>
      <c r="P1776" t="s">
        <v>82</v>
      </c>
    </row>
    <row r="1777" spans="1:16" x14ac:dyDescent="0.25">
      <c r="A1777">
        <v>1776</v>
      </c>
      <c r="B1777" s="2">
        <v>45793</v>
      </c>
      <c r="C1777" t="s">
        <v>20</v>
      </c>
      <c r="D1777" t="s">
        <v>26</v>
      </c>
      <c r="E1777" t="s">
        <v>33</v>
      </c>
      <c r="F1777" t="s">
        <v>46</v>
      </c>
      <c r="G1777" t="s">
        <v>70</v>
      </c>
      <c r="H1777" t="s">
        <v>73</v>
      </c>
      <c r="I1777">
        <v>1</v>
      </c>
      <c r="J1777">
        <v>34460</v>
      </c>
      <c r="K1777">
        <v>0.15</v>
      </c>
      <c r="L1777">
        <v>29291</v>
      </c>
      <c r="M1777">
        <v>21869.89</v>
      </c>
      <c r="N1777">
        <v>7421.11</v>
      </c>
      <c r="O1777" t="s">
        <v>77</v>
      </c>
      <c r="P1777" t="s">
        <v>86</v>
      </c>
    </row>
    <row r="1778" spans="1:16" x14ac:dyDescent="0.25">
      <c r="A1778">
        <v>1777</v>
      </c>
      <c r="B1778" s="2">
        <v>45961</v>
      </c>
      <c r="C1778" t="s">
        <v>17</v>
      </c>
      <c r="D1778" t="s">
        <v>25</v>
      </c>
      <c r="E1778" t="s">
        <v>28</v>
      </c>
      <c r="F1778" t="s">
        <v>61</v>
      </c>
      <c r="G1778" t="s">
        <v>71</v>
      </c>
      <c r="H1778" t="s">
        <v>73</v>
      </c>
      <c r="I1778">
        <v>8</v>
      </c>
      <c r="J1778">
        <v>436</v>
      </c>
      <c r="K1778">
        <v>0.1</v>
      </c>
      <c r="L1778">
        <v>3139.2</v>
      </c>
      <c r="M1778">
        <v>2316.7800000000002</v>
      </c>
      <c r="N1778">
        <v>822.42</v>
      </c>
      <c r="O1778" t="s">
        <v>78</v>
      </c>
      <c r="P1778" t="s">
        <v>85</v>
      </c>
    </row>
    <row r="1779" spans="1:16" x14ac:dyDescent="0.25">
      <c r="A1779">
        <v>1778</v>
      </c>
      <c r="B1779" s="2">
        <v>45726</v>
      </c>
      <c r="C1779" t="s">
        <v>23</v>
      </c>
      <c r="D1779" t="s">
        <v>27</v>
      </c>
      <c r="E1779" t="s">
        <v>30</v>
      </c>
      <c r="F1779" t="s">
        <v>64</v>
      </c>
      <c r="G1779" t="s">
        <v>70</v>
      </c>
      <c r="H1779" t="s">
        <v>73</v>
      </c>
      <c r="I1779">
        <v>3</v>
      </c>
      <c r="J1779">
        <v>15557</v>
      </c>
      <c r="K1779">
        <v>0.2</v>
      </c>
      <c r="L1779">
        <v>37336.800000000003</v>
      </c>
      <c r="M1779">
        <v>29614.71</v>
      </c>
      <c r="N1779">
        <v>7722.09</v>
      </c>
      <c r="O1779" t="s">
        <v>80</v>
      </c>
      <c r="P1779" t="s">
        <v>87</v>
      </c>
    </row>
    <row r="1780" spans="1:16" x14ac:dyDescent="0.25">
      <c r="A1780">
        <v>1779</v>
      </c>
      <c r="B1780" s="2">
        <v>45884</v>
      </c>
      <c r="C1780" t="s">
        <v>21</v>
      </c>
      <c r="D1780" t="s">
        <v>24</v>
      </c>
      <c r="E1780" t="s">
        <v>33</v>
      </c>
      <c r="F1780" t="s">
        <v>46</v>
      </c>
      <c r="G1780" t="s">
        <v>72</v>
      </c>
      <c r="H1780" t="s">
        <v>73</v>
      </c>
      <c r="I1780">
        <v>1</v>
      </c>
      <c r="J1780">
        <v>46131</v>
      </c>
      <c r="K1780">
        <v>0.1</v>
      </c>
      <c r="L1780">
        <v>41517.9</v>
      </c>
      <c r="M1780">
        <v>25150.04</v>
      </c>
      <c r="N1780">
        <v>16367.86</v>
      </c>
      <c r="O1780" t="s">
        <v>80</v>
      </c>
      <c r="P1780" t="s">
        <v>88</v>
      </c>
    </row>
    <row r="1781" spans="1:16" x14ac:dyDescent="0.25">
      <c r="A1781">
        <v>1780</v>
      </c>
      <c r="B1781" s="2">
        <v>45926</v>
      </c>
      <c r="C1781" t="s">
        <v>16</v>
      </c>
      <c r="D1781" t="s">
        <v>24</v>
      </c>
      <c r="E1781" t="s">
        <v>29</v>
      </c>
      <c r="F1781" t="s">
        <v>42</v>
      </c>
      <c r="G1781" t="s">
        <v>71</v>
      </c>
      <c r="H1781" t="s">
        <v>75</v>
      </c>
      <c r="I1781">
        <v>4</v>
      </c>
      <c r="J1781">
        <v>9253</v>
      </c>
      <c r="K1781">
        <v>0</v>
      </c>
      <c r="L1781">
        <v>37012</v>
      </c>
      <c r="M1781">
        <v>22797.53</v>
      </c>
      <c r="N1781">
        <v>14214.47</v>
      </c>
      <c r="O1781" t="s">
        <v>80</v>
      </c>
      <c r="P1781" t="s">
        <v>82</v>
      </c>
    </row>
    <row r="1782" spans="1:16" x14ac:dyDescent="0.25">
      <c r="A1782">
        <v>1781</v>
      </c>
      <c r="B1782" s="2">
        <v>45961</v>
      </c>
      <c r="C1782" t="s">
        <v>23</v>
      </c>
      <c r="D1782" t="s">
        <v>27</v>
      </c>
      <c r="E1782" t="s">
        <v>34</v>
      </c>
      <c r="F1782" t="s">
        <v>43</v>
      </c>
      <c r="G1782" t="s">
        <v>70</v>
      </c>
      <c r="H1782" t="s">
        <v>75</v>
      </c>
      <c r="I1782">
        <v>6</v>
      </c>
      <c r="J1782">
        <v>3956</v>
      </c>
      <c r="K1782">
        <v>0.05</v>
      </c>
      <c r="L1782">
        <v>22549.200000000001</v>
      </c>
      <c r="M1782">
        <v>15886.79</v>
      </c>
      <c r="N1782">
        <v>6662.41</v>
      </c>
      <c r="O1782" t="s">
        <v>77</v>
      </c>
      <c r="P1782" t="s">
        <v>86</v>
      </c>
    </row>
    <row r="1783" spans="1:16" x14ac:dyDescent="0.25">
      <c r="A1783">
        <v>1782</v>
      </c>
      <c r="B1783" s="2">
        <v>45885</v>
      </c>
      <c r="C1783" t="s">
        <v>23</v>
      </c>
      <c r="D1783" t="s">
        <v>27</v>
      </c>
      <c r="E1783" t="s">
        <v>32</v>
      </c>
      <c r="F1783" t="s">
        <v>48</v>
      </c>
      <c r="G1783" t="s">
        <v>70</v>
      </c>
      <c r="H1783" t="s">
        <v>73</v>
      </c>
      <c r="I1783">
        <v>1</v>
      </c>
      <c r="J1783">
        <v>22631</v>
      </c>
      <c r="K1783">
        <v>0.15</v>
      </c>
      <c r="L1783">
        <v>19236.349999999999</v>
      </c>
      <c r="M1783">
        <v>15789.43</v>
      </c>
      <c r="N1783">
        <v>3446.92</v>
      </c>
      <c r="O1783" t="s">
        <v>76</v>
      </c>
      <c r="P1783" t="s">
        <v>88</v>
      </c>
    </row>
    <row r="1784" spans="1:16" x14ac:dyDescent="0.25">
      <c r="A1784">
        <v>1783</v>
      </c>
      <c r="B1784" s="2">
        <v>45701</v>
      </c>
      <c r="C1784" t="s">
        <v>17</v>
      </c>
      <c r="D1784" t="s">
        <v>25</v>
      </c>
      <c r="E1784" t="s">
        <v>33</v>
      </c>
      <c r="F1784" t="s">
        <v>60</v>
      </c>
      <c r="G1784" t="s">
        <v>72</v>
      </c>
      <c r="H1784" t="s">
        <v>73</v>
      </c>
      <c r="I1784">
        <v>2</v>
      </c>
      <c r="J1784">
        <v>41506</v>
      </c>
      <c r="K1784">
        <v>0.05</v>
      </c>
      <c r="L1784">
        <v>78861.399999999994</v>
      </c>
      <c r="M1784">
        <v>65523.87</v>
      </c>
      <c r="N1784">
        <v>13337.53</v>
      </c>
      <c r="O1784" t="s">
        <v>80</v>
      </c>
      <c r="P1784" t="s">
        <v>85</v>
      </c>
    </row>
    <row r="1785" spans="1:16" x14ac:dyDescent="0.25">
      <c r="A1785">
        <v>1784</v>
      </c>
      <c r="B1785" s="2">
        <v>45866</v>
      </c>
      <c r="C1785" t="s">
        <v>20</v>
      </c>
      <c r="D1785" t="s">
        <v>26</v>
      </c>
      <c r="E1785" t="s">
        <v>33</v>
      </c>
      <c r="F1785" t="s">
        <v>59</v>
      </c>
      <c r="G1785" t="s">
        <v>72</v>
      </c>
      <c r="H1785" t="s">
        <v>73</v>
      </c>
      <c r="I1785">
        <v>3</v>
      </c>
      <c r="J1785">
        <v>7395</v>
      </c>
      <c r="K1785">
        <v>0.15</v>
      </c>
      <c r="L1785">
        <v>18857.25</v>
      </c>
      <c r="M1785">
        <v>11296</v>
      </c>
      <c r="N1785">
        <v>7561.25</v>
      </c>
      <c r="O1785" t="s">
        <v>79</v>
      </c>
      <c r="P1785" t="s">
        <v>85</v>
      </c>
    </row>
    <row r="1786" spans="1:16" x14ac:dyDescent="0.25">
      <c r="A1786">
        <v>1785</v>
      </c>
      <c r="B1786" s="2">
        <v>45915</v>
      </c>
      <c r="C1786" t="s">
        <v>20</v>
      </c>
      <c r="D1786" t="s">
        <v>26</v>
      </c>
      <c r="E1786" t="s">
        <v>34</v>
      </c>
      <c r="F1786" t="s">
        <v>65</v>
      </c>
      <c r="G1786" t="s">
        <v>70</v>
      </c>
      <c r="H1786" t="s">
        <v>75</v>
      </c>
      <c r="I1786">
        <v>5</v>
      </c>
      <c r="J1786">
        <v>1827</v>
      </c>
      <c r="K1786">
        <v>0.1</v>
      </c>
      <c r="L1786">
        <v>8221.5</v>
      </c>
      <c r="M1786">
        <v>5383.67</v>
      </c>
      <c r="N1786">
        <v>2837.83</v>
      </c>
      <c r="O1786" t="s">
        <v>76</v>
      </c>
      <c r="P1786" t="s">
        <v>88</v>
      </c>
    </row>
    <row r="1787" spans="1:16" x14ac:dyDescent="0.25">
      <c r="A1787">
        <v>1786</v>
      </c>
      <c r="B1787" s="2">
        <v>45784</v>
      </c>
      <c r="C1787" t="s">
        <v>20</v>
      </c>
      <c r="D1787" t="s">
        <v>26</v>
      </c>
      <c r="E1787" t="s">
        <v>29</v>
      </c>
      <c r="F1787" t="s">
        <v>45</v>
      </c>
      <c r="G1787" t="s">
        <v>72</v>
      </c>
      <c r="H1787" t="s">
        <v>74</v>
      </c>
      <c r="I1787">
        <v>5</v>
      </c>
      <c r="J1787">
        <v>11003</v>
      </c>
      <c r="K1787">
        <v>0.05</v>
      </c>
      <c r="L1787">
        <v>52264.25</v>
      </c>
      <c r="M1787">
        <v>35344.01</v>
      </c>
      <c r="N1787">
        <v>16920.240000000002</v>
      </c>
      <c r="O1787" t="s">
        <v>78</v>
      </c>
      <c r="P1787" t="s">
        <v>84</v>
      </c>
    </row>
    <row r="1788" spans="1:16" x14ac:dyDescent="0.25">
      <c r="A1788">
        <v>1787</v>
      </c>
      <c r="B1788" s="2">
        <v>45751</v>
      </c>
      <c r="C1788" t="s">
        <v>18</v>
      </c>
      <c r="D1788" t="s">
        <v>26</v>
      </c>
      <c r="E1788" t="s">
        <v>34</v>
      </c>
      <c r="F1788" t="s">
        <v>55</v>
      </c>
      <c r="G1788" t="s">
        <v>72</v>
      </c>
      <c r="H1788" t="s">
        <v>74</v>
      </c>
      <c r="I1788">
        <v>2</v>
      </c>
      <c r="J1788">
        <v>3390</v>
      </c>
      <c r="K1788">
        <v>0</v>
      </c>
      <c r="L1788">
        <v>6780</v>
      </c>
      <c r="M1788">
        <v>3828.32</v>
      </c>
      <c r="N1788">
        <v>2951.68</v>
      </c>
      <c r="O1788" t="s">
        <v>76</v>
      </c>
      <c r="P1788" t="s">
        <v>87</v>
      </c>
    </row>
    <row r="1789" spans="1:16" x14ac:dyDescent="0.25">
      <c r="A1789">
        <v>1788</v>
      </c>
      <c r="B1789" s="2">
        <v>45917</v>
      </c>
      <c r="C1789" t="s">
        <v>22</v>
      </c>
      <c r="D1789" t="s">
        <v>24</v>
      </c>
      <c r="E1789" t="s">
        <v>29</v>
      </c>
      <c r="F1789" t="s">
        <v>57</v>
      </c>
      <c r="G1789" t="s">
        <v>71</v>
      </c>
      <c r="H1789" t="s">
        <v>75</v>
      </c>
      <c r="I1789">
        <v>8</v>
      </c>
      <c r="J1789">
        <v>4372</v>
      </c>
      <c r="K1789">
        <v>0</v>
      </c>
      <c r="L1789">
        <v>34976</v>
      </c>
      <c r="M1789">
        <v>19819.43</v>
      </c>
      <c r="N1789">
        <v>15156.57</v>
      </c>
      <c r="O1789" t="s">
        <v>77</v>
      </c>
      <c r="P1789" t="s">
        <v>88</v>
      </c>
    </row>
    <row r="1790" spans="1:16" x14ac:dyDescent="0.25">
      <c r="A1790">
        <v>1789</v>
      </c>
      <c r="B1790" s="2">
        <v>45705</v>
      </c>
      <c r="C1790" t="s">
        <v>22</v>
      </c>
      <c r="D1790" t="s">
        <v>24</v>
      </c>
      <c r="E1790" t="s">
        <v>33</v>
      </c>
      <c r="F1790" t="s">
        <v>46</v>
      </c>
      <c r="G1790" t="s">
        <v>72</v>
      </c>
      <c r="H1790" t="s">
        <v>74</v>
      </c>
      <c r="I1790">
        <v>3</v>
      </c>
      <c r="J1790">
        <v>19358</v>
      </c>
      <c r="K1790">
        <v>0.15</v>
      </c>
      <c r="L1790">
        <v>49362.9</v>
      </c>
      <c r="M1790">
        <v>39751.550000000003</v>
      </c>
      <c r="N1790">
        <v>9611.35</v>
      </c>
      <c r="O1790" t="s">
        <v>76</v>
      </c>
      <c r="P1790" t="s">
        <v>85</v>
      </c>
    </row>
    <row r="1791" spans="1:16" x14ac:dyDescent="0.25">
      <c r="A1791">
        <v>1790</v>
      </c>
      <c r="B1791" s="2">
        <v>46000</v>
      </c>
      <c r="C1791" t="s">
        <v>17</v>
      </c>
      <c r="D1791" t="s">
        <v>25</v>
      </c>
      <c r="E1791" t="s">
        <v>32</v>
      </c>
      <c r="F1791" t="s">
        <v>48</v>
      </c>
      <c r="G1791" t="s">
        <v>71</v>
      </c>
      <c r="H1791" t="s">
        <v>74</v>
      </c>
      <c r="I1791">
        <v>4</v>
      </c>
      <c r="J1791">
        <v>15922</v>
      </c>
      <c r="K1791">
        <v>0.1</v>
      </c>
      <c r="L1791">
        <v>57319.199999999997</v>
      </c>
      <c r="M1791">
        <v>47422.1</v>
      </c>
      <c r="N1791">
        <v>9897.1</v>
      </c>
      <c r="O1791" t="s">
        <v>78</v>
      </c>
      <c r="P1791" t="s">
        <v>83</v>
      </c>
    </row>
    <row r="1792" spans="1:16" x14ac:dyDescent="0.25">
      <c r="A1792">
        <v>1791</v>
      </c>
      <c r="B1792" s="2">
        <v>45858</v>
      </c>
      <c r="C1792" t="s">
        <v>16</v>
      </c>
      <c r="D1792" t="s">
        <v>24</v>
      </c>
      <c r="E1792" t="s">
        <v>34</v>
      </c>
      <c r="F1792" t="s">
        <v>68</v>
      </c>
      <c r="G1792" t="s">
        <v>72</v>
      </c>
      <c r="H1792" t="s">
        <v>75</v>
      </c>
      <c r="I1792">
        <v>4</v>
      </c>
      <c r="J1792">
        <v>2224</v>
      </c>
      <c r="K1792">
        <v>0.05</v>
      </c>
      <c r="L1792">
        <v>8451.2000000000007</v>
      </c>
      <c r="M1792">
        <v>6839.71</v>
      </c>
      <c r="N1792">
        <v>1611.49</v>
      </c>
      <c r="O1792" t="s">
        <v>79</v>
      </c>
      <c r="P1792" t="s">
        <v>84</v>
      </c>
    </row>
    <row r="1793" spans="1:16" x14ac:dyDescent="0.25">
      <c r="A1793">
        <v>1792</v>
      </c>
      <c r="B1793" s="2">
        <v>45885</v>
      </c>
      <c r="C1793" t="s">
        <v>18</v>
      </c>
      <c r="D1793" t="s">
        <v>26</v>
      </c>
      <c r="E1793" t="s">
        <v>30</v>
      </c>
      <c r="F1793" t="s">
        <v>44</v>
      </c>
      <c r="G1793" t="s">
        <v>72</v>
      </c>
      <c r="H1793" t="s">
        <v>75</v>
      </c>
      <c r="I1793">
        <v>6</v>
      </c>
      <c r="J1793">
        <v>62836</v>
      </c>
      <c r="K1793">
        <v>0.05</v>
      </c>
      <c r="L1793">
        <v>358165.2</v>
      </c>
      <c r="M1793">
        <v>266439.74</v>
      </c>
      <c r="N1793">
        <v>91725.46</v>
      </c>
      <c r="O1793" t="s">
        <v>77</v>
      </c>
      <c r="P1793" t="s">
        <v>86</v>
      </c>
    </row>
    <row r="1794" spans="1:16" x14ac:dyDescent="0.25">
      <c r="A1794">
        <v>1793</v>
      </c>
      <c r="B1794" s="2">
        <v>45704</v>
      </c>
      <c r="C1794" t="s">
        <v>16</v>
      </c>
      <c r="D1794" t="s">
        <v>24</v>
      </c>
      <c r="E1794" t="s">
        <v>28</v>
      </c>
      <c r="F1794" t="s">
        <v>35</v>
      </c>
      <c r="G1794" t="s">
        <v>71</v>
      </c>
      <c r="H1794" t="s">
        <v>73</v>
      </c>
      <c r="I1794">
        <v>8</v>
      </c>
      <c r="J1794">
        <v>1535</v>
      </c>
      <c r="K1794">
        <v>0.15</v>
      </c>
      <c r="L1794">
        <v>10438</v>
      </c>
      <c r="M1794">
        <v>7842.17</v>
      </c>
      <c r="N1794">
        <v>2595.83</v>
      </c>
      <c r="O1794" t="s">
        <v>77</v>
      </c>
      <c r="P1794" t="s">
        <v>84</v>
      </c>
    </row>
    <row r="1795" spans="1:16" x14ac:dyDescent="0.25">
      <c r="A1795">
        <v>1794</v>
      </c>
      <c r="B1795" s="2">
        <v>45986</v>
      </c>
      <c r="C1795" t="s">
        <v>21</v>
      </c>
      <c r="D1795" t="s">
        <v>24</v>
      </c>
      <c r="E1795" t="s">
        <v>28</v>
      </c>
      <c r="F1795" t="s">
        <v>35</v>
      </c>
      <c r="G1795" t="s">
        <v>70</v>
      </c>
      <c r="H1795" t="s">
        <v>73</v>
      </c>
      <c r="I1795">
        <v>2</v>
      </c>
      <c r="J1795">
        <v>576</v>
      </c>
      <c r="K1795">
        <v>0.1</v>
      </c>
      <c r="L1795">
        <v>1036.8</v>
      </c>
      <c r="M1795">
        <v>839.46</v>
      </c>
      <c r="N1795">
        <v>197.34</v>
      </c>
      <c r="O1795" t="s">
        <v>79</v>
      </c>
      <c r="P1795" t="s">
        <v>85</v>
      </c>
    </row>
    <row r="1796" spans="1:16" x14ac:dyDescent="0.25">
      <c r="A1796">
        <v>1795</v>
      </c>
      <c r="B1796" s="2">
        <v>45749</v>
      </c>
      <c r="C1796" t="s">
        <v>17</v>
      </c>
      <c r="D1796" t="s">
        <v>25</v>
      </c>
      <c r="E1796" t="s">
        <v>33</v>
      </c>
      <c r="F1796" t="s">
        <v>60</v>
      </c>
      <c r="G1796" t="s">
        <v>72</v>
      </c>
      <c r="H1796" t="s">
        <v>73</v>
      </c>
      <c r="I1796">
        <v>8</v>
      </c>
      <c r="J1796">
        <v>19311</v>
      </c>
      <c r="K1796">
        <v>0.1</v>
      </c>
      <c r="L1796">
        <v>139039.20000000001</v>
      </c>
      <c r="M1796">
        <v>89388.479999999996</v>
      </c>
      <c r="N1796">
        <v>49650.720000000001</v>
      </c>
      <c r="O1796" t="s">
        <v>77</v>
      </c>
      <c r="P1796" t="s">
        <v>85</v>
      </c>
    </row>
    <row r="1797" spans="1:16" x14ac:dyDescent="0.25">
      <c r="A1797">
        <v>1796</v>
      </c>
      <c r="B1797" s="2">
        <v>45842</v>
      </c>
      <c r="C1797" t="s">
        <v>20</v>
      </c>
      <c r="D1797" t="s">
        <v>26</v>
      </c>
      <c r="E1797" t="s">
        <v>30</v>
      </c>
      <c r="F1797" t="s">
        <v>37</v>
      </c>
      <c r="G1797" t="s">
        <v>72</v>
      </c>
      <c r="H1797" t="s">
        <v>73</v>
      </c>
      <c r="I1797">
        <v>8</v>
      </c>
      <c r="J1797">
        <v>10137</v>
      </c>
      <c r="K1797">
        <v>0</v>
      </c>
      <c r="L1797">
        <v>81096</v>
      </c>
      <c r="M1797">
        <v>66102.53</v>
      </c>
      <c r="N1797">
        <v>14993.47</v>
      </c>
      <c r="O1797" t="s">
        <v>79</v>
      </c>
      <c r="P1797" t="s">
        <v>87</v>
      </c>
    </row>
    <row r="1798" spans="1:16" x14ac:dyDescent="0.25">
      <c r="A1798">
        <v>1797</v>
      </c>
      <c r="B1798" s="2">
        <v>45825</v>
      </c>
      <c r="C1798" t="s">
        <v>19</v>
      </c>
      <c r="D1798" t="s">
        <v>26</v>
      </c>
      <c r="E1798" t="s">
        <v>32</v>
      </c>
      <c r="F1798" t="s">
        <v>39</v>
      </c>
      <c r="G1798" t="s">
        <v>70</v>
      </c>
      <c r="H1798" t="s">
        <v>73</v>
      </c>
      <c r="I1798">
        <v>4</v>
      </c>
      <c r="J1798">
        <v>3384</v>
      </c>
      <c r="K1798">
        <v>0.15</v>
      </c>
      <c r="L1798">
        <v>11505.6</v>
      </c>
      <c r="M1798">
        <v>8557.31</v>
      </c>
      <c r="N1798">
        <v>2948.29</v>
      </c>
      <c r="O1798" t="s">
        <v>76</v>
      </c>
      <c r="P1798" t="s">
        <v>87</v>
      </c>
    </row>
    <row r="1799" spans="1:16" x14ac:dyDescent="0.25">
      <c r="A1799">
        <v>1798</v>
      </c>
      <c r="B1799" s="2">
        <v>45891</v>
      </c>
      <c r="C1799" t="s">
        <v>22</v>
      </c>
      <c r="D1799" t="s">
        <v>24</v>
      </c>
      <c r="E1799" t="s">
        <v>32</v>
      </c>
      <c r="F1799" t="s">
        <v>39</v>
      </c>
      <c r="G1799" t="s">
        <v>70</v>
      </c>
      <c r="H1799" t="s">
        <v>73</v>
      </c>
      <c r="I1799">
        <v>1</v>
      </c>
      <c r="J1799">
        <v>1905</v>
      </c>
      <c r="K1799">
        <v>0.05</v>
      </c>
      <c r="L1799">
        <v>1809.75</v>
      </c>
      <c r="M1799">
        <v>1518.4</v>
      </c>
      <c r="N1799">
        <v>291.35000000000002</v>
      </c>
      <c r="O1799" t="s">
        <v>76</v>
      </c>
      <c r="P1799" t="s">
        <v>88</v>
      </c>
    </row>
    <row r="1800" spans="1:16" x14ac:dyDescent="0.25">
      <c r="A1800">
        <v>1799</v>
      </c>
      <c r="B1800" s="2">
        <v>45923</v>
      </c>
      <c r="C1800" t="s">
        <v>20</v>
      </c>
      <c r="D1800" t="s">
        <v>26</v>
      </c>
      <c r="E1800" t="s">
        <v>34</v>
      </c>
      <c r="F1800" t="s">
        <v>43</v>
      </c>
      <c r="G1800" t="s">
        <v>70</v>
      </c>
      <c r="H1800" t="s">
        <v>74</v>
      </c>
      <c r="I1800">
        <v>8</v>
      </c>
      <c r="J1800">
        <v>2824</v>
      </c>
      <c r="K1800">
        <v>0.15</v>
      </c>
      <c r="L1800">
        <v>19203.2</v>
      </c>
      <c r="M1800">
        <v>10643.9</v>
      </c>
      <c r="N1800">
        <v>8559.2999999999993</v>
      </c>
      <c r="O1800" t="s">
        <v>78</v>
      </c>
      <c r="P1800" t="s">
        <v>87</v>
      </c>
    </row>
    <row r="1801" spans="1:16" x14ac:dyDescent="0.25">
      <c r="A1801">
        <v>1800</v>
      </c>
      <c r="B1801" s="2">
        <v>45858</v>
      </c>
      <c r="C1801" t="s">
        <v>21</v>
      </c>
      <c r="D1801" t="s">
        <v>24</v>
      </c>
      <c r="E1801" t="s">
        <v>29</v>
      </c>
      <c r="F1801" t="s">
        <v>36</v>
      </c>
      <c r="G1801" t="s">
        <v>72</v>
      </c>
      <c r="H1801" t="s">
        <v>75</v>
      </c>
      <c r="I1801">
        <v>7</v>
      </c>
      <c r="J1801">
        <v>11218</v>
      </c>
      <c r="K1801">
        <v>0.1</v>
      </c>
      <c r="L1801">
        <v>70673.399999999994</v>
      </c>
      <c r="M1801">
        <v>43950.34</v>
      </c>
      <c r="N1801">
        <v>26723.06</v>
      </c>
      <c r="O1801" t="s">
        <v>78</v>
      </c>
      <c r="P1801" t="s">
        <v>84</v>
      </c>
    </row>
    <row r="1802" spans="1:16" x14ac:dyDescent="0.25">
      <c r="A1802">
        <v>1801</v>
      </c>
      <c r="B1802" s="2">
        <v>45811</v>
      </c>
      <c r="C1802" t="s">
        <v>20</v>
      </c>
      <c r="D1802" t="s">
        <v>26</v>
      </c>
      <c r="E1802" t="s">
        <v>32</v>
      </c>
      <c r="F1802" t="s">
        <v>62</v>
      </c>
      <c r="G1802" t="s">
        <v>71</v>
      </c>
      <c r="H1802" t="s">
        <v>74</v>
      </c>
      <c r="I1802">
        <v>4</v>
      </c>
      <c r="J1802">
        <v>17326</v>
      </c>
      <c r="K1802">
        <v>0.05</v>
      </c>
      <c r="L1802">
        <v>65838.8</v>
      </c>
      <c r="M1802">
        <v>57689.279999999999</v>
      </c>
      <c r="N1802">
        <v>8149.52</v>
      </c>
      <c r="O1802" t="s">
        <v>77</v>
      </c>
      <c r="P1802" t="s">
        <v>87</v>
      </c>
    </row>
    <row r="1803" spans="1:16" x14ac:dyDescent="0.25">
      <c r="A1803">
        <v>1802</v>
      </c>
      <c r="B1803" s="2">
        <v>45848</v>
      </c>
      <c r="C1803" t="s">
        <v>18</v>
      </c>
      <c r="D1803" t="s">
        <v>26</v>
      </c>
      <c r="E1803" t="s">
        <v>28</v>
      </c>
      <c r="F1803" t="s">
        <v>54</v>
      </c>
      <c r="G1803" t="s">
        <v>72</v>
      </c>
      <c r="H1803" t="s">
        <v>75</v>
      </c>
      <c r="I1803">
        <v>4</v>
      </c>
      <c r="J1803">
        <v>1162</v>
      </c>
      <c r="K1803">
        <v>0</v>
      </c>
      <c r="L1803">
        <v>4648</v>
      </c>
      <c r="M1803">
        <v>2782.18</v>
      </c>
      <c r="N1803">
        <v>1865.82</v>
      </c>
      <c r="O1803" t="s">
        <v>78</v>
      </c>
      <c r="P1803" t="s">
        <v>87</v>
      </c>
    </row>
    <row r="1804" spans="1:16" x14ac:dyDescent="0.25">
      <c r="A1804">
        <v>1803</v>
      </c>
      <c r="B1804" s="2">
        <v>45763</v>
      </c>
      <c r="C1804" t="s">
        <v>20</v>
      </c>
      <c r="D1804" t="s">
        <v>26</v>
      </c>
      <c r="E1804" t="s">
        <v>28</v>
      </c>
      <c r="F1804" t="s">
        <v>54</v>
      </c>
      <c r="G1804" t="s">
        <v>71</v>
      </c>
      <c r="H1804" t="s">
        <v>73</v>
      </c>
      <c r="I1804">
        <v>7</v>
      </c>
      <c r="J1804">
        <v>1823</v>
      </c>
      <c r="K1804">
        <v>0.15</v>
      </c>
      <c r="L1804">
        <v>10846.85</v>
      </c>
      <c r="M1804">
        <v>6316.44</v>
      </c>
      <c r="N1804">
        <v>4530.41</v>
      </c>
      <c r="O1804" t="s">
        <v>77</v>
      </c>
      <c r="P1804" t="s">
        <v>81</v>
      </c>
    </row>
    <row r="1805" spans="1:16" x14ac:dyDescent="0.25">
      <c r="A1805">
        <v>1804</v>
      </c>
      <c r="B1805" s="2">
        <v>45775</v>
      </c>
      <c r="C1805" t="s">
        <v>23</v>
      </c>
      <c r="D1805" t="s">
        <v>27</v>
      </c>
      <c r="E1805" t="s">
        <v>33</v>
      </c>
      <c r="F1805" t="s">
        <v>60</v>
      </c>
      <c r="G1805" t="s">
        <v>71</v>
      </c>
      <c r="H1805" t="s">
        <v>75</v>
      </c>
      <c r="I1805">
        <v>6</v>
      </c>
      <c r="J1805">
        <v>3887</v>
      </c>
      <c r="K1805">
        <v>0</v>
      </c>
      <c r="L1805">
        <v>23322</v>
      </c>
      <c r="M1805">
        <v>14308.21</v>
      </c>
      <c r="N1805">
        <v>9013.7900000000009</v>
      </c>
      <c r="O1805" t="s">
        <v>80</v>
      </c>
      <c r="P1805" t="s">
        <v>86</v>
      </c>
    </row>
    <row r="1806" spans="1:16" x14ac:dyDescent="0.25">
      <c r="A1806">
        <v>1805</v>
      </c>
      <c r="B1806" s="2">
        <v>45779</v>
      </c>
      <c r="C1806" t="s">
        <v>20</v>
      </c>
      <c r="D1806" t="s">
        <v>26</v>
      </c>
      <c r="E1806" t="s">
        <v>28</v>
      </c>
      <c r="F1806" t="s">
        <v>54</v>
      </c>
      <c r="G1806" t="s">
        <v>71</v>
      </c>
      <c r="H1806" t="s">
        <v>75</v>
      </c>
      <c r="I1806">
        <v>3</v>
      </c>
      <c r="J1806">
        <v>1861</v>
      </c>
      <c r="K1806">
        <v>0.05</v>
      </c>
      <c r="L1806">
        <v>5303.85</v>
      </c>
      <c r="M1806">
        <v>4482.5</v>
      </c>
      <c r="N1806">
        <v>821.35</v>
      </c>
      <c r="O1806" t="s">
        <v>77</v>
      </c>
      <c r="P1806" t="s">
        <v>81</v>
      </c>
    </row>
    <row r="1807" spans="1:16" x14ac:dyDescent="0.25">
      <c r="A1807">
        <v>1806</v>
      </c>
      <c r="B1807" s="2">
        <v>45889</v>
      </c>
      <c r="C1807" t="s">
        <v>22</v>
      </c>
      <c r="D1807" t="s">
        <v>24</v>
      </c>
      <c r="E1807" t="s">
        <v>29</v>
      </c>
      <c r="F1807" t="s">
        <v>36</v>
      </c>
      <c r="G1807" t="s">
        <v>72</v>
      </c>
      <c r="H1807" t="s">
        <v>74</v>
      </c>
      <c r="I1807">
        <v>6</v>
      </c>
      <c r="J1807">
        <v>457</v>
      </c>
      <c r="K1807">
        <v>0.05</v>
      </c>
      <c r="L1807">
        <v>2604.9</v>
      </c>
      <c r="M1807">
        <v>1914.34</v>
      </c>
      <c r="N1807">
        <v>690.56</v>
      </c>
      <c r="O1807" t="s">
        <v>80</v>
      </c>
      <c r="P1807" t="s">
        <v>81</v>
      </c>
    </row>
    <row r="1808" spans="1:16" x14ac:dyDescent="0.25">
      <c r="A1808">
        <v>1807</v>
      </c>
      <c r="B1808" s="2">
        <v>45999</v>
      </c>
      <c r="C1808" t="s">
        <v>22</v>
      </c>
      <c r="D1808" t="s">
        <v>24</v>
      </c>
      <c r="E1808" t="s">
        <v>33</v>
      </c>
      <c r="F1808" t="s">
        <v>46</v>
      </c>
      <c r="G1808" t="s">
        <v>70</v>
      </c>
      <c r="H1808" t="s">
        <v>74</v>
      </c>
      <c r="I1808">
        <v>7</v>
      </c>
      <c r="J1808">
        <v>47138</v>
      </c>
      <c r="K1808">
        <v>0.1</v>
      </c>
      <c r="L1808">
        <v>296969.40000000002</v>
      </c>
      <c r="M1808">
        <v>211562.25</v>
      </c>
      <c r="N1808">
        <v>85407.15</v>
      </c>
      <c r="O1808" t="s">
        <v>76</v>
      </c>
      <c r="P1808" t="s">
        <v>87</v>
      </c>
    </row>
    <row r="1809" spans="1:16" x14ac:dyDescent="0.25">
      <c r="A1809">
        <v>1808</v>
      </c>
      <c r="B1809" s="2">
        <v>45848</v>
      </c>
      <c r="C1809" t="s">
        <v>23</v>
      </c>
      <c r="D1809" t="s">
        <v>27</v>
      </c>
      <c r="E1809" t="s">
        <v>34</v>
      </c>
      <c r="F1809" t="s">
        <v>65</v>
      </c>
      <c r="G1809" t="s">
        <v>70</v>
      </c>
      <c r="H1809" t="s">
        <v>73</v>
      </c>
      <c r="I1809">
        <v>2</v>
      </c>
      <c r="J1809">
        <v>3192</v>
      </c>
      <c r="K1809">
        <v>0.1</v>
      </c>
      <c r="L1809">
        <v>5745.6</v>
      </c>
      <c r="M1809">
        <v>4373.12</v>
      </c>
      <c r="N1809">
        <v>1372.48</v>
      </c>
      <c r="O1809" t="s">
        <v>76</v>
      </c>
      <c r="P1809" t="s">
        <v>84</v>
      </c>
    </row>
    <row r="1810" spans="1:16" x14ac:dyDescent="0.25">
      <c r="A1810">
        <v>1809</v>
      </c>
      <c r="B1810" s="2">
        <v>45767</v>
      </c>
      <c r="C1810" t="s">
        <v>23</v>
      </c>
      <c r="D1810" t="s">
        <v>27</v>
      </c>
      <c r="E1810" t="s">
        <v>33</v>
      </c>
      <c r="F1810" t="s">
        <v>41</v>
      </c>
      <c r="G1810" t="s">
        <v>71</v>
      </c>
      <c r="H1810" t="s">
        <v>75</v>
      </c>
      <c r="I1810">
        <v>7</v>
      </c>
      <c r="J1810">
        <v>32572</v>
      </c>
      <c r="K1810">
        <v>0.05</v>
      </c>
      <c r="L1810">
        <v>216603.8</v>
      </c>
      <c r="M1810">
        <v>132650.91</v>
      </c>
      <c r="N1810">
        <v>83952.89</v>
      </c>
      <c r="O1810" t="s">
        <v>77</v>
      </c>
      <c r="P1810" t="s">
        <v>88</v>
      </c>
    </row>
    <row r="1811" spans="1:16" x14ac:dyDescent="0.25">
      <c r="A1811">
        <v>1810</v>
      </c>
      <c r="B1811" s="2">
        <v>45830</v>
      </c>
      <c r="C1811" t="s">
        <v>18</v>
      </c>
      <c r="D1811" t="s">
        <v>26</v>
      </c>
      <c r="E1811" t="s">
        <v>32</v>
      </c>
      <c r="F1811" t="s">
        <v>49</v>
      </c>
      <c r="G1811" t="s">
        <v>72</v>
      </c>
      <c r="H1811" t="s">
        <v>73</v>
      </c>
      <c r="I1811">
        <v>3</v>
      </c>
      <c r="J1811">
        <v>2725</v>
      </c>
      <c r="K1811">
        <v>0</v>
      </c>
      <c r="L1811">
        <v>8175</v>
      </c>
      <c r="M1811">
        <v>5238.91</v>
      </c>
      <c r="N1811">
        <v>2936.09</v>
      </c>
      <c r="O1811" t="s">
        <v>76</v>
      </c>
      <c r="P1811" t="s">
        <v>83</v>
      </c>
    </row>
    <row r="1812" spans="1:16" x14ac:dyDescent="0.25">
      <c r="A1812">
        <v>1811</v>
      </c>
      <c r="B1812" s="2">
        <v>45823</v>
      </c>
      <c r="C1812" t="s">
        <v>17</v>
      </c>
      <c r="D1812" t="s">
        <v>25</v>
      </c>
      <c r="E1812" t="s">
        <v>33</v>
      </c>
      <c r="F1812" t="s">
        <v>59</v>
      </c>
      <c r="G1812" t="s">
        <v>71</v>
      </c>
      <c r="H1812" t="s">
        <v>74</v>
      </c>
      <c r="I1812">
        <v>1</v>
      </c>
      <c r="J1812">
        <v>29446</v>
      </c>
      <c r="K1812">
        <v>0.15</v>
      </c>
      <c r="L1812">
        <v>25029.1</v>
      </c>
      <c r="M1812">
        <v>15375.27</v>
      </c>
      <c r="N1812">
        <v>9653.83</v>
      </c>
      <c r="O1812" t="s">
        <v>76</v>
      </c>
      <c r="P1812" t="s">
        <v>84</v>
      </c>
    </row>
    <row r="1813" spans="1:16" x14ac:dyDescent="0.25">
      <c r="A1813">
        <v>1812</v>
      </c>
      <c r="B1813" s="2">
        <v>45920</v>
      </c>
      <c r="C1813" t="s">
        <v>22</v>
      </c>
      <c r="D1813" t="s">
        <v>24</v>
      </c>
      <c r="E1813" t="s">
        <v>32</v>
      </c>
      <c r="F1813" t="s">
        <v>66</v>
      </c>
      <c r="G1813" t="s">
        <v>72</v>
      </c>
      <c r="H1813" t="s">
        <v>73</v>
      </c>
      <c r="I1813">
        <v>2</v>
      </c>
      <c r="J1813">
        <v>6437</v>
      </c>
      <c r="K1813">
        <v>0.1</v>
      </c>
      <c r="L1813">
        <v>11586.6</v>
      </c>
      <c r="M1813">
        <v>7778.24</v>
      </c>
      <c r="N1813">
        <v>3808.36</v>
      </c>
      <c r="O1813" t="s">
        <v>79</v>
      </c>
      <c r="P1813" t="s">
        <v>88</v>
      </c>
    </row>
    <row r="1814" spans="1:16" x14ac:dyDescent="0.25">
      <c r="A1814">
        <v>1813</v>
      </c>
      <c r="B1814" s="2">
        <v>45892</v>
      </c>
      <c r="C1814" t="s">
        <v>17</v>
      </c>
      <c r="D1814" t="s">
        <v>25</v>
      </c>
      <c r="E1814" t="s">
        <v>32</v>
      </c>
      <c r="F1814" t="s">
        <v>62</v>
      </c>
      <c r="G1814" t="s">
        <v>70</v>
      </c>
      <c r="H1814" t="s">
        <v>75</v>
      </c>
      <c r="I1814">
        <v>2</v>
      </c>
      <c r="J1814">
        <v>16105</v>
      </c>
      <c r="K1814">
        <v>0.05</v>
      </c>
      <c r="L1814">
        <v>30599.5</v>
      </c>
      <c r="M1814">
        <v>26922.01</v>
      </c>
      <c r="N1814">
        <v>3677.49</v>
      </c>
      <c r="O1814" t="s">
        <v>79</v>
      </c>
      <c r="P1814" t="s">
        <v>85</v>
      </c>
    </row>
    <row r="1815" spans="1:16" x14ac:dyDescent="0.25">
      <c r="A1815">
        <v>1814</v>
      </c>
      <c r="B1815" s="2">
        <v>45695</v>
      </c>
      <c r="C1815" t="s">
        <v>18</v>
      </c>
      <c r="D1815" t="s">
        <v>26</v>
      </c>
      <c r="E1815" t="s">
        <v>30</v>
      </c>
      <c r="F1815" t="s">
        <v>64</v>
      </c>
      <c r="G1815" t="s">
        <v>70</v>
      </c>
      <c r="H1815" t="s">
        <v>74</v>
      </c>
      <c r="I1815">
        <v>4</v>
      </c>
      <c r="J1815">
        <v>5411</v>
      </c>
      <c r="K1815">
        <v>0.15</v>
      </c>
      <c r="L1815">
        <v>18397.400000000001</v>
      </c>
      <c r="M1815">
        <v>13743.04</v>
      </c>
      <c r="N1815">
        <v>4654.3599999999997</v>
      </c>
      <c r="O1815" t="s">
        <v>78</v>
      </c>
      <c r="P1815" t="s">
        <v>83</v>
      </c>
    </row>
    <row r="1816" spans="1:16" x14ac:dyDescent="0.25">
      <c r="A1816">
        <v>1815</v>
      </c>
      <c r="B1816" s="2">
        <v>45938</v>
      </c>
      <c r="C1816" t="s">
        <v>16</v>
      </c>
      <c r="D1816" t="s">
        <v>24</v>
      </c>
      <c r="E1816" t="s">
        <v>32</v>
      </c>
      <c r="F1816" t="s">
        <v>39</v>
      </c>
      <c r="G1816" t="s">
        <v>70</v>
      </c>
      <c r="H1816" t="s">
        <v>74</v>
      </c>
      <c r="I1816">
        <v>2</v>
      </c>
      <c r="J1816">
        <v>23446</v>
      </c>
      <c r="K1816">
        <v>0.1</v>
      </c>
      <c r="L1816">
        <v>42202.8</v>
      </c>
      <c r="M1816">
        <v>29721.51</v>
      </c>
      <c r="N1816">
        <v>12481.29</v>
      </c>
      <c r="O1816" t="s">
        <v>78</v>
      </c>
      <c r="P1816" t="s">
        <v>86</v>
      </c>
    </row>
    <row r="1817" spans="1:16" x14ac:dyDescent="0.25">
      <c r="A1817">
        <v>1816</v>
      </c>
      <c r="B1817" s="2">
        <v>45916</v>
      </c>
      <c r="C1817" t="s">
        <v>16</v>
      </c>
      <c r="D1817" t="s">
        <v>24</v>
      </c>
      <c r="E1817" t="s">
        <v>30</v>
      </c>
      <c r="F1817" t="s">
        <v>44</v>
      </c>
      <c r="G1817" t="s">
        <v>70</v>
      </c>
      <c r="H1817" t="s">
        <v>75</v>
      </c>
      <c r="I1817">
        <v>7</v>
      </c>
      <c r="J1817">
        <v>15084</v>
      </c>
      <c r="K1817">
        <v>0.15</v>
      </c>
      <c r="L1817">
        <v>89749.8</v>
      </c>
      <c r="M1817">
        <v>50109.78</v>
      </c>
      <c r="N1817">
        <v>39640.019999999997</v>
      </c>
      <c r="O1817" t="s">
        <v>76</v>
      </c>
      <c r="P1817" t="s">
        <v>81</v>
      </c>
    </row>
    <row r="1818" spans="1:16" x14ac:dyDescent="0.25">
      <c r="A1818">
        <v>1817</v>
      </c>
      <c r="B1818" s="2">
        <v>45694</v>
      </c>
      <c r="C1818" t="s">
        <v>23</v>
      </c>
      <c r="D1818" t="s">
        <v>27</v>
      </c>
      <c r="E1818" t="s">
        <v>34</v>
      </c>
      <c r="F1818" t="s">
        <v>68</v>
      </c>
      <c r="G1818" t="s">
        <v>72</v>
      </c>
      <c r="H1818" t="s">
        <v>74</v>
      </c>
      <c r="I1818">
        <v>6</v>
      </c>
      <c r="J1818">
        <v>1196</v>
      </c>
      <c r="K1818">
        <v>0</v>
      </c>
      <c r="L1818">
        <v>7176</v>
      </c>
      <c r="M1818">
        <v>5128.91</v>
      </c>
      <c r="N1818">
        <v>2047.09</v>
      </c>
      <c r="O1818" t="s">
        <v>78</v>
      </c>
      <c r="P1818" t="s">
        <v>87</v>
      </c>
    </row>
    <row r="1819" spans="1:16" x14ac:dyDescent="0.25">
      <c r="A1819">
        <v>1818</v>
      </c>
      <c r="B1819" s="2">
        <v>46001</v>
      </c>
      <c r="C1819" t="s">
        <v>21</v>
      </c>
      <c r="D1819" t="s">
        <v>24</v>
      </c>
      <c r="E1819" t="s">
        <v>28</v>
      </c>
      <c r="F1819" t="s">
        <v>35</v>
      </c>
      <c r="G1819" t="s">
        <v>71</v>
      </c>
      <c r="H1819" t="s">
        <v>74</v>
      </c>
      <c r="I1819">
        <v>5</v>
      </c>
      <c r="J1819">
        <v>849</v>
      </c>
      <c r="K1819">
        <v>0.1</v>
      </c>
      <c r="L1819">
        <v>3820.5</v>
      </c>
      <c r="M1819">
        <v>2152.77</v>
      </c>
      <c r="N1819">
        <v>1667.73</v>
      </c>
      <c r="O1819" t="s">
        <v>80</v>
      </c>
      <c r="P1819" t="s">
        <v>81</v>
      </c>
    </row>
    <row r="1820" spans="1:16" x14ac:dyDescent="0.25">
      <c r="A1820">
        <v>1819</v>
      </c>
      <c r="B1820" s="2">
        <v>45765</v>
      </c>
      <c r="C1820" t="s">
        <v>21</v>
      </c>
      <c r="D1820" t="s">
        <v>24</v>
      </c>
      <c r="E1820" t="s">
        <v>34</v>
      </c>
      <c r="F1820" t="s">
        <v>68</v>
      </c>
      <c r="G1820" t="s">
        <v>71</v>
      </c>
      <c r="H1820" t="s">
        <v>74</v>
      </c>
      <c r="I1820">
        <v>3</v>
      </c>
      <c r="J1820">
        <v>2924</v>
      </c>
      <c r="K1820">
        <v>0.1</v>
      </c>
      <c r="L1820">
        <v>7894.8</v>
      </c>
      <c r="M1820">
        <v>5960.27</v>
      </c>
      <c r="N1820">
        <v>1934.53</v>
      </c>
      <c r="O1820" t="s">
        <v>77</v>
      </c>
      <c r="P1820" t="s">
        <v>87</v>
      </c>
    </row>
    <row r="1821" spans="1:16" x14ac:dyDescent="0.25">
      <c r="A1821">
        <v>1820</v>
      </c>
      <c r="B1821" s="2">
        <v>45935</v>
      </c>
      <c r="C1821" t="s">
        <v>17</v>
      </c>
      <c r="D1821" t="s">
        <v>25</v>
      </c>
      <c r="E1821" t="s">
        <v>31</v>
      </c>
      <c r="F1821" t="s">
        <v>50</v>
      </c>
      <c r="G1821" t="s">
        <v>71</v>
      </c>
      <c r="H1821" t="s">
        <v>73</v>
      </c>
      <c r="I1821">
        <v>7</v>
      </c>
      <c r="J1821">
        <v>1894</v>
      </c>
      <c r="K1821">
        <v>0</v>
      </c>
      <c r="L1821">
        <v>13258</v>
      </c>
      <c r="M1821">
        <v>10933.5</v>
      </c>
      <c r="N1821">
        <v>2324.5</v>
      </c>
      <c r="O1821" t="s">
        <v>76</v>
      </c>
      <c r="P1821" t="s">
        <v>87</v>
      </c>
    </row>
    <row r="1822" spans="1:16" x14ac:dyDescent="0.25">
      <c r="A1822">
        <v>1821</v>
      </c>
      <c r="B1822" s="2">
        <v>45752</v>
      </c>
      <c r="C1822" t="s">
        <v>22</v>
      </c>
      <c r="D1822" t="s">
        <v>24</v>
      </c>
      <c r="E1822" t="s">
        <v>29</v>
      </c>
      <c r="F1822" t="s">
        <v>57</v>
      </c>
      <c r="G1822" t="s">
        <v>71</v>
      </c>
      <c r="H1822" t="s">
        <v>74</v>
      </c>
      <c r="I1822">
        <v>5</v>
      </c>
      <c r="J1822">
        <v>5049</v>
      </c>
      <c r="K1822">
        <v>0.05</v>
      </c>
      <c r="L1822">
        <v>23982.75</v>
      </c>
      <c r="M1822">
        <v>18798.830000000002</v>
      </c>
      <c r="N1822">
        <v>5183.92</v>
      </c>
      <c r="O1822" t="s">
        <v>77</v>
      </c>
      <c r="P1822" t="s">
        <v>85</v>
      </c>
    </row>
    <row r="1823" spans="1:16" x14ac:dyDescent="0.25">
      <c r="A1823">
        <v>1822</v>
      </c>
      <c r="B1823" s="2">
        <v>45847</v>
      </c>
      <c r="C1823" t="s">
        <v>20</v>
      </c>
      <c r="D1823" t="s">
        <v>26</v>
      </c>
      <c r="E1823" t="s">
        <v>29</v>
      </c>
      <c r="F1823" t="s">
        <v>36</v>
      </c>
      <c r="G1823" t="s">
        <v>71</v>
      </c>
      <c r="H1823" t="s">
        <v>74</v>
      </c>
      <c r="I1823">
        <v>3</v>
      </c>
      <c r="J1823">
        <v>6490</v>
      </c>
      <c r="K1823">
        <v>0.05</v>
      </c>
      <c r="L1823">
        <v>18496.5</v>
      </c>
      <c r="M1823">
        <v>14289.71</v>
      </c>
      <c r="N1823">
        <v>4206.79</v>
      </c>
      <c r="O1823" t="s">
        <v>80</v>
      </c>
      <c r="P1823" t="s">
        <v>86</v>
      </c>
    </row>
    <row r="1824" spans="1:16" x14ac:dyDescent="0.25">
      <c r="A1824">
        <v>1823</v>
      </c>
      <c r="B1824" s="2">
        <v>45716</v>
      </c>
      <c r="C1824" t="s">
        <v>21</v>
      </c>
      <c r="D1824" t="s">
        <v>24</v>
      </c>
      <c r="E1824" t="s">
        <v>28</v>
      </c>
      <c r="F1824" t="s">
        <v>35</v>
      </c>
      <c r="G1824" t="s">
        <v>70</v>
      </c>
      <c r="H1824" t="s">
        <v>74</v>
      </c>
      <c r="I1824">
        <v>3</v>
      </c>
      <c r="J1824">
        <v>533</v>
      </c>
      <c r="K1824">
        <v>0.1</v>
      </c>
      <c r="L1824">
        <v>1439.1</v>
      </c>
      <c r="M1824">
        <v>1110.54</v>
      </c>
      <c r="N1824">
        <v>328.56</v>
      </c>
      <c r="O1824" t="s">
        <v>77</v>
      </c>
      <c r="P1824" t="s">
        <v>83</v>
      </c>
    </row>
    <row r="1825" spans="1:16" x14ac:dyDescent="0.25">
      <c r="A1825">
        <v>1824</v>
      </c>
      <c r="B1825" s="2">
        <v>45897</v>
      </c>
      <c r="C1825" t="s">
        <v>20</v>
      </c>
      <c r="D1825" t="s">
        <v>26</v>
      </c>
      <c r="E1825" t="s">
        <v>30</v>
      </c>
      <c r="F1825" t="s">
        <v>56</v>
      </c>
      <c r="G1825" t="s">
        <v>71</v>
      </c>
      <c r="H1825" t="s">
        <v>73</v>
      </c>
      <c r="I1825">
        <v>4</v>
      </c>
      <c r="J1825">
        <v>49397</v>
      </c>
      <c r="K1825">
        <v>0.1</v>
      </c>
      <c r="L1825">
        <v>177829.2</v>
      </c>
      <c r="M1825">
        <v>148881.60000000001</v>
      </c>
      <c r="N1825">
        <v>28947.599999999999</v>
      </c>
      <c r="O1825" t="s">
        <v>78</v>
      </c>
      <c r="P1825" t="s">
        <v>81</v>
      </c>
    </row>
    <row r="1826" spans="1:16" x14ac:dyDescent="0.25">
      <c r="A1826">
        <v>1825</v>
      </c>
      <c r="B1826" s="2">
        <v>45769</v>
      </c>
      <c r="C1826" t="s">
        <v>22</v>
      </c>
      <c r="D1826" t="s">
        <v>24</v>
      </c>
      <c r="E1826" t="s">
        <v>30</v>
      </c>
      <c r="F1826" t="s">
        <v>64</v>
      </c>
      <c r="G1826" t="s">
        <v>71</v>
      </c>
      <c r="H1826" t="s">
        <v>73</v>
      </c>
      <c r="I1826">
        <v>8</v>
      </c>
      <c r="J1826">
        <v>40997</v>
      </c>
      <c r="K1826">
        <v>0</v>
      </c>
      <c r="L1826">
        <v>327976</v>
      </c>
      <c r="M1826">
        <v>218606.95</v>
      </c>
      <c r="N1826">
        <v>109369.05</v>
      </c>
      <c r="O1826" t="s">
        <v>76</v>
      </c>
      <c r="P1826" t="s">
        <v>82</v>
      </c>
    </row>
    <row r="1827" spans="1:16" x14ac:dyDescent="0.25">
      <c r="A1827">
        <v>1826</v>
      </c>
      <c r="B1827" s="2">
        <v>45973</v>
      </c>
      <c r="C1827" t="s">
        <v>21</v>
      </c>
      <c r="D1827" t="s">
        <v>24</v>
      </c>
      <c r="E1827" t="s">
        <v>32</v>
      </c>
      <c r="F1827" t="s">
        <v>62</v>
      </c>
      <c r="G1827" t="s">
        <v>71</v>
      </c>
      <c r="H1827" t="s">
        <v>74</v>
      </c>
      <c r="I1827">
        <v>4</v>
      </c>
      <c r="J1827">
        <v>19527</v>
      </c>
      <c r="K1827">
        <v>0.05</v>
      </c>
      <c r="L1827">
        <v>74202.600000000006</v>
      </c>
      <c r="M1827">
        <v>56345.83</v>
      </c>
      <c r="N1827">
        <v>17856.77</v>
      </c>
      <c r="O1827" t="s">
        <v>78</v>
      </c>
      <c r="P1827" t="s">
        <v>83</v>
      </c>
    </row>
    <row r="1828" spans="1:16" x14ac:dyDescent="0.25">
      <c r="A1828">
        <v>1827</v>
      </c>
      <c r="B1828" s="2">
        <v>45696</v>
      </c>
      <c r="C1828" t="s">
        <v>16</v>
      </c>
      <c r="D1828" t="s">
        <v>24</v>
      </c>
      <c r="E1828" t="s">
        <v>28</v>
      </c>
      <c r="F1828" t="s">
        <v>54</v>
      </c>
      <c r="G1828" t="s">
        <v>70</v>
      </c>
      <c r="H1828" t="s">
        <v>74</v>
      </c>
      <c r="I1828">
        <v>6</v>
      </c>
      <c r="J1828">
        <v>1853</v>
      </c>
      <c r="K1828">
        <v>0.15</v>
      </c>
      <c r="L1828">
        <v>9450.2999999999993</v>
      </c>
      <c r="M1828">
        <v>6842.04</v>
      </c>
      <c r="N1828">
        <v>2608.2600000000002</v>
      </c>
      <c r="O1828" t="s">
        <v>79</v>
      </c>
      <c r="P1828" t="s">
        <v>82</v>
      </c>
    </row>
    <row r="1829" spans="1:16" x14ac:dyDescent="0.25">
      <c r="A1829">
        <v>1828</v>
      </c>
      <c r="B1829" s="2">
        <v>45811</v>
      </c>
      <c r="C1829" t="s">
        <v>23</v>
      </c>
      <c r="D1829" t="s">
        <v>27</v>
      </c>
      <c r="E1829" t="s">
        <v>33</v>
      </c>
      <c r="F1829" t="s">
        <v>60</v>
      </c>
      <c r="G1829" t="s">
        <v>71</v>
      </c>
      <c r="H1829" t="s">
        <v>73</v>
      </c>
      <c r="I1829">
        <v>7</v>
      </c>
      <c r="J1829">
        <v>4571</v>
      </c>
      <c r="K1829">
        <v>0.15</v>
      </c>
      <c r="L1829">
        <v>27197.45</v>
      </c>
      <c r="M1829">
        <v>16930.97</v>
      </c>
      <c r="N1829">
        <v>10266.48</v>
      </c>
      <c r="O1829" t="s">
        <v>79</v>
      </c>
      <c r="P1829" t="s">
        <v>82</v>
      </c>
    </row>
    <row r="1830" spans="1:16" x14ac:dyDescent="0.25">
      <c r="A1830">
        <v>1829</v>
      </c>
      <c r="B1830" s="2">
        <v>45925</v>
      </c>
      <c r="C1830" t="s">
        <v>22</v>
      </c>
      <c r="D1830" t="s">
        <v>24</v>
      </c>
      <c r="E1830" t="s">
        <v>32</v>
      </c>
      <c r="F1830" t="s">
        <v>62</v>
      </c>
      <c r="G1830" t="s">
        <v>71</v>
      </c>
      <c r="H1830" t="s">
        <v>73</v>
      </c>
      <c r="I1830">
        <v>4</v>
      </c>
      <c r="J1830">
        <v>4554</v>
      </c>
      <c r="K1830">
        <v>0</v>
      </c>
      <c r="L1830">
        <v>18216</v>
      </c>
      <c r="M1830">
        <v>14817.21</v>
      </c>
      <c r="N1830">
        <v>3398.79</v>
      </c>
      <c r="O1830" t="s">
        <v>78</v>
      </c>
      <c r="P1830" t="s">
        <v>81</v>
      </c>
    </row>
    <row r="1831" spans="1:16" x14ac:dyDescent="0.25">
      <c r="A1831">
        <v>1830</v>
      </c>
      <c r="B1831" s="2">
        <v>45997</v>
      </c>
      <c r="C1831" t="s">
        <v>17</v>
      </c>
      <c r="D1831" t="s">
        <v>25</v>
      </c>
      <c r="E1831" t="s">
        <v>28</v>
      </c>
      <c r="F1831" t="s">
        <v>61</v>
      </c>
      <c r="G1831" t="s">
        <v>70</v>
      </c>
      <c r="H1831" t="s">
        <v>75</v>
      </c>
      <c r="I1831">
        <v>1</v>
      </c>
      <c r="J1831">
        <v>1786</v>
      </c>
      <c r="K1831">
        <v>0</v>
      </c>
      <c r="L1831">
        <v>1786</v>
      </c>
      <c r="M1831">
        <v>1024.67</v>
      </c>
      <c r="N1831">
        <v>761.33</v>
      </c>
      <c r="O1831" t="s">
        <v>76</v>
      </c>
      <c r="P1831" t="s">
        <v>82</v>
      </c>
    </row>
    <row r="1832" spans="1:16" x14ac:dyDescent="0.25">
      <c r="A1832">
        <v>1831</v>
      </c>
      <c r="B1832" s="2">
        <v>45683</v>
      </c>
      <c r="C1832" t="s">
        <v>23</v>
      </c>
      <c r="D1832" t="s">
        <v>27</v>
      </c>
      <c r="E1832" t="s">
        <v>29</v>
      </c>
      <c r="F1832" t="s">
        <v>53</v>
      </c>
      <c r="G1832" t="s">
        <v>70</v>
      </c>
      <c r="H1832" t="s">
        <v>74</v>
      </c>
      <c r="I1832">
        <v>8</v>
      </c>
      <c r="J1832">
        <v>3127</v>
      </c>
      <c r="K1832">
        <v>0</v>
      </c>
      <c r="L1832">
        <v>25016</v>
      </c>
      <c r="M1832">
        <v>19034.03</v>
      </c>
      <c r="N1832">
        <v>5981.97</v>
      </c>
      <c r="O1832" t="s">
        <v>78</v>
      </c>
      <c r="P1832" t="s">
        <v>85</v>
      </c>
    </row>
    <row r="1833" spans="1:16" x14ac:dyDescent="0.25">
      <c r="A1833">
        <v>1832</v>
      </c>
      <c r="B1833" s="2">
        <v>45806</v>
      </c>
      <c r="C1833" t="s">
        <v>22</v>
      </c>
      <c r="D1833" t="s">
        <v>24</v>
      </c>
      <c r="E1833" t="s">
        <v>30</v>
      </c>
      <c r="F1833" t="s">
        <v>56</v>
      </c>
      <c r="G1833" t="s">
        <v>71</v>
      </c>
      <c r="H1833" t="s">
        <v>74</v>
      </c>
      <c r="I1833">
        <v>6</v>
      </c>
      <c r="J1833">
        <v>14761</v>
      </c>
      <c r="K1833">
        <v>0</v>
      </c>
      <c r="L1833">
        <v>88566</v>
      </c>
      <c r="M1833">
        <v>52200.5</v>
      </c>
      <c r="N1833">
        <v>36365.5</v>
      </c>
      <c r="O1833" t="s">
        <v>78</v>
      </c>
      <c r="P1833" t="s">
        <v>83</v>
      </c>
    </row>
    <row r="1834" spans="1:16" x14ac:dyDescent="0.25">
      <c r="A1834">
        <v>1833</v>
      </c>
      <c r="B1834" s="2">
        <v>45752</v>
      </c>
      <c r="C1834" t="s">
        <v>23</v>
      </c>
      <c r="D1834" t="s">
        <v>27</v>
      </c>
      <c r="E1834" t="s">
        <v>28</v>
      </c>
      <c r="F1834" t="s">
        <v>58</v>
      </c>
      <c r="G1834" t="s">
        <v>70</v>
      </c>
      <c r="H1834" t="s">
        <v>74</v>
      </c>
      <c r="I1834">
        <v>3</v>
      </c>
      <c r="J1834">
        <v>700</v>
      </c>
      <c r="K1834">
        <v>0.15</v>
      </c>
      <c r="L1834">
        <v>1785</v>
      </c>
      <c r="M1834">
        <v>1466.67</v>
      </c>
      <c r="N1834">
        <v>318.33</v>
      </c>
      <c r="O1834" t="s">
        <v>79</v>
      </c>
      <c r="P1834" t="s">
        <v>87</v>
      </c>
    </row>
    <row r="1835" spans="1:16" x14ac:dyDescent="0.25">
      <c r="A1835">
        <v>1834</v>
      </c>
      <c r="B1835" s="2">
        <v>45789</v>
      </c>
      <c r="C1835" t="s">
        <v>22</v>
      </c>
      <c r="D1835" t="s">
        <v>24</v>
      </c>
      <c r="E1835" t="s">
        <v>32</v>
      </c>
      <c r="F1835" t="s">
        <v>39</v>
      </c>
      <c r="G1835" t="s">
        <v>70</v>
      </c>
      <c r="H1835" t="s">
        <v>75</v>
      </c>
      <c r="I1835">
        <v>5</v>
      </c>
      <c r="J1835">
        <v>9683</v>
      </c>
      <c r="K1835">
        <v>0.1</v>
      </c>
      <c r="L1835">
        <v>43573.5</v>
      </c>
      <c r="M1835">
        <v>27246.11</v>
      </c>
      <c r="N1835">
        <v>16327.39</v>
      </c>
      <c r="O1835" t="s">
        <v>80</v>
      </c>
      <c r="P1835" t="s">
        <v>82</v>
      </c>
    </row>
    <row r="1836" spans="1:16" x14ac:dyDescent="0.25">
      <c r="A1836">
        <v>1835</v>
      </c>
      <c r="B1836" s="2">
        <v>45762</v>
      </c>
      <c r="C1836" t="s">
        <v>19</v>
      </c>
      <c r="D1836" t="s">
        <v>26</v>
      </c>
      <c r="E1836" t="s">
        <v>30</v>
      </c>
      <c r="F1836" t="s">
        <v>40</v>
      </c>
      <c r="G1836" t="s">
        <v>71</v>
      </c>
      <c r="H1836" t="s">
        <v>74</v>
      </c>
      <c r="I1836">
        <v>3</v>
      </c>
      <c r="J1836">
        <v>5763</v>
      </c>
      <c r="K1836">
        <v>0.05</v>
      </c>
      <c r="L1836">
        <v>16424.55</v>
      </c>
      <c r="M1836">
        <v>13649.4</v>
      </c>
      <c r="N1836">
        <v>2775.15</v>
      </c>
      <c r="O1836" t="s">
        <v>79</v>
      </c>
      <c r="P1836" t="s">
        <v>86</v>
      </c>
    </row>
    <row r="1837" spans="1:16" x14ac:dyDescent="0.25">
      <c r="A1837">
        <v>1836</v>
      </c>
      <c r="B1837" s="2">
        <v>45919</v>
      </c>
      <c r="C1837" t="s">
        <v>21</v>
      </c>
      <c r="D1837" t="s">
        <v>24</v>
      </c>
      <c r="E1837" t="s">
        <v>30</v>
      </c>
      <c r="F1837" t="s">
        <v>44</v>
      </c>
      <c r="G1837" t="s">
        <v>72</v>
      </c>
      <c r="H1837" t="s">
        <v>73</v>
      </c>
      <c r="I1837">
        <v>5</v>
      </c>
      <c r="J1837">
        <v>62539</v>
      </c>
      <c r="K1837">
        <v>0.1</v>
      </c>
      <c r="L1837">
        <v>281425.5</v>
      </c>
      <c r="M1837">
        <v>200113.62</v>
      </c>
      <c r="N1837">
        <v>81311.88</v>
      </c>
      <c r="O1837" t="s">
        <v>80</v>
      </c>
      <c r="P1837" t="s">
        <v>88</v>
      </c>
    </row>
    <row r="1838" spans="1:16" x14ac:dyDescent="0.25">
      <c r="A1838">
        <v>1837</v>
      </c>
      <c r="B1838" s="2">
        <v>45988</v>
      </c>
      <c r="C1838" t="s">
        <v>18</v>
      </c>
      <c r="D1838" t="s">
        <v>26</v>
      </c>
      <c r="E1838" t="s">
        <v>33</v>
      </c>
      <c r="F1838" t="s">
        <v>52</v>
      </c>
      <c r="G1838" t="s">
        <v>71</v>
      </c>
      <c r="H1838" t="s">
        <v>74</v>
      </c>
      <c r="I1838">
        <v>3</v>
      </c>
      <c r="J1838">
        <v>21844</v>
      </c>
      <c r="K1838">
        <v>0.1</v>
      </c>
      <c r="L1838">
        <v>58978.8</v>
      </c>
      <c r="M1838">
        <v>33440.980000000003</v>
      </c>
      <c r="N1838">
        <v>25537.82</v>
      </c>
      <c r="O1838" t="s">
        <v>78</v>
      </c>
      <c r="P1838" t="s">
        <v>81</v>
      </c>
    </row>
    <row r="1839" spans="1:16" x14ac:dyDescent="0.25">
      <c r="A1839">
        <v>1838</v>
      </c>
      <c r="B1839" s="2">
        <v>46011</v>
      </c>
      <c r="C1839" t="s">
        <v>20</v>
      </c>
      <c r="D1839" t="s">
        <v>26</v>
      </c>
      <c r="E1839" t="s">
        <v>32</v>
      </c>
      <c r="F1839" t="s">
        <v>39</v>
      </c>
      <c r="G1839" t="s">
        <v>72</v>
      </c>
      <c r="H1839" t="s">
        <v>73</v>
      </c>
      <c r="I1839">
        <v>1</v>
      </c>
      <c r="J1839">
        <v>16852</v>
      </c>
      <c r="K1839">
        <v>0.1</v>
      </c>
      <c r="L1839">
        <v>15166.8</v>
      </c>
      <c r="M1839">
        <v>10632.47</v>
      </c>
      <c r="N1839">
        <v>4534.33</v>
      </c>
      <c r="O1839" t="s">
        <v>78</v>
      </c>
      <c r="P1839" t="s">
        <v>81</v>
      </c>
    </row>
    <row r="1840" spans="1:16" x14ac:dyDescent="0.25">
      <c r="A1840">
        <v>1839</v>
      </c>
      <c r="B1840" s="2">
        <v>45717</v>
      </c>
      <c r="C1840" t="s">
        <v>23</v>
      </c>
      <c r="D1840" t="s">
        <v>27</v>
      </c>
      <c r="E1840" t="s">
        <v>33</v>
      </c>
      <c r="F1840" t="s">
        <v>60</v>
      </c>
      <c r="G1840" t="s">
        <v>70</v>
      </c>
      <c r="H1840" t="s">
        <v>75</v>
      </c>
      <c r="I1840">
        <v>2</v>
      </c>
      <c r="J1840">
        <v>45630</v>
      </c>
      <c r="K1840">
        <v>0.05</v>
      </c>
      <c r="L1840">
        <v>86697</v>
      </c>
      <c r="M1840">
        <v>63063.08</v>
      </c>
      <c r="N1840">
        <v>23633.919999999998</v>
      </c>
      <c r="O1840" t="s">
        <v>80</v>
      </c>
      <c r="P1840" t="s">
        <v>81</v>
      </c>
    </row>
    <row r="1841" spans="1:16" x14ac:dyDescent="0.25">
      <c r="A1841">
        <v>1840</v>
      </c>
      <c r="B1841" s="2">
        <v>45880</v>
      </c>
      <c r="C1841" t="s">
        <v>19</v>
      </c>
      <c r="D1841" t="s">
        <v>26</v>
      </c>
      <c r="E1841" t="s">
        <v>28</v>
      </c>
      <c r="F1841" t="s">
        <v>58</v>
      </c>
      <c r="G1841" t="s">
        <v>72</v>
      </c>
      <c r="H1841" t="s">
        <v>73</v>
      </c>
      <c r="I1841">
        <v>5</v>
      </c>
      <c r="J1841">
        <v>920</v>
      </c>
      <c r="K1841">
        <v>0.1</v>
      </c>
      <c r="L1841">
        <v>4140</v>
      </c>
      <c r="M1841">
        <v>2996.88</v>
      </c>
      <c r="N1841">
        <v>1143.1199999999999</v>
      </c>
      <c r="O1841" t="s">
        <v>80</v>
      </c>
      <c r="P1841" t="s">
        <v>86</v>
      </c>
    </row>
    <row r="1842" spans="1:16" x14ac:dyDescent="0.25">
      <c r="A1842">
        <v>1841</v>
      </c>
      <c r="B1842" s="2">
        <v>45973</v>
      </c>
      <c r="C1842" t="s">
        <v>20</v>
      </c>
      <c r="D1842" t="s">
        <v>26</v>
      </c>
      <c r="E1842" t="s">
        <v>31</v>
      </c>
      <c r="F1842" t="s">
        <v>38</v>
      </c>
      <c r="G1842" t="s">
        <v>71</v>
      </c>
      <c r="H1842" t="s">
        <v>73</v>
      </c>
      <c r="I1842">
        <v>4</v>
      </c>
      <c r="J1842">
        <v>2405</v>
      </c>
      <c r="K1842">
        <v>0.05</v>
      </c>
      <c r="L1842">
        <v>9139</v>
      </c>
      <c r="M1842">
        <v>5871.36</v>
      </c>
      <c r="N1842">
        <v>3267.64</v>
      </c>
      <c r="O1842" t="s">
        <v>80</v>
      </c>
      <c r="P1842" t="s">
        <v>87</v>
      </c>
    </row>
    <row r="1843" spans="1:16" x14ac:dyDescent="0.25">
      <c r="A1843">
        <v>1842</v>
      </c>
      <c r="B1843" s="2">
        <v>45774</v>
      </c>
      <c r="C1843" t="s">
        <v>19</v>
      </c>
      <c r="D1843" t="s">
        <v>26</v>
      </c>
      <c r="E1843" t="s">
        <v>34</v>
      </c>
      <c r="F1843" t="s">
        <v>68</v>
      </c>
      <c r="G1843" t="s">
        <v>71</v>
      </c>
      <c r="H1843" t="s">
        <v>74</v>
      </c>
      <c r="I1843">
        <v>3</v>
      </c>
      <c r="J1843">
        <v>2235</v>
      </c>
      <c r="K1843">
        <v>0</v>
      </c>
      <c r="L1843">
        <v>6705</v>
      </c>
      <c r="M1843">
        <v>5475.94</v>
      </c>
      <c r="N1843">
        <v>1229.06</v>
      </c>
      <c r="O1843" t="s">
        <v>77</v>
      </c>
      <c r="P1843" t="s">
        <v>86</v>
      </c>
    </row>
    <row r="1844" spans="1:16" x14ac:dyDescent="0.25">
      <c r="A1844">
        <v>1843</v>
      </c>
      <c r="B1844" s="2">
        <v>45885</v>
      </c>
      <c r="C1844" t="s">
        <v>18</v>
      </c>
      <c r="D1844" t="s">
        <v>26</v>
      </c>
      <c r="E1844" t="s">
        <v>28</v>
      </c>
      <c r="F1844" t="s">
        <v>58</v>
      </c>
      <c r="G1844" t="s">
        <v>70</v>
      </c>
      <c r="H1844" t="s">
        <v>75</v>
      </c>
      <c r="I1844">
        <v>6</v>
      </c>
      <c r="J1844">
        <v>858</v>
      </c>
      <c r="K1844">
        <v>0.05</v>
      </c>
      <c r="L1844">
        <v>4890.6000000000004</v>
      </c>
      <c r="M1844">
        <v>3690.22</v>
      </c>
      <c r="N1844">
        <v>1200.3800000000001</v>
      </c>
      <c r="O1844" t="s">
        <v>79</v>
      </c>
      <c r="P1844" t="s">
        <v>81</v>
      </c>
    </row>
    <row r="1845" spans="1:16" x14ac:dyDescent="0.25">
      <c r="A1845">
        <v>1844</v>
      </c>
      <c r="B1845" s="2">
        <v>45665</v>
      </c>
      <c r="C1845" t="s">
        <v>19</v>
      </c>
      <c r="D1845" t="s">
        <v>26</v>
      </c>
      <c r="E1845" t="s">
        <v>32</v>
      </c>
      <c r="F1845" t="s">
        <v>49</v>
      </c>
      <c r="G1845" t="s">
        <v>70</v>
      </c>
      <c r="H1845" t="s">
        <v>75</v>
      </c>
      <c r="I1845">
        <v>4</v>
      </c>
      <c r="J1845">
        <v>12124</v>
      </c>
      <c r="K1845">
        <v>0.1</v>
      </c>
      <c r="L1845">
        <v>43646.400000000001</v>
      </c>
      <c r="M1845">
        <v>36326.589999999997</v>
      </c>
      <c r="N1845">
        <v>7319.81</v>
      </c>
      <c r="O1845" t="s">
        <v>80</v>
      </c>
      <c r="P1845" t="s">
        <v>81</v>
      </c>
    </row>
    <row r="1846" spans="1:16" x14ac:dyDescent="0.25">
      <c r="A1846">
        <v>1845</v>
      </c>
      <c r="B1846" s="2">
        <v>45977</v>
      </c>
      <c r="C1846" t="s">
        <v>20</v>
      </c>
      <c r="D1846" t="s">
        <v>26</v>
      </c>
      <c r="E1846" t="s">
        <v>33</v>
      </c>
      <c r="F1846" t="s">
        <v>60</v>
      </c>
      <c r="G1846" t="s">
        <v>71</v>
      </c>
      <c r="H1846" t="s">
        <v>74</v>
      </c>
      <c r="I1846">
        <v>5</v>
      </c>
      <c r="J1846">
        <v>46794</v>
      </c>
      <c r="K1846">
        <v>0.1</v>
      </c>
      <c r="L1846">
        <v>210573</v>
      </c>
      <c r="M1846">
        <v>159700.62</v>
      </c>
      <c r="N1846">
        <v>50872.38</v>
      </c>
      <c r="O1846" t="s">
        <v>79</v>
      </c>
      <c r="P1846" t="s">
        <v>85</v>
      </c>
    </row>
    <row r="1847" spans="1:16" x14ac:dyDescent="0.25">
      <c r="A1847">
        <v>1846</v>
      </c>
      <c r="B1847" s="2">
        <v>45943</v>
      </c>
      <c r="C1847" t="s">
        <v>20</v>
      </c>
      <c r="D1847" t="s">
        <v>26</v>
      </c>
      <c r="E1847" t="s">
        <v>33</v>
      </c>
      <c r="F1847" t="s">
        <v>59</v>
      </c>
      <c r="G1847" t="s">
        <v>72</v>
      </c>
      <c r="H1847" t="s">
        <v>75</v>
      </c>
      <c r="I1847">
        <v>4</v>
      </c>
      <c r="J1847">
        <v>48616</v>
      </c>
      <c r="K1847">
        <v>0.05</v>
      </c>
      <c r="L1847">
        <v>184740.8</v>
      </c>
      <c r="M1847">
        <v>154867.69</v>
      </c>
      <c r="N1847">
        <v>29873.11</v>
      </c>
      <c r="O1847" t="s">
        <v>78</v>
      </c>
      <c r="P1847" t="s">
        <v>82</v>
      </c>
    </row>
    <row r="1848" spans="1:16" x14ac:dyDescent="0.25">
      <c r="A1848">
        <v>1847</v>
      </c>
      <c r="B1848" s="2">
        <v>45838</v>
      </c>
      <c r="C1848" t="s">
        <v>19</v>
      </c>
      <c r="D1848" t="s">
        <v>26</v>
      </c>
      <c r="E1848" t="s">
        <v>31</v>
      </c>
      <c r="F1848" t="s">
        <v>38</v>
      </c>
      <c r="G1848" t="s">
        <v>72</v>
      </c>
      <c r="H1848" t="s">
        <v>75</v>
      </c>
      <c r="I1848">
        <v>4</v>
      </c>
      <c r="J1848">
        <v>1166</v>
      </c>
      <c r="K1848">
        <v>0.15</v>
      </c>
      <c r="L1848">
        <v>3964.4</v>
      </c>
      <c r="M1848">
        <v>2240.56</v>
      </c>
      <c r="N1848">
        <v>1723.84</v>
      </c>
      <c r="O1848" t="s">
        <v>77</v>
      </c>
      <c r="P1848" t="s">
        <v>81</v>
      </c>
    </row>
    <row r="1849" spans="1:16" x14ac:dyDescent="0.25">
      <c r="A1849">
        <v>1848</v>
      </c>
      <c r="B1849" s="2">
        <v>45885</v>
      </c>
      <c r="C1849" t="s">
        <v>22</v>
      </c>
      <c r="D1849" t="s">
        <v>24</v>
      </c>
      <c r="E1849" t="s">
        <v>29</v>
      </c>
      <c r="F1849" t="s">
        <v>42</v>
      </c>
      <c r="G1849" t="s">
        <v>70</v>
      </c>
      <c r="H1849" t="s">
        <v>75</v>
      </c>
      <c r="I1849">
        <v>4</v>
      </c>
      <c r="J1849">
        <v>7900</v>
      </c>
      <c r="K1849">
        <v>0.1</v>
      </c>
      <c r="L1849">
        <v>28440</v>
      </c>
      <c r="M1849">
        <v>24492.45</v>
      </c>
      <c r="N1849">
        <v>3947.55</v>
      </c>
      <c r="O1849" t="s">
        <v>80</v>
      </c>
      <c r="P1849" t="s">
        <v>87</v>
      </c>
    </row>
    <row r="1850" spans="1:16" x14ac:dyDescent="0.25">
      <c r="A1850">
        <v>1849</v>
      </c>
      <c r="B1850" s="2">
        <v>45813</v>
      </c>
      <c r="C1850" t="s">
        <v>18</v>
      </c>
      <c r="D1850" t="s">
        <v>26</v>
      </c>
      <c r="E1850" t="s">
        <v>31</v>
      </c>
      <c r="F1850" t="s">
        <v>50</v>
      </c>
      <c r="G1850" t="s">
        <v>71</v>
      </c>
      <c r="H1850" t="s">
        <v>73</v>
      </c>
      <c r="I1850">
        <v>2</v>
      </c>
      <c r="J1850">
        <v>346</v>
      </c>
      <c r="K1850">
        <v>0.05</v>
      </c>
      <c r="L1850">
        <v>657.4</v>
      </c>
      <c r="M1850">
        <v>386.34</v>
      </c>
      <c r="N1850">
        <v>271.06</v>
      </c>
      <c r="O1850" t="s">
        <v>77</v>
      </c>
      <c r="P1850" t="s">
        <v>82</v>
      </c>
    </row>
    <row r="1851" spans="1:16" x14ac:dyDescent="0.25">
      <c r="A1851">
        <v>1850</v>
      </c>
      <c r="B1851" s="2">
        <v>45951</v>
      </c>
      <c r="C1851" t="s">
        <v>19</v>
      </c>
      <c r="D1851" t="s">
        <v>26</v>
      </c>
      <c r="E1851" t="s">
        <v>28</v>
      </c>
      <c r="F1851" t="s">
        <v>58</v>
      </c>
      <c r="G1851" t="s">
        <v>70</v>
      </c>
      <c r="H1851" t="s">
        <v>75</v>
      </c>
      <c r="I1851">
        <v>5</v>
      </c>
      <c r="J1851">
        <v>2262</v>
      </c>
      <c r="K1851">
        <v>0.1</v>
      </c>
      <c r="L1851">
        <v>10179</v>
      </c>
      <c r="M1851">
        <v>8563.01</v>
      </c>
      <c r="N1851">
        <v>1615.99</v>
      </c>
      <c r="O1851" t="s">
        <v>77</v>
      </c>
      <c r="P1851" t="s">
        <v>84</v>
      </c>
    </row>
    <row r="1852" spans="1:16" x14ac:dyDescent="0.25">
      <c r="A1852">
        <v>1851</v>
      </c>
      <c r="B1852" s="2">
        <v>45725</v>
      </c>
      <c r="C1852" t="s">
        <v>22</v>
      </c>
      <c r="D1852" t="s">
        <v>24</v>
      </c>
      <c r="E1852" t="s">
        <v>32</v>
      </c>
      <c r="F1852" t="s">
        <v>66</v>
      </c>
      <c r="G1852" t="s">
        <v>70</v>
      </c>
      <c r="H1852" t="s">
        <v>75</v>
      </c>
      <c r="I1852">
        <v>4</v>
      </c>
      <c r="J1852">
        <v>21047</v>
      </c>
      <c r="K1852">
        <v>0.15</v>
      </c>
      <c r="L1852">
        <v>71559.8</v>
      </c>
      <c r="M1852">
        <v>62413.26</v>
      </c>
      <c r="N1852">
        <v>9146.5400000000009</v>
      </c>
      <c r="O1852" t="s">
        <v>79</v>
      </c>
      <c r="P1852" t="s">
        <v>81</v>
      </c>
    </row>
    <row r="1853" spans="1:16" x14ac:dyDescent="0.25">
      <c r="A1853">
        <v>1852</v>
      </c>
      <c r="B1853" s="2">
        <v>45945</v>
      </c>
      <c r="C1853" t="s">
        <v>18</v>
      </c>
      <c r="D1853" t="s">
        <v>26</v>
      </c>
      <c r="E1853" t="s">
        <v>31</v>
      </c>
      <c r="F1853" t="s">
        <v>67</v>
      </c>
      <c r="G1853" t="s">
        <v>70</v>
      </c>
      <c r="H1853" t="s">
        <v>73</v>
      </c>
      <c r="I1853">
        <v>3</v>
      </c>
      <c r="J1853">
        <v>1760</v>
      </c>
      <c r="K1853">
        <v>0.1</v>
      </c>
      <c r="L1853">
        <v>4752</v>
      </c>
      <c r="M1853">
        <v>2630.92</v>
      </c>
      <c r="N1853">
        <v>2121.08</v>
      </c>
      <c r="O1853" t="s">
        <v>79</v>
      </c>
      <c r="P1853" t="s">
        <v>82</v>
      </c>
    </row>
    <row r="1854" spans="1:16" x14ac:dyDescent="0.25">
      <c r="A1854">
        <v>1853</v>
      </c>
      <c r="B1854" s="2">
        <v>45965</v>
      </c>
      <c r="C1854" t="s">
        <v>20</v>
      </c>
      <c r="D1854" t="s">
        <v>26</v>
      </c>
      <c r="E1854" t="s">
        <v>34</v>
      </c>
      <c r="F1854" t="s">
        <v>55</v>
      </c>
      <c r="G1854" t="s">
        <v>71</v>
      </c>
      <c r="H1854" t="s">
        <v>75</v>
      </c>
      <c r="I1854">
        <v>6</v>
      </c>
      <c r="J1854">
        <v>5307</v>
      </c>
      <c r="K1854">
        <v>0</v>
      </c>
      <c r="L1854">
        <v>31842</v>
      </c>
      <c r="M1854">
        <v>24312.05</v>
      </c>
      <c r="N1854">
        <v>7529.95</v>
      </c>
      <c r="O1854" t="s">
        <v>78</v>
      </c>
      <c r="P1854" t="s">
        <v>81</v>
      </c>
    </row>
    <row r="1855" spans="1:16" x14ac:dyDescent="0.25">
      <c r="A1855">
        <v>1854</v>
      </c>
      <c r="B1855" s="2">
        <v>45723</v>
      </c>
      <c r="C1855" t="s">
        <v>18</v>
      </c>
      <c r="D1855" t="s">
        <v>26</v>
      </c>
      <c r="E1855" t="s">
        <v>33</v>
      </c>
      <c r="F1855" t="s">
        <v>60</v>
      </c>
      <c r="G1855" t="s">
        <v>70</v>
      </c>
      <c r="H1855" t="s">
        <v>75</v>
      </c>
      <c r="I1855">
        <v>7</v>
      </c>
      <c r="J1855">
        <v>25485</v>
      </c>
      <c r="K1855">
        <v>0.1</v>
      </c>
      <c r="L1855">
        <v>160555.5</v>
      </c>
      <c r="M1855">
        <v>105755.55</v>
      </c>
      <c r="N1855">
        <v>54799.95</v>
      </c>
      <c r="O1855" t="s">
        <v>76</v>
      </c>
      <c r="P1855" t="s">
        <v>86</v>
      </c>
    </row>
    <row r="1856" spans="1:16" x14ac:dyDescent="0.25">
      <c r="A1856">
        <v>1855</v>
      </c>
      <c r="B1856" s="2">
        <v>46020</v>
      </c>
      <c r="C1856" t="s">
        <v>23</v>
      </c>
      <c r="D1856" t="s">
        <v>27</v>
      </c>
      <c r="E1856" t="s">
        <v>30</v>
      </c>
      <c r="F1856" t="s">
        <v>40</v>
      </c>
      <c r="G1856" t="s">
        <v>72</v>
      </c>
      <c r="H1856" t="s">
        <v>74</v>
      </c>
      <c r="I1856">
        <v>3</v>
      </c>
      <c r="J1856">
        <v>37037</v>
      </c>
      <c r="K1856">
        <v>0.1</v>
      </c>
      <c r="L1856">
        <v>99999.9</v>
      </c>
      <c r="M1856">
        <v>87075.59</v>
      </c>
      <c r="N1856">
        <v>12924.31</v>
      </c>
      <c r="O1856" t="s">
        <v>76</v>
      </c>
      <c r="P1856" t="s">
        <v>87</v>
      </c>
    </row>
    <row r="1857" spans="1:16" x14ac:dyDescent="0.25">
      <c r="A1857">
        <v>1856</v>
      </c>
      <c r="B1857" s="2">
        <v>45763</v>
      </c>
      <c r="C1857" t="s">
        <v>19</v>
      </c>
      <c r="D1857" t="s">
        <v>26</v>
      </c>
      <c r="E1857" t="s">
        <v>32</v>
      </c>
      <c r="F1857" t="s">
        <v>62</v>
      </c>
      <c r="G1857" t="s">
        <v>72</v>
      </c>
      <c r="H1857" t="s">
        <v>75</v>
      </c>
      <c r="I1857">
        <v>1</v>
      </c>
      <c r="J1857">
        <v>4243</v>
      </c>
      <c r="K1857">
        <v>0.15</v>
      </c>
      <c r="L1857">
        <v>3606.55</v>
      </c>
      <c r="M1857">
        <v>2784.46</v>
      </c>
      <c r="N1857">
        <v>822.09</v>
      </c>
      <c r="O1857" t="s">
        <v>79</v>
      </c>
      <c r="P1857" t="s">
        <v>82</v>
      </c>
    </row>
    <row r="1858" spans="1:16" x14ac:dyDescent="0.25">
      <c r="A1858">
        <v>1857</v>
      </c>
      <c r="B1858" s="2">
        <v>45757</v>
      </c>
      <c r="C1858" t="s">
        <v>20</v>
      </c>
      <c r="D1858" t="s">
        <v>26</v>
      </c>
      <c r="E1858" t="s">
        <v>28</v>
      </c>
      <c r="F1858" t="s">
        <v>54</v>
      </c>
      <c r="G1858" t="s">
        <v>72</v>
      </c>
      <c r="H1858" t="s">
        <v>74</v>
      </c>
      <c r="I1858">
        <v>6</v>
      </c>
      <c r="J1858">
        <v>1583</v>
      </c>
      <c r="K1858">
        <v>0.1</v>
      </c>
      <c r="L1858">
        <v>8548.2000000000007</v>
      </c>
      <c r="M1858">
        <v>5578.45</v>
      </c>
      <c r="N1858">
        <v>2969.75</v>
      </c>
      <c r="O1858" t="s">
        <v>80</v>
      </c>
      <c r="P1858" t="s">
        <v>83</v>
      </c>
    </row>
    <row r="1859" spans="1:16" x14ac:dyDescent="0.25">
      <c r="A1859">
        <v>1858</v>
      </c>
      <c r="B1859" s="2">
        <v>45769</v>
      </c>
      <c r="C1859" t="s">
        <v>17</v>
      </c>
      <c r="D1859" t="s">
        <v>25</v>
      </c>
      <c r="E1859" t="s">
        <v>29</v>
      </c>
      <c r="F1859" t="s">
        <v>53</v>
      </c>
      <c r="G1859" t="s">
        <v>70</v>
      </c>
      <c r="H1859" t="s">
        <v>73</v>
      </c>
      <c r="I1859">
        <v>2</v>
      </c>
      <c r="J1859">
        <v>10605</v>
      </c>
      <c r="K1859">
        <v>0.1</v>
      </c>
      <c r="L1859">
        <v>19089</v>
      </c>
      <c r="M1859">
        <v>12264.05</v>
      </c>
      <c r="N1859">
        <v>6824.95</v>
      </c>
      <c r="O1859" t="s">
        <v>80</v>
      </c>
      <c r="P1859" t="s">
        <v>83</v>
      </c>
    </row>
    <row r="1860" spans="1:16" x14ac:dyDescent="0.25">
      <c r="A1860">
        <v>1859</v>
      </c>
      <c r="B1860" s="2">
        <v>45806</v>
      </c>
      <c r="C1860" t="s">
        <v>23</v>
      </c>
      <c r="D1860" t="s">
        <v>27</v>
      </c>
      <c r="E1860" t="s">
        <v>30</v>
      </c>
      <c r="F1860" t="s">
        <v>64</v>
      </c>
      <c r="G1860" t="s">
        <v>71</v>
      </c>
      <c r="H1860" t="s">
        <v>74</v>
      </c>
      <c r="I1860">
        <v>5</v>
      </c>
      <c r="J1860">
        <v>37039</v>
      </c>
      <c r="K1860">
        <v>0.05</v>
      </c>
      <c r="L1860">
        <v>175935.25</v>
      </c>
      <c r="M1860">
        <v>149002.12</v>
      </c>
      <c r="N1860">
        <v>26933.13</v>
      </c>
      <c r="O1860" t="s">
        <v>80</v>
      </c>
      <c r="P1860" t="s">
        <v>84</v>
      </c>
    </row>
    <row r="1861" spans="1:16" x14ac:dyDescent="0.25">
      <c r="A1861">
        <v>1860</v>
      </c>
      <c r="B1861" s="2">
        <v>45776</v>
      </c>
      <c r="C1861" t="s">
        <v>19</v>
      </c>
      <c r="D1861" t="s">
        <v>26</v>
      </c>
      <c r="E1861" t="s">
        <v>34</v>
      </c>
      <c r="F1861" t="s">
        <v>65</v>
      </c>
      <c r="G1861" t="s">
        <v>70</v>
      </c>
      <c r="H1861" t="s">
        <v>75</v>
      </c>
      <c r="I1861">
        <v>5</v>
      </c>
      <c r="J1861">
        <v>2303</v>
      </c>
      <c r="K1861">
        <v>0.15</v>
      </c>
      <c r="L1861">
        <v>9787.75</v>
      </c>
      <c r="M1861">
        <v>7244.92</v>
      </c>
      <c r="N1861">
        <v>2542.83</v>
      </c>
      <c r="O1861" t="s">
        <v>77</v>
      </c>
      <c r="P1861" t="s">
        <v>84</v>
      </c>
    </row>
    <row r="1862" spans="1:16" x14ac:dyDescent="0.25">
      <c r="A1862">
        <v>1861</v>
      </c>
      <c r="B1862" s="2">
        <v>46006</v>
      </c>
      <c r="C1862" t="s">
        <v>20</v>
      </c>
      <c r="D1862" t="s">
        <v>26</v>
      </c>
      <c r="E1862" t="s">
        <v>32</v>
      </c>
      <c r="F1862" t="s">
        <v>49</v>
      </c>
      <c r="G1862" t="s">
        <v>71</v>
      </c>
      <c r="H1862" t="s">
        <v>75</v>
      </c>
      <c r="I1862">
        <v>1</v>
      </c>
      <c r="J1862">
        <v>12198</v>
      </c>
      <c r="K1862">
        <v>0.15</v>
      </c>
      <c r="L1862">
        <v>10368.299999999999</v>
      </c>
      <c r="M1862">
        <v>5988.8</v>
      </c>
      <c r="N1862">
        <v>4379.5</v>
      </c>
      <c r="O1862" t="s">
        <v>76</v>
      </c>
      <c r="P1862" t="s">
        <v>87</v>
      </c>
    </row>
    <row r="1863" spans="1:16" x14ac:dyDescent="0.25">
      <c r="A1863">
        <v>1862</v>
      </c>
      <c r="B1863" s="2">
        <v>45706</v>
      </c>
      <c r="C1863" t="s">
        <v>18</v>
      </c>
      <c r="D1863" t="s">
        <v>26</v>
      </c>
      <c r="E1863" t="s">
        <v>29</v>
      </c>
      <c r="F1863" t="s">
        <v>45</v>
      </c>
      <c r="G1863" t="s">
        <v>70</v>
      </c>
      <c r="H1863" t="s">
        <v>75</v>
      </c>
      <c r="I1863">
        <v>4</v>
      </c>
      <c r="J1863">
        <v>4772</v>
      </c>
      <c r="K1863">
        <v>0.05</v>
      </c>
      <c r="L1863">
        <v>18133.599999999999</v>
      </c>
      <c r="M1863">
        <v>14379.21</v>
      </c>
      <c r="N1863">
        <v>3754.39</v>
      </c>
      <c r="O1863" t="s">
        <v>76</v>
      </c>
      <c r="P1863" t="s">
        <v>83</v>
      </c>
    </row>
    <row r="1864" spans="1:16" x14ac:dyDescent="0.25">
      <c r="A1864">
        <v>1863</v>
      </c>
      <c r="B1864" s="2">
        <v>45807</v>
      </c>
      <c r="C1864" t="s">
        <v>18</v>
      </c>
      <c r="D1864" t="s">
        <v>26</v>
      </c>
      <c r="E1864" t="s">
        <v>31</v>
      </c>
      <c r="F1864" t="s">
        <v>50</v>
      </c>
      <c r="G1864" t="s">
        <v>71</v>
      </c>
      <c r="H1864" t="s">
        <v>74</v>
      </c>
      <c r="I1864">
        <v>6</v>
      </c>
      <c r="J1864">
        <v>1979</v>
      </c>
      <c r="K1864">
        <v>0</v>
      </c>
      <c r="L1864">
        <v>11874</v>
      </c>
      <c r="M1864">
        <v>9324.09</v>
      </c>
      <c r="N1864">
        <v>2549.91</v>
      </c>
      <c r="O1864" t="s">
        <v>79</v>
      </c>
      <c r="P1864" t="s">
        <v>86</v>
      </c>
    </row>
    <row r="1865" spans="1:16" x14ac:dyDescent="0.25">
      <c r="A1865">
        <v>1864</v>
      </c>
      <c r="B1865" s="2">
        <v>45873</v>
      </c>
      <c r="C1865" t="s">
        <v>16</v>
      </c>
      <c r="D1865" t="s">
        <v>24</v>
      </c>
      <c r="E1865" t="s">
        <v>33</v>
      </c>
      <c r="F1865" t="s">
        <v>46</v>
      </c>
      <c r="G1865" t="s">
        <v>71</v>
      </c>
      <c r="H1865" t="s">
        <v>73</v>
      </c>
      <c r="I1865">
        <v>4</v>
      </c>
      <c r="J1865">
        <v>43689</v>
      </c>
      <c r="K1865">
        <v>0.05</v>
      </c>
      <c r="L1865">
        <v>166018.20000000001</v>
      </c>
      <c r="M1865">
        <v>123660.67</v>
      </c>
      <c r="N1865">
        <v>42357.53</v>
      </c>
      <c r="O1865" t="s">
        <v>79</v>
      </c>
      <c r="P1865" t="s">
        <v>82</v>
      </c>
    </row>
    <row r="1866" spans="1:16" x14ac:dyDescent="0.25">
      <c r="A1866">
        <v>1865</v>
      </c>
      <c r="B1866" s="2">
        <v>45948</v>
      </c>
      <c r="C1866" t="s">
        <v>17</v>
      </c>
      <c r="D1866" t="s">
        <v>25</v>
      </c>
      <c r="E1866" t="s">
        <v>28</v>
      </c>
      <c r="F1866" t="s">
        <v>63</v>
      </c>
      <c r="G1866" t="s">
        <v>70</v>
      </c>
      <c r="H1866" t="s">
        <v>75</v>
      </c>
      <c r="I1866">
        <v>6</v>
      </c>
      <c r="J1866">
        <v>2433</v>
      </c>
      <c r="K1866">
        <v>0.05</v>
      </c>
      <c r="L1866">
        <v>13868.1</v>
      </c>
      <c r="M1866">
        <v>10609.79</v>
      </c>
      <c r="N1866">
        <v>3258.31</v>
      </c>
      <c r="O1866" t="s">
        <v>80</v>
      </c>
      <c r="P1866" t="s">
        <v>81</v>
      </c>
    </row>
    <row r="1867" spans="1:16" x14ac:dyDescent="0.25">
      <c r="A1867">
        <v>1866</v>
      </c>
      <c r="B1867" s="2">
        <v>45715</v>
      </c>
      <c r="C1867" t="s">
        <v>22</v>
      </c>
      <c r="D1867" t="s">
        <v>24</v>
      </c>
      <c r="E1867" t="s">
        <v>29</v>
      </c>
      <c r="F1867" t="s">
        <v>36</v>
      </c>
      <c r="G1867" t="s">
        <v>72</v>
      </c>
      <c r="H1867" t="s">
        <v>74</v>
      </c>
      <c r="I1867">
        <v>8</v>
      </c>
      <c r="J1867">
        <v>11685</v>
      </c>
      <c r="K1867">
        <v>0.2</v>
      </c>
      <c r="L1867">
        <v>74784</v>
      </c>
      <c r="M1867">
        <v>60824.58</v>
      </c>
      <c r="N1867">
        <v>13959.42</v>
      </c>
      <c r="O1867" t="s">
        <v>78</v>
      </c>
      <c r="P1867" t="s">
        <v>86</v>
      </c>
    </row>
    <row r="1868" spans="1:16" x14ac:dyDescent="0.25">
      <c r="A1868">
        <v>1867</v>
      </c>
      <c r="B1868" s="2">
        <v>45699</v>
      </c>
      <c r="C1868" t="s">
        <v>23</v>
      </c>
      <c r="D1868" t="s">
        <v>27</v>
      </c>
      <c r="E1868" t="s">
        <v>28</v>
      </c>
      <c r="F1868" t="s">
        <v>54</v>
      </c>
      <c r="G1868" t="s">
        <v>72</v>
      </c>
      <c r="H1868" t="s">
        <v>73</v>
      </c>
      <c r="I1868">
        <v>7</v>
      </c>
      <c r="J1868">
        <v>1378</v>
      </c>
      <c r="K1868">
        <v>0.1</v>
      </c>
      <c r="L1868">
        <v>8681.4</v>
      </c>
      <c r="M1868">
        <v>6919.57</v>
      </c>
      <c r="N1868">
        <v>1761.83</v>
      </c>
      <c r="O1868" t="s">
        <v>76</v>
      </c>
      <c r="P1868" t="s">
        <v>82</v>
      </c>
    </row>
    <row r="1869" spans="1:16" x14ac:dyDescent="0.25">
      <c r="A1869">
        <v>1868</v>
      </c>
      <c r="B1869" s="2">
        <v>45817</v>
      </c>
      <c r="C1869" t="s">
        <v>18</v>
      </c>
      <c r="D1869" t="s">
        <v>26</v>
      </c>
      <c r="E1869" t="s">
        <v>29</v>
      </c>
      <c r="F1869" t="s">
        <v>53</v>
      </c>
      <c r="G1869" t="s">
        <v>72</v>
      </c>
      <c r="H1869" t="s">
        <v>73</v>
      </c>
      <c r="I1869">
        <v>5</v>
      </c>
      <c r="J1869">
        <v>6100</v>
      </c>
      <c r="K1869">
        <v>0.2</v>
      </c>
      <c r="L1869">
        <v>24400</v>
      </c>
      <c r="M1869">
        <v>20327.78</v>
      </c>
      <c r="N1869">
        <v>4072.22</v>
      </c>
      <c r="O1869" t="s">
        <v>80</v>
      </c>
      <c r="P1869" t="s">
        <v>83</v>
      </c>
    </row>
    <row r="1870" spans="1:16" x14ac:dyDescent="0.25">
      <c r="A1870">
        <v>1869</v>
      </c>
      <c r="B1870" s="2">
        <v>45886</v>
      </c>
      <c r="C1870" t="s">
        <v>22</v>
      </c>
      <c r="D1870" t="s">
        <v>24</v>
      </c>
      <c r="E1870" t="s">
        <v>29</v>
      </c>
      <c r="F1870" t="s">
        <v>45</v>
      </c>
      <c r="G1870" t="s">
        <v>72</v>
      </c>
      <c r="H1870" t="s">
        <v>75</v>
      </c>
      <c r="I1870">
        <v>3</v>
      </c>
      <c r="J1870">
        <v>9869</v>
      </c>
      <c r="K1870">
        <v>0.05</v>
      </c>
      <c r="L1870">
        <v>28126.65</v>
      </c>
      <c r="M1870">
        <v>18943.96</v>
      </c>
      <c r="N1870">
        <v>9182.69</v>
      </c>
      <c r="O1870" t="s">
        <v>80</v>
      </c>
      <c r="P1870" t="s">
        <v>88</v>
      </c>
    </row>
    <row r="1871" spans="1:16" x14ac:dyDescent="0.25">
      <c r="A1871">
        <v>1870</v>
      </c>
      <c r="B1871" s="2">
        <v>45843</v>
      </c>
      <c r="C1871" t="s">
        <v>16</v>
      </c>
      <c r="D1871" t="s">
        <v>24</v>
      </c>
      <c r="E1871" t="s">
        <v>28</v>
      </c>
      <c r="F1871" t="s">
        <v>35</v>
      </c>
      <c r="G1871" t="s">
        <v>70</v>
      </c>
      <c r="H1871" t="s">
        <v>75</v>
      </c>
      <c r="I1871">
        <v>4</v>
      </c>
      <c r="J1871">
        <v>2042</v>
      </c>
      <c r="K1871">
        <v>0.1</v>
      </c>
      <c r="L1871">
        <v>7351.2</v>
      </c>
      <c r="M1871">
        <v>4657.57</v>
      </c>
      <c r="N1871">
        <v>2693.63</v>
      </c>
      <c r="O1871" t="s">
        <v>78</v>
      </c>
      <c r="P1871" t="s">
        <v>86</v>
      </c>
    </row>
    <row r="1872" spans="1:16" x14ac:dyDescent="0.25">
      <c r="A1872">
        <v>1871</v>
      </c>
      <c r="B1872" s="2">
        <v>45743</v>
      </c>
      <c r="C1872" t="s">
        <v>20</v>
      </c>
      <c r="D1872" t="s">
        <v>26</v>
      </c>
      <c r="E1872" t="s">
        <v>33</v>
      </c>
      <c r="F1872" t="s">
        <v>41</v>
      </c>
      <c r="G1872" t="s">
        <v>71</v>
      </c>
      <c r="H1872" t="s">
        <v>75</v>
      </c>
      <c r="I1872">
        <v>5</v>
      </c>
      <c r="J1872">
        <v>3768</v>
      </c>
      <c r="K1872">
        <v>0.1</v>
      </c>
      <c r="L1872">
        <v>16956</v>
      </c>
      <c r="M1872">
        <v>12488.42</v>
      </c>
      <c r="N1872">
        <v>4467.58</v>
      </c>
      <c r="O1872" t="s">
        <v>76</v>
      </c>
      <c r="P1872" t="s">
        <v>81</v>
      </c>
    </row>
    <row r="1873" spans="1:16" x14ac:dyDescent="0.25">
      <c r="A1873">
        <v>1872</v>
      </c>
      <c r="B1873" s="2">
        <v>45883</v>
      </c>
      <c r="C1873" t="s">
        <v>19</v>
      </c>
      <c r="D1873" t="s">
        <v>26</v>
      </c>
      <c r="E1873" t="s">
        <v>33</v>
      </c>
      <c r="F1873" t="s">
        <v>52</v>
      </c>
      <c r="G1873" t="s">
        <v>71</v>
      </c>
      <c r="H1873" t="s">
        <v>74</v>
      </c>
      <c r="I1873">
        <v>8</v>
      </c>
      <c r="J1873">
        <v>5664</v>
      </c>
      <c r="K1873">
        <v>0</v>
      </c>
      <c r="L1873">
        <v>45312</v>
      </c>
      <c r="M1873">
        <v>38898.769999999997</v>
      </c>
      <c r="N1873">
        <v>6413.23</v>
      </c>
      <c r="O1873" t="s">
        <v>77</v>
      </c>
      <c r="P1873" t="s">
        <v>85</v>
      </c>
    </row>
    <row r="1874" spans="1:16" x14ac:dyDescent="0.25">
      <c r="A1874">
        <v>1873</v>
      </c>
      <c r="B1874" s="2">
        <v>45770</v>
      </c>
      <c r="C1874" t="s">
        <v>23</v>
      </c>
      <c r="D1874" t="s">
        <v>27</v>
      </c>
      <c r="E1874" t="s">
        <v>30</v>
      </c>
      <c r="F1874" t="s">
        <v>44</v>
      </c>
      <c r="G1874" t="s">
        <v>70</v>
      </c>
      <c r="H1874" t="s">
        <v>74</v>
      </c>
      <c r="I1874">
        <v>4</v>
      </c>
      <c r="J1874">
        <v>36212</v>
      </c>
      <c r="K1874">
        <v>0.1</v>
      </c>
      <c r="L1874">
        <v>130363.2</v>
      </c>
      <c r="M1874">
        <v>89803.59</v>
      </c>
      <c r="N1874">
        <v>40559.61</v>
      </c>
      <c r="O1874" t="s">
        <v>76</v>
      </c>
      <c r="P1874" t="s">
        <v>83</v>
      </c>
    </row>
    <row r="1875" spans="1:16" x14ac:dyDescent="0.25">
      <c r="A1875">
        <v>1874</v>
      </c>
      <c r="B1875" s="2">
        <v>45720</v>
      </c>
      <c r="C1875" t="s">
        <v>16</v>
      </c>
      <c r="D1875" t="s">
        <v>24</v>
      </c>
      <c r="E1875" t="s">
        <v>33</v>
      </c>
      <c r="F1875" t="s">
        <v>46</v>
      </c>
      <c r="G1875" t="s">
        <v>71</v>
      </c>
      <c r="H1875" t="s">
        <v>73</v>
      </c>
      <c r="I1875">
        <v>1</v>
      </c>
      <c r="J1875">
        <v>15473</v>
      </c>
      <c r="K1875">
        <v>0</v>
      </c>
      <c r="L1875">
        <v>15473</v>
      </c>
      <c r="M1875">
        <v>9456.98</v>
      </c>
      <c r="N1875">
        <v>6016.02</v>
      </c>
      <c r="O1875" t="s">
        <v>77</v>
      </c>
      <c r="P1875" t="s">
        <v>87</v>
      </c>
    </row>
    <row r="1876" spans="1:16" x14ac:dyDescent="0.25">
      <c r="A1876">
        <v>1875</v>
      </c>
      <c r="B1876" s="2">
        <v>45760</v>
      </c>
      <c r="C1876" t="s">
        <v>19</v>
      </c>
      <c r="D1876" t="s">
        <v>26</v>
      </c>
      <c r="E1876" t="s">
        <v>29</v>
      </c>
      <c r="F1876" t="s">
        <v>53</v>
      </c>
      <c r="G1876" t="s">
        <v>71</v>
      </c>
      <c r="H1876" t="s">
        <v>75</v>
      </c>
      <c r="I1876">
        <v>5</v>
      </c>
      <c r="J1876">
        <v>3702</v>
      </c>
      <c r="K1876">
        <v>0</v>
      </c>
      <c r="L1876">
        <v>18510</v>
      </c>
      <c r="M1876">
        <v>15636.14</v>
      </c>
      <c r="N1876">
        <v>2873.86</v>
      </c>
      <c r="O1876" t="s">
        <v>77</v>
      </c>
      <c r="P1876" t="s">
        <v>88</v>
      </c>
    </row>
    <row r="1877" spans="1:16" x14ac:dyDescent="0.25">
      <c r="A1877">
        <v>1876</v>
      </c>
      <c r="B1877" s="2">
        <v>45752</v>
      </c>
      <c r="C1877" t="s">
        <v>16</v>
      </c>
      <c r="D1877" t="s">
        <v>24</v>
      </c>
      <c r="E1877" t="s">
        <v>29</v>
      </c>
      <c r="F1877" t="s">
        <v>42</v>
      </c>
      <c r="G1877" t="s">
        <v>70</v>
      </c>
      <c r="H1877" t="s">
        <v>73</v>
      </c>
      <c r="I1877">
        <v>5</v>
      </c>
      <c r="J1877">
        <v>7444</v>
      </c>
      <c r="K1877">
        <v>0.05</v>
      </c>
      <c r="L1877">
        <v>35359</v>
      </c>
      <c r="M1877">
        <v>23695.88</v>
      </c>
      <c r="N1877">
        <v>11663.12</v>
      </c>
      <c r="O1877" t="s">
        <v>77</v>
      </c>
      <c r="P1877" t="s">
        <v>88</v>
      </c>
    </row>
    <row r="1878" spans="1:16" x14ac:dyDescent="0.25">
      <c r="A1878">
        <v>1877</v>
      </c>
      <c r="B1878" s="2">
        <v>45688</v>
      </c>
      <c r="C1878" t="s">
        <v>20</v>
      </c>
      <c r="D1878" t="s">
        <v>26</v>
      </c>
      <c r="E1878" t="s">
        <v>30</v>
      </c>
      <c r="F1878" t="s">
        <v>44</v>
      </c>
      <c r="G1878" t="s">
        <v>71</v>
      </c>
      <c r="H1878" t="s">
        <v>75</v>
      </c>
      <c r="I1878">
        <v>2</v>
      </c>
      <c r="J1878">
        <v>21213</v>
      </c>
      <c r="K1878">
        <v>0.05</v>
      </c>
      <c r="L1878">
        <v>40304.699999999997</v>
      </c>
      <c r="M1878">
        <v>28905.17</v>
      </c>
      <c r="N1878">
        <v>11399.53</v>
      </c>
      <c r="O1878" t="s">
        <v>77</v>
      </c>
      <c r="P1878" t="s">
        <v>85</v>
      </c>
    </row>
    <row r="1879" spans="1:16" x14ac:dyDescent="0.25">
      <c r="A1879">
        <v>1878</v>
      </c>
      <c r="B1879" s="2">
        <v>45776</v>
      </c>
      <c r="C1879" t="s">
        <v>21</v>
      </c>
      <c r="D1879" t="s">
        <v>24</v>
      </c>
      <c r="E1879" t="s">
        <v>30</v>
      </c>
      <c r="F1879" t="s">
        <v>37</v>
      </c>
      <c r="G1879" t="s">
        <v>71</v>
      </c>
      <c r="H1879" t="s">
        <v>73</v>
      </c>
      <c r="I1879">
        <v>2</v>
      </c>
      <c r="J1879">
        <v>4760</v>
      </c>
      <c r="K1879">
        <v>0.05</v>
      </c>
      <c r="L1879">
        <v>9044</v>
      </c>
      <c r="M1879">
        <v>6300.47</v>
      </c>
      <c r="N1879">
        <v>2743.53</v>
      </c>
      <c r="O1879" t="s">
        <v>80</v>
      </c>
      <c r="P1879" t="s">
        <v>81</v>
      </c>
    </row>
    <row r="1880" spans="1:16" x14ac:dyDescent="0.25">
      <c r="A1880">
        <v>1879</v>
      </c>
      <c r="B1880" s="2">
        <v>45976</v>
      </c>
      <c r="C1880" t="s">
        <v>22</v>
      </c>
      <c r="D1880" t="s">
        <v>24</v>
      </c>
      <c r="E1880" t="s">
        <v>33</v>
      </c>
      <c r="F1880" t="s">
        <v>46</v>
      </c>
      <c r="G1880" t="s">
        <v>72</v>
      </c>
      <c r="H1880" t="s">
        <v>73</v>
      </c>
      <c r="I1880">
        <v>2</v>
      </c>
      <c r="J1880">
        <v>33722</v>
      </c>
      <c r="K1880">
        <v>0</v>
      </c>
      <c r="L1880">
        <v>67444</v>
      </c>
      <c r="M1880">
        <v>50506.7</v>
      </c>
      <c r="N1880">
        <v>16937.3</v>
      </c>
      <c r="O1880" t="s">
        <v>80</v>
      </c>
      <c r="P1880" t="s">
        <v>85</v>
      </c>
    </row>
    <row r="1881" spans="1:16" x14ac:dyDescent="0.25">
      <c r="A1881">
        <v>1880</v>
      </c>
      <c r="B1881" s="2">
        <v>45832</v>
      </c>
      <c r="C1881" t="s">
        <v>19</v>
      </c>
      <c r="D1881" t="s">
        <v>26</v>
      </c>
      <c r="E1881" t="s">
        <v>31</v>
      </c>
      <c r="F1881" t="s">
        <v>47</v>
      </c>
      <c r="G1881" t="s">
        <v>70</v>
      </c>
      <c r="H1881" t="s">
        <v>75</v>
      </c>
      <c r="I1881">
        <v>4</v>
      </c>
      <c r="J1881">
        <v>2130</v>
      </c>
      <c r="K1881">
        <v>0.15</v>
      </c>
      <c r="L1881">
        <v>7242</v>
      </c>
      <c r="M1881">
        <v>5850.83</v>
      </c>
      <c r="N1881">
        <v>1391.17</v>
      </c>
      <c r="O1881" t="s">
        <v>77</v>
      </c>
      <c r="P1881" t="s">
        <v>85</v>
      </c>
    </row>
    <row r="1882" spans="1:16" x14ac:dyDescent="0.25">
      <c r="A1882">
        <v>1881</v>
      </c>
      <c r="B1882" s="2">
        <v>45718</v>
      </c>
      <c r="C1882" t="s">
        <v>20</v>
      </c>
      <c r="D1882" t="s">
        <v>26</v>
      </c>
      <c r="E1882" t="s">
        <v>29</v>
      </c>
      <c r="F1882" t="s">
        <v>45</v>
      </c>
      <c r="G1882" t="s">
        <v>70</v>
      </c>
      <c r="H1882" t="s">
        <v>75</v>
      </c>
      <c r="I1882">
        <v>5</v>
      </c>
      <c r="J1882">
        <v>11213</v>
      </c>
      <c r="K1882">
        <v>0.15</v>
      </c>
      <c r="L1882">
        <v>47655.25</v>
      </c>
      <c r="M1882">
        <v>27570.17</v>
      </c>
      <c r="N1882">
        <v>20085.080000000002</v>
      </c>
      <c r="O1882" t="s">
        <v>78</v>
      </c>
      <c r="P1882" t="s">
        <v>84</v>
      </c>
    </row>
    <row r="1883" spans="1:16" x14ac:dyDescent="0.25">
      <c r="A1883">
        <v>1882</v>
      </c>
      <c r="B1883" s="2">
        <v>45954</v>
      </c>
      <c r="C1883" t="s">
        <v>16</v>
      </c>
      <c r="D1883" t="s">
        <v>24</v>
      </c>
      <c r="E1883" t="s">
        <v>31</v>
      </c>
      <c r="F1883" t="s">
        <v>38</v>
      </c>
      <c r="G1883" t="s">
        <v>72</v>
      </c>
      <c r="H1883" t="s">
        <v>73</v>
      </c>
      <c r="I1883">
        <v>2</v>
      </c>
      <c r="J1883">
        <v>440</v>
      </c>
      <c r="K1883">
        <v>0.1</v>
      </c>
      <c r="L1883">
        <v>792</v>
      </c>
      <c r="M1883">
        <v>508.57</v>
      </c>
      <c r="N1883">
        <v>283.43</v>
      </c>
      <c r="O1883" t="s">
        <v>76</v>
      </c>
      <c r="P1883" t="s">
        <v>81</v>
      </c>
    </row>
    <row r="1884" spans="1:16" x14ac:dyDescent="0.25">
      <c r="A1884">
        <v>1883</v>
      </c>
      <c r="B1884" s="2">
        <v>45807</v>
      </c>
      <c r="C1884" t="s">
        <v>23</v>
      </c>
      <c r="D1884" t="s">
        <v>27</v>
      </c>
      <c r="E1884" t="s">
        <v>32</v>
      </c>
      <c r="F1884" t="s">
        <v>62</v>
      </c>
      <c r="G1884" t="s">
        <v>71</v>
      </c>
      <c r="H1884" t="s">
        <v>75</v>
      </c>
      <c r="I1884">
        <v>8</v>
      </c>
      <c r="J1884">
        <v>6931</v>
      </c>
      <c r="K1884">
        <v>0.05</v>
      </c>
      <c r="L1884">
        <v>52675.6</v>
      </c>
      <c r="M1884">
        <v>30658.07</v>
      </c>
      <c r="N1884">
        <v>22017.53</v>
      </c>
      <c r="O1884" t="s">
        <v>80</v>
      </c>
      <c r="P1884" t="s">
        <v>81</v>
      </c>
    </row>
    <row r="1885" spans="1:16" x14ac:dyDescent="0.25">
      <c r="A1885">
        <v>1884</v>
      </c>
      <c r="B1885" s="2">
        <v>45709</v>
      </c>
      <c r="C1885" t="s">
        <v>23</v>
      </c>
      <c r="D1885" t="s">
        <v>27</v>
      </c>
      <c r="E1885" t="s">
        <v>28</v>
      </c>
      <c r="F1885" t="s">
        <v>54</v>
      </c>
      <c r="G1885" t="s">
        <v>72</v>
      </c>
      <c r="H1885" t="s">
        <v>73</v>
      </c>
      <c r="I1885">
        <v>1</v>
      </c>
      <c r="J1885">
        <v>2410</v>
      </c>
      <c r="K1885">
        <v>0.15</v>
      </c>
      <c r="L1885">
        <v>2048.5</v>
      </c>
      <c r="M1885">
        <v>1237.22</v>
      </c>
      <c r="N1885">
        <v>811.28</v>
      </c>
      <c r="O1885" t="s">
        <v>80</v>
      </c>
      <c r="P1885" t="s">
        <v>81</v>
      </c>
    </row>
    <row r="1886" spans="1:16" x14ac:dyDescent="0.25">
      <c r="A1886">
        <v>1885</v>
      </c>
      <c r="B1886" s="2">
        <v>45660</v>
      </c>
      <c r="C1886" t="s">
        <v>16</v>
      </c>
      <c r="D1886" t="s">
        <v>24</v>
      </c>
      <c r="E1886" t="s">
        <v>33</v>
      </c>
      <c r="F1886" t="s">
        <v>46</v>
      </c>
      <c r="G1886" t="s">
        <v>70</v>
      </c>
      <c r="H1886" t="s">
        <v>73</v>
      </c>
      <c r="I1886">
        <v>3</v>
      </c>
      <c r="J1886">
        <v>23815</v>
      </c>
      <c r="K1886">
        <v>0.1</v>
      </c>
      <c r="L1886">
        <v>64300.5</v>
      </c>
      <c r="M1886">
        <v>37344.22</v>
      </c>
      <c r="N1886">
        <v>26956.28</v>
      </c>
      <c r="O1886" t="s">
        <v>76</v>
      </c>
      <c r="P1886" t="s">
        <v>84</v>
      </c>
    </row>
    <row r="1887" spans="1:16" x14ac:dyDescent="0.25">
      <c r="A1887">
        <v>1886</v>
      </c>
      <c r="B1887" s="2">
        <v>45691</v>
      </c>
      <c r="C1887" t="s">
        <v>19</v>
      </c>
      <c r="D1887" t="s">
        <v>26</v>
      </c>
      <c r="E1887" t="s">
        <v>32</v>
      </c>
      <c r="F1887" t="s">
        <v>62</v>
      </c>
      <c r="G1887" t="s">
        <v>72</v>
      </c>
      <c r="H1887" t="s">
        <v>75</v>
      </c>
      <c r="I1887">
        <v>6</v>
      </c>
      <c r="J1887">
        <v>24867</v>
      </c>
      <c r="K1887">
        <v>0.05</v>
      </c>
      <c r="L1887">
        <v>141741.9</v>
      </c>
      <c r="M1887">
        <v>116367.26</v>
      </c>
      <c r="N1887">
        <v>25374.639999999999</v>
      </c>
      <c r="O1887" t="s">
        <v>80</v>
      </c>
      <c r="P1887" t="s">
        <v>82</v>
      </c>
    </row>
    <row r="1888" spans="1:16" x14ac:dyDescent="0.25">
      <c r="A1888">
        <v>1887</v>
      </c>
      <c r="B1888" s="2">
        <v>45694</v>
      </c>
      <c r="C1888" t="s">
        <v>17</v>
      </c>
      <c r="D1888" t="s">
        <v>25</v>
      </c>
      <c r="E1888" t="s">
        <v>33</v>
      </c>
      <c r="F1888" t="s">
        <v>41</v>
      </c>
      <c r="G1888" t="s">
        <v>72</v>
      </c>
      <c r="H1888" t="s">
        <v>75</v>
      </c>
      <c r="I1888">
        <v>1</v>
      </c>
      <c r="J1888">
        <v>5312</v>
      </c>
      <c r="K1888">
        <v>0.2</v>
      </c>
      <c r="L1888">
        <v>4249.6000000000004</v>
      </c>
      <c r="M1888">
        <v>3403.96</v>
      </c>
      <c r="N1888">
        <v>845.64</v>
      </c>
      <c r="O1888" t="s">
        <v>78</v>
      </c>
      <c r="P1888" t="s">
        <v>86</v>
      </c>
    </row>
    <row r="1889" spans="1:16" x14ac:dyDescent="0.25">
      <c r="A1889">
        <v>1888</v>
      </c>
      <c r="B1889" s="2">
        <v>45974</v>
      </c>
      <c r="C1889" t="s">
        <v>21</v>
      </c>
      <c r="D1889" t="s">
        <v>24</v>
      </c>
      <c r="E1889" t="s">
        <v>28</v>
      </c>
      <c r="F1889" t="s">
        <v>61</v>
      </c>
      <c r="G1889" t="s">
        <v>71</v>
      </c>
      <c r="H1889" t="s">
        <v>75</v>
      </c>
      <c r="I1889">
        <v>5</v>
      </c>
      <c r="J1889">
        <v>2285</v>
      </c>
      <c r="K1889">
        <v>0.1</v>
      </c>
      <c r="L1889">
        <v>10282.5</v>
      </c>
      <c r="M1889">
        <v>8118.53</v>
      </c>
      <c r="N1889">
        <v>2163.9699999999998</v>
      </c>
      <c r="O1889" t="s">
        <v>77</v>
      </c>
      <c r="P1889" t="s">
        <v>88</v>
      </c>
    </row>
    <row r="1890" spans="1:16" x14ac:dyDescent="0.25">
      <c r="A1890">
        <v>1889</v>
      </c>
      <c r="B1890" s="2">
        <v>45980</v>
      </c>
      <c r="C1890" t="s">
        <v>23</v>
      </c>
      <c r="D1890" t="s">
        <v>27</v>
      </c>
      <c r="E1890" t="s">
        <v>32</v>
      </c>
      <c r="F1890" t="s">
        <v>49</v>
      </c>
      <c r="G1890" t="s">
        <v>70</v>
      </c>
      <c r="H1890" t="s">
        <v>73</v>
      </c>
      <c r="I1890">
        <v>4</v>
      </c>
      <c r="J1890">
        <v>16602</v>
      </c>
      <c r="K1890">
        <v>0.1</v>
      </c>
      <c r="L1890">
        <v>59767.199999999997</v>
      </c>
      <c r="M1890">
        <v>41332.51</v>
      </c>
      <c r="N1890">
        <v>18434.689999999999</v>
      </c>
      <c r="O1890" t="s">
        <v>77</v>
      </c>
      <c r="P1890" t="s">
        <v>88</v>
      </c>
    </row>
    <row r="1891" spans="1:16" x14ac:dyDescent="0.25">
      <c r="A1891">
        <v>1890</v>
      </c>
      <c r="B1891" s="2">
        <v>45719</v>
      </c>
      <c r="C1891" t="s">
        <v>23</v>
      </c>
      <c r="D1891" t="s">
        <v>27</v>
      </c>
      <c r="E1891" t="s">
        <v>29</v>
      </c>
      <c r="F1891" t="s">
        <v>53</v>
      </c>
      <c r="G1891" t="s">
        <v>71</v>
      </c>
      <c r="H1891" t="s">
        <v>75</v>
      </c>
      <c r="I1891">
        <v>1</v>
      </c>
      <c r="J1891">
        <v>5620</v>
      </c>
      <c r="K1891">
        <v>0.1</v>
      </c>
      <c r="L1891">
        <v>5058</v>
      </c>
      <c r="M1891">
        <v>2844.09</v>
      </c>
      <c r="N1891">
        <v>2213.91</v>
      </c>
      <c r="O1891" t="s">
        <v>76</v>
      </c>
      <c r="P1891" t="s">
        <v>88</v>
      </c>
    </row>
    <row r="1892" spans="1:16" x14ac:dyDescent="0.25">
      <c r="A1892">
        <v>1891</v>
      </c>
      <c r="B1892" s="2">
        <v>45832</v>
      </c>
      <c r="C1892" t="s">
        <v>21</v>
      </c>
      <c r="D1892" t="s">
        <v>24</v>
      </c>
      <c r="E1892" t="s">
        <v>33</v>
      </c>
      <c r="F1892" t="s">
        <v>60</v>
      </c>
      <c r="G1892" t="s">
        <v>72</v>
      </c>
      <c r="H1892" t="s">
        <v>74</v>
      </c>
      <c r="I1892">
        <v>7</v>
      </c>
      <c r="J1892">
        <v>5383</v>
      </c>
      <c r="K1892">
        <v>0</v>
      </c>
      <c r="L1892">
        <v>37681</v>
      </c>
      <c r="M1892">
        <v>28399.54</v>
      </c>
      <c r="N1892">
        <v>9281.4599999999991</v>
      </c>
      <c r="O1892" t="s">
        <v>76</v>
      </c>
      <c r="P1892" t="s">
        <v>86</v>
      </c>
    </row>
    <row r="1893" spans="1:16" x14ac:dyDescent="0.25">
      <c r="A1893">
        <v>1892</v>
      </c>
      <c r="B1893" s="2">
        <v>45908</v>
      </c>
      <c r="C1893" t="s">
        <v>20</v>
      </c>
      <c r="D1893" t="s">
        <v>26</v>
      </c>
      <c r="E1893" t="s">
        <v>32</v>
      </c>
      <c r="F1893" t="s">
        <v>39</v>
      </c>
      <c r="G1893" t="s">
        <v>72</v>
      </c>
      <c r="H1893" t="s">
        <v>73</v>
      </c>
      <c r="I1893">
        <v>4</v>
      </c>
      <c r="J1893">
        <v>6788</v>
      </c>
      <c r="K1893">
        <v>0.1</v>
      </c>
      <c r="L1893">
        <v>24436.799999999999</v>
      </c>
      <c r="M1893">
        <v>20987.74</v>
      </c>
      <c r="N1893">
        <v>3449.06</v>
      </c>
      <c r="O1893" t="s">
        <v>78</v>
      </c>
      <c r="P1893" t="s">
        <v>84</v>
      </c>
    </row>
    <row r="1894" spans="1:16" x14ac:dyDescent="0.25">
      <c r="A1894">
        <v>1893</v>
      </c>
      <c r="B1894" s="2">
        <v>45768</v>
      </c>
      <c r="C1894" t="s">
        <v>19</v>
      </c>
      <c r="D1894" t="s">
        <v>26</v>
      </c>
      <c r="E1894" t="s">
        <v>29</v>
      </c>
      <c r="F1894" t="s">
        <v>45</v>
      </c>
      <c r="G1894" t="s">
        <v>72</v>
      </c>
      <c r="H1894" t="s">
        <v>75</v>
      </c>
      <c r="I1894">
        <v>7</v>
      </c>
      <c r="J1894">
        <v>4315</v>
      </c>
      <c r="K1894">
        <v>0.15</v>
      </c>
      <c r="L1894">
        <v>25674.25</v>
      </c>
      <c r="M1894">
        <v>16992.400000000001</v>
      </c>
      <c r="N1894">
        <v>8681.85</v>
      </c>
      <c r="O1894" t="s">
        <v>78</v>
      </c>
      <c r="P1894" t="s">
        <v>86</v>
      </c>
    </row>
    <row r="1895" spans="1:16" x14ac:dyDescent="0.25">
      <c r="A1895">
        <v>1894</v>
      </c>
      <c r="B1895" s="2">
        <v>45803</v>
      </c>
      <c r="C1895" t="s">
        <v>20</v>
      </c>
      <c r="D1895" t="s">
        <v>26</v>
      </c>
      <c r="E1895" t="s">
        <v>34</v>
      </c>
      <c r="F1895" t="s">
        <v>68</v>
      </c>
      <c r="G1895" t="s">
        <v>72</v>
      </c>
      <c r="H1895" t="s">
        <v>74</v>
      </c>
      <c r="I1895">
        <v>4</v>
      </c>
      <c r="J1895">
        <v>3195</v>
      </c>
      <c r="K1895">
        <v>0.1</v>
      </c>
      <c r="L1895">
        <v>11502</v>
      </c>
      <c r="M1895">
        <v>7739.62</v>
      </c>
      <c r="N1895">
        <v>3762.38</v>
      </c>
      <c r="O1895" t="s">
        <v>79</v>
      </c>
      <c r="P1895" t="s">
        <v>85</v>
      </c>
    </row>
    <row r="1896" spans="1:16" x14ac:dyDescent="0.25">
      <c r="A1896">
        <v>1895</v>
      </c>
      <c r="B1896" s="2">
        <v>45710</v>
      </c>
      <c r="C1896" t="s">
        <v>20</v>
      </c>
      <c r="D1896" t="s">
        <v>26</v>
      </c>
      <c r="E1896" t="s">
        <v>34</v>
      </c>
      <c r="F1896" t="s">
        <v>68</v>
      </c>
      <c r="G1896" t="s">
        <v>70</v>
      </c>
      <c r="H1896" t="s">
        <v>75</v>
      </c>
      <c r="I1896">
        <v>7</v>
      </c>
      <c r="J1896">
        <v>2662</v>
      </c>
      <c r="K1896">
        <v>0.05</v>
      </c>
      <c r="L1896">
        <v>17702.3</v>
      </c>
      <c r="M1896">
        <v>13606.07</v>
      </c>
      <c r="N1896">
        <v>4096.2299999999996</v>
      </c>
      <c r="O1896" t="s">
        <v>76</v>
      </c>
      <c r="P1896" t="s">
        <v>88</v>
      </c>
    </row>
    <row r="1897" spans="1:16" x14ac:dyDescent="0.25">
      <c r="A1897">
        <v>1896</v>
      </c>
      <c r="B1897" s="2">
        <v>45943</v>
      </c>
      <c r="C1897" t="s">
        <v>16</v>
      </c>
      <c r="D1897" t="s">
        <v>24</v>
      </c>
      <c r="E1897" t="s">
        <v>32</v>
      </c>
      <c r="F1897" t="s">
        <v>48</v>
      </c>
      <c r="G1897" t="s">
        <v>70</v>
      </c>
      <c r="H1897" t="s">
        <v>75</v>
      </c>
      <c r="I1897">
        <v>6</v>
      </c>
      <c r="J1897">
        <v>21919</v>
      </c>
      <c r="K1897">
        <v>0</v>
      </c>
      <c r="L1897">
        <v>131514</v>
      </c>
      <c r="M1897">
        <v>98056.87</v>
      </c>
      <c r="N1897">
        <v>33457.129999999997</v>
      </c>
      <c r="O1897" t="s">
        <v>79</v>
      </c>
      <c r="P1897" t="s">
        <v>85</v>
      </c>
    </row>
    <row r="1898" spans="1:16" x14ac:dyDescent="0.25">
      <c r="A1898">
        <v>1897</v>
      </c>
      <c r="B1898" s="2">
        <v>45730</v>
      </c>
      <c r="C1898" t="s">
        <v>20</v>
      </c>
      <c r="D1898" t="s">
        <v>26</v>
      </c>
      <c r="E1898" t="s">
        <v>28</v>
      </c>
      <c r="F1898" t="s">
        <v>58</v>
      </c>
      <c r="G1898" t="s">
        <v>72</v>
      </c>
      <c r="H1898" t="s">
        <v>75</v>
      </c>
      <c r="I1898">
        <v>2</v>
      </c>
      <c r="J1898">
        <v>1580</v>
      </c>
      <c r="K1898">
        <v>0</v>
      </c>
      <c r="L1898">
        <v>3160</v>
      </c>
      <c r="M1898">
        <v>2561.37</v>
      </c>
      <c r="N1898">
        <v>598.63</v>
      </c>
      <c r="O1898" t="s">
        <v>78</v>
      </c>
      <c r="P1898" t="s">
        <v>84</v>
      </c>
    </row>
    <row r="1899" spans="1:16" x14ac:dyDescent="0.25">
      <c r="A1899">
        <v>1898</v>
      </c>
      <c r="B1899" s="2">
        <v>45679</v>
      </c>
      <c r="C1899" t="s">
        <v>18</v>
      </c>
      <c r="D1899" t="s">
        <v>26</v>
      </c>
      <c r="E1899" t="s">
        <v>30</v>
      </c>
      <c r="F1899" t="s">
        <v>56</v>
      </c>
      <c r="G1899" t="s">
        <v>71</v>
      </c>
      <c r="H1899" t="s">
        <v>74</v>
      </c>
      <c r="I1899">
        <v>3</v>
      </c>
      <c r="J1899">
        <v>11007</v>
      </c>
      <c r="K1899">
        <v>0.05</v>
      </c>
      <c r="L1899">
        <v>31369.95</v>
      </c>
      <c r="M1899">
        <v>25993.919999999998</v>
      </c>
      <c r="N1899">
        <v>5376.03</v>
      </c>
      <c r="O1899" t="s">
        <v>80</v>
      </c>
      <c r="P1899" t="s">
        <v>87</v>
      </c>
    </row>
    <row r="1900" spans="1:16" x14ac:dyDescent="0.25">
      <c r="A1900">
        <v>1899</v>
      </c>
      <c r="B1900" s="2">
        <v>45703</v>
      </c>
      <c r="C1900" t="s">
        <v>16</v>
      </c>
      <c r="D1900" t="s">
        <v>24</v>
      </c>
      <c r="E1900" t="s">
        <v>31</v>
      </c>
      <c r="F1900" t="s">
        <v>47</v>
      </c>
      <c r="G1900" t="s">
        <v>72</v>
      </c>
      <c r="H1900" t="s">
        <v>74</v>
      </c>
      <c r="I1900">
        <v>2</v>
      </c>
      <c r="J1900">
        <v>739</v>
      </c>
      <c r="K1900">
        <v>0</v>
      </c>
      <c r="L1900">
        <v>1478</v>
      </c>
      <c r="M1900">
        <v>1012.17</v>
      </c>
      <c r="N1900">
        <v>465.83</v>
      </c>
      <c r="O1900" t="s">
        <v>79</v>
      </c>
      <c r="P1900" t="s">
        <v>81</v>
      </c>
    </row>
    <row r="1901" spans="1:16" x14ac:dyDescent="0.25">
      <c r="A1901">
        <v>1900</v>
      </c>
      <c r="B1901" s="2">
        <v>45952</v>
      </c>
      <c r="C1901" t="s">
        <v>21</v>
      </c>
      <c r="D1901" t="s">
        <v>24</v>
      </c>
      <c r="E1901" t="s">
        <v>31</v>
      </c>
      <c r="F1901" t="s">
        <v>38</v>
      </c>
      <c r="G1901" t="s">
        <v>70</v>
      </c>
      <c r="H1901" t="s">
        <v>74</v>
      </c>
      <c r="I1901">
        <v>4</v>
      </c>
      <c r="J1901">
        <v>1424</v>
      </c>
      <c r="K1901">
        <v>0</v>
      </c>
      <c r="L1901">
        <v>5696</v>
      </c>
      <c r="M1901">
        <v>3592.41</v>
      </c>
      <c r="N1901">
        <v>2103.59</v>
      </c>
      <c r="O1901" t="s">
        <v>77</v>
      </c>
      <c r="P1901" t="s">
        <v>88</v>
      </c>
    </row>
    <row r="1902" spans="1:16" x14ac:dyDescent="0.25">
      <c r="A1902">
        <v>1901</v>
      </c>
      <c r="B1902" s="2">
        <v>45831</v>
      </c>
      <c r="C1902" t="s">
        <v>21</v>
      </c>
      <c r="D1902" t="s">
        <v>24</v>
      </c>
      <c r="E1902" t="s">
        <v>29</v>
      </c>
      <c r="F1902" t="s">
        <v>53</v>
      </c>
      <c r="G1902" t="s">
        <v>70</v>
      </c>
      <c r="H1902" t="s">
        <v>75</v>
      </c>
      <c r="I1902">
        <v>6</v>
      </c>
      <c r="J1902">
        <v>558</v>
      </c>
      <c r="K1902">
        <v>0</v>
      </c>
      <c r="L1902">
        <v>3348</v>
      </c>
      <c r="M1902">
        <v>2881.92</v>
      </c>
      <c r="N1902">
        <v>466.08</v>
      </c>
      <c r="O1902" t="s">
        <v>77</v>
      </c>
      <c r="P1902" t="s">
        <v>85</v>
      </c>
    </row>
    <row r="1903" spans="1:16" x14ac:dyDescent="0.25">
      <c r="A1903">
        <v>1902</v>
      </c>
      <c r="B1903" s="2">
        <v>45895</v>
      </c>
      <c r="C1903" t="s">
        <v>21</v>
      </c>
      <c r="D1903" t="s">
        <v>24</v>
      </c>
      <c r="E1903" t="s">
        <v>31</v>
      </c>
      <c r="F1903" t="s">
        <v>38</v>
      </c>
      <c r="G1903" t="s">
        <v>72</v>
      </c>
      <c r="H1903" t="s">
        <v>75</v>
      </c>
      <c r="I1903">
        <v>5</v>
      </c>
      <c r="J1903">
        <v>988</v>
      </c>
      <c r="K1903">
        <v>0.2</v>
      </c>
      <c r="L1903">
        <v>3952</v>
      </c>
      <c r="M1903">
        <v>2545.6999999999998</v>
      </c>
      <c r="N1903">
        <v>1406.3</v>
      </c>
      <c r="O1903" t="s">
        <v>80</v>
      </c>
      <c r="P1903" t="s">
        <v>81</v>
      </c>
    </row>
    <row r="1904" spans="1:16" x14ac:dyDescent="0.25">
      <c r="A1904">
        <v>1903</v>
      </c>
      <c r="B1904" s="2">
        <v>45882</v>
      </c>
      <c r="C1904" t="s">
        <v>17</v>
      </c>
      <c r="D1904" t="s">
        <v>25</v>
      </c>
      <c r="E1904" t="s">
        <v>29</v>
      </c>
      <c r="F1904" t="s">
        <v>36</v>
      </c>
      <c r="G1904" t="s">
        <v>70</v>
      </c>
      <c r="H1904" t="s">
        <v>74</v>
      </c>
      <c r="I1904">
        <v>1</v>
      </c>
      <c r="J1904">
        <v>5423</v>
      </c>
      <c r="K1904">
        <v>0.1</v>
      </c>
      <c r="L1904">
        <v>4880.7</v>
      </c>
      <c r="M1904">
        <v>2895.88</v>
      </c>
      <c r="N1904">
        <v>1984.82</v>
      </c>
      <c r="O1904" t="s">
        <v>77</v>
      </c>
      <c r="P1904" t="s">
        <v>88</v>
      </c>
    </row>
    <row r="1905" spans="1:16" x14ac:dyDescent="0.25">
      <c r="A1905">
        <v>1904</v>
      </c>
      <c r="B1905" s="2">
        <v>45869</v>
      </c>
      <c r="C1905" t="s">
        <v>20</v>
      </c>
      <c r="D1905" t="s">
        <v>26</v>
      </c>
      <c r="E1905" t="s">
        <v>34</v>
      </c>
      <c r="F1905" t="s">
        <v>55</v>
      </c>
      <c r="G1905" t="s">
        <v>71</v>
      </c>
      <c r="H1905" t="s">
        <v>75</v>
      </c>
      <c r="I1905">
        <v>5</v>
      </c>
      <c r="J1905">
        <v>1904</v>
      </c>
      <c r="K1905">
        <v>0.05</v>
      </c>
      <c r="L1905">
        <v>9044</v>
      </c>
      <c r="M1905">
        <v>5191.05</v>
      </c>
      <c r="N1905">
        <v>3852.95</v>
      </c>
      <c r="O1905" t="s">
        <v>78</v>
      </c>
      <c r="P1905" t="s">
        <v>83</v>
      </c>
    </row>
    <row r="1906" spans="1:16" x14ac:dyDescent="0.25">
      <c r="A1906">
        <v>1905</v>
      </c>
      <c r="B1906" s="2">
        <v>45803</v>
      </c>
      <c r="C1906" t="s">
        <v>23</v>
      </c>
      <c r="D1906" t="s">
        <v>27</v>
      </c>
      <c r="E1906" t="s">
        <v>34</v>
      </c>
      <c r="F1906" t="s">
        <v>51</v>
      </c>
      <c r="G1906" t="s">
        <v>72</v>
      </c>
      <c r="H1906" t="s">
        <v>75</v>
      </c>
      <c r="I1906">
        <v>5</v>
      </c>
      <c r="J1906">
        <v>4074</v>
      </c>
      <c r="K1906">
        <v>0.05</v>
      </c>
      <c r="L1906">
        <v>19351.5</v>
      </c>
      <c r="M1906">
        <v>12213.2</v>
      </c>
      <c r="N1906">
        <v>7138.3</v>
      </c>
      <c r="O1906" t="s">
        <v>77</v>
      </c>
      <c r="P1906" t="s">
        <v>84</v>
      </c>
    </row>
    <row r="1907" spans="1:16" x14ac:dyDescent="0.25">
      <c r="A1907">
        <v>1906</v>
      </c>
      <c r="B1907" s="2">
        <v>45705</v>
      </c>
      <c r="C1907" t="s">
        <v>23</v>
      </c>
      <c r="D1907" t="s">
        <v>27</v>
      </c>
      <c r="E1907" t="s">
        <v>31</v>
      </c>
      <c r="F1907" t="s">
        <v>38</v>
      </c>
      <c r="G1907" t="s">
        <v>70</v>
      </c>
      <c r="H1907" t="s">
        <v>74</v>
      </c>
      <c r="I1907">
        <v>3</v>
      </c>
      <c r="J1907">
        <v>1171</v>
      </c>
      <c r="K1907">
        <v>0.05</v>
      </c>
      <c r="L1907">
        <v>3337.35</v>
      </c>
      <c r="M1907">
        <v>1983.62</v>
      </c>
      <c r="N1907">
        <v>1353.73</v>
      </c>
      <c r="O1907" t="s">
        <v>77</v>
      </c>
      <c r="P1907" t="s">
        <v>81</v>
      </c>
    </row>
    <row r="1908" spans="1:16" x14ac:dyDescent="0.25">
      <c r="A1908">
        <v>1907</v>
      </c>
      <c r="B1908" s="2">
        <v>45990</v>
      </c>
      <c r="C1908" t="s">
        <v>19</v>
      </c>
      <c r="D1908" t="s">
        <v>26</v>
      </c>
      <c r="E1908" t="s">
        <v>30</v>
      </c>
      <c r="F1908" t="s">
        <v>40</v>
      </c>
      <c r="G1908" t="s">
        <v>71</v>
      </c>
      <c r="H1908" t="s">
        <v>73</v>
      </c>
      <c r="I1908">
        <v>4</v>
      </c>
      <c r="J1908">
        <v>47142</v>
      </c>
      <c r="K1908">
        <v>0.05</v>
      </c>
      <c r="L1908">
        <v>179139.6</v>
      </c>
      <c r="M1908">
        <v>122840.63</v>
      </c>
      <c r="N1908">
        <v>56298.97</v>
      </c>
      <c r="O1908" t="s">
        <v>77</v>
      </c>
      <c r="P1908" t="s">
        <v>84</v>
      </c>
    </row>
    <row r="1909" spans="1:16" x14ac:dyDescent="0.25">
      <c r="A1909">
        <v>1908</v>
      </c>
      <c r="B1909" s="2">
        <v>46013</v>
      </c>
      <c r="C1909" t="s">
        <v>16</v>
      </c>
      <c r="D1909" t="s">
        <v>24</v>
      </c>
      <c r="E1909" t="s">
        <v>33</v>
      </c>
      <c r="F1909" t="s">
        <v>41</v>
      </c>
      <c r="G1909" t="s">
        <v>71</v>
      </c>
      <c r="H1909" t="s">
        <v>73</v>
      </c>
      <c r="I1909">
        <v>8</v>
      </c>
      <c r="J1909">
        <v>46319</v>
      </c>
      <c r="K1909">
        <v>0.2</v>
      </c>
      <c r="L1909">
        <v>296441.59999999998</v>
      </c>
      <c r="M1909">
        <v>236125.32</v>
      </c>
      <c r="N1909">
        <v>60316.28</v>
      </c>
      <c r="O1909" t="s">
        <v>79</v>
      </c>
      <c r="P1909" t="s">
        <v>83</v>
      </c>
    </row>
    <row r="1910" spans="1:16" x14ac:dyDescent="0.25">
      <c r="A1910">
        <v>1909</v>
      </c>
      <c r="B1910" s="2">
        <v>45940</v>
      </c>
      <c r="C1910" t="s">
        <v>20</v>
      </c>
      <c r="D1910" t="s">
        <v>26</v>
      </c>
      <c r="E1910" t="s">
        <v>33</v>
      </c>
      <c r="F1910" t="s">
        <v>59</v>
      </c>
      <c r="G1910" t="s">
        <v>71</v>
      </c>
      <c r="H1910" t="s">
        <v>75</v>
      </c>
      <c r="I1910">
        <v>8</v>
      </c>
      <c r="J1910">
        <v>47397</v>
      </c>
      <c r="K1910">
        <v>0.15</v>
      </c>
      <c r="L1910">
        <v>322299.59999999998</v>
      </c>
      <c r="M1910">
        <v>228291.85</v>
      </c>
      <c r="N1910">
        <v>94007.75</v>
      </c>
      <c r="O1910" t="s">
        <v>79</v>
      </c>
      <c r="P1910" t="s">
        <v>86</v>
      </c>
    </row>
    <row r="1911" spans="1:16" x14ac:dyDescent="0.25">
      <c r="A1911">
        <v>1910</v>
      </c>
      <c r="B1911" s="2">
        <v>45971</v>
      </c>
      <c r="C1911" t="s">
        <v>20</v>
      </c>
      <c r="D1911" t="s">
        <v>26</v>
      </c>
      <c r="E1911" t="s">
        <v>29</v>
      </c>
      <c r="F1911" t="s">
        <v>42</v>
      </c>
      <c r="G1911" t="s">
        <v>72</v>
      </c>
      <c r="H1911" t="s">
        <v>73</v>
      </c>
      <c r="I1911">
        <v>4</v>
      </c>
      <c r="J1911">
        <v>933</v>
      </c>
      <c r="K1911">
        <v>0.1</v>
      </c>
      <c r="L1911">
        <v>3358.8</v>
      </c>
      <c r="M1911">
        <v>2101.7600000000002</v>
      </c>
      <c r="N1911">
        <v>1257.04</v>
      </c>
      <c r="O1911" t="s">
        <v>76</v>
      </c>
      <c r="P1911" t="s">
        <v>88</v>
      </c>
    </row>
    <row r="1912" spans="1:16" x14ac:dyDescent="0.25">
      <c r="A1912">
        <v>1911</v>
      </c>
      <c r="B1912" s="2">
        <v>45886</v>
      </c>
      <c r="C1912" t="s">
        <v>18</v>
      </c>
      <c r="D1912" t="s">
        <v>26</v>
      </c>
      <c r="E1912" t="s">
        <v>32</v>
      </c>
      <c r="F1912" t="s">
        <v>49</v>
      </c>
      <c r="G1912" t="s">
        <v>70</v>
      </c>
      <c r="H1912" t="s">
        <v>73</v>
      </c>
      <c r="I1912">
        <v>7</v>
      </c>
      <c r="J1912">
        <v>10041</v>
      </c>
      <c r="K1912">
        <v>0.05</v>
      </c>
      <c r="L1912">
        <v>66772.649999999994</v>
      </c>
      <c r="M1912">
        <v>41538.67</v>
      </c>
      <c r="N1912">
        <v>25233.98</v>
      </c>
      <c r="O1912" t="s">
        <v>78</v>
      </c>
      <c r="P1912" t="s">
        <v>83</v>
      </c>
    </row>
    <row r="1913" spans="1:16" x14ac:dyDescent="0.25">
      <c r="A1913">
        <v>1912</v>
      </c>
      <c r="B1913" s="2">
        <v>45970</v>
      </c>
      <c r="C1913" t="s">
        <v>17</v>
      </c>
      <c r="D1913" t="s">
        <v>25</v>
      </c>
      <c r="E1913" t="s">
        <v>34</v>
      </c>
      <c r="F1913" t="s">
        <v>43</v>
      </c>
      <c r="G1913" t="s">
        <v>72</v>
      </c>
      <c r="H1913" t="s">
        <v>73</v>
      </c>
      <c r="I1913">
        <v>3</v>
      </c>
      <c r="J1913">
        <v>893</v>
      </c>
      <c r="K1913">
        <v>0</v>
      </c>
      <c r="L1913">
        <v>2679</v>
      </c>
      <c r="M1913">
        <v>1696.81</v>
      </c>
      <c r="N1913">
        <v>982.19</v>
      </c>
      <c r="O1913" t="s">
        <v>79</v>
      </c>
      <c r="P1913" t="s">
        <v>82</v>
      </c>
    </row>
    <row r="1914" spans="1:16" x14ac:dyDescent="0.25">
      <c r="A1914">
        <v>1913</v>
      </c>
      <c r="B1914" s="2">
        <v>45962</v>
      </c>
      <c r="C1914" t="s">
        <v>23</v>
      </c>
      <c r="D1914" t="s">
        <v>27</v>
      </c>
      <c r="E1914" t="s">
        <v>31</v>
      </c>
      <c r="F1914" t="s">
        <v>38</v>
      </c>
      <c r="G1914" t="s">
        <v>71</v>
      </c>
      <c r="H1914" t="s">
        <v>75</v>
      </c>
      <c r="I1914">
        <v>4</v>
      </c>
      <c r="J1914">
        <v>641</v>
      </c>
      <c r="K1914">
        <v>0.15</v>
      </c>
      <c r="L1914">
        <v>2179.4</v>
      </c>
      <c r="M1914">
        <v>1779.65</v>
      </c>
      <c r="N1914">
        <v>399.75</v>
      </c>
      <c r="O1914" t="s">
        <v>79</v>
      </c>
      <c r="P1914" t="s">
        <v>88</v>
      </c>
    </row>
    <row r="1915" spans="1:16" x14ac:dyDescent="0.25">
      <c r="A1915">
        <v>1914</v>
      </c>
      <c r="B1915" s="2">
        <v>45658</v>
      </c>
      <c r="C1915" t="s">
        <v>18</v>
      </c>
      <c r="D1915" t="s">
        <v>26</v>
      </c>
      <c r="E1915" t="s">
        <v>29</v>
      </c>
      <c r="F1915" t="s">
        <v>45</v>
      </c>
      <c r="G1915" t="s">
        <v>71</v>
      </c>
      <c r="H1915" t="s">
        <v>73</v>
      </c>
      <c r="I1915">
        <v>2</v>
      </c>
      <c r="J1915">
        <v>7119</v>
      </c>
      <c r="K1915">
        <v>0.2</v>
      </c>
      <c r="L1915">
        <v>11390.4</v>
      </c>
      <c r="M1915">
        <v>7132.13</v>
      </c>
      <c r="N1915">
        <v>4258.2700000000004</v>
      </c>
      <c r="O1915" t="s">
        <v>78</v>
      </c>
      <c r="P1915" t="s">
        <v>85</v>
      </c>
    </row>
    <row r="1916" spans="1:16" x14ac:dyDescent="0.25">
      <c r="A1916">
        <v>1915</v>
      </c>
      <c r="B1916" s="2">
        <v>45959</v>
      </c>
      <c r="C1916" t="s">
        <v>19</v>
      </c>
      <c r="D1916" t="s">
        <v>26</v>
      </c>
      <c r="E1916" t="s">
        <v>33</v>
      </c>
      <c r="F1916" t="s">
        <v>41</v>
      </c>
      <c r="G1916" t="s">
        <v>70</v>
      </c>
      <c r="H1916" t="s">
        <v>73</v>
      </c>
      <c r="I1916">
        <v>2</v>
      </c>
      <c r="J1916">
        <v>48221</v>
      </c>
      <c r="K1916">
        <v>0.1</v>
      </c>
      <c r="L1916">
        <v>86797.8</v>
      </c>
      <c r="M1916">
        <v>59642.7</v>
      </c>
      <c r="N1916">
        <v>27155.1</v>
      </c>
      <c r="O1916" t="s">
        <v>79</v>
      </c>
      <c r="P1916" t="s">
        <v>85</v>
      </c>
    </row>
    <row r="1917" spans="1:16" x14ac:dyDescent="0.25">
      <c r="A1917">
        <v>1916</v>
      </c>
      <c r="B1917" s="2">
        <v>45883</v>
      </c>
      <c r="C1917" t="s">
        <v>21</v>
      </c>
      <c r="D1917" t="s">
        <v>24</v>
      </c>
      <c r="E1917" t="s">
        <v>31</v>
      </c>
      <c r="F1917" t="s">
        <v>47</v>
      </c>
      <c r="G1917" t="s">
        <v>72</v>
      </c>
      <c r="H1917" t="s">
        <v>75</v>
      </c>
      <c r="I1917">
        <v>4</v>
      </c>
      <c r="J1917">
        <v>883</v>
      </c>
      <c r="K1917">
        <v>0.05</v>
      </c>
      <c r="L1917">
        <v>3355.4</v>
      </c>
      <c r="M1917">
        <v>2099.92</v>
      </c>
      <c r="N1917">
        <v>1255.48</v>
      </c>
      <c r="O1917" t="s">
        <v>78</v>
      </c>
      <c r="P1917" t="s">
        <v>86</v>
      </c>
    </row>
    <row r="1918" spans="1:16" x14ac:dyDescent="0.25">
      <c r="A1918">
        <v>1917</v>
      </c>
      <c r="B1918" s="2">
        <v>45809</v>
      </c>
      <c r="C1918" t="s">
        <v>20</v>
      </c>
      <c r="D1918" t="s">
        <v>26</v>
      </c>
      <c r="E1918" t="s">
        <v>29</v>
      </c>
      <c r="F1918" t="s">
        <v>53</v>
      </c>
      <c r="G1918" t="s">
        <v>70</v>
      </c>
      <c r="H1918" t="s">
        <v>75</v>
      </c>
      <c r="I1918">
        <v>5</v>
      </c>
      <c r="J1918">
        <v>9940</v>
      </c>
      <c r="K1918">
        <v>0.1</v>
      </c>
      <c r="L1918">
        <v>44730</v>
      </c>
      <c r="M1918">
        <v>37744</v>
      </c>
      <c r="N1918">
        <v>6986</v>
      </c>
      <c r="O1918" t="s">
        <v>78</v>
      </c>
      <c r="P1918" t="s">
        <v>82</v>
      </c>
    </row>
    <row r="1919" spans="1:16" x14ac:dyDescent="0.25">
      <c r="A1919">
        <v>1918</v>
      </c>
      <c r="B1919" s="2">
        <v>45812</v>
      </c>
      <c r="C1919" t="s">
        <v>20</v>
      </c>
      <c r="D1919" t="s">
        <v>26</v>
      </c>
      <c r="E1919" t="s">
        <v>31</v>
      </c>
      <c r="F1919" t="s">
        <v>47</v>
      </c>
      <c r="G1919" t="s">
        <v>70</v>
      </c>
      <c r="H1919" t="s">
        <v>74</v>
      </c>
      <c r="I1919">
        <v>3</v>
      </c>
      <c r="J1919">
        <v>1610</v>
      </c>
      <c r="K1919">
        <v>0.1</v>
      </c>
      <c r="L1919">
        <v>4347</v>
      </c>
      <c r="M1919">
        <v>3708.77</v>
      </c>
      <c r="N1919">
        <v>638.23</v>
      </c>
      <c r="O1919" t="s">
        <v>79</v>
      </c>
      <c r="P1919" t="s">
        <v>86</v>
      </c>
    </row>
    <row r="1920" spans="1:16" x14ac:dyDescent="0.25">
      <c r="A1920">
        <v>1919</v>
      </c>
      <c r="B1920" s="2">
        <v>45672</v>
      </c>
      <c r="C1920" t="s">
        <v>21</v>
      </c>
      <c r="D1920" t="s">
        <v>24</v>
      </c>
      <c r="E1920" t="s">
        <v>30</v>
      </c>
      <c r="F1920" t="s">
        <v>40</v>
      </c>
      <c r="G1920" t="s">
        <v>70</v>
      </c>
      <c r="H1920" t="s">
        <v>75</v>
      </c>
      <c r="I1920">
        <v>3</v>
      </c>
      <c r="J1920">
        <v>32608</v>
      </c>
      <c r="K1920">
        <v>0</v>
      </c>
      <c r="L1920">
        <v>97824</v>
      </c>
      <c r="M1920">
        <v>67626.37</v>
      </c>
      <c r="N1920">
        <v>30197.63</v>
      </c>
      <c r="O1920" t="s">
        <v>79</v>
      </c>
      <c r="P1920" t="s">
        <v>85</v>
      </c>
    </row>
    <row r="1921" spans="1:16" x14ac:dyDescent="0.25">
      <c r="A1921">
        <v>1920</v>
      </c>
      <c r="B1921" s="2">
        <v>45771</v>
      </c>
      <c r="C1921" t="s">
        <v>18</v>
      </c>
      <c r="D1921" t="s">
        <v>26</v>
      </c>
      <c r="E1921" t="s">
        <v>28</v>
      </c>
      <c r="F1921" t="s">
        <v>63</v>
      </c>
      <c r="G1921" t="s">
        <v>70</v>
      </c>
      <c r="H1921" t="s">
        <v>75</v>
      </c>
      <c r="I1921">
        <v>5</v>
      </c>
      <c r="J1921">
        <v>363</v>
      </c>
      <c r="K1921">
        <v>0</v>
      </c>
      <c r="L1921">
        <v>1815</v>
      </c>
      <c r="M1921">
        <v>1387</v>
      </c>
      <c r="N1921">
        <v>428</v>
      </c>
      <c r="O1921" t="s">
        <v>80</v>
      </c>
      <c r="P1921" t="s">
        <v>85</v>
      </c>
    </row>
    <row r="1922" spans="1:16" x14ac:dyDescent="0.25">
      <c r="A1922">
        <v>1921</v>
      </c>
      <c r="B1922" s="2">
        <v>45778</v>
      </c>
      <c r="C1922" t="s">
        <v>17</v>
      </c>
      <c r="D1922" t="s">
        <v>25</v>
      </c>
      <c r="E1922" t="s">
        <v>28</v>
      </c>
      <c r="F1922" t="s">
        <v>63</v>
      </c>
      <c r="G1922" t="s">
        <v>70</v>
      </c>
      <c r="H1922" t="s">
        <v>73</v>
      </c>
      <c r="I1922">
        <v>7</v>
      </c>
      <c r="J1922">
        <v>2260</v>
      </c>
      <c r="K1922">
        <v>0.05</v>
      </c>
      <c r="L1922">
        <v>15029</v>
      </c>
      <c r="M1922">
        <v>10003.49</v>
      </c>
      <c r="N1922">
        <v>5025.51</v>
      </c>
      <c r="O1922" t="s">
        <v>78</v>
      </c>
      <c r="P1922" t="s">
        <v>86</v>
      </c>
    </row>
    <row r="1923" spans="1:16" x14ac:dyDescent="0.25">
      <c r="A1923">
        <v>1922</v>
      </c>
      <c r="B1923" s="2">
        <v>45951</v>
      </c>
      <c r="C1923" t="s">
        <v>18</v>
      </c>
      <c r="D1923" t="s">
        <v>26</v>
      </c>
      <c r="E1923" t="s">
        <v>33</v>
      </c>
      <c r="F1923" t="s">
        <v>52</v>
      </c>
      <c r="G1923" t="s">
        <v>70</v>
      </c>
      <c r="H1923" t="s">
        <v>74</v>
      </c>
      <c r="I1923">
        <v>7</v>
      </c>
      <c r="J1923">
        <v>17977</v>
      </c>
      <c r="K1923">
        <v>0.15</v>
      </c>
      <c r="L1923">
        <v>106963.15</v>
      </c>
      <c r="M1923">
        <v>87673.08</v>
      </c>
      <c r="N1923">
        <v>19290.07</v>
      </c>
      <c r="O1923" t="s">
        <v>77</v>
      </c>
      <c r="P1923" t="s">
        <v>88</v>
      </c>
    </row>
    <row r="1924" spans="1:16" x14ac:dyDescent="0.25">
      <c r="A1924">
        <v>1923</v>
      </c>
      <c r="B1924" s="2">
        <v>45781</v>
      </c>
      <c r="C1924" t="s">
        <v>19</v>
      </c>
      <c r="D1924" t="s">
        <v>26</v>
      </c>
      <c r="E1924" t="s">
        <v>34</v>
      </c>
      <c r="F1924" t="s">
        <v>68</v>
      </c>
      <c r="G1924" t="s">
        <v>72</v>
      </c>
      <c r="H1924" t="s">
        <v>74</v>
      </c>
      <c r="I1924">
        <v>3</v>
      </c>
      <c r="J1924">
        <v>4887</v>
      </c>
      <c r="K1924">
        <v>0.1</v>
      </c>
      <c r="L1924">
        <v>13194.9</v>
      </c>
      <c r="M1924">
        <v>9910.93</v>
      </c>
      <c r="N1924">
        <v>3283.97</v>
      </c>
      <c r="O1924" t="s">
        <v>80</v>
      </c>
      <c r="P1924" t="s">
        <v>85</v>
      </c>
    </row>
    <row r="1925" spans="1:16" x14ac:dyDescent="0.25">
      <c r="A1925">
        <v>1924</v>
      </c>
      <c r="B1925" s="2">
        <v>45936</v>
      </c>
      <c r="C1925" t="s">
        <v>18</v>
      </c>
      <c r="D1925" t="s">
        <v>26</v>
      </c>
      <c r="E1925" t="s">
        <v>32</v>
      </c>
      <c r="F1925" t="s">
        <v>62</v>
      </c>
      <c r="G1925" t="s">
        <v>70</v>
      </c>
      <c r="H1925" t="s">
        <v>73</v>
      </c>
      <c r="I1925">
        <v>4</v>
      </c>
      <c r="J1925">
        <v>20239</v>
      </c>
      <c r="K1925">
        <v>0</v>
      </c>
      <c r="L1925">
        <v>80956</v>
      </c>
      <c r="M1925">
        <v>63103.17</v>
      </c>
      <c r="N1925">
        <v>17852.830000000002</v>
      </c>
      <c r="O1925" t="s">
        <v>77</v>
      </c>
      <c r="P1925" t="s">
        <v>83</v>
      </c>
    </row>
    <row r="1926" spans="1:16" x14ac:dyDescent="0.25">
      <c r="A1926">
        <v>1925</v>
      </c>
      <c r="B1926" s="2">
        <v>45848</v>
      </c>
      <c r="C1926" t="s">
        <v>20</v>
      </c>
      <c r="D1926" t="s">
        <v>26</v>
      </c>
      <c r="E1926" t="s">
        <v>32</v>
      </c>
      <c r="F1926" t="s">
        <v>39</v>
      </c>
      <c r="G1926" t="s">
        <v>70</v>
      </c>
      <c r="H1926" t="s">
        <v>73</v>
      </c>
      <c r="I1926">
        <v>2</v>
      </c>
      <c r="J1926">
        <v>23865</v>
      </c>
      <c r="K1926">
        <v>0.1</v>
      </c>
      <c r="L1926">
        <v>42957</v>
      </c>
      <c r="M1926">
        <v>26062.25</v>
      </c>
      <c r="N1926">
        <v>16894.75</v>
      </c>
      <c r="O1926" t="s">
        <v>78</v>
      </c>
      <c r="P1926" t="s">
        <v>83</v>
      </c>
    </row>
    <row r="1927" spans="1:16" x14ac:dyDescent="0.25">
      <c r="A1927">
        <v>1926</v>
      </c>
      <c r="B1927" s="2">
        <v>45983</v>
      </c>
      <c r="C1927" t="s">
        <v>20</v>
      </c>
      <c r="D1927" t="s">
        <v>26</v>
      </c>
      <c r="E1927" t="s">
        <v>30</v>
      </c>
      <c r="F1927" t="s">
        <v>37</v>
      </c>
      <c r="G1927" t="s">
        <v>72</v>
      </c>
      <c r="H1927" t="s">
        <v>75</v>
      </c>
      <c r="I1927">
        <v>7</v>
      </c>
      <c r="J1927">
        <v>38444</v>
      </c>
      <c r="K1927">
        <v>0</v>
      </c>
      <c r="L1927">
        <v>269108</v>
      </c>
      <c r="M1927">
        <v>225993.07</v>
      </c>
      <c r="N1927">
        <v>43114.93</v>
      </c>
      <c r="O1927" t="s">
        <v>80</v>
      </c>
      <c r="P1927" t="s">
        <v>84</v>
      </c>
    </row>
    <row r="1928" spans="1:16" x14ac:dyDescent="0.25">
      <c r="A1928">
        <v>1927</v>
      </c>
      <c r="B1928" s="2">
        <v>45835</v>
      </c>
      <c r="C1928" t="s">
        <v>19</v>
      </c>
      <c r="D1928" t="s">
        <v>26</v>
      </c>
      <c r="E1928" t="s">
        <v>29</v>
      </c>
      <c r="F1928" t="s">
        <v>53</v>
      </c>
      <c r="G1928" t="s">
        <v>70</v>
      </c>
      <c r="H1928" t="s">
        <v>73</v>
      </c>
      <c r="I1928">
        <v>6</v>
      </c>
      <c r="J1928">
        <v>7270</v>
      </c>
      <c r="K1928">
        <v>0</v>
      </c>
      <c r="L1928">
        <v>43620</v>
      </c>
      <c r="M1928">
        <v>30877.79</v>
      </c>
      <c r="N1928">
        <v>12742.21</v>
      </c>
      <c r="O1928" t="s">
        <v>79</v>
      </c>
      <c r="P1928" t="s">
        <v>83</v>
      </c>
    </row>
    <row r="1929" spans="1:16" x14ac:dyDescent="0.25">
      <c r="A1929">
        <v>1928</v>
      </c>
      <c r="B1929" s="2">
        <v>45829</v>
      </c>
      <c r="C1929" t="s">
        <v>20</v>
      </c>
      <c r="D1929" t="s">
        <v>26</v>
      </c>
      <c r="E1929" t="s">
        <v>29</v>
      </c>
      <c r="F1929" t="s">
        <v>36</v>
      </c>
      <c r="G1929" t="s">
        <v>72</v>
      </c>
      <c r="H1929" t="s">
        <v>75</v>
      </c>
      <c r="I1929">
        <v>5</v>
      </c>
      <c r="J1929">
        <v>8695</v>
      </c>
      <c r="K1929">
        <v>0.05</v>
      </c>
      <c r="L1929">
        <v>41301.25</v>
      </c>
      <c r="M1929">
        <v>31923.3</v>
      </c>
      <c r="N1929">
        <v>9377.9500000000007</v>
      </c>
      <c r="O1929" t="s">
        <v>78</v>
      </c>
      <c r="P1929" t="s">
        <v>82</v>
      </c>
    </row>
    <row r="1930" spans="1:16" x14ac:dyDescent="0.25">
      <c r="A1930">
        <v>1929</v>
      </c>
      <c r="B1930" s="2">
        <v>45857</v>
      </c>
      <c r="C1930" t="s">
        <v>19</v>
      </c>
      <c r="D1930" t="s">
        <v>26</v>
      </c>
      <c r="E1930" t="s">
        <v>33</v>
      </c>
      <c r="F1930" t="s">
        <v>52</v>
      </c>
      <c r="G1930" t="s">
        <v>70</v>
      </c>
      <c r="H1930" t="s">
        <v>74</v>
      </c>
      <c r="I1930">
        <v>5</v>
      </c>
      <c r="J1930">
        <v>45662</v>
      </c>
      <c r="K1930">
        <v>0</v>
      </c>
      <c r="L1930">
        <v>228310</v>
      </c>
      <c r="M1930">
        <v>161410.82999999999</v>
      </c>
      <c r="N1930">
        <v>66899.17</v>
      </c>
      <c r="O1930" t="s">
        <v>77</v>
      </c>
      <c r="P1930" t="s">
        <v>82</v>
      </c>
    </row>
    <row r="1931" spans="1:16" x14ac:dyDescent="0.25">
      <c r="A1931">
        <v>1930</v>
      </c>
      <c r="B1931" s="2">
        <v>45950</v>
      </c>
      <c r="C1931" t="s">
        <v>20</v>
      </c>
      <c r="D1931" t="s">
        <v>26</v>
      </c>
      <c r="E1931" t="s">
        <v>29</v>
      </c>
      <c r="F1931" t="s">
        <v>53</v>
      </c>
      <c r="G1931" t="s">
        <v>71</v>
      </c>
      <c r="H1931" t="s">
        <v>74</v>
      </c>
      <c r="I1931">
        <v>6</v>
      </c>
      <c r="J1931">
        <v>7367</v>
      </c>
      <c r="K1931">
        <v>0.1</v>
      </c>
      <c r="L1931">
        <v>39781.800000000003</v>
      </c>
      <c r="M1931">
        <v>25031.15</v>
      </c>
      <c r="N1931">
        <v>14750.65</v>
      </c>
      <c r="O1931" t="s">
        <v>79</v>
      </c>
      <c r="P1931" t="s">
        <v>84</v>
      </c>
    </row>
    <row r="1932" spans="1:16" x14ac:dyDescent="0.25">
      <c r="A1932">
        <v>1931</v>
      </c>
      <c r="B1932" s="2">
        <v>45943</v>
      </c>
      <c r="C1932" t="s">
        <v>22</v>
      </c>
      <c r="D1932" t="s">
        <v>24</v>
      </c>
      <c r="E1932" t="s">
        <v>34</v>
      </c>
      <c r="F1932" t="s">
        <v>43</v>
      </c>
      <c r="G1932" t="s">
        <v>70</v>
      </c>
      <c r="H1932" t="s">
        <v>73</v>
      </c>
      <c r="I1932">
        <v>2</v>
      </c>
      <c r="J1932">
        <v>4458</v>
      </c>
      <c r="K1932">
        <v>0.1</v>
      </c>
      <c r="L1932">
        <v>8024.4</v>
      </c>
      <c r="M1932">
        <v>5715.54</v>
      </c>
      <c r="N1932">
        <v>2308.86</v>
      </c>
      <c r="O1932" t="s">
        <v>76</v>
      </c>
      <c r="P1932" t="s">
        <v>87</v>
      </c>
    </row>
    <row r="1933" spans="1:16" x14ac:dyDescent="0.25">
      <c r="A1933">
        <v>1932</v>
      </c>
      <c r="B1933" s="2">
        <v>45837</v>
      </c>
      <c r="C1933" t="s">
        <v>19</v>
      </c>
      <c r="D1933" t="s">
        <v>26</v>
      </c>
      <c r="E1933" t="s">
        <v>33</v>
      </c>
      <c r="F1933" t="s">
        <v>46</v>
      </c>
      <c r="G1933" t="s">
        <v>72</v>
      </c>
      <c r="H1933" t="s">
        <v>73</v>
      </c>
      <c r="I1933">
        <v>3</v>
      </c>
      <c r="J1933">
        <v>31047</v>
      </c>
      <c r="K1933">
        <v>0.05</v>
      </c>
      <c r="L1933">
        <v>88483.95</v>
      </c>
      <c r="M1933">
        <v>73429.73</v>
      </c>
      <c r="N1933">
        <v>15054.22</v>
      </c>
      <c r="O1933" t="s">
        <v>76</v>
      </c>
      <c r="P1933" t="s">
        <v>82</v>
      </c>
    </row>
    <row r="1934" spans="1:16" x14ac:dyDescent="0.25">
      <c r="A1934">
        <v>1933</v>
      </c>
      <c r="B1934" s="2">
        <v>45943</v>
      </c>
      <c r="C1934" t="s">
        <v>16</v>
      </c>
      <c r="D1934" t="s">
        <v>24</v>
      </c>
      <c r="E1934" t="s">
        <v>29</v>
      </c>
      <c r="F1934" t="s">
        <v>53</v>
      </c>
      <c r="G1934" t="s">
        <v>70</v>
      </c>
      <c r="H1934" t="s">
        <v>75</v>
      </c>
      <c r="I1934">
        <v>4</v>
      </c>
      <c r="J1934">
        <v>11970</v>
      </c>
      <c r="K1934">
        <v>0.1</v>
      </c>
      <c r="L1934">
        <v>43092</v>
      </c>
      <c r="M1934">
        <v>26764.7</v>
      </c>
      <c r="N1934">
        <v>16327.3</v>
      </c>
      <c r="O1934" t="s">
        <v>78</v>
      </c>
      <c r="P1934" t="s">
        <v>83</v>
      </c>
    </row>
    <row r="1935" spans="1:16" x14ac:dyDescent="0.25">
      <c r="A1935">
        <v>1934</v>
      </c>
      <c r="B1935" s="2">
        <v>45782</v>
      </c>
      <c r="C1935" t="s">
        <v>23</v>
      </c>
      <c r="D1935" t="s">
        <v>27</v>
      </c>
      <c r="E1935" t="s">
        <v>34</v>
      </c>
      <c r="F1935" t="s">
        <v>43</v>
      </c>
      <c r="G1935" t="s">
        <v>71</v>
      </c>
      <c r="H1935" t="s">
        <v>75</v>
      </c>
      <c r="I1935">
        <v>6</v>
      </c>
      <c r="J1935">
        <v>3083</v>
      </c>
      <c r="K1935">
        <v>0</v>
      </c>
      <c r="L1935">
        <v>18498</v>
      </c>
      <c r="M1935">
        <v>15019.41</v>
      </c>
      <c r="N1935">
        <v>3478.59</v>
      </c>
      <c r="O1935" t="s">
        <v>76</v>
      </c>
      <c r="P1935" t="s">
        <v>82</v>
      </c>
    </row>
    <row r="1936" spans="1:16" x14ac:dyDescent="0.25">
      <c r="A1936">
        <v>1935</v>
      </c>
      <c r="B1936" s="2">
        <v>45902</v>
      </c>
      <c r="C1936" t="s">
        <v>21</v>
      </c>
      <c r="D1936" t="s">
        <v>24</v>
      </c>
      <c r="E1936" t="s">
        <v>30</v>
      </c>
      <c r="F1936" t="s">
        <v>44</v>
      </c>
      <c r="G1936" t="s">
        <v>70</v>
      </c>
      <c r="H1936" t="s">
        <v>74</v>
      </c>
      <c r="I1936">
        <v>6</v>
      </c>
      <c r="J1936">
        <v>39353</v>
      </c>
      <c r="K1936">
        <v>0.1</v>
      </c>
      <c r="L1936">
        <v>212506.2</v>
      </c>
      <c r="M1936">
        <v>183314.52</v>
      </c>
      <c r="N1936">
        <v>29191.68</v>
      </c>
      <c r="O1936" t="s">
        <v>76</v>
      </c>
      <c r="P1936" t="s">
        <v>88</v>
      </c>
    </row>
    <row r="1937" spans="1:16" x14ac:dyDescent="0.25">
      <c r="A1937">
        <v>1936</v>
      </c>
      <c r="B1937" s="2">
        <v>45823</v>
      </c>
      <c r="C1937" t="s">
        <v>23</v>
      </c>
      <c r="D1937" t="s">
        <v>27</v>
      </c>
      <c r="E1937" t="s">
        <v>32</v>
      </c>
      <c r="F1937" t="s">
        <v>66</v>
      </c>
      <c r="G1937" t="s">
        <v>70</v>
      </c>
      <c r="H1937" t="s">
        <v>74</v>
      </c>
      <c r="I1937">
        <v>3</v>
      </c>
      <c r="J1937">
        <v>6426</v>
      </c>
      <c r="K1937">
        <v>0.1</v>
      </c>
      <c r="L1937">
        <v>17350.2</v>
      </c>
      <c r="M1937">
        <v>11816.22</v>
      </c>
      <c r="N1937">
        <v>5533.98</v>
      </c>
      <c r="O1937" t="s">
        <v>77</v>
      </c>
      <c r="P1937" t="s">
        <v>85</v>
      </c>
    </row>
    <row r="1938" spans="1:16" x14ac:dyDescent="0.25">
      <c r="A1938">
        <v>1937</v>
      </c>
      <c r="B1938" s="2">
        <v>45811</v>
      </c>
      <c r="C1938" t="s">
        <v>22</v>
      </c>
      <c r="D1938" t="s">
        <v>24</v>
      </c>
      <c r="E1938" t="s">
        <v>33</v>
      </c>
      <c r="F1938" t="s">
        <v>52</v>
      </c>
      <c r="G1938" t="s">
        <v>71</v>
      </c>
      <c r="H1938" t="s">
        <v>75</v>
      </c>
      <c r="I1938">
        <v>4</v>
      </c>
      <c r="J1938">
        <v>35842</v>
      </c>
      <c r="K1938">
        <v>0</v>
      </c>
      <c r="L1938">
        <v>143368</v>
      </c>
      <c r="M1938">
        <v>114649.65</v>
      </c>
      <c r="N1938">
        <v>28718.35</v>
      </c>
      <c r="O1938" t="s">
        <v>79</v>
      </c>
      <c r="P1938" t="s">
        <v>82</v>
      </c>
    </row>
    <row r="1939" spans="1:16" x14ac:dyDescent="0.25">
      <c r="A1939">
        <v>1938</v>
      </c>
      <c r="B1939" s="2">
        <v>45764</v>
      </c>
      <c r="C1939" t="s">
        <v>19</v>
      </c>
      <c r="D1939" t="s">
        <v>26</v>
      </c>
      <c r="E1939" t="s">
        <v>28</v>
      </c>
      <c r="F1939" t="s">
        <v>35</v>
      </c>
      <c r="G1939" t="s">
        <v>72</v>
      </c>
      <c r="H1939" t="s">
        <v>75</v>
      </c>
      <c r="I1939">
        <v>2</v>
      </c>
      <c r="J1939">
        <v>376</v>
      </c>
      <c r="K1939">
        <v>0.1</v>
      </c>
      <c r="L1939">
        <v>676.8</v>
      </c>
      <c r="M1939">
        <v>522.22</v>
      </c>
      <c r="N1939">
        <v>154.58000000000001</v>
      </c>
      <c r="O1939" t="s">
        <v>77</v>
      </c>
      <c r="P1939" t="s">
        <v>83</v>
      </c>
    </row>
    <row r="1940" spans="1:16" x14ac:dyDescent="0.25">
      <c r="A1940">
        <v>1939</v>
      </c>
      <c r="B1940" s="2">
        <v>45752</v>
      </c>
      <c r="C1940" t="s">
        <v>18</v>
      </c>
      <c r="D1940" t="s">
        <v>26</v>
      </c>
      <c r="E1940" t="s">
        <v>33</v>
      </c>
      <c r="F1940" t="s">
        <v>59</v>
      </c>
      <c r="G1940" t="s">
        <v>71</v>
      </c>
      <c r="H1940" t="s">
        <v>75</v>
      </c>
      <c r="I1940">
        <v>7</v>
      </c>
      <c r="J1940">
        <v>40485</v>
      </c>
      <c r="K1940">
        <v>0.1</v>
      </c>
      <c r="L1940">
        <v>255055.5</v>
      </c>
      <c r="M1940">
        <v>173731.79</v>
      </c>
      <c r="N1940">
        <v>81323.710000000006</v>
      </c>
      <c r="O1940" t="s">
        <v>80</v>
      </c>
      <c r="P1940" t="s">
        <v>88</v>
      </c>
    </row>
    <row r="1941" spans="1:16" x14ac:dyDescent="0.25">
      <c r="A1941">
        <v>1940</v>
      </c>
      <c r="B1941" s="2">
        <v>46022</v>
      </c>
      <c r="C1941" t="s">
        <v>17</v>
      </c>
      <c r="D1941" t="s">
        <v>25</v>
      </c>
      <c r="E1941" t="s">
        <v>28</v>
      </c>
      <c r="F1941" t="s">
        <v>58</v>
      </c>
      <c r="G1941" t="s">
        <v>70</v>
      </c>
      <c r="H1941" t="s">
        <v>75</v>
      </c>
      <c r="I1941">
        <v>6</v>
      </c>
      <c r="J1941">
        <v>900</v>
      </c>
      <c r="K1941">
        <v>0.05</v>
      </c>
      <c r="L1941">
        <v>5130</v>
      </c>
      <c r="M1941">
        <v>2979.97</v>
      </c>
      <c r="N1941">
        <v>2150.0300000000002</v>
      </c>
      <c r="O1941" t="s">
        <v>76</v>
      </c>
      <c r="P1941" t="s">
        <v>86</v>
      </c>
    </row>
    <row r="1942" spans="1:16" x14ac:dyDescent="0.25">
      <c r="A1942">
        <v>1941</v>
      </c>
      <c r="B1942" s="2">
        <v>45762</v>
      </c>
      <c r="C1942" t="s">
        <v>16</v>
      </c>
      <c r="D1942" t="s">
        <v>24</v>
      </c>
      <c r="E1942" t="s">
        <v>28</v>
      </c>
      <c r="F1942" t="s">
        <v>61</v>
      </c>
      <c r="G1942" t="s">
        <v>71</v>
      </c>
      <c r="H1942" t="s">
        <v>74</v>
      </c>
      <c r="I1942">
        <v>3</v>
      </c>
      <c r="J1942">
        <v>1474</v>
      </c>
      <c r="K1942">
        <v>0.1</v>
      </c>
      <c r="L1942">
        <v>3979.8</v>
      </c>
      <c r="M1942">
        <v>2976.25</v>
      </c>
      <c r="N1942">
        <v>1003.55</v>
      </c>
      <c r="O1942" t="s">
        <v>80</v>
      </c>
      <c r="P1942" t="s">
        <v>83</v>
      </c>
    </row>
    <row r="1943" spans="1:16" x14ac:dyDescent="0.25">
      <c r="A1943">
        <v>1942</v>
      </c>
      <c r="B1943" s="2">
        <v>46009</v>
      </c>
      <c r="C1943" t="s">
        <v>23</v>
      </c>
      <c r="D1943" t="s">
        <v>27</v>
      </c>
      <c r="E1943" t="s">
        <v>33</v>
      </c>
      <c r="F1943" t="s">
        <v>41</v>
      </c>
      <c r="G1943" t="s">
        <v>72</v>
      </c>
      <c r="H1943" t="s">
        <v>75</v>
      </c>
      <c r="I1943">
        <v>3</v>
      </c>
      <c r="J1943">
        <v>49630</v>
      </c>
      <c r="K1943">
        <v>0.05</v>
      </c>
      <c r="L1943">
        <v>141445.5</v>
      </c>
      <c r="M1943">
        <v>86888.46</v>
      </c>
      <c r="N1943">
        <v>54557.04</v>
      </c>
      <c r="O1943" t="s">
        <v>77</v>
      </c>
      <c r="P1943" t="s">
        <v>82</v>
      </c>
    </row>
    <row r="1944" spans="1:16" x14ac:dyDescent="0.25">
      <c r="A1944">
        <v>1943</v>
      </c>
      <c r="B1944" s="2">
        <v>45881</v>
      </c>
      <c r="C1944" t="s">
        <v>18</v>
      </c>
      <c r="D1944" t="s">
        <v>26</v>
      </c>
      <c r="E1944" t="s">
        <v>28</v>
      </c>
      <c r="F1944" t="s">
        <v>61</v>
      </c>
      <c r="G1944" t="s">
        <v>70</v>
      </c>
      <c r="H1944" t="s">
        <v>73</v>
      </c>
      <c r="I1944">
        <v>5</v>
      </c>
      <c r="J1944">
        <v>375</v>
      </c>
      <c r="K1944">
        <v>0.05</v>
      </c>
      <c r="L1944">
        <v>1781.25</v>
      </c>
      <c r="M1944">
        <v>1547.64</v>
      </c>
      <c r="N1944">
        <v>233.61</v>
      </c>
      <c r="O1944" t="s">
        <v>80</v>
      </c>
      <c r="P1944" t="s">
        <v>86</v>
      </c>
    </row>
    <row r="1945" spans="1:16" x14ac:dyDescent="0.25">
      <c r="A1945">
        <v>1944</v>
      </c>
      <c r="B1945" s="2">
        <v>45785</v>
      </c>
      <c r="C1945" t="s">
        <v>19</v>
      </c>
      <c r="D1945" t="s">
        <v>26</v>
      </c>
      <c r="E1945" t="s">
        <v>34</v>
      </c>
      <c r="F1945" t="s">
        <v>68</v>
      </c>
      <c r="G1945" t="s">
        <v>70</v>
      </c>
      <c r="H1945" t="s">
        <v>73</v>
      </c>
      <c r="I1945">
        <v>2</v>
      </c>
      <c r="J1945">
        <v>3454</v>
      </c>
      <c r="K1945">
        <v>0.05</v>
      </c>
      <c r="L1945">
        <v>6562.6</v>
      </c>
      <c r="M1945">
        <v>4216.26</v>
      </c>
      <c r="N1945">
        <v>2346.34</v>
      </c>
      <c r="O1945" t="s">
        <v>80</v>
      </c>
      <c r="P1945" t="s">
        <v>81</v>
      </c>
    </row>
    <row r="1946" spans="1:16" x14ac:dyDescent="0.25">
      <c r="A1946">
        <v>1945</v>
      </c>
      <c r="B1946" s="2">
        <v>45963</v>
      </c>
      <c r="C1946" t="s">
        <v>23</v>
      </c>
      <c r="D1946" t="s">
        <v>27</v>
      </c>
      <c r="E1946" t="s">
        <v>34</v>
      </c>
      <c r="F1946" t="s">
        <v>51</v>
      </c>
      <c r="G1946" t="s">
        <v>72</v>
      </c>
      <c r="H1946" t="s">
        <v>73</v>
      </c>
      <c r="I1946">
        <v>2</v>
      </c>
      <c r="J1946">
        <v>4218</v>
      </c>
      <c r="K1946">
        <v>0.05</v>
      </c>
      <c r="L1946">
        <v>8014.2</v>
      </c>
      <c r="M1946">
        <v>6263.33</v>
      </c>
      <c r="N1946">
        <v>1750.87</v>
      </c>
      <c r="O1946" t="s">
        <v>79</v>
      </c>
      <c r="P1946" t="s">
        <v>87</v>
      </c>
    </row>
    <row r="1947" spans="1:16" x14ac:dyDescent="0.25">
      <c r="A1947">
        <v>1946</v>
      </c>
      <c r="B1947" s="2">
        <v>45767</v>
      </c>
      <c r="C1947" t="s">
        <v>17</v>
      </c>
      <c r="D1947" t="s">
        <v>25</v>
      </c>
      <c r="E1947" t="s">
        <v>34</v>
      </c>
      <c r="F1947" t="s">
        <v>55</v>
      </c>
      <c r="G1947" t="s">
        <v>72</v>
      </c>
      <c r="H1947" t="s">
        <v>74</v>
      </c>
      <c r="I1947">
        <v>7</v>
      </c>
      <c r="J1947">
        <v>3084</v>
      </c>
      <c r="K1947">
        <v>0.05</v>
      </c>
      <c r="L1947">
        <v>20508.599999999999</v>
      </c>
      <c r="M1947">
        <v>13526.64</v>
      </c>
      <c r="N1947">
        <v>6981.96</v>
      </c>
      <c r="O1947" t="s">
        <v>79</v>
      </c>
      <c r="P1947" t="s">
        <v>87</v>
      </c>
    </row>
    <row r="1948" spans="1:16" x14ac:dyDescent="0.25">
      <c r="A1948">
        <v>1947</v>
      </c>
      <c r="B1948" s="2">
        <v>45992</v>
      </c>
      <c r="C1948" t="s">
        <v>22</v>
      </c>
      <c r="D1948" t="s">
        <v>24</v>
      </c>
      <c r="E1948" t="s">
        <v>32</v>
      </c>
      <c r="F1948" t="s">
        <v>66</v>
      </c>
      <c r="G1948" t="s">
        <v>71</v>
      </c>
      <c r="H1948" t="s">
        <v>73</v>
      </c>
      <c r="I1948">
        <v>3</v>
      </c>
      <c r="J1948">
        <v>22625</v>
      </c>
      <c r="K1948">
        <v>0.05</v>
      </c>
      <c r="L1948">
        <v>64481.25</v>
      </c>
      <c r="M1948">
        <v>38608.769999999997</v>
      </c>
      <c r="N1948">
        <v>25872.48</v>
      </c>
      <c r="O1948" t="s">
        <v>79</v>
      </c>
      <c r="P1948" t="s">
        <v>84</v>
      </c>
    </row>
    <row r="1949" spans="1:16" x14ac:dyDescent="0.25">
      <c r="A1949">
        <v>1948</v>
      </c>
      <c r="B1949" s="2">
        <v>45999</v>
      </c>
      <c r="C1949" t="s">
        <v>21</v>
      </c>
      <c r="D1949" t="s">
        <v>24</v>
      </c>
      <c r="E1949" t="s">
        <v>31</v>
      </c>
      <c r="F1949" t="s">
        <v>69</v>
      </c>
      <c r="G1949" t="s">
        <v>72</v>
      </c>
      <c r="H1949" t="s">
        <v>73</v>
      </c>
      <c r="I1949">
        <v>6</v>
      </c>
      <c r="J1949">
        <v>838</v>
      </c>
      <c r="K1949">
        <v>0.05</v>
      </c>
      <c r="L1949">
        <v>4776.6000000000004</v>
      </c>
      <c r="M1949">
        <v>3094.4</v>
      </c>
      <c r="N1949">
        <v>1682.2</v>
      </c>
      <c r="O1949" t="s">
        <v>78</v>
      </c>
      <c r="P1949" t="s">
        <v>84</v>
      </c>
    </row>
    <row r="1950" spans="1:16" x14ac:dyDescent="0.25">
      <c r="A1950">
        <v>1949</v>
      </c>
      <c r="B1950" s="2">
        <v>45680</v>
      </c>
      <c r="C1950" t="s">
        <v>21</v>
      </c>
      <c r="D1950" t="s">
        <v>24</v>
      </c>
      <c r="E1950" t="s">
        <v>30</v>
      </c>
      <c r="F1950" t="s">
        <v>64</v>
      </c>
      <c r="G1950" t="s">
        <v>70</v>
      </c>
      <c r="H1950" t="s">
        <v>74</v>
      </c>
      <c r="I1950">
        <v>4</v>
      </c>
      <c r="J1950">
        <v>16853</v>
      </c>
      <c r="K1950">
        <v>0.05</v>
      </c>
      <c r="L1950">
        <v>64041.4</v>
      </c>
      <c r="M1950">
        <v>46098.13</v>
      </c>
      <c r="N1950">
        <v>17943.27</v>
      </c>
      <c r="O1950" t="s">
        <v>76</v>
      </c>
      <c r="P1950" t="s">
        <v>83</v>
      </c>
    </row>
    <row r="1951" spans="1:16" x14ac:dyDescent="0.25">
      <c r="A1951">
        <v>1950</v>
      </c>
      <c r="B1951" s="2">
        <v>45894</v>
      </c>
      <c r="C1951" t="s">
        <v>17</v>
      </c>
      <c r="D1951" t="s">
        <v>25</v>
      </c>
      <c r="E1951" t="s">
        <v>29</v>
      </c>
      <c r="F1951" t="s">
        <v>53</v>
      </c>
      <c r="G1951" t="s">
        <v>70</v>
      </c>
      <c r="H1951" t="s">
        <v>74</v>
      </c>
      <c r="I1951">
        <v>7</v>
      </c>
      <c r="J1951">
        <v>8581</v>
      </c>
      <c r="K1951">
        <v>0.05</v>
      </c>
      <c r="L1951">
        <v>57063.65</v>
      </c>
      <c r="M1951">
        <v>47732.5</v>
      </c>
      <c r="N1951">
        <v>9331.15</v>
      </c>
      <c r="O1951" t="s">
        <v>76</v>
      </c>
      <c r="P1951" t="s">
        <v>88</v>
      </c>
    </row>
    <row r="1952" spans="1:16" x14ac:dyDescent="0.25">
      <c r="A1952">
        <v>1951</v>
      </c>
      <c r="B1952" s="2">
        <v>45892</v>
      </c>
      <c r="C1952" t="s">
        <v>17</v>
      </c>
      <c r="D1952" t="s">
        <v>25</v>
      </c>
      <c r="E1952" t="s">
        <v>34</v>
      </c>
      <c r="F1952" t="s">
        <v>51</v>
      </c>
      <c r="G1952" t="s">
        <v>70</v>
      </c>
      <c r="H1952" t="s">
        <v>75</v>
      </c>
      <c r="I1952">
        <v>1</v>
      </c>
      <c r="J1952">
        <v>4813</v>
      </c>
      <c r="K1952">
        <v>0</v>
      </c>
      <c r="L1952">
        <v>4813</v>
      </c>
      <c r="M1952">
        <v>4062.02</v>
      </c>
      <c r="N1952">
        <v>750.98</v>
      </c>
      <c r="O1952" t="s">
        <v>80</v>
      </c>
      <c r="P1952" t="s">
        <v>85</v>
      </c>
    </row>
    <row r="1953" spans="1:16" x14ac:dyDescent="0.25">
      <c r="A1953">
        <v>1952</v>
      </c>
      <c r="B1953" s="2">
        <v>45805</v>
      </c>
      <c r="C1953" t="s">
        <v>18</v>
      </c>
      <c r="D1953" t="s">
        <v>26</v>
      </c>
      <c r="E1953" t="s">
        <v>34</v>
      </c>
      <c r="F1953" t="s">
        <v>68</v>
      </c>
      <c r="G1953" t="s">
        <v>72</v>
      </c>
      <c r="H1953" t="s">
        <v>73</v>
      </c>
      <c r="I1953">
        <v>6</v>
      </c>
      <c r="J1953">
        <v>2274</v>
      </c>
      <c r="K1953">
        <v>0.1</v>
      </c>
      <c r="L1953">
        <v>12279.6</v>
      </c>
      <c r="M1953">
        <v>9350.2900000000009</v>
      </c>
      <c r="N1953">
        <v>2929.31</v>
      </c>
      <c r="O1953" t="s">
        <v>80</v>
      </c>
      <c r="P1953" t="s">
        <v>82</v>
      </c>
    </row>
    <row r="1954" spans="1:16" x14ac:dyDescent="0.25">
      <c r="A1954">
        <v>1953</v>
      </c>
      <c r="B1954" s="2">
        <v>45704</v>
      </c>
      <c r="C1954" t="s">
        <v>20</v>
      </c>
      <c r="D1954" t="s">
        <v>26</v>
      </c>
      <c r="E1954" t="s">
        <v>34</v>
      </c>
      <c r="F1954" t="s">
        <v>65</v>
      </c>
      <c r="G1954" t="s">
        <v>70</v>
      </c>
      <c r="H1954" t="s">
        <v>75</v>
      </c>
      <c r="I1954">
        <v>7</v>
      </c>
      <c r="J1954">
        <v>5271</v>
      </c>
      <c r="K1954">
        <v>0.05</v>
      </c>
      <c r="L1954">
        <v>35052.15</v>
      </c>
      <c r="M1954">
        <v>24137.31</v>
      </c>
      <c r="N1954">
        <v>10914.84</v>
      </c>
      <c r="O1954" t="s">
        <v>80</v>
      </c>
      <c r="P1954" t="s">
        <v>88</v>
      </c>
    </row>
    <row r="1955" spans="1:16" x14ac:dyDescent="0.25">
      <c r="A1955">
        <v>1954</v>
      </c>
      <c r="B1955" s="2">
        <v>45711</v>
      </c>
      <c r="C1955" t="s">
        <v>23</v>
      </c>
      <c r="D1955" t="s">
        <v>27</v>
      </c>
      <c r="E1955" t="s">
        <v>30</v>
      </c>
      <c r="F1955" t="s">
        <v>44</v>
      </c>
      <c r="G1955" t="s">
        <v>72</v>
      </c>
      <c r="H1955" t="s">
        <v>75</v>
      </c>
      <c r="I1955">
        <v>8</v>
      </c>
      <c r="J1955">
        <v>13824</v>
      </c>
      <c r="K1955">
        <v>0</v>
      </c>
      <c r="L1955">
        <v>110592</v>
      </c>
      <c r="M1955">
        <v>71058.02</v>
      </c>
      <c r="N1955">
        <v>39533.980000000003</v>
      </c>
      <c r="O1955" t="s">
        <v>79</v>
      </c>
      <c r="P1955" t="s">
        <v>86</v>
      </c>
    </row>
    <row r="1956" spans="1:16" x14ac:dyDescent="0.25">
      <c r="A1956">
        <v>1955</v>
      </c>
      <c r="B1956" s="2">
        <v>45667</v>
      </c>
      <c r="C1956" t="s">
        <v>18</v>
      </c>
      <c r="D1956" t="s">
        <v>26</v>
      </c>
      <c r="E1956" t="s">
        <v>30</v>
      </c>
      <c r="F1956" t="s">
        <v>44</v>
      </c>
      <c r="G1956" t="s">
        <v>70</v>
      </c>
      <c r="H1956" t="s">
        <v>75</v>
      </c>
      <c r="I1956">
        <v>2</v>
      </c>
      <c r="J1956">
        <v>46554</v>
      </c>
      <c r="K1956">
        <v>0</v>
      </c>
      <c r="L1956">
        <v>93108</v>
      </c>
      <c r="M1956">
        <v>63617.33</v>
      </c>
      <c r="N1956">
        <v>29490.67</v>
      </c>
      <c r="O1956" t="s">
        <v>78</v>
      </c>
      <c r="P1956" t="s">
        <v>83</v>
      </c>
    </row>
    <row r="1957" spans="1:16" x14ac:dyDescent="0.25">
      <c r="A1957">
        <v>1956</v>
      </c>
      <c r="B1957" s="2">
        <v>45664</v>
      </c>
      <c r="C1957" t="s">
        <v>20</v>
      </c>
      <c r="D1957" t="s">
        <v>26</v>
      </c>
      <c r="E1957" t="s">
        <v>34</v>
      </c>
      <c r="F1957" t="s">
        <v>65</v>
      </c>
      <c r="G1957" t="s">
        <v>71</v>
      </c>
      <c r="H1957" t="s">
        <v>75</v>
      </c>
      <c r="I1957">
        <v>2</v>
      </c>
      <c r="J1957">
        <v>5341</v>
      </c>
      <c r="K1957">
        <v>0.05</v>
      </c>
      <c r="L1957">
        <v>10147.9</v>
      </c>
      <c r="M1957">
        <v>7299.76</v>
      </c>
      <c r="N1957">
        <v>2848.14</v>
      </c>
      <c r="O1957" t="s">
        <v>80</v>
      </c>
      <c r="P1957" t="s">
        <v>83</v>
      </c>
    </row>
    <row r="1958" spans="1:16" x14ac:dyDescent="0.25">
      <c r="A1958">
        <v>1957</v>
      </c>
      <c r="B1958" s="2">
        <v>45741</v>
      </c>
      <c r="C1958" t="s">
        <v>17</v>
      </c>
      <c r="D1958" t="s">
        <v>25</v>
      </c>
      <c r="E1958" t="s">
        <v>34</v>
      </c>
      <c r="F1958" t="s">
        <v>55</v>
      </c>
      <c r="G1958" t="s">
        <v>72</v>
      </c>
      <c r="H1958" t="s">
        <v>75</v>
      </c>
      <c r="I1958">
        <v>3</v>
      </c>
      <c r="J1958">
        <v>4632</v>
      </c>
      <c r="K1958">
        <v>0</v>
      </c>
      <c r="L1958">
        <v>13896</v>
      </c>
      <c r="M1958">
        <v>10874.8</v>
      </c>
      <c r="N1958">
        <v>3021.2</v>
      </c>
      <c r="O1958" t="s">
        <v>76</v>
      </c>
      <c r="P1958" t="s">
        <v>88</v>
      </c>
    </row>
    <row r="1959" spans="1:16" x14ac:dyDescent="0.25">
      <c r="A1959">
        <v>1958</v>
      </c>
      <c r="B1959" s="2">
        <v>45952</v>
      </c>
      <c r="C1959" t="s">
        <v>21</v>
      </c>
      <c r="D1959" t="s">
        <v>24</v>
      </c>
      <c r="E1959" t="s">
        <v>31</v>
      </c>
      <c r="F1959" t="s">
        <v>67</v>
      </c>
      <c r="G1959" t="s">
        <v>72</v>
      </c>
      <c r="H1959" t="s">
        <v>73</v>
      </c>
      <c r="I1959">
        <v>6</v>
      </c>
      <c r="J1959">
        <v>404</v>
      </c>
      <c r="K1959">
        <v>0.1</v>
      </c>
      <c r="L1959">
        <v>2181.6</v>
      </c>
      <c r="M1959">
        <v>1478.03</v>
      </c>
      <c r="N1959">
        <v>703.57</v>
      </c>
      <c r="O1959" t="s">
        <v>77</v>
      </c>
      <c r="P1959" t="s">
        <v>85</v>
      </c>
    </row>
    <row r="1960" spans="1:16" x14ac:dyDescent="0.25">
      <c r="A1960">
        <v>1959</v>
      </c>
      <c r="B1960" s="2">
        <v>45920</v>
      </c>
      <c r="C1960" t="s">
        <v>18</v>
      </c>
      <c r="D1960" t="s">
        <v>26</v>
      </c>
      <c r="E1960" t="s">
        <v>31</v>
      </c>
      <c r="F1960" t="s">
        <v>67</v>
      </c>
      <c r="G1960" t="s">
        <v>70</v>
      </c>
      <c r="H1960" t="s">
        <v>73</v>
      </c>
      <c r="I1960">
        <v>5</v>
      </c>
      <c r="J1960">
        <v>932</v>
      </c>
      <c r="K1960">
        <v>0.05</v>
      </c>
      <c r="L1960">
        <v>4427</v>
      </c>
      <c r="M1960">
        <v>3787.71</v>
      </c>
      <c r="N1960">
        <v>639.29</v>
      </c>
      <c r="O1960" t="s">
        <v>80</v>
      </c>
      <c r="P1960" t="s">
        <v>83</v>
      </c>
    </row>
    <row r="1961" spans="1:16" x14ac:dyDescent="0.25">
      <c r="A1961">
        <v>1960</v>
      </c>
      <c r="B1961" s="2">
        <v>45918</v>
      </c>
      <c r="C1961" t="s">
        <v>20</v>
      </c>
      <c r="D1961" t="s">
        <v>26</v>
      </c>
      <c r="E1961" t="s">
        <v>30</v>
      </c>
      <c r="F1961" t="s">
        <v>37</v>
      </c>
      <c r="G1961" t="s">
        <v>72</v>
      </c>
      <c r="H1961" t="s">
        <v>73</v>
      </c>
      <c r="I1961">
        <v>3</v>
      </c>
      <c r="J1961">
        <v>5279</v>
      </c>
      <c r="K1961">
        <v>0</v>
      </c>
      <c r="L1961">
        <v>15837</v>
      </c>
      <c r="M1961">
        <v>9117.61</v>
      </c>
      <c r="N1961">
        <v>6719.39</v>
      </c>
      <c r="O1961" t="s">
        <v>78</v>
      </c>
      <c r="P1961" t="s">
        <v>82</v>
      </c>
    </row>
    <row r="1962" spans="1:16" x14ac:dyDescent="0.25">
      <c r="A1962">
        <v>1961</v>
      </c>
      <c r="B1962" s="2">
        <v>45831</v>
      </c>
      <c r="C1962" t="s">
        <v>20</v>
      </c>
      <c r="D1962" t="s">
        <v>26</v>
      </c>
      <c r="E1962" t="s">
        <v>30</v>
      </c>
      <c r="F1962" t="s">
        <v>56</v>
      </c>
      <c r="G1962" t="s">
        <v>70</v>
      </c>
      <c r="H1962" t="s">
        <v>75</v>
      </c>
      <c r="I1962">
        <v>7</v>
      </c>
      <c r="J1962">
        <v>36658</v>
      </c>
      <c r="K1962">
        <v>0.15</v>
      </c>
      <c r="L1962">
        <v>218115.1</v>
      </c>
      <c r="M1962">
        <v>157227.51</v>
      </c>
      <c r="N1962">
        <v>60887.59</v>
      </c>
      <c r="O1962" t="s">
        <v>76</v>
      </c>
      <c r="P1962" t="s">
        <v>85</v>
      </c>
    </row>
    <row r="1963" spans="1:16" x14ac:dyDescent="0.25">
      <c r="A1963">
        <v>1962</v>
      </c>
      <c r="B1963" s="2">
        <v>45688</v>
      </c>
      <c r="C1963" t="s">
        <v>20</v>
      </c>
      <c r="D1963" t="s">
        <v>26</v>
      </c>
      <c r="E1963" t="s">
        <v>32</v>
      </c>
      <c r="F1963" t="s">
        <v>49</v>
      </c>
      <c r="G1963" t="s">
        <v>71</v>
      </c>
      <c r="H1963" t="s">
        <v>74</v>
      </c>
      <c r="I1963">
        <v>1</v>
      </c>
      <c r="J1963">
        <v>16962</v>
      </c>
      <c r="K1963">
        <v>0.1</v>
      </c>
      <c r="L1963">
        <v>15265.8</v>
      </c>
      <c r="M1963">
        <v>9324.69</v>
      </c>
      <c r="N1963">
        <v>5941.11</v>
      </c>
      <c r="O1963" t="s">
        <v>78</v>
      </c>
      <c r="P1963" t="s">
        <v>86</v>
      </c>
    </row>
    <row r="1964" spans="1:16" x14ac:dyDescent="0.25">
      <c r="A1964">
        <v>1963</v>
      </c>
      <c r="B1964" s="2">
        <v>45936</v>
      </c>
      <c r="C1964" t="s">
        <v>21</v>
      </c>
      <c r="D1964" t="s">
        <v>24</v>
      </c>
      <c r="E1964" t="s">
        <v>32</v>
      </c>
      <c r="F1964" t="s">
        <v>49</v>
      </c>
      <c r="G1964" t="s">
        <v>71</v>
      </c>
      <c r="H1964" t="s">
        <v>74</v>
      </c>
      <c r="I1964">
        <v>2</v>
      </c>
      <c r="J1964">
        <v>12099</v>
      </c>
      <c r="K1964">
        <v>0</v>
      </c>
      <c r="L1964">
        <v>24198</v>
      </c>
      <c r="M1964">
        <v>16841.87</v>
      </c>
      <c r="N1964">
        <v>7356.13</v>
      </c>
      <c r="O1964" t="s">
        <v>76</v>
      </c>
      <c r="P1964" t="s">
        <v>83</v>
      </c>
    </row>
    <row r="1965" spans="1:16" x14ac:dyDescent="0.25">
      <c r="A1965">
        <v>1964</v>
      </c>
      <c r="B1965" s="2">
        <v>45667</v>
      </c>
      <c r="C1965" t="s">
        <v>18</v>
      </c>
      <c r="D1965" t="s">
        <v>26</v>
      </c>
      <c r="E1965" t="s">
        <v>30</v>
      </c>
      <c r="F1965" t="s">
        <v>44</v>
      </c>
      <c r="G1965" t="s">
        <v>71</v>
      </c>
      <c r="H1965" t="s">
        <v>73</v>
      </c>
      <c r="I1965">
        <v>2</v>
      </c>
      <c r="J1965">
        <v>44099</v>
      </c>
      <c r="K1965">
        <v>0.05</v>
      </c>
      <c r="L1965">
        <v>83788.100000000006</v>
      </c>
      <c r="M1965">
        <v>63540.84</v>
      </c>
      <c r="N1965">
        <v>20247.259999999998</v>
      </c>
      <c r="O1965" t="s">
        <v>80</v>
      </c>
      <c r="P1965" t="s">
        <v>83</v>
      </c>
    </row>
    <row r="1966" spans="1:16" x14ac:dyDescent="0.25">
      <c r="A1966">
        <v>1965</v>
      </c>
      <c r="B1966" s="2">
        <v>45996</v>
      </c>
      <c r="C1966" t="s">
        <v>20</v>
      </c>
      <c r="D1966" t="s">
        <v>26</v>
      </c>
      <c r="E1966" t="s">
        <v>30</v>
      </c>
      <c r="F1966" t="s">
        <v>44</v>
      </c>
      <c r="G1966" t="s">
        <v>71</v>
      </c>
      <c r="H1966" t="s">
        <v>75</v>
      </c>
      <c r="I1966">
        <v>4</v>
      </c>
      <c r="J1966">
        <v>14226</v>
      </c>
      <c r="K1966">
        <v>0.05</v>
      </c>
      <c r="L1966">
        <v>54058.8</v>
      </c>
      <c r="M1966">
        <v>46813.39</v>
      </c>
      <c r="N1966">
        <v>7245.41</v>
      </c>
      <c r="O1966" t="s">
        <v>79</v>
      </c>
      <c r="P1966" t="s">
        <v>83</v>
      </c>
    </row>
    <row r="1967" spans="1:16" x14ac:dyDescent="0.25">
      <c r="A1967">
        <v>1966</v>
      </c>
      <c r="B1967" s="2">
        <v>45741</v>
      </c>
      <c r="C1967" t="s">
        <v>20</v>
      </c>
      <c r="D1967" t="s">
        <v>26</v>
      </c>
      <c r="E1967" t="s">
        <v>32</v>
      </c>
      <c r="F1967" t="s">
        <v>49</v>
      </c>
      <c r="G1967" t="s">
        <v>71</v>
      </c>
      <c r="H1967" t="s">
        <v>74</v>
      </c>
      <c r="I1967">
        <v>6</v>
      </c>
      <c r="J1967">
        <v>22890</v>
      </c>
      <c r="K1967">
        <v>0.05</v>
      </c>
      <c r="L1967">
        <v>130473</v>
      </c>
      <c r="M1967">
        <v>97442.58</v>
      </c>
      <c r="N1967">
        <v>33030.42</v>
      </c>
      <c r="O1967" t="s">
        <v>79</v>
      </c>
      <c r="P1967" t="s">
        <v>86</v>
      </c>
    </row>
    <row r="1968" spans="1:16" x14ac:dyDescent="0.25">
      <c r="A1968">
        <v>1967</v>
      </c>
      <c r="B1968" s="2">
        <v>45853</v>
      </c>
      <c r="C1968" t="s">
        <v>20</v>
      </c>
      <c r="D1968" t="s">
        <v>26</v>
      </c>
      <c r="E1968" t="s">
        <v>31</v>
      </c>
      <c r="F1968" t="s">
        <v>47</v>
      </c>
      <c r="G1968" t="s">
        <v>71</v>
      </c>
      <c r="H1968" t="s">
        <v>73</v>
      </c>
      <c r="I1968">
        <v>2</v>
      </c>
      <c r="J1968">
        <v>139</v>
      </c>
      <c r="K1968">
        <v>0.05</v>
      </c>
      <c r="L1968">
        <v>264.10000000000002</v>
      </c>
      <c r="M1968">
        <v>170.57</v>
      </c>
      <c r="N1968">
        <v>93.53</v>
      </c>
      <c r="O1968" t="s">
        <v>76</v>
      </c>
      <c r="P1968" t="s">
        <v>81</v>
      </c>
    </row>
    <row r="1969" spans="1:16" x14ac:dyDescent="0.25">
      <c r="A1969">
        <v>1968</v>
      </c>
      <c r="B1969" s="2">
        <v>45873</v>
      </c>
      <c r="C1969" t="s">
        <v>16</v>
      </c>
      <c r="D1969" t="s">
        <v>24</v>
      </c>
      <c r="E1969" t="s">
        <v>28</v>
      </c>
      <c r="F1969" t="s">
        <v>58</v>
      </c>
      <c r="G1969" t="s">
        <v>72</v>
      </c>
      <c r="H1969" t="s">
        <v>75</v>
      </c>
      <c r="I1969">
        <v>2</v>
      </c>
      <c r="J1969">
        <v>805</v>
      </c>
      <c r="K1969">
        <v>0.1</v>
      </c>
      <c r="L1969">
        <v>1449</v>
      </c>
      <c r="M1969">
        <v>1161.45</v>
      </c>
      <c r="N1969">
        <v>287.55</v>
      </c>
      <c r="O1969" t="s">
        <v>78</v>
      </c>
      <c r="P1969" t="s">
        <v>85</v>
      </c>
    </row>
    <row r="1970" spans="1:16" x14ac:dyDescent="0.25">
      <c r="A1970">
        <v>1969</v>
      </c>
      <c r="B1970" s="2">
        <v>45895</v>
      </c>
      <c r="C1970" t="s">
        <v>23</v>
      </c>
      <c r="D1970" t="s">
        <v>27</v>
      </c>
      <c r="E1970" t="s">
        <v>33</v>
      </c>
      <c r="F1970" t="s">
        <v>41</v>
      </c>
      <c r="G1970" t="s">
        <v>70</v>
      </c>
      <c r="H1970" t="s">
        <v>75</v>
      </c>
      <c r="I1970">
        <v>4</v>
      </c>
      <c r="J1970">
        <v>49709</v>
      </c>
      <c r="K1970">
        <v>0.05</v>
      </c>
      <c r="L1970">
        <v>188894.2</v>
      </c>
      <c r="M1970">
        <v>135755.88</v>
      </c>
      <c r="N1970">
        <v>53138.32</v>
      </c>
      <c r="O1970" t="s">
        <v>77</v>
      </c>
      <c r="P1970" t="s">
        <v>88</v>
      </c>
    </row>
    <row r="1971" spans="1:16" x14ac:dyDescent="0.25">
      <c r="A1971">
        <v>1970</v>
      </c>
      <c r="B1971" s="2">
        <v>45903</v>
      </c>
      <c r="C1971" t="s">
        <v>20</v>
      </c>
      <c r="D1971" t="s">
        <v>26</v>
      </c>
      <c r="E1971" t="s">
        <v>32</v>
      </c>
      <c r="F1971" t="s">
        <v>49</v>
      </c>
      <c r="G1971" t="s">
        <v>70</v>
      </c>
      <c r="H1971" t="s">
        <v>73</v>
      </c>
      <c r="I1971">
        <v>8</v>
      </c>
      <c r="J1971">
        <v>13684</v>
      </c>
      <c r="K1971">
        <v>0.1</v>
      </c>
      <c r="L1971">
        <v>98524.800000000003</v>
      </c>
      <c r="M1971">
        <v>66954.78</v>
      </c>
      <c r="N1971">
        <v>31570.02</v>
      </c>
      <c r="O1971" t="s">
        <v>79</v>
      </c>
      <c r="P1971" t="s">
        <v>87</v>
      </c>
    </row>
    <row r="1972" spans="1:16" x14ac:dyDescent="0.25">
      <c r="A1972">
        <v>1971</v>
      </c>
      <c r="B1972" s="2">
        <v>45935</v>
      </c>
      <c r="C1972" t="s">
        <v>17</v>
      </c>
      <c r="D1972" t="s">
        <v>25</v>
      </c>
      <c r="E1972" t="s">
        <v>28</v>
      </c>
      <c r="F1972" t="s">
        <v>35</v>
      </c>
      <c r="G1972" t="s">
        <v>70</v>
      </c>
      <c r="H1972" t="s">
        <v>73</v>
      </c>
      <c r="I1972">
        <v>5</v>
      </c>
      <c r="J1972">
        <v>656</v>
      </c>
      <c r="K1972">
        <v>0</v>
      </c>
      <c r="L1972">
        <v>3280</v>
      </c>
      <c r="M1972">
        <v>2186.4</v>
      </c>
      <c r="N1972">
        <v>1093.5999999999999</v>
      </c>
      <c r="O1972" t="s">
        <v>78</v>
      </c>
      <c r="P1972" t="s">
        <v>87</v>
      </c>
    </row>
    <row r="1973" spans="1:16" x14ac:dyDescent="0.25">
      <c r="A1973">
        <v>1972</v>
      </c>
      <c r="B1973" s="2">
        <v>45847</v>
      </c>
      <c r="C1973" t="s">
        <v>16</v>
      </c>
      <c r="D1973" t="s">
        <v>24</v>
      </c>
      <c r="E1973" t="s">
        <v>32</v>
      </c>
      <c r="F1973" t="s">
        <v>48</v>
      </c>
      <c r="G1973" t="s">
        <v>72</v>
      </c>
      <c r="H1973" t="s">
        <v>73</v>
      </c>
      <c r="I1973">
        <v>3</v>
      </c>
      <c r="J1973">
        <v>20260</v>
      </c>
      <c r="K1973">
        <v>0.1</v>
      </c>
      <c r="L1973">
        <v>54702</v>
      </c>
      <c r="M1973">
        <v>43110.05</v>
      </c>
      <c r="N1973">
        <v>11591.95</v>
      </c>
      <c r="O1973" t="s">
        <v>80</v>
      </c>
      <c r="P1973" t="s">
        <v>84</v>
      </c>
    </row>
    <row r="1974" spans="1:16" x14ac:dyDescent="0.25">
      <c r="A1974">
        <v>1973</v>
      </c>
      <c r="B1974" s="2">
        <v>45758</v>
      </c>
      <c r="C1974" t="s">
        <v>22</v>
      </c>
      <c r="D1974" t="s">
        <v>24</v>
      </c>
      <c r="E1974" t="s">
        <v>28</v>
      </c>
      <c r="F1974" t="s">
        <v>58</v>
      </c>
      <c r="G1974" t="s">
        <v>71</v>
      </c>
      <c r="H1974" t="s">
        <v>73</v>
      </c>
      <c r="I1974">
        <v>2</v>
      </c>
      <c r="J1974">
        <v>1504</v>
      </c>
      <c r="K1974">
        <v>0.15</v>
      </c>
      <c r="L1974">
        <v>2556.8000000000002</v>
      </c>
      <c r="M1974">
        <v>1447.47</v>
      </c>
      <c r="N1974">
        <v>1109.33</v>
      </c>
      <c r="O1974" t="s">
        <v>76</v>
      </c>
      <c r="P1974" t="s">
        <v>87</v>
      </c>
    </row>
    <row r="1975" spans="1:16" x14ac:dyDescent="0.25">
      <c r="A1975">
        <v>1974</v>
      </c>
      <c r="B1975" s="2">
        <v>45982</v>
      </c>
      <c r="C1975" t="s">
        <v>22</v>
      </c>
      <c r="D1975" t="s">
        <v>24</v>
      </c>
      <c r="E1975" t="s">
        <v>28</v>
      </c>
      <c r="F1975" t="s">
        <v>63</v>
      </c>
      <c r="G1975" t="s">
        <v>70</v>
      </c>
      <c r="H1975" t="s">
        <v>75</v>
      </c>
      <c r="I1975">
        <v>1</v>
      </c>
      <c r="J1975">
        <v>2272</v>
      </c>
      <c r="K1975">
        <v>0.1</v>
      </c>
      <c r="L1975">
        <v>2044.8</v>
      </c>
      <c r="M1975">
        <v>1485.04</v>
      </c>
      <c r="N1975">
        <v>559.76</v>
      </c>
      <c r="O1975" t="s">
        <v>76</v>
      </c>
      <c r="P1975" t="s">
        <v>83</v>
      </c>
    </row>
    <row r="1976" spans="1:16" x14ac:dyDescent="0.25">
      <c r="A1976">
        <v>1975</v>
      </c>
      <c r="B1976" s="2">
        <v>45947</v>
      </c>
      <c r="C1976" t="s">
        <v>22</v>
      </c>
      <c r="D1976" t="s">
        <v>24</v>
      </c>
      <c r="E1976" t="s">
        <v>29</v>
      </c>
      <c r="F1976" t="s">
        <v>36</v>
      </c>
      <c r="G1976" t="s">
        <v>70</v>
      </c>
      <c r="H1976" t="s">
        <v>73</v>
      </c>
      <c r="I1976">
        <v>6</v>
      </c>
      <c r="J1976">
        <v>9681</v>
      </c>
      <c r="K1976">
        <v>0.1</v>
      </c>
      <c r="L1976">
        <v>52277.4</v>
      </c>
      <c r="M1976">
        <v>40072.53</v>
      </c>
      <c r="N1976">
        <v>12204.87</v>
      </c>
      <c r="O1976" t="s">
        <v>80</v>
      </c>
      <c r="P1976" t="s">
        <v>82</v>
      </c>
    </row>
    <row r="1977" spans="1:16" x14ac:dyDescent="0.25">
      <c r="A1977">
        <v>1976</v>
      </c>
      <c r="B1977" s="2">
        <v>45691</v>
      </c>
      <c r="C1977" t="s">
        <v>23</v>
      </c>
      <c r="D1977" t="s">
        <v>27</v>
      </c>
      <c r="E1977" t="s">
        <v>29</v>
      </c>
      <c r="F1977" t="s">
        <v>36</v>
      </c>
      <c r="G1977" t="s">
        <v>72</v>
      </c>
      <c r="H1977" t="s">
        <v>75</v>
      </c>
      <c r="I1977">
        <v>6</v>
      </c>
      <c r="J1977">
        <v>8962</v>
      </c>
      <c r="K1977">
        <v>0.1</v>
      </c>
      <c r="L1977">
        <v>48394.8</v>
      </c>
      <c r="M1977">
        <v>35515.35</v>
      </c>
      <c r="N1977">
        <v>12879.45</v>
      </c>
      <c r="O1977" t="s">
        <v>79</v>
      </c>
      <c r="P1977" t="s">
        <v>83</v>
      </c>
    </row>
    <row r="1978" spans="1:16" x14ac:dyDescent="0.25">
      <c r="A1978">
        <v>1977</v>
      </c>
      <c r="B1978" s="2">
        <v>45719</v>
      </c>
      <c r="C1978" t="s">
        <v>16</v>
      </c>
      <c r="D1978" t="s">
        <v>24</v>
      </c>
      <c r="E1978" t="s">
        <v>34</v>
      </c>
      <c r="F1978" t="s">
        <v>68</v>
      </c>
      <c r="G1978" t="s">
        <v>70</v>
      </c>
      <c r="H1978" t="s">
        <v>73</v>
      </c>
      <c r="I1978">
        <v>8</v>
      </c>
      <c r="J1978">
        <v>4489</v>
      </c>
      <c r="K1978">
        <v>0</v>
      </c>
      <c r="L1978">
        <v>35912</v>
      </c>
      <c r="M1978">
        <v>23747.85</v>
      </c>
      <c r="N1978">
        <v>12164.15</v>
      </c>
      <c r="O1978" t="s">
        <v>76</v>
      </c>
      <c r="P1978" t="s">
        <v>83</v>
      </c>
    </row>
    <row r="1979" spans="1:16" x14ac:dyDescent="0.25">
      <c r="A1979">
        <v>1978</v>
      </c>
      <c r="B1979" s="2">
        <v>45959</v>
      </c>
      <c r="C1979" t="s">
        <v>20</v>
      </c>
      <c r="D1979" t="s">
        <v>26</v>
      </c>
      <c r="E1979" t="s">
        <v>33</v>
      </c>
      <c r="F1979" t="s">
        <v>46</v>
      </c>
      <c r="G1979" t="s">
        <v>71</v>
      </c>
      <c r="H1979" t="s">
        <v>73</v>
      </c>
      <c r="I1979">
        <v>3</v>
      </c>
      <c r="J1979">
        <v>27894</v>
      </c>
      <c r="K1979">
        <v>0</v>
      </c>
      <c r="L1979">
        <v>83682</v>
      </c>
      <c r="M1979">
        <v>66836.19</v>
      </c>
      <c r="N1979">
        <v>16845.810000000001</v>
      </c>
      <c r="O1979" t="s">
        <v>80</v>
      </c>
      <c r="P1979" t="s">
        <v>82</v>
      </c>
    </row>
    <row r="1980" spans="1:16" x14ac:dyDescent="0.25">
      <c r="A1980">
        <v>1979</v>
      </c>
      <c r="B1980" s="2">
        <v>45895</v>
      </c>
      <c r="C1980" t="s">
        <v>20</v>
      </c>
      <c r="D1980" t="s">
        <v>26</v>
      </c>
      <c r="E1980" t="s">
        <v>32</v>
      </c>
      <c r="F1980" t="s">
        <v>49</v>
      </c>
      <c r="G1980" t="s">
        <v>71</v>
      </c>
      <c r="H1980" t="s">
        <v>73</v>
      </c>
      <c r="I1980">
        <v>1</v>
      </c>
      <c r="J1980">
        <v>10877</v>
      </c>
      <c r="K1980">
        <v>0</v>
      </c>
      <c r="L1980">
        <v>10877</v>
      </c>
      <c r="M1980">
        <v>6818.7</v>
      </c>
      <c r="N1980">
        <v>4058.3</v>
      </c>
      <c r="O1980" t="s">
        <v>79</v>
      </c>
      <c r="P1980" t="s">
        <v>81</v>
      </c>
    </row>
    <row r="1981" spans="1:16" x14ac:dyDescent="0.25">
      <c r="A1981">
        <v>1980</v>
      </c>
      <c r="B1981" s="2">
        <v>45663</v>
      </c>
      <c r="C1981" t="s">
        <v>20</v>
      </c>
      <c r="D1981" t="s">
        <v>26</v>
      </c>
      <c r="E1981" t="s">
        <v>30</v>
      </c>
      <c r="F1981" t="s">
        <v>56</v>
      </c>
      <c r="G1981" t="s">
        <v>70</v>
      </c>
      <c r="H1981" t="s">
        <v>75</v>
      </c>
      <c r="I1981">
        <v>1</v>
      </c>
      <c r="J1981">
        <v>19742</v>
      </c>
      <c r="K1981">
        <v>0</v>
      </c>
      <c r="L1981">
        <v>19742</v>
      </c>
      <c r="M1981">
        <v>14944.37</v>
      </c>
      <c r="N1981">
        <v>4797.63</v>
      </c>
      <c r="O1981" t="s">
        <v>76</v>
      </c>
      <c r="P1981" t="s">
        <v>83</v>
      </c>
    </row>
    <row r="1982" spans="1:16" x14ac:dyDescent="0.25">
      <c r="A1982">
        <v>1981</v>
      </c>
      <c r="B1982" s="2">
        <v>45917</v>
      </c>
      <c r="C1982" t="s">
        <v>20</v>
      </c>
      <c r="D1982" t="s">
        <v>26</v>
      </c>
      <c r="E1982" t="s">
        <v>34</v>
      </c>
      <c r="F1982" t="s">
        <v>65</v>
      </c>
      <c r="G1982" t="s">
        <v>72</v>
      </c>
      <c r="H1982" t="s">
        <v>75</v>
      </c>
      <c r="I1982">
        <v>6</v>
      </c>
      <c r="J1982">
        <v>1097</v>
      </c>
      <c r="K1982">
        <v>0.1</v>
      </c>
      <c r="L1982">
        <v>5923.8</v>
      </c>
      <c r="M1982">
        <v>4638.1000000000004</v>
      </c>
      <c r="N1982">
        <v>1285.7</v>
      </c>
      <c r="O1982" t="s">
        <v>79</v>
      </c>
      <c r="P1982" t="s">
        <v>87</v>
      </c>
    </row>
    <row r="1983" spans="1:16" x14ac:dyDescent="0.25">
      <c r="A1983">
        <v>1982</v>
      </c>
      <c r="B1983" s="2">
        <v>45806</v>
      </c>
      <c r="C1983" t="s">
        <v>22</v>
      </c>
      <c r="D1983" t="s">
        <v>24</v>
      </c>
      <c r="E1983" t="s">
        <v>32</v>
      </c>
      <c r="F1983" t="s">
        <v>48</v>
      </c>
      <c r="G1983" t="s">
        <v>71</v>
      </c>
      <c r="H1983" t="s">
        <v>74</v>
      </c>
      <c r="I1983">
        <v>2</v>
      </c>
      <c r="J1983">
        <v>16043</v>
      </c>
      <c r="K1983">
        <v>0.1</v>
      </c>
      <c r="L1983">
        <v>28877.4</v>
      </c>
      <c r="M1983">
        <v>16173.45</v>
      </c>
      <c r="N1983">
        <v>12703.95</v>
      </c>
      <c r="O1983" t="s">
        <v>78</v>
      </c>
      <c r="P1983" t="s">
        <v>84</v>
      </c>
    </row>
    <row r="1984" spans="1:16" x14ac:dyDescent="0.25">
      <c r="A1984">
        <v>1983</v>
      </c>
      <c r="B1984" s="2">
        <v>46017</v>
      </c>
      <c r="C1984" t="s">
        <v>23</v>
      </c>
      <c r="D1984" t="s">
        <v>27</v>
      </c>
      <c r="E1984" t="s">
        <v>29</v>
      </c>
      <c r="F1984" t="s">
        <v>42</v>
      </c>
      <c r="G1984" t="s">
        <v>70</v>
      </c>
      <c r="H1984" t="s">
        <v>75</v>
      </c>
      <c r="I1984">
        <v>5</v>
      </c>
      <c r="J1984">
        <v>4789</v>
      </c>
      <c r="K1984">
        <v>0.05</v>
      </c>
      <c r="L1984">
        <v>22747.75</v>
      </c>
      <c r="M1984">
        <v>18192.47</v>
      </c>
      <c r="N1984">
        <v>4555.28</v>
      </c>
      <c r="O1984" t="s">
        <v>78</v>
      </c>
      <c r="P1984" t="s">
        <v>86</v>
      </c>
    </row>
    <row r="1985" spans="1:16" x14ac:dyDescent="0.25">
      <c r="A1985">
        <v>1984</v>
      </c>
      <c r="B1985" s="2">
        <v>45966</v>
      </c>
      <c r="C1985" t="s">
        <v>20</v>
      </c>
      <c r="D1985" t="s">
        <v>26</v>
      </c>
      <c r="E1985" t="s">
        <v>31</v>
      </c>
      <c r="F1985" t="s">
        <v>67</v>
      </c>
      <c r="G1985" t="s">
        <v>72</v>
      </c>
      <c r="H1985" t="s">
        <v>75</v>
      </c>
      <c r="I1985">
        <v>6</v>
      </c>
      <c r="J1985">
        <v>408</v>
      </c>
      <c r="K1985">
        <v>0.15</v>
      </c>
      <c r="L1985">
        <v>2080.8000000000002</v>
      </c>
      <c r="M1985">
        <v>1433.32</v>
      </c>
      <c r="N1985">
        <v>647.48</v>
      </c>
      <c r="O1985" t="s">
        <v>76</v>
      </c>
      <c r="P1985" t="s">
        <v>85</v>
      </c>
    </row>
    <row r="1986" spans="1:16" x14ac:dyDescent="0.25">
      <c r="A1986">
        <v>1985</v>
      </c>
      <c r="B1986" s="2">
        <v>46004</v>
      </c>
      <c r="C1986" t="s">
        <v>18</v>
      </c>
      <c r="D1986" t="s">
        <v>26</v>
      </c>
      <c r="E1986" t="s">
        <v>28</v>
      </c>
      <c r="F1986" t="s">
        <v>61</v>
      </c>
      <c r="G1986" t="s">
        <v>70</v>
      </c>
      <c r="H1986" t="s">
        <v>74</v>
      </c>
      <c r="I1986">
        <v>1</v>
      </c>
      <c r="J1986">
        <v>1592</v>
      </c>
      <c r="K1986">
        <v>0.05</v>
      </c>
      <c r="L1986">
        <v>1512.4</v>
      </c>
      <c r="M1986">
        <v>1166.04</v>
      </c>
      <c r="N1986">
        <v>346.36</v>
      </c>
      <c r="O1986" t="s">
        <v>79</v>
      </c>
      <c r="P1986" t="s">
        <v>86</v>
      </c>
    </row>
    <row r="1987" spans="1:16" x14ac:dyDescent="0.25">
      <c r="A1987">
        <v>1986</v>
      </c>
      <c r="B1987" s="2">
        <v>45674</v>
      </c>
      <c r="C1987" t="s">
        <v>19</v>
      </c>
      <c r="D1987" t="s">
        <v>26</v>
      </c>
      <c r="E1987" t="s">
        <v>34</v>
      </c>
      <c r="F1987" t="s">
        <v>65</v>
      </c>
      <c r="G1987" t="s">
        <v>71</v>
      </c>
      <c r="H1987" t="s">
        <v>75</v>
      </c>
      <c r="I1987">
        <v>7</v>
      </c>
      <c r="J1987">
        <v>2163</v>
      </c>
      <c r="K1987">
        <v>0.2</v>
      </c>
      <c r="L1987">
        <v>12112.8</v>
      </c>
      <c r="M1987">
        <v>8475.07</v>
      </c>
      <c r="N1987">
        <v>3637.73</v>
      </c>
      <c r="O1987" t="s">
        <v>80</v>
      </c>
      <c r="P1987" t="s">
        <v>82</v>
      </c>
    </row>
    <row r="1988" spans="1:16" x14ac:dyDescent="0.25">
      <c r="A1988">
        <v>1987</v>
      </c>
      <c r="B1988" s="2">
        <v>45818</v>
      </c>
      <c r="C1988" t="s">
        <v>21</v>
      </c>
      <c r="D1988" t="s">
        <v>24</v>
      </c>
      <c r="E1988" t="s">
        <v>33</v>
      </c>
      <c r="F1988" t="s">
        <v>46</v>
      </c>
      <c r="G1988" t="s">
        <v>71</v>
      </c>
      <c r="H1988" t="s">
        <v>74</v>
      </c>
      <c r="I1988">
        <v>7</v>
      </c>
      <c r="J1988">
        <v>11594</v>
      </c>
      <c r="K1988">
        <v>0.05</v>
      </c>
      <c r="L1988">
        <v>77100.100000000006</v>
      </c>
      <c r="M1988">
        <v>52747.18</v>
      </c>
      <c r="N1988">
        <v>24352.92</v>
      </c>
      <c r="O1988" t="s">
        <v>77</v>
      </c>
      <c r="P1988" t="s">
        <v>87</v>
      </c>
    </row>
    <row r="1989" spans="1:16" x14ac:dyDescent="0.25">
      <c r="A1989">
        <v>1988</v>
      </c>
      <c r="B1989" s="2">
        <v>46009</v>
      </c>
      <c r="C1989" t="s">
        <v>19</v>
      </c>
      <c r="D1989" t="s">
        <v>26</v>
      </c>
      <c r="E1989" t="s">
        <v>33</v>
      </c>
      <c r="F1989" t="s">
        <v>41</v>
      </c>
      <c r="G1989" t="s">
        <v>71</v>
      </c>
      <c r="H1989" t="s">
        <v>75</v>
      </c>
      <c r="I1989">
        <v>3</v>
      </c>
      <c r="J1989">
        <v>32445</v>
      </c>
      <c r="K1989">
        <v>0.15</v>
      </c>
      <c r="L1989">
        <v>82734.75</v>
      </c>
      <c r="M1989">
        <v>68168.92</v>
      </c>
      <c r="N1989">
        <v>14565.83</v>
      </c>
      <c r="O1989" t="s">
        <v>76</v>
      </c>
      <c r="P1989" t="s">
        <v>83</v>
      </c>
    </row>
    <row r="1990" spans="1:16" x14ac:dyDescent="0.25">
      <c r="A1990">
        <v>1989</v>
      </c>
      <c r="B1990" s="2">
        <v>46000</v>
      </c>
      <c r="C1990" t="s">
        <v>22</v>
      </c>
      <c r="D1990" t="s">
        <v>24</v>
      </c>
      <c r="E1990" t="s">
        <v>33</v>
      </c>
      <c r="F1990" t="s">
        <v>46</v>
      </c>
      <c r="G1990" t="s">
        <v>70</v>
      </c>
      <c r="H1990" t="s">
        <v>74</v>
      </c>
      <c r="I1990">
        <v>4</v>
      </c>
      <c r="J1990">
        <v>12823</v>
      </c>
      <c r="K1990">
        <v>0</v>
      </c>
      <c r="L1990">
        <v>51292</v>
      </c>
      <c r="M1990">
        <v>32285.7</v>
      </c>
      <c r="N1990">
        <v>19006.3</v>
      </c>
      <c r="O1990" t="s">
        <v>79</v>
      </c>
      <c r="P1990" t="s">
        <v>86</v>
      </c>
    </row>
    <row r="1991" spans="1:16" x14ac:dyDescent="0.25">
      <c r="A1991">
        <v>1990</v>
      </c>
      <c r="B1991" s="2">
        <v>45903</v>
      </c>
      <c r="C1991" t="s">
        <v>22</v>
      </c>
      <c r="D1991" t="s">
        <v>24</v>
      </c>
      <c r="E1991" t="s">
        <v>33</v>
      </c>
      <c r="F1991" t="s">
        <v>60</v>
      </c>
      <c r="G1991" t="s">
        <v>71</v>
      </c>
      <c r="H1991" t="s">
        <v>74</v>
      </c>
      <c r="I1991">
        <v>4</v>
      </c>
      <c r="J1991">
        <v>34030</v>
      </c>
      <c r="K1991">
        <v>0.15</v>
      </c>
      <c r="L1991">
        <v>115702</v>
      </c>
      <c r="M1991">
        <v>96195.68</v>
      </c>
      <c r="N1991">
        <v>19506.32</v>
      </c>
      <c r="O1991" t="s">
        <v>78</v>
      </c>
      <c r="P1991" t="s">
        <v>83</v>
      </c>
    </row>
    <row r="1992" spans="1:16" x14ac:dyDescent="0.25">
      <c r="A1992">
        <v>1991</v>
      </c>
      <c r="B1992" s="2">
        <v>45872</v>
      </c>
      <c r="C1992" t="s">
        <v>18</v>
      </c>
      <c r="D1992" t="s">
        <v>26</v>
      </c>
      <c r="E1992" t="s">
        <v>31</v>
      </c>
      <c r="F1992" t="s">
        <v>47</v>
      </c>
      <c r="G1992" t="s">
        <v>70</v>
      </c>
      <c r="H1992" t="s">
        <v>74</v>
      </c>
      <c r="I1992">
        <v>2</v>
      </c>
      <c r="J1992">
        <v>277</v>
      </c>
      <c r="K1992">
        <v>0.15</v>
      </c>
      <c r="L1992">
        <v>470.9</v>
      </c>
      <c r="M1992">
        <v>410.79</v>
      </c>
      <c r="N1992">
        <v>60.11</v>
      </c>
      <c r="O1992" t="s">
        <v>80</v>
      </c>
      <c r="P1992" t="s">
        <v>84</v>
      </c>
    </row>
    <row r="1993" spans="1:16" x14ac:dyDescent="0.25">
      <c r="A1993">
        <v>1992</v>
      </c>
      <c r="B1993" s="2">
        <v>45710</v>
      </c>
      <c r="C1993" t="s">
        <v>23</v>
      </c>
      <c r="D1993" t="s">
        <v>27</v>
      </c>
      <c r="E1993" t="s">
        <v>29</v>
      </c>
      <c r="F1993" t="s">
        <v>57</v>
      </c>
      <c r="G1993" t="s">
        <v>70</v>
      </c>
      <c r="H1993" t="s">
        <v>75</v>
      </c>
      <c r="I1993">
        <v>4</v>
      </c>
      <c r="J1993">
        <v>9512</v>
      </c>
      <c r="K1993">
        <v>0.05</v>
      </c>
      <c r="L1993">
        <v>36145.599999999999</v>
      </c>
      <c r="M1993">
        <v>22442.55</v>
      </c>
      <c r="N1993">
        <v>13703.05</v>
      </c>
      <c r="O1993" t="s">
        <v>78</v>
      </c>
      <c r="P1993" t="s">
        <v>86</v>
      </c>
    </row>
    <row r="1994" spans="1:16" x14ac:dyDescent="0.25">
      <c r="A1994">
        <v>1993</v>
      </c>
      <c r="B1994" s="2">
        <v>45745</v>
      </c>
      <c r="C1994" t="s">
        <v>16</v>
      </c>
      <c r="D1994" t="s">
        <v>24</v>
      </c>
      <c r="E1994" t="s">
        <v>29</v>
      </c>
      <c r="F1994" t="s">
        <v>57</v>
      </c>
      <c r="G1994" t="s">
        <v>72</v>
      </c>
      <c r="H1994" t="s">
        <v>73</v>
      </c>
      <c r="I1994">
        <v>1</v>
      </c>
      <c r="J1994">
        <v>6964</v>
      </c>
      <c r="K1994">
        <v>0.05</v>
      </c>
      <c r="L1994">
        <v>6615.8</v>
      </c>
      <c r="M1994">
        <v>4461.1000000000004</v>
      </c>
      <c r="N1994">
        <v>2154.6999999999998</v>
      </c>
      <c r="O1994" t="s">
        <v>76</v>
      </c>
      <c r="P1994" t="s">
        <v>83</v>
      </c>
    </row>
    <row r="1995" spans="1:16" x14ac:dyDescent="0.25">
      <c r="A1995">
        <v>1994</v>
      </c>
      <c r="B1995" s="2">
        <v>45699</v>
      </c>
      <c r="C1995" t="s">
        <v>23</v>
      </c>
      <c r="D1995" t="s">
        <v>27</v>
      </c>
      <c r="E1995" t="s">
        <v>33</v>
      </c>
      <c r="F1995" t="s">
        <v>60</v>
      </c>
      <c r="G1995" t="s">
        <v>71</v>
      </c>
      <c r="H1995" t="s">
        <v>74</v>
      </c>
      <c r="I1995">
        <v>5</v>
      </c>
      <c r="J1995">
        <v>21194</v>
      </c>
      <c r="K1995">
        <v>0</v>
      </c>
      <c r="L1995">
        <v>105970</v>
      </c>
      <c r="M1995">
        <v>86294.03</v>
      </c>
      <c r="N1995">
        <v>19675.97</v>
      </c>
      <c r="O1995" t="s">
        <v>77</v>
      </c>
      <c r="P1995" t="s">
        <v>84</v>
      </c>
    </row>
    <row r="1996" spans="1:16" x14ac:dyDescent="0.25">
      <c r="A1996">
        <v>1995</v>
      </c>
      <c r="B1996" s="2">
        <v>45831</v>
      </c>
      <c r="C1996" t="s">
        <v>17</v>
      </c>
      <c r="D1996" t="s">
        <v>25</v>
      </c>
      <c r="E1996" t="s">
        <v>32</v>
      </c>
      <c r="F1996" t="s">
        <v>39</v>
      </c>
      <c r="G1996" t="s">
        <v>72</v>
      </c>
      <c r="H1996" t="s">
        <v>73</v>
      </c>
      <c r="I1996">
        <v>8</v>
      </c>
      <c r="J1996">
        <v>14091</v>
      </c>
      <c r="K1996">
        <v>0.2</v>
      </c>
      <c r="L1996">
        <v>90182.399999999994</v>
      </c>
      <c r="M1996">
        <v>72628.86</v>
      </c>
      <c r="N1996">
        <v>17553.54</v>
      </c>
      <c r="O1996" t="s">
        <v>80</v>
      </c>
      <c r="P1996" t="s">
        <v>87</v>
      </c>
    </row>
    <row r="1997" spans="1:16" x14ac:dyDescent="0.25">
      <c r="A1997">
        <v>1996</v>
      </c>
      <c r="B1997" s="2">
        <v>45760</v>
      </c>
      <c r="C1997" t="s">
        <v>17</v>
      </c>
      <c r="D1997" t="s">
        <v>25</v>
      </c>
      <c r="E1997" t="s">
        <v>34</v>
      </c>
      <c r="F1997" t="s">
        <v>68</v>
      </c>
      <c r="G1997" t="s">
        <v>71</v>
      </c>
      <c r="H1997" t="s">
        <v>74</v>
      </c>
      <c r="I1997">
        <v>7</v>
      </c>
      <c r="J1997">
        <v>1541</v>
      </c>
      <c r="K1997">
        <v>0.15</v>
      </c>
      <c r="L1997">
        <v>9168.9500000000007</v>
      </c>
      <c r="M1997">
        <v>8063.89</v>
      </c>
      <c r="N1997">
        <v>1105.06</v>
      </c>
      <c r="O1997" t="s">
        <v>76</v>
      </c>
      <c r="P1997" t="s">
        <v>83</v>
      </c>
    </row>
    <row r="1998" spans="1:16" x14ac:dyDescent="0.25">
      <c r="A1998">
        <v>1997</v>
      </c>
      <c r="B1998" s="2">
        <v>45755</v>
      </c>
      <c r="C1998" t="s">
        <v>21</v>
      </c>
      <c r="D1998" t="s">
        <v>24</v>
      </c>
      <c r="E1998" t="s">
        <v>30</v>
      </c>
      <c r="F1998" t="s">
        <v>40</v>
      </c>
      <c r="G1998" t="s">
        <v>72</v>
      </c>
      <c r="H1998" t="s">
        <v>73</v>
      </c>
      <c r="I1998">
        <v>4</v>
      </c>
      <c r="J1998">
        <v>15934</v>
      </c>
      <c r="K1998">
        <v>0</v>
      </c>
      <c r="L1998">
        <v>63736</v>
      </c>
      <c r="M1998">
        <v>47222.35</v>
      </c>
      <c r="N1998">
        <v>16513.650000000001</v>
      </c>
      <c r="O1998" t="s">
        <v>77</v>
      </c>
      <c r="P1998" t="s">
        <v>87</v>
      </c>
    </row>
    <row r="1999" spans="1:16" x14ac:dyDescent="0.25">
      <c r="A1999">
        <v>1998</v>
      </c>
      <c r="B1999" s="2">
        <v>45948</v>
      </c>
      <c r="C1999" t="s">
        <v>20</v>
      </c>
      <c r="D1999" t="s">
        <v>26</v>
      </c>
      <c r="E1999" t="s">
        <v>33</v>
      </c>
      <c r="F1999" t="s">
        <v>41</v>
      </c>
      <c r="G1999" t="s">
        <v>72</v>
      </c>
      <c r="H1999" t="s">
        <v>74</v>
      </c>
      <c r="I1999">
        <v>8</v>
      </c>
      <c r="J1999">
        <v>18029</v>
      </c>
      <c r="K1999">
        <v>0.15</v>
      </c>
      <c r="L1999">
        <v>122597.2</v>
      </c>
      <c r="M1999">
        <v>71920.25</v>
      </c>
      <c r="N1999">
        <v>50676.95</v>
      </c>
      <c r="O1999" t="s">
        <v>80</v>
      </c>
      <c r="P1999" t="s">
        <v>87</v>
      </c>
    </row>
    <row r="2000" spans="1:16" x14ac:dyDescent="0.25">
      <c r="A2000">
        <v>1999</v>
      </c>
      <c r="B2000" s="2">
        <v>45950</v>
      </c>
      <c r="C2000" t="s">
        <v>20</v>
      </c>
      <c r="D2000" t="s">
        <v>26</v>
      </c>
      <c r="E2000" t="s">
        <v>34</v>
      </c>
      <c r="F2000" t="s">
        <v>65</v>
      </c>
      <c r="G2000" t="s">
        <v>70</v>
      </c>
      <c r="H2000" t="s">
        <v>73</v>
      </c>
      <c r="I2000">
        <v>5</v>
      </c>
      <c r="J2000">
        <v>2406</v>
      </c>
      <c r="K2000">
        <v>0.05</v>
      </c>
      <c r="L2000">
        <v>11428.5</v>
      </c>
      <c r="M2000">
        <v>8640.8700000000008</v>
      </c>
      <c r="N2000">
        <v>2787.63</v>
      </c>
      <c r="O2000" t="s">
        <v>77</v>
      </c>
      <c r="P2000" t="s">
        <v>81</v>
      </c>
    </row>
    <row r="2001" spans="1:16" x14ac:dyDescent="0.25">
      <c r="A2001">
        <v>2000</v>
      </c>
      <c r="B2001" s="2">
        <v>45793</v>
      </c>
      <c r="C2001" t="s">
        <v>19</v>
      </c>
      <c r="D2001" t="s">
        <v>26</v>
      </c>
      <c r="E2001" t="s">
        <v>32</v>
      </c>
      <c r="F2001" t="s">
        <v>66</v>
      </c>
      <c r="G2001" t="s">
        <v>72</v>
      </c>
      <c r="H2001" t="s">
        <v>75</v>
      </c>
      <c r="I2001">
        <v>7</v>
      </c>
      <c r="J2001">
        <v>15382</v>
      </c>
      <c r="K2001">
        <v>0.05</v>
      </c>
      <c r="L2001">
        <v>102290.3</v>
      </c>
      <c r="M2001">
        <v>69549.259999999995</v>
      </c>
      <c r="N2001">
        <v>32741.040000000001</v>
      </c>
      <c r="O2001" t="s">
        <v>76</v>
      </c>
      <c r="P2001" t="s">
        <v>85</v>
      </c>
    </row>
    <row r="2002" spans="1:16" x14ac:dyDescent="0.25">
      <c r="A2002">
        <v>2001</v>
      </c>
      <c r="B2002" s="2">
        <v>45993</v>
      </c>
      <c r="C2002" t="s">
        <v>19</v>
      </c>
      <c r="D2002" t="s">
        <v>26</v>
      </c>
      <c r="E2002" t="s">
        <v>34</v>
      </c>
      <c r="F2002" t="s">
        <v>68</v>
      </c>
      <c r="G2002" t="s">
        <v>71</v>
      </c>
      <c r="H2002" t="s">
        <v>73</v>
      </c>
      <c r="I2002">
        <v>8</v>
      </c>
      <c r="J2002">
        <v>4080</v>
      </c>
      <c r="K2002">
        <v>0.05</v>
      </c>
      <c r="L2002">
        <v>31008</v>
      </c>
      <c r="M2002">
        <v>25040.19</v>
      </c>
      <c r="N2002">
        <v>5967.81</v>
      </c>
      <c r="O2002" t="s">
        <v>76</v>
      </c>
      <c r="P2002" t="s">
        <v>86</v>
      </c>
    </row>
    <row r="2003" spans="1:16" x14ac:dyDescent="0.25">
      <c r="A2003">
        <v>2002</v>
      </c>
      <c r="B2003" s="2">
        <v>45853</v>
      </c>
      <c r="C2003" t="s">
        <v>16</v>
      </c>
      <c r="D2003" t="s">
        <v>24</v>
      </c>
      <c r="E2003" t="s">
        <v>29</v>
      </c>
      <c r="F2003" t="s">
        <v>45</v>
      </c>
      <c r="G2003" t="s">
        <v>71</v>
      </c>
      <c r="H2003" t="s">
        <v>75</v>
      </c>
      <c r="I2003">
        <v>3</v>
      </c>
      <c r="J2003">
        <v>7810</v>
      </c>
      <c r="K2003">
        <v>0</v>
      </c>
      <c r="L2003">
        <v>23430</v>
      </c>
      <c r="M2003">
        <v>18671.77</v>
      </c>
      <c r="N2003">
        <v>4758.2299999999996</v>
      </c>
      <c r="O2003" t="s">
        <v>77</v>
      </c>
      <c r="P2003" t="s">
        <v>81</v>
      </c>
    </row>
    <row r="2004" spans="1:16" x14ac:dyDescent="0.25">
      <c r="A2004">
        <v>2003</v>
      </c>
      <c r="B2004" s="2">
        <v>45801</v>
      </c>
      <c r="C2004" t="s">
        <v>21</v>
      </c>
      <c r="D2004" t="s">
        <v>24</v>
      </c>
      <c r="E2004" t="s">
        <v>33</v>
      </c>
      <c r="F2004" t="s">
        <v>41</v>
      </c>
      <c r="G2004" t="s">
        <v>70</v>
      </c>
      <c r="H2004" t="s">
        <v>74</v>
      </c>
      <c r="I2004">
        <v>6</v>
      </c>
      <c r="J2004">
        <v>33789</v>
      </c>
      <c r="K2004">
        <v>0.1</v>
      </c>
      <c r="L2004">
        <v>182460.6</v>
      </c>
      <c r="M2004">
        <v>154374.01999999999</v>
      </c>
      <c r="N2004">
        <v>28086.58</v>
      </c>
      <c r="O2004" t="s">
        <v>77</v>
      </c>
      <c r="P2004" t="s">
        <v>81</v>
      </c>
    </row>
    <row r="2005" spans="1:16" x14ac:dyDescent="0.25">
      <c r="A2005">
        <v>2004</v>
      </c>
      <c r="B2005" s="2">
        <v>45658</v>
      </c>
      <c r="C2005" t="s">
        <v>16</v>
      </c>
      <c r="D2005" t="s">
        <v>24</v>
      </c>
      <c r="E2005" t="s">
        <v>30</v>
      </c>
      <c r="F2005" t="s">
        <v>40</v>
      </c>
      <c r="G2005" t="s">
        <v>70</v>
      </c>
      <c r="H2005" t="s">
        <v>75</v>
      </c>
      <c r="I2005">
        <v>4</v>
      </c>
      <c r="J2005">
        <v>42332</v>
      </c>
      <c r="K2005">
        <v>0</v>
      </c>
      <c r="L2005">
        <v>169328</v>
      </c>
      <c r="M2005">
        <v>124080.99</v>
      </c>
      <c r="N2005">
        <v>45247.01</v>
      </c>
      <c r="O2005" t="s">
        <v>76</v>
      </c>
      <c r="P2005" t="s">
        <v>84</v>
      </c>
    </row>
    <row r="2006" spans="1:16" x14ac:dyDescent="0.25">
      <c r="A2006">
        <v>2005</v>
      </c>
      <c r="B2006" s="2">
        <v>45927</v>
      </c>
      <c r="C2006" t="s">
        <v>19</v>
      </c>
      <c r="D2006" t="s">
        <v>26</v>
      </c>
      <c r="E2006" t="s">
        <v>32</v>
      </c>
      <c r="F2006" t="s">
        <v>66</v>
      </c>
      <c r="G2006" t="s">
        <v>70</v>
      </c>
      <c r="H2006" t="s">
        <v>75</v>
      </c>
      <c r="I2006">
        <v>4</v>
      </c>
      <c r="J2006">
        <v>13364</v>
      </c>
      <c r="K2006">
        <v>0.05</v>
      </c>
      <c r="L2006">
        <v>50783.199999999997</v>
      </c>
      <c r="M2006">
        <v>44028.31</v>
      </c>
      <c r="N2006">
        <v>6754.89</v>
      </c>
      <c r="O2006" t="s">
        <v>80</v>
      </c>
      <c r="P2006" t="s">
        <v>82</v>
      </c>
    </row>
    <row r="2007" spans="1:16" x14ac:dyDescent="0.25">
      <c r="A2007">
        <v>2006</v>
      </c>
      <c r="B2007" s="2">
        <v>45832</v>
      </c>
      <c r="C2007" t="s">
        <v>17</v>
      </c>
      <c r="D2007" t="s">
        <v>25</v>
      </c>
      <c r="E2007" t="s">
        <v>31</v>
      </c>
      <c r="F2007" t="s">
        <v>50</v>
      </c>
      <c r="G2007" t="s">
        <v>72</v>
      </c>
      <c r="H2007" t="s">
        <v>75</v>
      </c>
      <c r="I2007">
        <v>2</v>
      </c>
      <c r="J2007">
        <v>248</v>
      </c>
      <c r="K2007">
        <v>0.05</v>
      </c>
      <c r="L2007">
        <v>471.2</v>
      </c>
      <c r="M2007">
        <v>382.52</v>
      </c>
      <c r="N2007">
        <v>88.68</v>
      </c>
      <c r="O2007" t="s">
        <v>77</v>
      </c>
      <c r="P2007" t="s">
        <v>88</v>
      </c>
    </row>
    <row r="2008" spans="1:16" x14ac:dyDescent="0.25">
      <c r="A2008">
        <v>2007</v>
      </c>
      <c r="B2008" s="2">
        <v>45759</v>
      </c>
      <c r="C2008" t="s">
        <v>23</v>
      </c>
      <c r="D2008" t="s">
        <v>27</v>
      </c>
      <c r="E2008" t="s">
        <v>31</v>
      </c>
      <c r="F2008" t="s">
        <v>47</v>
      </c>
      <c r="G2008" t="s">
        <v>72</v>
      </c>
      <c r="H2008" t="s">
        <v>73</v>
      </c>
      <c r="I2008">
        <v>3</v>
      </c>
      <c r="J2008">
        <v>119</v>
      </c>
      <c r="K2008">
        <v>0.2</v>
      </c>
      <c r="L2008">
        <v>285.60000000000002</v>
      </c>
      <c r="M2008">
        <v>217</v>
      </c>
      <c r="N2008">
        <v>68.599999999999994</v>
      </c>
      <c r="O2008" t="s">
        <v>76</v>
      </c>
      <c r="P2008" t="s">
        <v>82</v>
      </c>
    </row>
    <row r="2009" spans="1:16" x14ac:dyDescent="0.25">
      <c r="A2009">
        <v>2008</v>
      </c>
      <c r="B2009" s="2">
        <v>45955</v>
      </c>
      <c r="C2009" t="s">
        <v>20</v>
      </c>
      <c r="D2009" t="s">
        <v>26</v>
      </c>
      <c r="E2009" t="s">
        <v>34</v>
      </c>
      <c r="F2009" t="s">
        <v>51</v>
      </c>
      <c r="G2009" t="s">
        <v>70</v>
      </c>
      <c r="H2009" t="s">
        <v>74</v>
      </c>
      <c r="I2009">
        <v>7</v>
      </c>
      <c r="J2009">
        <v>1097</v>
      </c>
      <c r="K2009">
        <v>0.1</v>
      </c>
      <c r="L2009">
        <v>6911.1</v>
      </c>
      <c r="M2009">
        <v>5446.58</v>
      </c>
      <c r="N2009">
        <v>1464.52</v>
      </c>
      <c r="O2009" t="s">
        <v>78</v>
      </c>
      <c r="P2009" t="s">
        <v>84</v>
      </c>
    </row>
    <row r="2010" spans="1:16" x14ac:dyDescent="0.25">
      <c r="A2010">
        <v>2009</v>
      </c>
      <c r="B2010" s="2">
        <v>45896</v>
      </c>
      <c r="C2010" t="s">
        <v>19</v>
      </c>
      <c r="D2010" t="s">
        <v>26</v>
      </c>
      <c r="E2010" t="s">
        <v>33</v>
      </c>
      <c r="F2010" t="s">
        <v>59</v>
      </c>
      <c r="G2010" t="s">
        <v>72</v>
      </c>
      <c r="H2010" t="s">
        <v>74</v>
      </c>
      <c r="I2010">
        <v>1</v>
      </c>
      <c r="J2010">
        <v>47699</v>
      </c>
      <c r="K2010">
        <v>0</v>
      </c>
      <c r="L2010">
        <v>47699</v>
      </c>
      <c r="M2010">
        <v>26933.279999999999</v>
      </c>
      <c r="N2010">
        <v>20765.72</v>
      </c>
      <c r="O2010" t="s">
        <v>78</v>
      </c>
      <c r="P2010" t="s">
        <v>88</v>
      </c>
    </row>
    <row r="2011" spans="1:16" x14ac:dyDescent="0.25">
      <c r="A2011">
        <v>2010</v>
      </c>
      <c r="B2011" s="2">
        <v>45748</v>
      </c>
      <c r="C2011" t="s">
        <v>16</v>
      </c>
      <c r="D2011" t="s">
        <v>24</v>
      </c>
      <c r="E2011" t="s">
        <v>34</v>
      </c>
      <c r="F2011" t="s">
        <v>43</v>
      </c>
      <c r="G2011" t="s">
        <v>70</v>
      </c>
      <c r="H2011" t="s">
        <v>75</v>
      </c>
      <c r="I2011">
        <v>2</v>
      </c>
      <c r="J2011">
        <v>4300</v>
      </c>
      <c r="K2011">
        <v>0.05</v>
      </c>
      <c r="L2011">
        <v>8170</v>
      </c>
      <c r="M2011">
        <v>4819.1400000000003</v>
      </c>
      <c r="N2011">
        <v>3350.86</v>
      </c>
      <c r="O2011" t="s">
        <v>79</v>
      </c>
      <c r="P2011" t="s">
        <v>87</v>
      </c>
    </row>
    <row r="2012" spans="1:16" x14ac:dyDescent="0.25">
      <c r="A2012">
        <v>2011</v>
      </c>
      <c r="B2012" s="2">
        <v>45998</v>
      </c>
      <c r="C2012" t="s">
        <v>22</v>
      </c>
      <c r="D2012" t="s">
        <v>24</v>
      </c>
      <c r="E2012" t="s">
        <v>30</v>
      </c>
      <c r="F2012" t="s">
        <v>37</v>
      </c>
      <c r="G2012" t="s">
        <v>71</v>
      </c>
      <c r="H2012" t="s">
        <v>75</v>
      </c>
      <c r="I2012">
        <v>2</v>
      </c>
      <c r="J2012">
        <v>69756</v>
      </c>
      <c r="K2012">
        <v>0.05</v>
      </c>
      <c r="L2012">
        <v>132536.4</v>
      </c>
      <c r="M2012">
        <v>111067.49</v>
      </c>
      <c r="N2012">
        <v>21468.91</v>
      </c>
      <c r="O2012" t="s">
        <v>80</v>
      </c>
      <c r="P2012" t="s">
        <v>88</v>
      </c>
    </row>
    <row r="2013" spans="1:16" x14ac:dyDescent="0.25">
      <c r="A2013">
        <v>2012</v>
      </c>
      <c r="B2013" s="2">
        <v>45930</v>
      </c>
      <c r="C2013" t="s">
        <v>17</v>
      </c>
      <c r="D2013" t="s">
        <v>25</v>
      </c>
      <c r="E2013" t="s">
        <v>32</v>
      </c>
      <c r="F2013" t="s">
        <v>39</v>
      </c>
      <c r="G2013" t="s">
        <v>72</v>
      </c>
      <c r="H2013" t="s">
        <v>73</v>
      </c>
      <c r="I2013">
        <v>4</v>
      </c>
      <c r="J2013">
        <v>22935</v>
      </c>
      <c r="K2013">
        <v>0.15</v>
      </c>
      <c r="L2013">
        <v>77979</v>
      </c>
      <c r="M2013">
        <v>59508.45</v>
      </c>
      <c r="N2013">
        <v>18470.55</v>
      </c>
      <c r="O2013" t="s">
        <v>77</v>
      </c>
      <c r="P2013" t="s">
        <v>82</v>
      </c>
    </row>
    <row r="2014" spans="1:16" x14ac:dyDescent="0.25">
      <c r="A2014">
        <v>2013</v>
      </c>
      <c r="B2014" s="2">
        <v>45682</v>
      </c>
      <c r="C2014" t="s">
        <v>21</v>
      </c>
      <c r="D2014" t="s">
        <v>24</v>
      </c>
      <c r="E2014" t="s">
        <v>31</v>
      </c>
      <c r="F2014" t="s">
        <v>69</v>
      </c>
      <c r="G2014" t="s">
        <v>70</v>
      </c>
      <c r="H2014" t="s">
        <v>73</v>
      </c>
      <c r="I2014">
        <v>8</v>
      </c>
      <c r="J2014">
        <v>1246</v>
      </c>
      <c r="K2014">
        <v>0.1</v>
      </c>
      <c r="L2014">
        <v>8971.2000000000007</v>
      </c>
      <c r="M2014">
        <v>7253.52</v>
      </c>
      <c r="N2014">
        <v>1717.68</v>
      </c>
      <c r="O2014" t="s">
        <v>80</v>
      </c>
      <c r="P2014" t="s">
        <v>84</v>
      </c>
    </row>
    <row r="2015" spans="1:16" x14ac:dyDescent="0.25">
      <c r="A2015">
        <v>2014</v>
      </c>
      <c r="B2015" s="2">
        <v>45846</v>
      </c>
      <c r="C2015" t="s">
        <v>22</v>
      </c>
      <c r="D2015" t="s">
        <v>24</v>
      </c>
      <c r="E2015" t="s">
        <v>29</v>
      </c>
      <c r="F2015" t="s">
        <v>53</v>
      </c>
      <c r="G2015" t="s">
        <v>72</v>
      </c>
      <c r="H2015" t="s">
        <v>74</v>
      </c>
      <c r="I2015">
        <v>4</v>
      </c>
      <c r="J2015">
        <v>11809</v>
      </c>
      <c r="K2015">
        <v>0</v>
      </c>
      <c r="L2015">
        <v>47236</v>
      </c>
      <c r="M2015">
        <v>36285.5</v>
      </c>
      <c r="N2015">
        <v>10950.5</v>
      </c>
      <c r="O2015" t="s">
        <v>76</v>
      </c>
      <c r="P2015" t="s">
        <v>82</v>
      </c>
    </row>
    <row r="2016" spans="1:16" x14ac:dyDescent="0.25">
      <c r="A2016">
        <v>2015</v>
      </c>
      <c r="B2016" s="2">
        <v>45977</v>
      </c>
      <c r="C2016" t="s">
        <v>20</v>
      </c>
      <c r="D2016" t="s">
        <v>26</v>
      </c>
      <c r="E2016" t="s">
        <v>33</v>
      </c>
      <c r="F2016" t="s">
        <v>52</v>
      </c>
      <c r="G2016" t="s">
        <v>72</v>
      </c>
      <c r="H2016" t="s">
        <v>74</v>
      </c>
      <c r="I2016">
        <v>2</v>
      </c>
      <c r="J2016">
        <v>7508</v>
      </c>
      <c r="K2016">
        <v>0.15</v>
      </c>
      <c r="L2016">
        <v>12763.6</v>
      </c>
      <c r="M2016">
        <v>10281.290000000001</v>
      </c>
      <c r="N2016">
        <v>2482.31</v>
      </c>
      <c r="O2016" t="s">
        <v>78</v>
      </c>
      <c r="P2016" t="s">
        <v>81</v>
      </c>
    </row>
    <row r="2017" spans="1:16" x14ac:dyDescent="0.25">
      <c r="A2017">
        <v>2016</v>
      </c>
      <c r="B2017" s="2">
        <v>45742</v>
      </c>
      <c r="C2017" t="s">
        <v>21</v>
      </c>
      <c r="D2017" t="s">
        <v>24</v>
      </c>
      <c r="E2017" t="s">
        <v>30</v>
      </c>
      <c r="F2017" t="s">
        <v>64</v>
      </c>
      <c r="G2017" t="s">
        <v>71</v>
      </c>
      <c r="H2017" t="s">
        <v>74</v>
      </c>
      <c r="I2017">
        <v>1</v>
      </c>
      <c r="J2017">
        <v>34626</v>
      </c>
      <c r="K2017">
        <v>0.15</v>
      </c>
      <c r="L2017">
        <v>29432.1</v>
      </c>
      <c r="M2017">
        <v>22167.26</v>
      </c>
      <c r="N2017">
        <v>7264.84</v>
      </c>
      <c r="O2017" t="s">
        <v>80</v>
      </c>
      <c r="P2017" t="s">
        <v>83</v>
      </c>
    </row>
    <row r="2018" spans="1:16" x14ac:dyDescent="0.25">
      <c r="A2018">
        <v>2017</v>
      </c>
      <c r="B2018" s="2">
        <v>45986</v>
      </c>
      <c r="C2018" t="s">
        <v>16</v>
      </c>
      <c r="D2018" t="s">
        <v>24</v>
      </c>
      <c r="E2018" t="s">
        <v>29</v>
      </c>
      <c r="F2018" t="s">
        <v>45</v>
      </c>
      <c r="G2018" t="s">
        <v>71</v>
      </c>
      <c r="H2018" t="s">
        <v>73</v>
      </c>
      <c r="I2018">
        <v>3</v>
      </c>
      <c r="J2018">
        <v>10873</v>
      </c>
      <c r="K2018">
        <v>0.1</v>
      </c>
      <c r="L2018">
        <v>29357.1</v>
      </c>
      <c r="M2018">
        <v>17967.89</v>
      </c>
      <c r="N2018">
        <v>11389.21</v>
      </c>
      <c r="O2018" t="s">
        <v>78</v>
      </c>
      <c r="P2018" t="s">
        <v>85</v>
      </c>
    </row>
    <row r="2019" spans="1:16" x14ac:dyDescent="0.25">
      <c r="A2019">
        <v>2018</v>
      </c>
      <c r="B2019" s="2">
        <v>45974</v>
      </c>
      <c r="C2019" t="s">
        <v>23</v>
      </c>
      <c r="D2019" t="s">
        <v>27</v>
      </c>
      <c r="E2019" t="s">
        <v>31</v>
      </c>
      <c r="F2019" t="s">
        <v>47</v>
      </c>
      <c r="G2019" t="s">
        <v>72</v>
      </c>
      <c r="H2019" t="s">
        <v>74</v>
      </c>
      <c r="I2019">
        <v>3</v>
      </c>
      <c r="J2019">
        <v>1738</v>
      </c>
      <c r="K2019">
        <v>0.05</v>
      </c>
      <c r="L2019">
        <v>4953.3</v>
      </c>
      <c r="M2019">
        <v>3040.23</v>
      </c>
      <c r="N2019">
        <v>1913.07</v>
      </c>
      <c r="O2019" t="s">
        <v>80</v>
      </c>
      <c r="P2019" t="s">
        <v>86</v>
      </c>
    </row>
    <row r="2020" spans="1:16" x14ac:dyDescent="0.25">
      <c r="A2020">
        <v>2019</v>
      </c>
      <c r="B2020" s="2">
        <v>45758</v>
      </c>
      <c r="C2020" t="s">
        <v>20</v>
      </c>
      <c r="D2020" t="s">
        <v>26</v>
      </c>
      <c r="E2020" t="s">
        <v>33</v>
      </c>
      <c r="F2020" t="s">
        <v>46</v>
      </c>
      <c r="G2020" t="s">
        <v>70</v>
      </c>
      <c r="H2020" t="s">
        <v>74</v>
      </c>
      <c r="I2020">
        <v>6</v>
      </c>
      <c r="J2020">
        <v>35834</v>
      </c>
      <c r="K2020">
        <v>0.1</v>
      </c>
      <c r="L2020">
        <v>193503.6</v>
      </c>
      <c r="M2020">
        <v>162649.69</v>
      </c>
      <c r="N2020">
        <v>30853.91</v>
      </c>
      <c r="O2020" t="s">
        <v>77</v>
      </c>
      <c r="P2020" t="s">
        <v>84</v>
      </c>
    </row>
    <row r="2021" spans="1:16" x14ac:dyDescent="0.25">
      <c r="A2021">
        <v>2020</v>
      </c>
      <c r="B2021" s="2">
        <v>45989</v>
      </c>
      <c r="C2021" t="s">
        <v>16</v>
      </c>
      <c r="D2021" t="s">
        <v>24</v>
      </c>
      <c r="E2021" t="s">
        <v>31</v>
      </c>
      <c r="F2021" t="s">
        <v>38</v>
      </c>
      <c r="G2021" t="s">
        <v>72</v>
      </c>
      <c r="H2021" t="s">
        <v>74</v>
      </c>
      <c r="I2021">
        <v>1</v>
      </c>
      <c r="J2021">
        <v>1717</v>
      </c>
      <c r="K2021">
        <v>0.15</v>
      </c>
      <c r="L2021">
        <v>1459.45</v>
      </c>
      <c r="M2021">
        <v>1104.1099999999999</v>
      </c>
      <c r="N2021">
        <v>355.34</v>
      </c>
      <c r="O2021" t="s">
        <v>79</v>
      </c>
      <c r="P2021" t="s">
        <v>83</v>
      </c>
    </row>
    <row r="2022" spans="1:16" x14ac:dyDescent="0.25">
      <c r="A2022">
        <v>2021</v>
      </c>
      <c r="B2022" s="2">
        <v>45660</v>
      </c>
      <c r="C2022" t="s">
        <v>22</v>
      </c>
      <c r="D2022" t="s">
        <v>24</v>
      </c>
      <c r="E2022" t="s">
        <v>33</v>
      </c>
      <c r="F2022" t="s">
        <v>41</v>
      </c>
      <c r="G2022" t="s">
        <v>71</v>
      </c>
      <c r="H2022" t="s">
        <v>74</v>
      </c>
      <c r="I2022">
        <v>8</v>
      </c>
      <c r="J2022">
        <v>34724</v>
      </c>
      <c r="K2022">
        <v>0.05</v>
      </c>
      <c r="L2022">
        <v>263902.40000000002</v>
      </c>
      <c r="M2022">
        <v>222514.63</v>
      </c>
      <c r="N2022">
        <v>41387.769999999997</v>
      </c>
      <c r="O2022" t="s">
        <v>79</v>
      </c>
      <c r="P2022" t="s">
        <v>86</v>
      </c>
    </row>
    <row r="2023" spans="1:16" x14ac:dyDescent="0.25">
      <c r="A2023">
        <v>2022</v>
      </c>
      <c r="B2023" s="2">
        <v>45799</v>
      </c>
      <c r="C2023" t="s">
        <v>18</v>
      </c>
      <c r="D2023" t="s">
        <v>26</v>
      </c>
      <c r="E2023" t="s">
        <v>31</v>
      </c>
      <c r="F2023" t="s">
        <v>47</v>
      </c>
      <c r="G2023" t="s">
        <v>71</v>
      </c>
      <c r="H2023" t="s">
        <v>74</v>
      </c>
      <c r="I2023">
        <v>6</v>
      </c>
      <c r="J2023">
        <v>1055</v>
      </c>
      <c r="K2023">
        <v>0</v>
      </c>
      <c r="L2023">
        <v>6330</v>
      </c>
      <c r="M2023">
        <v>5436.97</v>
      </c>
      <c r="N2023">
        <v>893.03</v>
      </c>
      <c r="O2023" t="s">
        <v>78</v>
      </c>
      <c r="P2023" t="s">
        <v>88</v>
      </c>
    </row>
    <row r="2024" spans="1:16" x14ac:dyDescent="0.25">
      <c r="A2024">
        <v>2023</v>
      </c>
      <c r="B2024" s="2">
        <v>45688</v>
      </c>
      <c r="C2024" t="s">
        <v>22</v>
      </c>
      <c r="D2024" t="s">
        <v>24</v>
      </c>
      <c r="E2024" t="s">
        <v>29</v>
      </c>
      <c r="F2024" t="s">
        <v>57</v>
      </c>
      <c r="G2024" t="s">
        <v>72</v>
      </c>
      <c r="H2024" t="s">
        <v>74</v>
      </c>
      <c r="I2024">
        <v>8</v>
      </c>
      <c r="J2024">
        <v>427</v>
      </c>
      <c r="K2024">
        <v>0.1</v>
      </c>
      <c r="L2024">
        <v>3074.4</v>
      </c>
      <c r="M2024">
        <v>2418.38</v>
      </c>
      <c r="N2024">
        <v>656.02</v>
      </c>
      <c r="O2024" t="s">
        <v>79</v>
      </c>
      <c r="P2024" t="s">
        <v>83</v>
      </c>
    </row>
    <row r="2025" spans="1:16" x14ac:dyDescent="0.25">
      <c r="A2025">
        <v>2024</v>
      </c>
      <c r="B2025" s="2">
        <v>45991</v>
      </c>
      <c r="C2025" t="s">
        <v>23</v>
      </c>
      <c r="D2025" t="s">
        <v>27</v>
      </c>
      <c r="E2025" t="s">
        <v>28</v>
      </c>
      <c r="F2025" t="s">
        <v>58</v>
      </c>
      <c r="G2025" t="s">
        <v>70</v>
      </c>
      <c r="H2025" t="s">
        <v>74</v>
      </c>
      <c r="I2025">
        <v>6</v>
      </c>
      <c r="J2025">
        <v>2454</v>
      </c>
      <c r="K2025">
        <v>0.1</v>
      </c>
      <c r="L2025">
        <v>13251.6</v>
      </c>
      <c r="M2025">
        <v>8983.35</v>
      </c>
      <c r="N2025">
        <v>4268.25</v>
      </c>
      <c r="O2025" t="s">
        <v>78</v>
      </c>
      <c r="P2025" t="s">
        <v>88</v>
      </c>
    </row>
    <row r="2026" spans="1:16" x14ac:dyDescent="0.25">
      <c r="A2026">
        <v>2025</v>
      </c>
      <c r="B2026" s="2">
        <v>45733</v>
      </c>
      <c r="C2026" t="s">
        <v>21</v>
      </c>
      <c r="D2026" t="s">
        <v>24</v>
      </c>
      <c r="E2026" t="s">
        <v>32</v>
      </c>
      <c r="F2026" t="s">
        <v>48</v>
      </c>
      <c r="G2026" t="s">
        <v>70</v>
      </c>
      <c r="H2026" t="s">
        <v>74</v>
      </c>
      <c r="I2026">
        <v>3</v>
      </c>
      <c r="J2026">
        <v>8479</v>
      </c>
      <c r="K2026">
        <v>0</v>
      </c>
      <c r="L2026">
        <v>25437</v>
      </c>
      <c r="M2026">
        <v>19192.53</v>
      </c>
      <c r="N2026">
        <v>6244.47</v>
      </c>
      <c r="O2026" t="s">
        <v>79</v>
      </c>
      <c r="P2026" t="s">
        <v>83</v>
      </c>
    </row>
    <row r="2027" spans="1:16" x14ac:dyDescent="0.25">
      <c r="A2027">
        <v>2026</v>
      </c>
      <c r="B2027" s="2">
        <v>45953</v>
      </c>
      <c r="C2027" t="s">
        <v>20</v>
      </c>
      <c r="D2027" t="s">
        <v>26</v>
      </c>
      <c r="E2027" t="s">
        <v>29</v>
      </c>
      <c r="F2027" t="s">
        <v>57</v>
      </c>
      <c r="G2027" t="s">
        <v>71</v>
      </c>
      <c r="H2027" t="s">
        <v>75</v>
      </c>
      <c r="I2027">
        <v>4</v>
      </c>
      <c r="J2027">
        <v>11172</v>
      </c>
      <c r="K2027">
        <v>0.1</v>
      </c>
      <c r="L2027">
        <v>40219.199999999997</v>
      </c>
      <c r="M2027">
        <v>29080.57</v>
      </c>
      <c r="N2027">
        <v>11138.63</v>
      </c>
      <c r="O2027" t="s">
        <v>79</v>
      </c>
      <c r="P2027" t="s">
        <v>87</v>
      </c>
    </row>
    <row r="2028" spans="1:16" x14ac:dyDescent="0.25">
      <c r="A2028">
        <v>2027</v>
      </c>
      <c r="B2028" s="2">
        <v>45856</v>
      </c>
      <c r="C2028" t="s">
        <v>23</v>
      </c>
      <c r="D2028" t="s">
        <v>27</v>
      </c>
      <c r="E2028" t="s">
        <v>31</v>
      </c>
      <c r="F2028" t="s">
        <v>38</v>
      </c>
      <c r="G2028" t="s">
        <v>72</v>
      </c>
      <c r="H2028" t="s">
        <v>75</v>
      </c>
      <c r="I2028">
        <v>1</v>
      </c>
      <c r="J2028">
        <v>1057</v>
      </c>
      <c r="K2028">
        <v>0</v>
      </c>
      <c r="L2028">
        <v>1057</v>
      </c>
      <c r="M2028">
        <v>825.49</v>
      </c>
      <c r="N2028">
        <v>231.51</v>
      </c>
      <c r="O2028" t="s">
        <v>77</v>
      </c>
      <c r="P2028" t="s">
        <v>87</v>
      </c>
    </row>
    <row r="2029" spans="1:16" x14ac:dyDescent="0.25">
      <c r="A2029">
        <v>2028</v>
      </c>
      <c r="B2029" s="2">
        <v>45688</v>
      </c>
      <c r="C2029" t="s">
        <v>19</v>
      </c>
      <c r="D2029" t="s">
        <v>26</v>
      </c>
      <c r="E2029" t="s">
        <v>31</v>
      </c>
      <c r="F2029" t="s">
        <v>69</v>
      </c>
      <c r="G2029" t="s">
        <v>70</v>
      </c>
      <c r="H2029" t="s">
        <v>75</v>
      </c>
      <c r="I2029">
        <v>5</v>
      </c>
      <c r="J2029">
        <v>944</v>
      </c>
      <c r="K2029">
        <v>0</v>
      </c>
      <c r="L2029">
        <v>4720</v>
      </c>
      <c r="M2029">
        <v>3154.98</v>
      </c>
      <c r="N2029">
        <v>1565.02</v>
      </c>
      <c r="O2029" t="s">
        <v>78</v>
      </c>
      <c r="P2029" t="s">
        <v>86</v>
      </c>
    </row>
    <row r="2030" spans="1:16" x14ac:dyDescent="0.25">
      <c r="A2030">
        <v>2029</v>
      </c>
      <c r="B2030" s="2">
        <v>45952</v>
      </c>
      <c r="C2030" t="s">
        <v>22</v>
      </c>
      <c r="D2030" t="s">
        <v>24</v>
      </c>
      <c r="E2030" t="s">
        <v>30</v>
      </c>
      <c r="F2030" t="s">
        <v>40</v>
      </c>
      <c r="G2030" t="s">
        <v>71</v>
      </c>
      <c r="H2030" t="s">
        <v>74</v>
      </c>
      <c r="I2030">
        <v>7</v>
      </c>
      <c r="J2030">
        <v>30982</v>
      </c>
      <c r="K2030">
        <v>0.05</v>
      </c>
      <c r="L2030">
        <v>206030.3</v>
      </c>
      <c r="M2030">
        <v>167398.10999999999</v>
      </c>
      <c r="N2030">
        <v>38632.19</v>
      </c>
      <c r="O2030" t="s">
        <v>80</v>
      </c>
      <c r="P2030" t="s">
        <v>85</v>
      </c>
    </row>
    <row r="2031" spans="1:16" x14ac:dyDescent="0.25">
      <c r="A2031">
        <v>2030</v>
      </c>
      <c r="B2031" s="2">
        <v>45923</v>
      </c>
      <c r="C2031" t="s">
        <v>23</v>
      </c>
      <c r="D2031" t="s">
        <v>27</v>
      </c>
      <c r="E2031" t="s">
        <v>32</v>
      </c>
      <c r="F2031" t="s">
        <v>66</v>
      </c>
      <c r="G2031" t="s">
        <v>72</v>
      </c>
      <c r="H2031" t="s">
        <v>75</v>
      </c>
      <c r="I2031">
        <v>6</v>
      </c>
      <c r="J2031">
        <v>15073</v>
      </c>
      <c r="K2031">
        <v>0.1</v>
      </c>
      <c r="L2031">
        <v>81394.2</v>
      </c>
      <c r="M2031">
        <v>45055.51</v>
      </c>
      <c r="N2031">
        <v>36338.69</v>
      </c>
      <c r="O2031" t="s">
        <v>77</v>
      </c>
      <c r="P2031" t="s">
        <v>85</v>
      </c>
    </row>
    <row r="2032" spans="1:16" x14ac:dyDescent="0.25">
      <c r="A2032">
        <v>2031</v>
      </c>
      <c r="B2032" s="2">
        <v>45850</v>
      </c>
      <c r="C2032" t="s">
        <v>16</v>
      </c>
      <c r="D2032" t="s">
        <v>24</v>
      </c>
      <c r="E2032" t="s">
        <v>34</v>
      </c>
      <c r="F2032" t="s">
        <v>51</v>
      </c>
      <c r="G2032" t="s">
        <v>72</v>
      </c>
      <c r="H2032" t="s">
        <v>75</v>
      </c>
      <c r="I2032">
        <v>3</v>
      </c>
      <c r="J2032">
        <v>2343</v>
      </c>
      <c r="K2032">
        <v>0.15</v>
      </c>
      <c r="L2032">
        <v>5974.65</v>
      </c>
      <c r="M2032">
        <v>3933.86</v>
      </c>
      <c r="N2032">
        <v>2040.79</v>
      </c>
      <c r="O2032" t="s">
        <v>77</v>
      </c>
      <c r="P2032" t="s">
        <v>83</v>
      </c>
    </row>
    <row r="2033" spans="1:16" x14ac:dyDescent="0.25">
      <c r="A2033">
        <v>2032</v>
      </c>
      <c r="B2033" s="2">
        <v>45792</v>
      </c>
      <c r="C2033" t="s">
        <v>22</v>
      </c>
      <c r="D2033" t="s">
        <v>24</v>
      </c>
      <c r="E2033" t="s">
        <v>31</v>
      </c>
      <c r="F2033" t="s">
        <v>38</v>
      </c>
      <c r="G2033" t="s">
        <v>70</v>
      </c>
      <c r="H2033" t="s">
        <v>73</v>
      </c>
      <c r="I2033">
        <v>3</v>
      </c>
      <c r="J2033">
        <v>477</v>
      </c>
      <c r="K2033">
        <v>0</v>
      </c>
      <c r="L2033">
        <v>1431</v>
      </c>
      <c r="M2033">
        <v>1059.07</v>
      </c>
      <c r="N2033">
        <v>371.93</v>
      </c>
      <c r="O2033" t="s">
        <v>79</v>
      </c>
      <c r="P2033" t="s">
        <v>87</v>
      </c>
    </row>
    <row r="2034" spans="1:16" x14ac:dyDescent="0.25">
      <c r="A2034">
        <v>2033</v>
      </c>
      <c r="B2034" s="2">
        <v>45937</v>
      </c>
      <c r="C2034" t="s">
        <v>23</v>
      </c>
      <c r="D2034" t="s">
        <v>27</v>
      </c>
      <c r="E2034" t="s">
        <v>28</v>
      </c>
      <c r="F2034" t="s">
        <v>63</v>
      </c>
      <c r="G2034" t="s">
        <v>71</v>
      </c>
      <c r="H2034" t="s">
        <v>74</v>
      </c>
      <c r="I2034">
        <v>3</v>
      </c>
      <c r="J2034">
        <v>1398</v>
      </c>
      <c r="K2034">
        <v>0.1</v>
      </c>
      <c r="L2034">
        <v>3774.6</v>
      </c>
      <c r="M2034">
        <v>3232.03</v>
      </c>
      <c r="N2034">
        <v>542.57000000000005</v>
      </c>
      <c r="O2034" t="s">
        <v>78</v>
      </c>
      <c r="P2034" t="s">
        <v>83</v>
      </c>
    </row>
    <row r="2035" spans="1:16" x14ac:dyDescent="0.25">
      <c r="A2035">
        <v>2034</v>
      </c>
      <c r="B2035" s="2">
        <v>45661</v>
      </c>
      <c r="C2035" t="s">
        <v>23</v>
      </c>
      <c r="D2035" t="s">
        <v>27</v>
      </c>
      <c r="E2035" t="s">
        <v>32</v>
      </c>
      <c r="F2035" t="s">
        <v>39</v>
      </c>
      <c r="G2035" t="s">
        <v>72</v>
      </c>
      <c r="H2035" t="s">
        <v>74</v>
      </c>
      <c r="I2035">
        <v>3</v>
      </c>
      <c r="J2035">
        <v>10840</v>
      </c>
      <c r="K2035">
        <v>0</v>
      </c>
      <c r="L2035">
        <v>32520</v>
      </c>
      <c r="M2035">
        <v>21059.77</v>
      </c>
      <c r="N2035">
        <v>11460.23</v>
      </c>
      <c r="O2035" t="s">
        <v>78</v>
      </c>
      <c r="P2035" t="s">
        <v>86</v>
      </c>
    </row>
    <row r="2036" spans="1:16" x14ac:dyDescent="0.25">
      <c r="A2036">
        <v>2035</v>
      </c>
      <c r="B2036" s="2">
        <v>45801</v>
      </c>
      <c r="C2036" t="s">
        <v>23</v>
      </c>
      <c r="D2036" t="s">
        <v>27</v>
      </c>
      <c r="E2036" t="s">
        <v>32</v>
      </c>
      <c r="F2036" t="s">
        <v>48</v>
      </c>
      <c r="G2036" t="s">
        <v>72</v>
      </c>
      <c r="H2036" t="s">
        <v>73</v>
      </c>
      <c r="I2036">
        <v>2</v>
      </c>
      <c r="J2036">
        <v>14476</v>
      </c>
      <c r="K2036">
        <v>0</v>
      </c>
      <c r="L2036">
        <v>28952</v>
      </c>
      <c r="M2036">
        <v>25470.76</v>
      </c>
      <c r="N2036">
        <v>3481.24</v>
      </c>
      <c r="O2036" t="s">
        <v>79</v>
      </c>
      <c r="P2036" t="s">
        <v>81</v>
      </c>
    </row>
    <row r="2037" spans="1:16" x14ac:dyDescent="0.25">
      <c r="A2037">
        <v>2036</v>
      </c>
      <c r="B2037" s="2">
        <v>45793</v>
      </c>
      <c r="C2037" t="s">
        <v>23</v>
      </c>
      <c r="D2037" t="s">
        <v>27</v>
      </c>
      <c r="E2037" t="s">
        <v>28</v>
      </c>
      <c r="F2037" t="s">
        <v>54</v>
      </c>
      <c r="G2037" t="s">
        <v>72</v>
      </c>
      <c r="H2037" t="s">
        <v>75</v>
      </c>
      <c r="I2037">
        <v>6</v>
      </c>
      <c r="J2037">
        <v>2185</v>
      </c>
      <c r="K2037">
        <v>0</v>
      </c>
      <c r="L2037">
        <v>13110</v>
      </c>
      <c r="M2037">
        <v>8423.1299999999992</v>
      </c>
      <c r="N2037">
        <v>4686.87</v>
      </c>
      <c r="O2037" t="s">
        <v>77</v>
      </c>
      <c r="P2037" t="s">
        <v>84</v>
      </c>
    </row>
    <row r="2038" spans="1:16" x14ac:dyDescent="0.25">
      <c r="A2038">
        <v>2037</v>
      </c>
      <c r="B2038" s="2">
        <v>45820</v>
      </c>
      <c r="C2038" t="s">
        <v>21</v>
      </c>
      <c r="D2038" t="s">
        <v>24</v>
      </c>
      <c r="E2038" t="s">
        <v>34</v>
      </c>
      <c r="F2038" t="s">
        <v>65</v>
      </c>
      <c r="G2038" t="s">
        <v>72</v>
      </c>
      <c r="H2038" t="s">
        <v>75</v>
      </c>
      <c r="I2038">
        <v>2</v>
      </c>
      <c r="J2038">
        <v>3998</v>
      </c>
      <c r="K2038">
        <v>0.1</v>
      </c>
      <c r="L2038">
        <v>7196.4</v>
      </c>
      <c r="M2038">
        <v>5221.28</v>
      </c>
      <c r="N2038">
        <v>1975.12</v>
      </c>
      <c r="O2038" t="s">
        <v>80</v>
      </c>
      <c r="P2038" t="s">
        <v>84</v>
      </c>
    </row>
    <row r="2039" spans="1:16" x14ac:dyDescent="0.25">
      <c r="A2039">
        <v>2038</v>
      </c>
      <c r="B2039" s="2">
        <v>45996</v>
      </c>
      <c r="C2039" t="s">
        <v>22</v>
      </c>
      <c r="D2039" t="s">
        <v>24</v>
      </c>
      <c r="E2039" t="s">
        <v>28</v>
      </c>
      <c r="F2039" t="s">
        <v>58</v>
      </c>
      <c r="G2039" t="s">
        <v>71</v>
      </c>
      <c r="H2039" t="s">
        <v>73</v>
      </c>
      <c r="I2039">
        <v>5</v>
      </c>
      <c r="J2039">
        <v>1446</v>
      </c>
      <c r="K2039">
        <v>0.05</v>
      </c>
      <c r="L2039">
        <v>6868.5</v>
      </c>
      <c r="M2039">
        <v>4282.1400000000003</v>
      </c>
      <c r="N2039">
        <v>2586.36</v>
      </c>
      <c r="O2039" t="s">
        <v>78</v>
      </c>
      <c r="P2039" t="s">
        <v>84</v>
      </c>
    </row>
    <row r="2040" spans="1:16" x14ac:dyDescent="0.25">
      <c r="A2040">
        <v>2039</v>
      </c>
      <c r="B2040" s="2">
        <v>45998</v>
      </c>
      <c r="C2040" t="s">
        <v>20</v>
      </c>
      <c r="D2040" t="s">
        <v>26</v>
      </c>
      <c r="E2040" t="s">
        <v>29</v>
      </c>
      <c r="F2040" t="s">
        <v>57</v>
      </c>
      <c r="G2040" t="s">
        <v>72</v>
      </c>
      <c r="H2040" t="s">
        <v>73</v>
      </c>
      <c r="I2040">
        <v>6</v>
      </c>
      <c r="J2040">
        <v>2709</v>
      </c>
      <c r="K2040">
        <v>0.1</v>
      </c>
      <c r="L2040">
        <v>14628.6</v>
      </c>
      <c r="M2040">
        <v>9787.1299999999992</v>
      </c>
      <c r="N2040">
        <v>4841.47</v>
      </c>
      <c r="O2040" t="s">
        <v>78</v>
      </c>
      <c r="P2040" t="s">
        <v>86</v>
      </c>
    </row>
    <row r="2041" spans="1:16" x14ac:dyDescent="0.25">
      <c r="A2041">
        <v>2040</v>
      </c>
      <c r="B2041" s="2">
        <v>45814</v>
      </c>
      <c r="C2041" t="s">
        <v>21</v>
      </c>
      <c r="D2041" t="s">
        <v>24</v>
      </c>
      <c r="E2041" t="s">
        <v>30</v>
      </c>
      <c r="F2041" t="s">
        <v>44</v>
      </c>
      <c r="G2041" t="s">
        <v>72</v>
      </c>
      <c r="H2041" t="s">
        <v>73</v>
      </c>
      <c r="I2041">
        <v>1</v>
      </c>
      <c r="J2041">
        <v>63948</v>
      </c>
      <c r="K2041">
        <v>0.1</v>
      </c>
      <c r="L2041">
        <v>57553.2</v>
      </c>
      <c r="M2041">
        <v>33410.31</v>
      </c>
      <c r="N2041">
        <v>24142.89</v>
      </c>
      <c r="O2041" t="s">
        <v>77</v>
      </c>
      <c r="P2041" t="s">
        <v>85</v>
      </c>
    </row>
    <row r="2042" spans="1:16" x14ac:dyDescent="0.25">
      <c r="A2042">
        <v>2041</v>
      </c>
      <c r="B2042" s="2">
        <v>45692</v>
      </c>
      <c r="C2042" t="s">
        <v>18</v>
      </c>
      <c r="D2042" t="s">
        <v>26</v>
      </c>
      <c r="E2042" t="s">
        <v>30</v>
      </c>
      <c r="F2042" t="s">
        <v>44</v>
      </c>
      <c r="G2042" t="s">
        <v>71</v>
      </c>
      <c r="H2042" t="s">
        <v>73</v>
      </c>
      <c r="I2042">
        <v>5</v>
      </c>
      <c r="J2042">
        <v>16222</v>
      </c>
      <c r="K2042">
        <v>0.1</v>
      </c>
      <c r="L2042">
        <v>72999</v>
      </c>
      <c r="M2042">
        <v>61804.82</v>
      </c>
      <c r="N2042">
        <v>11194.18</v>
      </c>
      <c r="O2042" t="s">
        <v>80</v>
      </c>
      <c r="P2042" t="s">
        <v>83</v>
      </c>
    </row>
    <row r="2043" spans="1:16" x14ac:dyDescent="0.25">
      <c r="A2043">
        <v>2042</v>
      </c>
      <c r="B2043" s="2">
        <v>45933</v>
      </c>
      <c r="C2043" t="s">
        <v>21</v>
      </c>
      <c r="D2043" t="s">
        <v>24</v>
      </c>
      <c r="E2043" t="s">
        <v>34</v>
      </c>
      <c r="F2043" t="s">
        <v>43</v>
      </c>
      <c r="G2043" t="s">
        <v>70</v>
      </c>
      <c r="H2043" t="s">
        <v>75</v>
      </c>
      <c r="I2043">
        <v>2</v>
      </c>
      <c r="J2043">
        <v>3031</v>
      </c>
      <c r="K2043">
        <v>0.1</v>
      </c>
      <c r="L2043">
        <v>5455.8</v>
      </c>
      <c r="M2043">
        <v>3323.61</v>
      </c>
      <c r="N2043">
        <v>2132.19</v>
      </c>
      <c r="O2043" t="s">
        <v>80</v>
      </c>
      <c r="P2043" t="s">
        <v>81</v>
      </c>
    </row>
    <row r="2044" spans="1:16" x14ac:dyDescent="0.25">
      <c r="A2044">
        <v>2043</v>
      </c>
      <c r="B2044" s="2">
        <v>45828</v>
      </c>
      <c r="C2044" t="s">
        <v>21</v>
      </c>
      <c r="D2044" t="s">
        <v>24</v>
      </c>
      <c r="E2044" t="s">
        <v>30</v>
      </c>
      <c r="F2044" t="s">
        <v>44</v>
      </c>
      <c r="G2044" t="s">
        <v>71</v>
      </c>
      <c r="H2044" t="s">
        <v>73</v>
      </c>
      <c r="I2044">
        <v>5</v>
      </c>
      <c r="J2044">
        <v>46829</v>
      </c>
      <c r="K2044">
        <v>0.05</v>
      </c>
      <c r="L2044">
        <v>222437.75</v>
      </c>
      <c r="M2044">
        <v>126419.3</v>
      </c>
      <c r="N2044">
        <v>96018.45</v>
      </c>
      <c r="O2044" t="s">
        <v>78</v>
      </c>
      <c r="P2044" t="s">
        <v>88</v>
      </c>
    </row>
    <row r="2045" spans="1:16" x14ac:dyDescent="0.25">
      <c r="A2045">
        <v>2044</v>
      </c>
      <c r="B2045" s="2">
        <v>45896</v>
      </c>
      <c r="C2045" t="s">
        <v>19</v>
      </c>
      <c r="D2045" t="s">
        <v>26</v>
      </c>
      <c r="E2045" t="s">
        <v>33</v>
      </c>
      <c r="F2045" t="s">
        <v>59</v>
      </c>
      <c r="G2045" t="s">
        <v>70</v>
      </c>
      <c r="H2045" t="s">
        <v>75</v>
      </c>
      <c r="I2045">
        <v>7</v>
      </c>
      <c r="J2045">
        <v>28228</v>
      </c>
      <c r="K2045">
        <v>0.05</v>
      </c>
      <c r="L2045">
        <v>187716.2</v>
      </c>
      <c r="M2045">
        <v>159417.51</v>
      </c>
      <c r="N2045">
        <v>28298.69</v>
      </c>
      <c r="O2045" t="s">
        <v>77</v>
      </c>
      <c r="P2045" t="s">
        <v>84</v>
      </c>
    </row>
    <row r="2046" spans="1:16" x14ac:dyDescent="0.25">
      <c r="A2046">
        <v>2045</v>
      </c>
      <c r="B2046" s="2">
        <v>45743</v>
      </c>
      <c r="C2046" t="s">
        <v>18</v>
      </c>
      <c r="D2046" t="s">
        <v>26</v>
      </c>
      <c r="E2046" t="s">
        <v>30</v>
      </c>
      <c r="F2046" t="s">
        <v>64</v>
      </c>
      <c r="G2046" t="s">
        <v>72</v>
      </c>
      <c r="H2046" t="s">
        <v>75</v>
      </c>
      <c r="I2046">
        <v>5</v>
      </c>
      <c r="J2046">
        <v>40097</v>
      </c>
      <c r="K2046">
        <v>0.05</v>
      </c>
      <c r="L2046">
        <v>190460.75</v>
      </c>
      <c r="M2046">
        <v>148150.88</v>
      </c>
      <c r="N2046">
        <v>42309.87</v>
      </c>
      <c r="O2046" t="s">
        <v>78</v>
      </c>
      <c r="P2046" t="s">
        <v>81</v>
      </c>
    </row>
    <row r="2047" spans="1:16" x14ac:dyDescent="0.25">
      <c r="A2047">
        <v>2046</v>
      </c>
      <c r="B2047" s="2">
        <v>45840</v>
      </c>
      <c r="C2047" t="s">
        <v>22</v>
      </c>
      <c r="D2047" t="s">
        <v>24</v>
      </c>
      <c r="E2047" t="s">
        <v>28</v>
      </c>
      <c r="F2047" t="s">
        <v>63</v>
      </c>
      <c r="G2047" t="s">
        <v>71</v>
      </c>
      <c r="H2047" t="s">
        <v>73</v>
      </c>
      <c r="I2047">
        <v>1</v>
      </c>
      <c r="J2047">
        <v>2218</v>
      </c>
      <c r="K2047">
        <v>0</v>
      </c>
      <c r="L2047">
        <v>2218</v>
      </c>
      <c r="M2047">
        <v>1367.24</v>
      </c>
      <c r="N2047">
        <v>850.76</v>
      </c>
      <c r="O2047" t="s">
        <v>76</v>
      </c>
      <c r="P2047" t="s">
        <v>86</v>
      </c>
    </row>
    <row r="2048" spans="1:16" x14ac:dyDescent="0.25">
      <c r="A2048">
        <v>2047</v>
      </c>
      <c r="B2048" s="2">
        <v>46015</v>
      </c>
      <c r="C2048" t="s">
        <v>20</v>
      </c>
      <c r="D2048" t="s">
        <v>26</v>
      </c>
      <c r="E2048" t="s">
        <v>34</v>
      </c>
      <c r="F2048" t="s">
        <v>65</v>
      </c>
      <c r="G2048" t="s">
        <v>70</v>
      </c>
      <c r="H2048" t="s">
        <v>74</v>
      </c>
      <c r="I2048">
        <v>1</v>
      </c>
      <c r="J2048">
        <v>5516</v>
      </c>
      <c r="K2048">
        <v>0.1</v>
      </c>
      <c r="L2048">
        <v>4964.3999999999996</v>
      </c>
      <c r="M2048">
        <v>2825.85</v>
      </c>
      <c r="N2048">
        <v>2138.5500000000002</v>
      </c>
      <c r="O2048" t="s">
        <v>79</v>
      </c>
      <c r="P2048" t="s">
        <v>87</v>
      </c>
    </row>
    <row r="2049" spans="1:16" x14ac:dyDescent="0.25">
      <c r="A2049">
        <v>2048</v>
      </c>
      <c r="B2049" s="2">
        <v>45719</v>
      </c>
      <c r="C2049" t="s">
        <v>21</v>
      </c>
      <c r="D2049" t="s">
        <v>24</v>
      </c>
      <c r="E2049" t="s">
        <v>33</v>
      </c>
      <c r="F2049" t="s">
        <v>41</v>
      </c>
      <c r="G2049" t="s">
        <v>72</v>
      </c>
      <c r="H2049" t="s">
        <v>74</v>
      </c>
      <c r="I2049">
        <v>2</v>
      </c>
      <c r="J2049">
        <v>46619</v>
      </c>
      <c r="K2049">
        <v>0.1</v>
      </c>
      <c r="L2049">
        <v>83914.2</v>
      </c>
      <c r="M2049">
        <v>53717.17</v>
      </c>
      <c r="N2049">
        <v>30197.03</v>
      </c>
      <c r="O2049" t="s">
        <v>76</v>
      </c>
      <c r="P2049" t="s">
        <v>84</v>
      </c>
    </row>
    <row r="2050" spans="1:16" x14ac:dyDescent="0.25">
      <c r="A2050">
        <v>2049</v>
      </c>
      <c r="B2050" s="2">
        <v>45758</v>
      </c>
      <c r="C2050" t="s">
        <v>23</v>
      </c>
      <c r="D2050" t="s">
        <v>27</v>
      </c>
      <c r="E2050" t="s">
        <v>28</v>
      </c>
      <c r="F2050" t="s">
        <v>63</v>
      </c>
      <c r="G2050" t="s">
        <v>72</v>
      </c>
      <c r="H2050" t="s">
        <v>73</v>
      </c>
      <c r="I2050">
        <v>8</v>
      </c>
      <c r="J2050">
        <v>323</v>
      </c>
      <c r="K2050">
        <v>0.15</v>
      </c>
      <c r="L2050">
        <v>2196.4</v>
      </c>
      <c r="M2050">
        <v>1537.69</v>
      </c>
      <c r="N2050">
        <v>658.71</v>
      </c>
      <c r="O2050" t="s">
        <v>78</v>
      </c>
      <c r="P2050" t="s">
        <v>84</v>
      </c>
    </row>
    <row r="2051" spans="1:16" x14ac:dyDescent="0.25">
      <c r="A2051">
        <v>2050</v>
      </c>
      <c r="B2051" s="2">
        <v>45703</v>
      </c>
      <c r="C2051" t="s">
        <v>18</v>
      </c>
      <c r="D2051" t="s">
        <v>26</v>
      </c>
      <c r="E2051" t="s">
        <v>31</v>
      </c>
      <c r="F2051" t="s">
        <v>38</v>
      </c>
      <c r="G2051" t="s">
        <v>70</v>
      </c>
      <c r="H2051" t="s">
        <v>73</v>
      </c>
      <c r="I2051">
        <v>6</v>
      </c>
      <c r="J2051">
        <v>2348</v>
      </c>
      <c r="K2051">
        <v>0.1</v>
      </c>
      <c r="L2051">
        <v>12679.2</v>
      </c>
      <c r="M2051">
        <v>9581.57</v>
      </c>
      <c r="N2051">
        <v>3097.63</v>
      </c>
      <c r="O2051" t="s">
        <v>80</v>
      </c>
      <c r="P2051" t="s">
        <v>87</v>
      </c>
    </row>
    <row r="2052" spans="1:16" x14ac:dyDescent="0.25">
      <c r="A2052">
        <v>2051</v>
      </c>
      <c r="B2052" s="2">
        <v>45873</v>
      </c>
      <c r="C2052" t="s">
        <v>22</v>
      </c>
      <c r="D2052" t="s">
        <v>24</v>
      </c>
      <c r="E2052" t="s">
        <v>29</v>
      </c>
      <c r="F2052" t="s">
        <v>53</v>
      </c>
      <c r="G2052" t="s">
        <v>70</v>
      </c>
      <c r="H2052" t="s">
        <v>75</v>
      </c>
      <c r="I2052">
        <v>5</v>
      </c>
      <c r="J2052">
        <v>8664</v>
      </c>
      <c r="K2052">
        <v>0.15</v>
      </c>
      <c r="L2052">
        <v>36822</v>
      </c>
      <c r="M2052">
        <v>26715.65</v>
      </c>
      <c r="N2052">
        <v>10106.35</v>
      </c>
      <c r="O2052" t="s">
        <v>78</v>
      </c>
      <c r="P2052" t="s">
        <v>85</v>
      </c>
    </row>
    <row r="2053" spans="1:16" x14ac:dyDescent="0.25">
      <c r="A2053">
        <v>2052</v>
      </c>
      <c r="B2053" s="2">
        <v>45735</v>
      </c>
      <c r="C2053" t="s">
        <v>19</v>
      </c>
      <c r="D2053" t="s">
        <v>26</v>
      </c>
      <c r="E2053" t="s">
        <v>30</v>
      </c>
      <c r="F2053" t="s">
        <v>44</v>
      </c>
      <c r="G2053" t="s">
        <v>72</v>
      </c>
      <c r="H2053" t="s">
        <v>75</v>
      </c>
      <c r="I2053">
        <v>4</v>
      </c>
      <c r="J2053">
        <v>24876</v>
      </c>
      <c r="K2053">
        <v>0.1</v>
      </c>
      <c r="L2053">
        <v>89553.600000000006</v>
      </c>
      <c r="M2053">
        <v>60920.73</v>
      </c>
      <c r="N2053">
        <v>28632.87</v>
      </c>
      <c r="O2053" t="s">
        <v>76</v>
      </c>
      <c r="P2053" t="s">
        <v>83</v>
      </c>
    </row>
    <row r="2054" spans="1:16" x14ac:dyDescent="0.25">
      <c r="A2054">
        <v>2053</v>
      </c>
      <c r="B2054" s="2">
        <v>45887</v>
      </c>
      <c r="C2054" t="s">
        <v>19</v>
      </c>
      <c r="D2054" t="s">
        <v>26</v>
      </c>
      <c r="E2054" t="s">
        <v>30</v>
      </c>
      <c r="F2054" t="s">
        <v>64</v>
      </c>
      <c r="G2054" t="s">
        <v>70</v>
      </c>
      <c r="H2054" t="s">
        <v>73</v>
      </c>
      <c r="I2054">
        <v>5</v>
      </c>
      <c r="J2054">
        <v>38531</v>
      </c>
      <c r="K2054">
        <v>0.1</v>
      </c>
      <c r="L2054">
        <v>173389.5</v>
      </c>
      <c r="M2054">
        <v>107563.82</v>
      </c>
      <c r="N2054">
        <v>65825.679999999993</v>
      </c>
      <c r="O2054" t="s">
        <v>77</v>
      </c>
      <c r="P2054" t="s">
        <v>87</v>
      </c>
    </row>
    <row r="2055" spans="1:16" x14ac:dyDescent="0.25">
      <c r="A2055">
        <v>2054</v>
      </c>
      <c r="B2055" s="2">
        <v>46010</v>
      </c>
      <c r="C2055" t="s">
        <v>18</v>
      </c>
      <c r="D2055" t="s">
        <v>26</v>
      </c>
      <c r="E2055" t="s">
        <v>30</v>
      </c>
      <c r="F2055" t="s">
        <v>37</v>
      </c>
      <c r="G2055" t="s">
        <v>72</v>
      </c>
      <c r="H2055" t="s">
        <v>73</v>
      </c>
      <c r="I2055">
        <v>1</v>
      </c>
      <c r="J2055">
        <v>14588</v>
      </c>
      <c r="K2055">
        <v>0.2</v>
      </c>
      <c r="L2055">
        <v>11670.4</v>
      </c>
      <c r="M2055">
        <v>8455.01</v>
      </c>
      <c r="N2055">
        <v>3215.39</v>
      </c>
      <c r="O2055" t="s">
        <v>77</v>
      </c>
      <c r="P2055" t="s">
        <v>87</v>
      </c>
    </row>
    <row r="2056" spans="1:16" x14ac:dyDescent="0.25">
      <c r="A2056">
        <v>2055</v>
      </c>
      <c r="B2056" s="2">
        <v>45909</v>
      </c>
      <c r="C2056" t="s">
        <v>20</v>
      </c>
      <c r="D2056" t="s">
        <v>26</v>
      </c>
      <c r="E2056" t="s">
        <v>33</v>
      </c>
      <c r="F2056" t="s">
        <v>52</v>
      </c>
      <c r="G2056" t="s">
        <v>70</v>
      </c>
      <c r="H2056" t="s">
        <v>73</v>
      </c>
      <c r="I2056">
        <v>6</v>
      </c>
      <c r="J2056">
        <v>43475</v>
      </c>
      <c r="K2056">
        <v>0.2</v>
      </c>
      <c r="L2056">
        <v>208680</v>
      </c>
      <c r="M2056">
        <v>160972.47</v>
      </c>
      <c r="N2056">
        <v>47707.53</v>
      </c>
      <c r="O2056" t="s">
        <v>76</v>
      </c>
      <c r="P2056" t="s">
        <v>81</v>
      </c>
    </row>
    <row r="2057" spans="1:16" x14ac:dyDescent="0.25">
      <c r="A2057">
        <v>2056</v>
      </c>
      <c r="B2057" s="2">
        <v>45706</v>
      </c>
      <c r="C2057" t="s">
        <v>16</v>
      </c>
      <c r="D2057" t="s">
        <v>24</v>
      </c>
      <c r="E2057" t="s">
        <v>28</v>
      </c>
      <c r="F2057" t="s">
        <v>58</v>
      </c>
      <c r="G2057" t="s">
        <v>70</v>
      </c>
      <c r="H2057" t="s">
        <v>75</v>
      </c>
      <c r="I2057">
        <v>4</v>
      </c>
      <c r="J2057">
        <v>2307</v>
      </c>
      <c r="K2057">
        <v>0.15</v>
      </c>
      <c r="L2057">
        <v>7843.8</v>
      </c>
      <c r="M2057">
        <v>5861.39</v>
      </c>
      <c r="N2057">
        <v>1982.41</v>
      </c>
      <c r="O2057" t="s">
        <v>77</v>
      </c>
      <c r="P2057" t="s">
        <v>82</v>
      </c>
    </row>
    <row r="2058" spans="1:16" x14ac:dyDescent="0.25">
      <c r="A2058">
        <v>2057</v>
      </c>
      <c r="B2058" s="2">
        <v>45744</v>
      </c>
      <c r="C2058" t="s">
        <v>16</v>
      </c>
      <c r="D2058" t="s">
        <v>24</v>
      </c>
      <c r="E2058" t="s">
        <v>32</v>
      </c>
      <c r="F2058" t="s">
        <v>39</v>
      </c>
      <c r="G2058" t="s">
        <v>72</v>
      </c>
      <c r="H2058" t="s">
        <v>73</v>
      </c>
      <c r="I2058">
        <v>5</v>
      </c>
      <c r="J2058">
        <v>13263</v>
      </c>
      <c r="K2058">
        <v>0.15</v>
      </c>
      <c r="L2058">
        <v>56367.75</v>
      </c>
      <c r="M2058">
        <v>38089.660000000003</v>
      </c>
      <c r="N2058">
        <v>18278.09</v>
      </c>
      <c r="O2058" t="s">
        <v>80</v>
      </c>
      <c r="P2058" t="s">
        <v>88</v>
      </c>
    </row>
    <row r="2059" spans="1:16" x14ac:dyDescent="0.25">
      <c r="A2059">
        <v>2058</v>
      </c>
      <c r="B2059" s="2">
        <v>45688</v>
      </c>
      <c r="C2059" t="s">
        <v>22</v>
      </c>
      <c r="D2059" t="s">
        <v>24</v>
      </c>
      <c r="E2059" t="s">
        <v>34</v>
      </c>
      <c r="F2059" t="s">
        <v>43</v>
      </c>
      <c r="G2059" t="s">
        <v>71</v>
      </c>
      <c r="H2059" t="s">
        <v>73</v>
      </c>
      <c r="I2059">
        <v>8</v>
      </c>
      <c r="J2059">
        <v>4809</v>
      </c>
      <c r="K2059">
        <v>0.15</v>
      </c>
      <c r="L2059">
        <v>32701.200000000001</v>
      </c>
      <c r="M2059">
        <v>21854.2</v>
      </c>
      <c r="N2059">
        <v>10847</v>
      </c>
      <c r="O2059" t="s">
        <v>77</v>
      </c>
      <c r="P2059" t="s">
        <v>87</v>
      </c>
    </row>
    <row r="2060" spans="1:16" x14ac:dyDescent="0.25">
      <c r="A2060">
        <v>2059</v>
      </c>
      <c r="B2060" s="2">
        <v>45701</v>
      </c>
      <c r="C2060" t="s">
        <v>19</v>
      </c>
      <c r="D2060" t="s">
        <v>26</v>
      </c>
      <c r="E2060" t="s">
        <v>28</v>
      </c>
      <c r="F2060" t="s">
        <v>54</v>
      </c>
      <c r="G2060" t="s">
        <v>71</v>
      </c>
      <c r="H2060" t="s">
        <v>74</v>
      </c>
      <c r="I2060">
        <v>3</v>
      </c>
      <c r="J2060">
        <v>144</v>
      </c>
      <c r="K2060">
        <v>0.1</v>
      </c>
      <c r="L2060">
        <v>388.8</v>
      </c>
      <c r="M2060">
        <v>247.68</v>
      </c>
      <c r="N2060">
        <v>141.12</v>
      </c>
      <c r="O2060" t="s">
        <v>78</v>
      </c>
      <c r="P2060" t="s">
        <v>84</v>
      </c>
    </row>
    <row r="2061" spans="1:16" x14ac:dyDescent="0.25">
      <c r="A2061">
        <v>2060</v>
      </c>
      <c r="B2061" s="2">
        <v>45987</v>
      </c>
      <c r="C2061" t="s">
        <v>20</v>
      </c>
      <c r="D2061" t="s">
        <v>26</v>
      </c>
      <c r="E2061" t="s">
        <v>28</v>
      </c>
      <c r="F2061" t="s">
        <v>61</v>
      </c>
      <c r="G2061" t="s">
        <v>71</v>
      </c>
      <c r="H2061" t="s">
        <v>75</v>
      </c>
      <c r="I2061">
        <v>7</v>
      </c>
      <c r="J2061">
        <v>1406</v>
      </c>
      <c r="K2061">
        <v>0.05</v>
      </c>
      <c r="L2061">
        <v>9349.9</v>
      </c>
      <c r="M2061">
        <v>6787.87</v>
      </c>
      <c r="N2061">
        <v>2562.0300000000002</v>
      </c>
      <c r="O2061" t="s">
        <v>76</v>
      </c>
      <c r="P2061" t="s">
        <v>82</v>
      </c>
    </row>
    <row r="2062" spans="1:16" x14ac:dyDescent="0.25">
      <c r="A2062">
        <v>2061</v>
      </c>
      <c r="B2062" s="2">
        <v>45820</v>
      </c>
      <c r="C2062" t="s">
        <v>16</v>
      </c>
      <c r="D2062" t="s">
        <v>24</v>
      </c>
      <c r="E2062" t="s">
        <v>34</v>
      </c>
      <c r="F2062" t="s">
        <v>68</v>
      </c>
      <c r="G2062" t="s">
        <v>70</v>
      </c>
      <c r="H2062" t="s">
        <v>75</v>
      </c>
      <c r="I2062">
        <v>7</v>
      </c>
      <c r="J2062">
        <v>5020</v>
      </c>
      <c r="K2062">
        <v>0</v>
      </c>
      <c r="L2062">
        <v>35140</v>
      </c>
      <c r="M2062">
        <v>27568.080000000002</v>
      </c>
      <c r="N2062">
        <v>7571.92</v>
      </c>
      <c r="O2062" t="s">
        <v>80</v>
      </c>
      <c r="P2062" t="s">
        <v>87</v>
      </c>
    </row>
    <row r="2063" spans="1:16" x14ac:dyDescent="0.25">
      <c r="A2063">
        <v>2062</v>
      </c>
      <c r="B2063" s="2">
        <v>45742</v>
      </c>
      <c r="C2063" t="s">
        <v>19</v>
      </c>
      <c r="D2063" t="s">
        <v>26</v>
      </c>
      <c r="E2063" t="s">
        <v>28</v>
      </c>
      <c r="F2063" t="s">
        <v>58</v>
      </c>
      <c r="G2063" t="s">
        <v>71</v>
      </c>
      <c r="H2063" t="s">
        <v>73</v>
      </c>
      <c r="I2063">
        <v>3</v>
      </c>
      <c r="J2063">
        <v>1326</v>
      </c>
      <c r="K2063">
        <v>0.2</v>
      </c>
      <c r="L2063">
        <v>3182.4</v>
      </c>
      <c r="M2063">
        <v>2274.41</v>
      </c>
      <c r="N2063">
        <v>907.99</v>
      </c>
      <c r="O2063" t="s">
        <v>80</v>
      </c>
      <c r="P2063" t="s">
        <v>87</v>
      </c>
    </row>
    <row r="2064" spans="1:16" x14ac:dyDescent="0.25">
      <c r="A2064">
        <v>2063</v>
      </c>
      <c r="B2064" s="2">
        <v>46008</v>
      </c>
      <c r="C2064" t="s">
        <v>23</v>
      </c>
      <c r="D2064" t="s">
        <v>27</v>
      </c>
      <c r="E2064" t="s">
        <v>29</v>
      </c>
      <c r="F2064" t="s">
        <v>36</v>
      </c>
      <c r="G2064" t="s">
        <v>70</v>
      </c>
      <c r="H2064" t="s">
        <v>73</v>
      </c>
      <c r="I2064">
        <v>2</v>
      </c>
      <c r="J2064">
        <v>11787</v>
      </c>
      <c r="K2064">
        <v>0.1</v>
      </c>
      <c r="L2064">
        <v>21216.6</v>
      </c>
      <c r="M2064">
        <v>18099.349999999999</v>
      </c>
      <c r="N2064">
        <v>3117.25</v>
      </c>
      <c r="O2064" t="s">
        <v>78</v>
      </c>
      <c r="P2064" t="s">
        <v>81</v>
      </c>
    </row>
    <row r="2065" spans="1:16" x14ac:dyDescent="0.25">
      <c r="A2065">
        <v>2064</v>
      </c>
      <c r="B2065" s="2">
        <v>45666</v>
      </c>
      <c r="C2065" t="s">
        <v>17</v>
      </c>
      <c r="D2065" t="s">
        <v>25</v>
      </c>
      <c r="E2065" t="s">
        <v>33</v>
      </c>
      <c r="F2065" t="s">
        <v>60</v>
      </c>
      <c r="G2065" t="s">
        <v>72</v>
      </c>
      <c r="H2065" t="s">
        <v>75</v>
      </c>
      <c r="I2065">
        <v>8</v>
      </c>
      <c r="J2065">
        <v>35868</v>
      </c>
      <c r="K2065">
        <v>0.1</v>
      </c>
      <c r="L2065">
        <v>258249.60000000001</v>
      </c>
      <c r="M2065">
        <v>179236.27</v>
      </c>
      <c r="N2065">
        <v>79013.33</v>
      </c>
      <c r="O2065" t="s">
        <v>80</v>
      </c>
      <c r="P2065" t="s">
        <v>87</v>
      </c>
    </row>
    <row r="2066" spans="1:16" x14ac:dyDescent="0.25">
      <c r="A2066">
        <v>2065</v>
      </c>
      <c r="B2066" s="2">
        <v>45683</v>
      </c>
      <c r="C2066" t="s">
        <v>23</v>
      </c>
      <c r="D2066" t="s">
        <v>27</v>
      </c>
      <c r="E2066" t="s">
        <v>30</v>
      </c>
      <c r="F2066" t="s">
        <v>64</v>
      </c>
      <c r="G2066" t="s">
        <v>72</v>
      </c>
      <c r="H2066" t="s">
        <v>74</v>
      </c>
      <c r="I2066">
        <v>5</v>
      </c>
      <c r="J2066">
        <v>8053</v>
      </c>
      <c r="K2066">
        <v>0.05</v>
      </c>
      <c r="L2066">
        <v>38251.75</v>
      </c>
      <c r="M2066">
        <v>32828.97</v>
      </c>
      <c r="N2066">
        <v>5422.78</v>
      </c>
      <c r="O2066" t="s">
        <v>78</v>
      </c>
      <c r="P2066" t="s">
        <v>81</v>
      </c>
    </row>
    <row r="2067" spans="1:16" x14ac:dyDescent="0.25">
      <c r="A2067">
        <v>2066</v>
      </c>
      <c r="B2067" s="2">
        <v>45735</v>
      </c>
      <c r="C2067" t="s">
        <v>20</v>
      </c>
      <c r="D2067" t="s">
        <v>26</v>
      </c>
      <c r="E2067" t="s">
        <v>29</v>
      </c>
      <c r="F2067" t="s">
        <v>36</v>
      </c>
      <c r="G2067" t="s">
        <v>72</v>
      </c>
      <c r="H2067" t="s">
        <v>74</v>
      </c>
      <c r="I2067">
        <v>5</v>
      </c>
      <c r="J2067">
        <v>8830</v>
      </c>
      <c r="K2067">
        <v>0.05</v>
      </c>
      <c r="L2067">
        <v>41942.5</v>
      </c>
      <c r="M2067">
        <v>29675.59</v>
      </c>
      <c r="N2067">
        <v>12266.91</v>
      </c>
      <c r="O2067" t="s">
        <v>76</v>
      </c>
      <c r="P2067" t="s">
        <v>82</v>
      </c>
    </row>
    <row r="2068" spans="1:16" x14ac:dyDescent="0.25">
      <c r="A2068">
        <v>2067</v>
      </c>
      <c r="B2068" s="2">
        <v>45862</v>
      </c>
      <c r="C2068" t="s">
        <v>18</v>
      </c>
      <c r="D2068" t="s">
        <v>26</v>
      </c>
      <c r="E2068" t="s">
        <v>32</v>
      </c>
      <c r="F2068" t="s">
        <v>66</v>
      </c>
      <c r="G2068" t="s">
        <v>71</v>
      </c>
      <c r="H2068" t="s">
        <v>73</v>
      </c>
      <c r="I2068">
        <v>4</v>
      </c>
      <c r="J2068">
        <v>15272</v>
      </c>
      <c r="K2068">
        <v>0</v>
      </c>
      <c r="L2068">
        <v>61088</v>
      </c>
      <c r="M2068">
        <v>49403.47</v>
      </c>
      <c r="N2068">
        <v>11684.53</v>
      </c>
      <c r="O2068" t="s">
        <v>77</v>
      </c>
      <c r="P2068" t="s">
        <v>86</v>
      </c>
    </row>
    <row r="2069" spans="1:16" x14ac:dyDescent="0.25">
      <c r="A2069">
        <v>2068</v>
      </c>
      <c r="B2069" s="2">
        <v>45747</v>
      </c>
      <c r="C2069" t="s">
        <v>20</v>
      </c>
      <c r="D2069" t="s">
        <v>26</v>
      </c>
      <c r="E2069" t="s">
        <v>34</v>
      </c>
      <c r="F2069" t="s">
        <v>43</v>
      </c>
      <c r="G2069" t="s">
        <v>71</v>
      </c>
      <c r="H2069" t="s">
        <v>73</v>
      </c>
      <c r="I2069">
        <v>5</v>
      </c>
      <c r="J2069">
        <v>268</v>
      </c>
      <c r="K2069">
        <v>0.15</v>
      </c>
      <c r="L2069">
        <v>1139</v>
      </c>
      <c r="M2069">
        <v>822.25</v>
      </c>
      <c r="N2069">
        <v>316.75</v>
      </c>
      <c r="O2069" t="s">
        <v>77</v>
      </c>
      <c r="P2069" t="s">
        <v>85</v>
      </c>
    </row>
    <row r="2070" spans="1:16" x14ac:dyDescent="0.25">
      <c r="A2070">
        <v>2069</v>
      </c>
      <c r="B2070" s="2">
        <v>45675</v>
      </c>
      <c r="C2070" t="s">
        <v>19</v>
      </c>
      <c r="D2070" t="s">
        <v>26</v>
      </c>
      <c r="E2070" t="s">
        <v>32</v>
      </c>
      <c r="F2070" t="s">
        <v>66</v>
      </c>
      <c r="G2070" t="s">
        <v>71</v>
      </c>
      <c r="H2070" t="s">
        <v>73</v>
      </c>
      <c r="I2070">
        <v>5</v>
      </c>
      <c r="J2070">
        <v>1213</v>
      </c>
      <c r="K2070">
        <v>0.05</v>
      </c>
      <c r="L2070">
        <v>5761.75</v>
      </c>
      <c r="M2070">
        <v>3439.67</v>
      </c>
      <c r="N2070">
        <v>2322.08</v>
      </c>
      <c r="O2070" t="s">
        <v>79</v>
      </c>
      <c r="P2070" t="s">
        <v>88</v>
      </c>
    </row>
    <row r="2071" spans="1:16" x14ac:dyDescent="0.25">
      <c r="A2071">
        <v>2070</v>
      </c>
      <c r="B2071" s="2">
        <v>45952</v>
      </c>
      <c r="C2071" t="s">
        <v>22</v>
      </c>
      <c r="D2071" t="s">
        <v>24</v>
      </c>
      <c r="E2071" t="s">
        <v>31</v>
      </c>
      <c r="F2071" t="s">
        <v>38</v>
      </c>
      <c r="G2071" t="s">
        <v>71</v>
      </c>
      <c r="H2071" t="s">
        <v>74</v>
      </c>
      <c r="I2071">
        <v>5</v>
      </c>
      <c r="J2071">
        <v>1386</v>
      </c>
      <c r="K2071">
        <v>0</v>
      </c>
      <c r="L2071">
        <v>6930</v>
      </c>
      <c r="M2071">
        <v>4278.83</v>
      </c>
      <c r="N2071">
        <v>2651.17</v>
      </c>
      <c r="O2071" t="s">
        <v>79</v>
      </c>
      <c r="P2071" t="s">
        <v>84</v>
      </c>
    </row>
    <row r="2072" spans="1:16" x14ac:dyDescent="0.25">
      <c r="A2072">
        <v>2071</v>
      </c>
      <c r="B2072" s="2">
        <v>45975</v>
      </c>
      <c r="C2072" t="s">
        <v>21</v>
      </c>
      <c r="D2072" t="s">
        <v>24</v>
      </c>
      <c r="E2072" t="s">
        <v>32</v>
      </c>
      <c r="F2072" t="s">
        <v>48</v>
      </c>
      <c r="G2072" t="s">
        <v>71</v>
      </c>
      <c r="H2072" t="s">
        <v>74</v>
      </c>
      <c r="I2072">
        <v>1</v>
      </c>
      <c r="J2072">
        <v>23893</v>
      </c>
      <c r="K2072">
        <v>0.1</v>
      </c>
      <c r="L2072">
        <v>21503.7</v>
      </c>
      <c r="M2072">
        <v>15898.98</v>
      </c>
      <c r="N2072">
        <v>5604.72</v>
      </c>
      <c r="O2072" t="s">
        <v>78</v>
      </c>
      <c r="P2072" t="s">
        <v>83</v>
      </c>
    </row>
    <row r="2073" spans="1:16" x14ac:dyDescent="0.25">
      <c r="A2073">
        <v>2072</v>
      </c>
      <c r="B2073" s="2">
        <v>45668</v>
      </c>
      <c r="C2073" t="s">
        <v>17</v>
      </c>
      <c r="D2073" t="s">
        <v>25</v>
      </c>
      <c r="E2073" t="s">
        <v>30</v>
      </c>
      <c r="F2073" t="s">
        <v>44</v>
      </c>
      <c r="G2073" t="s">
        <v>72</v>
      </c>
      <c r="H2073" t="s">
        <v>73</v>
      </c>
      <c r="I2073">
        <v>5</v>
      </c>
      <c r="J2073">
        <v>60197</v>
      </c>
      <c r="K2073">
        <v>0.1</v>
      </c>
      <c r="L2073">
        <v>270886.5</v>
      </c>
      <c r="M2073">
        <v>206440.9</v>
      </c>
      <c r="N2073">
        <v>64445.599999999999</v>
      </c>
      <c r="O2073" t="s">
        <v>78</v>
      </c>
      <c r="P2073" t="s">
        <v>85</v>
      </c>
    </row>
    <row r="2074" spans="1:16" x14ac:dyDescent="0.25">
      <c r="A2074">
        <v>2073</v>
      </c>
      <c r="B2074" s="2">
        <v>45912</v>
      </c>
      <c r="C2074" t="s">
        <v>17</v>
      </c>
      <c r="D2074" t="s">
        <v>25</v>
      </c>
      <c r="E2074" t="s">
        <v>32</v>
      </c>
      <c r="F2074" t="s">
        <v>62</v>
      </c>
      <c r="G2074" t="s">
        <v>72</v>
      </c>
      <c r="H2074" t="s">
        <v>73</v>
      </c>
      <c r="I2074">
        <v>7</v>
      </c>
      <c r="J2074">
        <v>9267</v>
      </c>
      <c r="K2074">
        <v>0.05</v>
      </c>
      <c r="L2074">
        <v>61625.55</v>
      </c>
      <c r="M2074">
        <v>34105.360000000001</v>
      </c>
      <c r="N2074">
        <v>27520.19</v>
      </c>
      <c r="O2074" t="s">
        <v>78</v>
      </c>
      <c r="P2074" t="s">
        <v>87</v>
      </c>
    </row>
    <row r="2075" spans="1:16" x14ac:dyDescent="0.25">
      <c r="A2075">
        <v>2074</v>
      </c>
      <c r="B2075" s="2">
        <v>45835</v>
      </c>
      <c r="C2075" t="s">
        <v>20</v>
      </c>
      <c r="D2075" t="s">
        <v>26</v>
      </c>
      <c r="E2075" t="s">
        <v>31</v>
      </c>
      <c r="F2075" t="s">
        <v>67</v>
      </c>
      <c r="G2075" t="s">
        <v>72</v>
      </c>
      <c r="H2075" t="s">
        <v>73</v>
      </c>
      <c r="I2075">
        <v>8</v>
      </c>
      <c r="J2075">
        <v>1183</v>
      </c>
      <c r="K2075">
        <v>0.2</v>
      </c>
      <c r="L2075">
        <v>7571.2</v>
      </c>
      <c r="M2075">
        <v>4455.34</v>
      </c>
      <c r="N2075">
        <v>3115.86</v>
      </c>
      <c r="O2075" t="s">
        <v>79</v>
      </c>
      <c r="P2075" t="s">
        <v>84</v>
      </c>
    </row>
    <row r="2076" spans="1:16" x14ac:dyDescent="0.25">
      <c r="A2076">
        <v>2075</v>
      </c>
      <c r="B2076" s="2">
        <v>45980</v>
      </c>
      <c r="C2076" t="s">
        <v>21</v>
      </c>
      <c r="D2076" t="s">
        <v>24</v>
      </c>
      <c r="E2076" t="s">
        <v>31</v>
      </c>
      <c r="F2076" t="s">
        <v>67</v>
      </c>
      <c r="G2076" t="s">
        <v>71</v>
      </c>
      <c r="H2076" t="s">
        <v>74</v>
      </c>
      <c r="I2076">
        <v>2</v>
      </c>
      <c r="J2076">
        <v>176</v>
      </c>
      <c r="K2076">
        <v>0.05</v>
      </c>
      <c r="L2076">
        <v>334.4</v>
      </c>
      <c r="M2076">
        <v>289.62</v>
      </c>
      <c r="N2076">
        <v>44.78</v>
      </c>
      <c r="O2076" t="s">
        <v>80</v>
      </c>
      <c r="P2076" t="s">
        <v>87</v>
      </c>
    </row>
    <row r="2077" spans="1:16" x14ac:dyDescent="0.25">
      <c r="A2077">
        <v>2076</v>
      </c>
      <c r="B2077" s="2">
        <v>45956</v>
      </c>
      <c r="C2077" t="s">
        <v>20</v>
      </c>
      <c r="D2077" t="s">
        <v>26</v>
      </c>
      <c r="E2077" t="s">
        <v>34</v>
      </c>
      <c r="F2077" t="s">
        <v>43</v>
      </c>
      <c r="G2077" t="s">
        <v>72</v>
      </c>
      <c r="H2077" t="s">
        <v>75</v>
      </c>
      <c r="I2077">
        <v>6</v>
      </c>
      <c r="J2077">
        <v>3114</v>
      </c>
      <c r="K2077">
        <v>0.15</v>
      </c>
      <c r="L2077">
        <v>15881.4</v>
      </c>
      <c r="M2077">
        <v>9776.4</v>
      </c>
      <c r="N2077">
        <v>6105</v>
      </c>
      <c r="O2077" t="s">
        <v>76</v>
      </c>
      <c r="P2077" t="s">
        <v>83</v>
      </c>
    </row>
    <row r="2078" spans="1:16" x14ac:dyDescent="0.25">
      <c r="A2078">
        <v>2077</v>
      </c>
      <c r="B2078" s="2">
        <v>46006</v>
      </c>
      <c r="C2078" t="s">
        <v>18</v>
      </c>
      <c r="D2078" t="s">
        <v>26</v>
      </c>
      <c r="E2078" t="s">
        <v>28</v>
      </c>
      <c r="F2078" t="s">
        <v>61</v>
      </c>
      <c r="G2078" t="s">
        <v>70</v>
      </c>
      <c r="H2078" t="s">
        <v>75</v>
      </c>
      <c r="I2078">
        <v>7</v>
      </c>
      <c r="J2078">
        <v>161</v>
      </c>
      <c r="K2078">
        <v>0.05</v>
      </c>
      <c r="L2078">
        <v>1070.6500000000001</v>
      </c>
      <c r="M2078">
        <v>821.44</v>
      </c>
      <c r="N2078">
        <v>249.21</v>
      </c>
      <c r="O2078" t="s">
        <v>80</v>
      </c>
      <c r="P2078" t="s">
        <v>83</v>
      </c>
    </row>
    <row r="2079" spans="1:16" x14ac:dyDescent="0.25">
      <c r="A2079">
        <v>2078</v>
      </c>
      <c r="B2079" s="2">
        <v>45926</v>
      </c>
      <c r="C2079" t="s">
        <v>23</v>
      </c>
      <c r="D2079" t="s">
        <v>27</v>
      </c>
      <c r="E2079" t="s">
        <v>28</v>
      </c>
      <c r="F2079" t="s">
        <v>58</v>
      </c>
      <c r="G2079" t="s">
        <v>72</v>
      </c>
      <c r="H2079" t="s">
        <v>73</v>
      </c>
      <c r="I2079">
        <v>8</v>
      </c>
      <c r="J2079">
        <v>1474</v>
      </c>
      <c r="K2079">
        <v>0.05</v>
      </c>
      <c r="L2079">
        <v>11202.4</v>
      </c>
      <c r="M2079">
        <v>8367.56</v>
      </c>
      <c r="N2079">
        <v>2834.84</v>
      </c>
      <c r="O2079" t="s">
        <v>80</v>
      </c>
      <c r="P2079" t="s">
        <v>82</v>
      </c>
    </row>
    <row r="2080" spans="1:16" x14ac:dyDescent="0.25">
      <c r="A2080">
        <v>2079</v>
      </c>
      <c r="B2080" s="2">
        <v>45846</v>
      </c>
      <c r="C2080" t="s">
        <v>21</v>
      </c>
      <c r="D2080" t="s">
        <v>24</v>
      </c>
      <c r="E2080" t="s">
        <v>31</v>
      </c>
      <c r="F2080" t="s">
        <v>47</v>
      </c>
      <c r="G2080" t="s">
        <v>70</v>
      </c>
      <c r="H2080" t="s">
        <v>74</v>
      </c>
      <c r="I2080">
        <v>5</v>
      </c>
      <c r="J2080">
        <v>1796</v>
      </c>
      <c r="K2080">
        <v>0.1</v>
      </c>
      <c r="L2080">
        <v>8082</v>
      </c>
      <c r="M2080">
        <v>4712.3500000000004</v>
      </c>
      <c r="N2080">
        <v>3369.65</v>
      </c>
      <c r="O2080" t="s">
        <v>77</v>
      </c>
      <c r="P2080" t="s">
        <v>85</v>
      </c>
    </row>
    <row r="2081" spans="1:16" x14ac:dyDescent="0.25">
      <c r="A2081">
        <v>2080</v>
      </c>
      <c r="B2081" s="2">
        <v>45879</v>
      </c>
      <c r="C2081" t="s">
        <v>22</v>
      </c>
      <c r="D2081" t="s">
        <v>24</v>
      </c>
      <c r="E2081" t="s">
        <v>32</v>
      </c>
      <c r="F2081" t="s">
        <v>49</v>
      </c>
      <c r="G2081" t="s">
        <v>70</v>
      </c>
      <c r="H2081" t="s">
        <v>74</v>
      </c>
      <c r="I2081">
        <v>8</v>
      </c>
      <c r="J2081">
        <v>17985</v>
      </c>
      <c r="K2081">
        <v>0</v>
      </c>
      <c r="L2081">
        <v>143880</v>
      </c>
      <c r="M2081">
        <v>111085.22</v>
      </c>
      <c r="N2081">
        <v>32794.78</v>
      </c>
      <c r="O2081" t="s">
        <v>80</v>
      </c>
      <c r="P2081" t="s">
        <v>81</v>
      </c>
    </row>
    <row r="2082" spans="1:16" x14ac:dyDescent="0.25">
      <c r="A2082">
        <v>2081</v>
      </c>
      <c r="B2082" s="2">
        <v>45868</v>
      </c>
      <c r="C2082" t="s">
        <v>16</v>
      </c>
      <c r="D2082" t="s">
        <v>24</v>
      </c>
      <c r="E2082" t="s">
        <v>34</v>
      </c>
      <c r="F2082" t="s">
        <v>55</v>
      </c>
      <c r="G2082" t="s">
        <v>72</v>
      </c>
      <c r="H2082" t="s">
        <v>73</v>
      </c>
      <c r="I2082">
        <v>2</v>
      </c>
      <c r="J2082">
        <v>2085</v>
      </c>
      <c r="K2082">
        <v>0.15</v>
      </c>
      <c r="L2082">
        <v>3544.5</v>
      </c>
      <c r="M2082">
        <v>2979.2</v>
      </c>
      <c r="N2082">
        <v>565.29999999999995</v>
      </c>
      <c r="O2082" t="s">
        <v>79</v>
      </c>
      <c r="P2082" t="s">
        <v>81</v>
      </c>
    </row>
    <row r="2083" spans="1:16" x14ac:dyDescent="0.25">
      <c r="A2083">
        <v>2082</v>
      </c>
      <c r="B2083" s="2">
        <v>45829</v>
      </c>
      <c r="C2083" t="s">
        <v>21</v>
      </c>
      <c r="D2083" t="s">
        <v>24</v>
      </c>
      <c r="E2083" t="s">
        <v>32</v>
      </c>
      <c r="F2083" t="s">
        <v>66</v>
      </c>
      <c r="G2083" t="s">
        <v>72</v>
      </c>
      <c r="H2083" t="s">
        <v>73</v>
      </c>
      <c r="I2083">
        <v>3</v>
      </c>
      <c r="J2083">
        <v>7048</v>
      </c>
      <c r="K2083">
        <v>0</v>
      </c>
      <c r="L2083">
        <v>21144</v>
      </c>
      <c r="M2083">
        <v>14735.54</v>
      </c>
      <c r="N2083">
        <v>6408.46</v>
      </c>
      <c r="O2083" t="s">
        <v>79</v>
      </c>
      <c r="P2083" t="s">
        <v>86</v>
      </c>
    </row>
    <row r="2084" spans="1:16" x14ac:dyDescent="0.25">
      <c r="A2084">
        <v>2083</v>
      </c>
      <c r="B2084" s="2">
        <v>45936</v>
      </c>
      <c r="C2084" t="s">
        <v>20</v>
      </c>
      <c r="D2084" t="s">
        <v>26</v>
      </c>
      <c r="E2084" t="s">
        <v>34</v>
      </c>
      <c r="F2084" t="s">
        <v>51</v>
      </c>
      <c r="G2084" t="s">
        <v>70</v>
      </c>
      <c r="H2084" t="s">
        <v>75</v>
      </c>
      <c r="I2084">
        <v>4</v>
      </c>
      <c r="J2084">
        <v>2025</v>
      </c>
      <c r="K2084">
        <v>0.15</v>
      </c>
      <c r="L2084">
        <v>6885</v>
      </c>
      <c r="M2084">
        <v>4250.7</v>
      </c>
      <c r="N2084">
        <v>2634.3</v>
      </c>
      <c r="O2084" t="s">
        <v>79</v>
      </c>
      <c r="P2084" t="s">
        <v>86</v>
      </c>
    </row>
    <row r="2085" spans="1:16" x14ac:dyDescent="0.25">
      <c r="A2085">
        <v>2084</v>
      </c>
      <c r="B2085" s="2">
        <v>45715</v>
      </c>
      <c r="C2085" t="s">
        <v>18</v>
      </c>
      <c r="D2085" t="s">
        <v>26</v>
      </c>
      <c r="E2085" t="s">
        <v>31</v>
      </c>
      <c r="F2085" t="s">
        <v>69</v>
      </c>
      <c r="G2085" t="s">
        <v>71</v>
      </c>
      <c r="H2085" t="s">
        <v>75</v>
      </c>
      <c r="I2085">
        <v>4</v>
      </c>
      <c r="J2085">
        <v>165</v>
      </c>
      <c r="K2085">
        <v>0.05</v>
      </c>
      <c r="L2085">
        <v>627</v>
      </c>
      <c r="M2085">
        <v>357.65</v>
      </c>
      <c r="N2085">
        <v>269.35000000000002</v>
      </c>
      <c r="O2085" t="s">
        <v>77</v>
      </c>
      <c r="P2085" t="s">
        <v>83</v>
      </c>
    </row>
    <row r="2086" spans="1:16" x14ac:dyDescent="0.25">
      <c r="A2086">
        <v>2085</v>
      </c>
      <c r="B2086" s="2">
        <v>45820</v>
      </c>
      <c r="C2086" t="s">
        <v>19</v>
      </c>
      <c r="D2086" t="s">
        <v>26</v>
      </c>
      <c r="E2086" t="s">
        <v>30</v>
      </c>
      <c r="F2086" t="s">
        <v>56</v>
      </c>
      <c r="G2086" t="s">
        <v>70</v>
      </c>
      <c r="H2086" t="s">
        <v>74</v>
      </c>
      <c r="I2086">
        <v>2</v>
      </c>
      <c r="J2086">
        <v>42427</v>
      </c>
      <c r="K2086">
        <v>0.2</v>
      </c>
      <c r="L2086">
        <v>67883.199999999997</v>
      </c>
      <c r="M2086">
        <v>45309.33</v>
      </c>
      <c r="N2086">
        <v>22573.87</v>
      </c>
      <c r="O2086" t="s">
        <v>80</v>
      </c>
      <c r="P2086" t="s">
        <v>87</v>
      </c>
    </row>
    <row r="2087" spans="1:16" x14ac:dyDescent="0.25">
      <c r="A2087">
        <v>2086</v>
      </c>
      <c r="B2087" s="2">
        <v>45971</v>
      </c>
      <c r="C2087" t="s">
        <v>22</v>
      </c>
      <c r="D2087" t="s">
        <v>24</v>
      </c>
      <c r="E2087" t="s">
        <v>34</v>
      </c>
      <c r="F2087" t="s">
        <v>68</v>
      </c>
      <c r="G2087" t="s">
        <v>70</v>
      </c>
      <c r="H2087" t="s">
        <v>74</v>
      </c>
      <c r="I2087">
        <v>6</v>
      </c>
      <c r="J2087">
        <v>1676</v>
      </c>
      <c r="K2087">
        <v>0.15</v>
      </c>
      <c r="L2087">
        <v>8547.6</v>
      </c>
      <c r="M2087">
        <v>5536.08</v>
      </c>
      <c r="N2087">
        <v>3011.52</v>
      </c>
      <c r="O2087" t="s">
        <v>77</v>
      </c>
      <c r="P2087" t="s">
        <v>86</v>
      </c>
    </row>
    <row r="2088" spans="1:16" x14ac:dyDescent="0.25">
      <c r="A2088">
        <v>2087</v>
      </c>
      <c r="B2088" s="2">
        <v>45868</v>
      </c>
      <c r="C2088" t="s">
        <v>18</v>
      </c>
      <c r="D2088" t="s">
        <v>26</v>
      </c>
      <c r="E2088" t="s">
        <v>33</v>
      </c>
      <c r="F2088" t="s">
        <v>59</v>
      </c>
      <c r="G2088" t="s">
        <v>71</v>
      </c>
      <c r="H2088" t="s">
        <v>75</v>
      </c>
      <c r="I2088">
        <v>2</v>
      </c>
      <c r="J2088">
        <v>35984</v>
      </c>
      <c r="K2088">
        <v>0.1</v>
      </c>
      <c r="L2088">
        <v>64771.199999999997</v>
      </c>
      <c r="M2088">
        <v>46593.73</v>
      </c>
      <c r="N2088">
        <v>18177.47</v>
      </c>
      <c r="O2088" t="s">
        <v>78</v>
      </c>
      <c r="P2088" t="s">
        <v>84</v>
      </c>
    </row>
    <row r="2089" spans="1:16" x14ac:dyDescent="0.25">
      <c r="A2089">
        <v>2088</v>
      </c>
      <c r="B2089" s="2">
        <v>45792</v>
      </c>
      <c r="C2089" t="s">
        <v>20</v>
      </c>
      <c r="D2089" t="s">
        <v>26</v>
      </c>
      <c r="E2089" t="s">
        <v>29</v>
      </c>
      <c r="F2089" t="s">
        <v>36</v>
      </c>
      <c r="G2089" t="s">
        <v>70</v>
      </c>
      <c r="H2089" t="s">
        <v>74</v>
      </c>
      <c r="I2089">
        <v>1</v>
      </c>
      <c r="J2089">
        <v>7480</v>
      </c>
      <c r="K2089">
        <v>0.05</v>
      </c>
      <c r="L2089">
        <v>7106</v>
      </c>
      <c r="M2089">
        <v>5268.6</v>
      </c>
      <c r="N2089">
        <v>1837.4</v>
      </c>
      <c r="O2089" t="s">
        <v>80</v>
      </c>
      <c r="P2089" t="s">
        <v>87</v>
      </c>
    </row>
    <row r="2090" spans="1:16" x14ac:dyDescent="0.25">
      <c r="A2090">
        <v>2089</v>
      </c>
      <c r="B2090" s="2">
        <v>45897</v>
      </c>
      <c r="C2090" t="s">
        <v>23</v>
      </c>
      <c r="D2090" t="s">
        <v>27</v>
      </c>
      <c r="E2090" t="s">
        <v>34</v>
      </c>
      <c r="F2090" t="s">
        <v>51</v>
      </c>
      <c r="G2090" t="s">
        <v>72</v>
      </c>
      <c r="H2090" t="s">
        <v>75</v>
      </c>
      <c r="I2090">
        <v>8</v>
      </c>
      <c r="J2090">
        <v>4295</v>
      </c>
      <c r="K2090">
        <v>0.15</v>
      </c>
      <c r="L2090">
        <v>29206</v>
      </c>
      <c r="M2090">
        <v>21589</v>
      </c>
      <c r="N2090">
        <v>7617</v>
      </c>
      <c r="O2090" t="s">
        <v>80</v>
      </c>
      <c r="P2090" t="s">
        <v>81</v>
      </c>
    </row>
    <row r="2091" spans="1:16" x14ac:dyDescent="0.25">
      <c r="A2091">
        <v>2090</v>
      </c>
      <c r="B2091" s="2">
        <v>45824</v>
      </c>
      <c r="C2091" t="s">
        <v>23</v>
      </c>
      <c r="D2091" t="s">
        <v>27</v>
      </c>
      <c r="E2091" t="s">
        <v>34</v>
      </c>
      <c r="F2091" t="s">
        <v>68</v>
      </c>
      <c r="G2091" t="s">
        <v>70</v>
      </c>
      <c r="H2091" t="s">
        <v>74</v>
      </c>
      <c r="I2091">
        <v>5</v>
      </c>
      <c r="J2091">
        <v>2585</v>
      </c>
      <c r="K2091">
        <v>0.05</v>
      </c>
      <c r="L2091">
        <v>12278.75</v>
      </c>
      <c r="M2091">
        <v>9707.6299999999992</v>
      </c>
      <c r="N2091">
        <v>2571.12</v>
      </c>
      <c r="O2091" t="s">
        <v>80</v>
      </c>
      <c r="P2091" t="s">
        <v>81</v>
      </c>
    </row>
    <row r="2092" spans="1:16" x14ac:dyDescent="0.25">
      <c r="A2092">
        <v>2091</v>
      </c>
      <c r="B2092" s="2">
        <v>46008</v>
      </c>
      <c r="C2092" t="s">
        <v>21</v>
      </c>
      <c r="D2092" t="s">
        <v>24</v>
      </c>
      <c r="E2092" t="s">
        <v>30</v>
      </c>
      <c r="F2092" t="s">
        <v>64</v>
      </c>
      <c r="G2092" t="s">
        <v>72</v>
      </c>
      <c r="H2092" t="s">
        <v>74</v>
      </c>
      <c r="I2092">
        <v>3</v>
      </c>
      <c r="J2092">
        <v>12280</v>
      </c>
      <c r="K2092">
        <v>0</v>
      </c>
      <c r="L2092">
        <v>36840</v>
      </c>
      <c r="M2092">
        <v>20305.36</v>
      </c>
      <c r="N2092">
        <v>16534.64</v>
      </c>
      <c r="O2092" t="s">
        <v>80</v>
      </c>
      <c r="P2092" t="s">
        <v>83</v>
      </c>
    </row>
    <row r="2093" spans="1:16" x14ac:dyDescent="0.25">
      <c r="A2093">
        <v>2092</v>
      </c>
      <c r="B2093" s="2">
        <v>45984</v>
      </c>
      <c r="C2093" t="s">
        <v>19</v>
      </c>
      <c r="D2093" t="s">
        <v>26</v>
      </c>
      <c r="E2093" t="s">
        <v>32</v>
      </c>
      <c r="F2093" t="s">
        <v>49</v>
      </c>
      <c r="G2093" t="s">
        <v>71</v>
      </c>
      <c r="H2093" t="s">
        <v>75</v>
      </c>
      <c r="I2093">
        <v>4</v>
      </c>
      <c r="J2093">
        <v>15600</v>
      </c>
      <c r="K2093">
        <v>0.1</v>
      </c>
      <c r="L2093">
        <v>56160</v>
      </c>
      <c r="M2093">
        <v>42166.92</v>
      </c>
      <c r="N2093">
        <v>13993.08</v>
      </c>
      <c r="O2093" t="s">
        <v>78</v>
      </c>
      <c r="P2093" t="s">
        <v>83</v>
      </c>
    </row>
    <row r="2094" spans="1:16" x14ac:dyDescent="0.25">
      <c r="A2094">
        <v>2093</v>
      </c>
      <c r="B2094" s="2">
        <v>45949</v>
      </c>
      <c r="C2094" t="s">
        <v>20</v>
      </c>
      <c r="D2094" t="s">
        <v>26</v>
      </c>
      <c r="E2094" t="s">
        <v>30</v>
      </c>
      <c r="F2094" t="s">
        <v>40</v>
      </c>
      <c r="G2094" t="s">
        <v>71</v>
      </c>
      <c r="H2094" t="s">
        <v>74</v>
      </c>
      <c r="I2094">
        <v>2</v>
      </c>
      <c r="J2094">
        <v>40623</v>
      </c>
      <c r="K2094">
        <v>0.1</v>
      </c>
      <c r="L2094">
        <v>73121.399999999994</v>
      </c>
      <c r="M2094">
        <v>49974.559999999998</v>
      </c>
      <c r="N2094">
        <v>23146.84</v>
      </c>
      <c r="O2094" t="s">
        <v>80</v>
      </c>
      <c r="P2094" t="s">
        <v>82</v>
      </c>
    </row>
    <row r="2095" spans="1:16" x14ac:dyDescent="0.25">
      <c r="A2095">
        <v>2094</v>
      </c>
      <c r="B2095" s="2">
        <v>45753</v>
      </c>
      <c r="C2095" t="s">
        <v>18</v>
      </c>
      <c r="D2095" t="s">
        <v>26</v>
      </c>
      <c r="E2095" t="s">
        <v>29</v>
      </c>
      <c r="F2095" t="s">
        <v>45</v>
      </c>
      <c r="G2095" t="s">
        <v>72</v>
      </c>
      <c r="H2095" t="s">
        <v>74</v>
      </c>
      <c r="I2095">
        <v>2</v>
      </c>
      <c r="J2095">
        <v>9203</v>
      </c>
      <c r="K2095">
        <v>0</v>
      </c>
      <c r="L2095">
        <v>18406</v>
      </c>
      <c r="M2095">
        <v>11807.26</v>
      </c>
      <c r="N2095">
        <v>6598.74</v>
      </c>
      <c r="O2095" t="s">
        <v>78</v>
      </c>
      <c r="P2095" t="s">
        <v>87</v>
      </c>
    </row>
    <row r="2096" spans="1:16" x14ac:dyDescent="0.25">
      <c r="A2096">
        <v>2095</v>
      </c>
      <c r="B2096" s="2">
        <v>45959</v>
      </c>
      <c r="C2096" t="s">
        <v>23</v>
      </c>
      <c r="D2096" t="s">
        <v>27</v>
      </c>
      <c r="E2096" t="s">
        <v>33</v>
      </c>
      <c r="F2096" t="s">
        <v>41</v>
      </c>
      <c r="G2096" t="s">
        <v>70</v>
      </c>
      <c r="H2096" t="s">
        <v>73</v>
      </c>
      <c r="I2096">
        <v>5</v>
      </c>
      <c r="J2096">
        <v>49971</v>
      </c>
      <c r="K2096">
        <v>0.05</v>
      </c>
      <c r="L2096">
        <v>237362.25</v>
      </c>
      <c r="M2096">
        <v>170972.07</v>
      </c>
      <c r="N2096">
        <v>66390.179999999993</v>
      </c>
      <c r="O2096" t="s">
        <v>79</v>
      </c>
      <c r="P2096" t="s">
        <v>83</v>
      </c>
    </row>
    <row r="2097" spans="1:16" x14ac:dyDescent="0.25">
      <c r="A2097">
        <v>2096</v>
      </c>
      <c r="B2097" s="2">
        <v>45731</v>
      </c>
      <c r="C2097" t="s">
        <v>20</v>
      </c>
      <c r="D2097" t="s">
        <v>26</v>
      </c>
      <c r="E2097" t="s">
        <v>32</v>
      </c>
      <c r="F2097" t="s">
        <v>48</v>
      </c>
      <c r="G2097" t="s">
        <v>70</v>
      </c>
      <c r="H2097" t="s">
        <v>73</v>
      </c>
      <c r="I2097">
        <v>7</v>
      </c>
      <c r="J2097">
        <v>5360</v>
      </c>
      <c r="K2097">
        <v>0.2</v>
      </c>
      <c r="L2097">
        <v>30016</v>
      </c>
      <c r="M2097">
        <v>24022.18</v>
      </c>
      <c r="N2097">
        <v>5993.82</v>
      </c>
      <c r="O2097" t="s">
        <v>80</v>
      </c>
      <c r="P2097" t="s">
        <v>85</v>
      </c>
    </row>
    <row r="2098" spans="1:16" x14ac:dyDescent="0.25">
      <c r="A2098">
        <v>2097</v>
      </c>
      <c r="B2098" s="2">
        <v>45839</v>
      </c>
      <c r="C2098" t="s">
        <v>22</v>
      </c>
      <c r="D2098" t="s">
        <v>24</v>
      </c>
      <c r="E2098" t="s">
        <v>31</v>
      </c>
      <c r="F2098" t="s">
        <v>38</v>
      </c>
      <c r="G2098" t="s">
        <v>71</v>
      </c>
      <c r="H2098" t="s">
        <v>73</v>
      </c>
      <c r="I2098">
        <v>3</v>
      </c>
      <c r="J2098">
        <v>1123</v>
      </c>
      <c r="K2098">
        <v>0.1</v>
      </c>
      <c r="L2098">
        <v>3032.1</v>
      </c>
      <c r="M2098">
        <v>2476.92</v>
      </c>
      <c r="N2098">
        <v>555.17999999999995</v>
      </c>
      <c r="O2098" t="s">
        <v>76</v>
      </c>
      <c r="P2098" t="s">
        <v>85</v>
      </c>
    </row>
    <row r="2099" spans="1:16" x14ac:dyDescent="0.25">
      <c r="A2099">
        <v>2098</v>
      </c>
      <c r="B2099" s="2">
        <v>45782</v>
      </c>
      <c r="C2099" t="s">
        <v>18</v>
      </c>
      <c r="D2099" t="s">
        <v>26</v>
      </c>
      <c r="E2099" t="s">
        <v>32</v>
      </c>
      <c r="F2099" t="s">
        <v>39</v>
      </c>
      <c r="G2099" t="s">
        <v>70</v>
      </c>
      <c r="H2099" t="s">
        <v>74</v>
      </c>
      <c r="I2099">
        <v>5</v>
      </c>
      <c r="J2099">
        <v>23594</v>
      </c>
      <c r="K2099">
        <v>0</v>
      </c>
      <c r="L2099">
        <v>117970</v>
      </c>
      <c r="M2099">
        <v>92975.27</v>
      </c>
      <c r="N2099">
        <v>24994.73</v>
      </c>
      <c r="O2099" t="s">
        <v>80</v>
      </c>
      <c r="P2099" t="s">
        <v>88</v>
      </c>
    </row>
    <row r="2100" spans="1:16" x14ac:dyDescent="0.25">
      <c r="A2100">
        <v>2099</v>
      </c>
      <c r="B2100" s="2">
        <v>45660</v>
      </c>
      <c r="C2100" t="s">
        <v>18</v>
      </c>
      <c r="D2100" t="s">
        <v>26</v>
      </c>
      <c r="E2100" t="s">
        <v>31</v>
      </c>
      <c r="F2100" t="s">
        <v>67</v>
      </c>
      <c r="G2100" t="s">
        <v>71</v>
      </c>
      <c r="H2100" t="s">
        <v>75</v>
      </c>
      <c r="I2100">
        <v>1</v>
      </c>
      <c r="J2100">
        <v>617</v>
      </c>
      <c r="K2100">
        <v>0.1</v>
      </c>
      <c r="L2100">
        <v>555.29999999999995</v>
      </c>
      <c r="M2100">
        <v>394.19</v>
      </c>
      <c r="N2100">
        <v>161.11000000000001</v>
      </c>
      <c r="O2100" t="s">
        <v>77</v>
      </c>
      <c r="P2100" t="s">
        <v>82</v>
      </c>
    </row>
    <row r="2101" spans="1:16" x14ac:dyDescent="0.25">
      <c r="A2101">
        <v>2100</v>
      </c>
      <c r="B2101" s="2">
        <v>45981</v>
      </c>
      <c r="C2101" t="s">
        <v>17</v>
      </c>
      <c r="D2101" t="s">
        <v>25</v>
      </c>
      <c r="E2101" t="s">
        <v>33</v>
      </c>
      <c r="F2101" t="s">
        <v>41</v>
      </c>
      <c r="G2101" t="s">
        <v>71</v>
      </c>
      <c r="H2101" t="s">
        <v>74</v>
      </c>
      <c r="I2101">
        <v>1</v>
      </c>
      <c r="J2101">
        <v>9497</v>
      </c>
      <c r="K2101">
        <v>0.1</v>
      </c>
      <c r="L2101">
        <v>8547.2999999999993</v>
      </c>
      <c r="M2101">
        <v>5568.08</v>
      </c>
      <c r="N2101">
        <v>2979.22</v>
      </c>
      <c r="O2101" t="s">
        <v>79</v>
      </c>
      <c r="P2101" t="s">
        <v>86</v>
      </c>
    </row>
    <row r="2102" spans="1:16" x14ac:dyDescent="0.25">
      <c r="A2102">
        <v>2101</v>
      </c>
      <c r="B2102" s="2">
        <v>45782</v>
      </c>
      <c r="C2102" t="s">
        <v>20</v>
      </c>
      <c r="D2102" t="s">
        <v>26</v>
      </c>
      <c r="E2102" t="s">
        <v>34</v>
      </c>
      <c r="F2102" t="s">
        <v>55</v>
      </c>
      <c r="G2102" t="s">
        <v>71</v>
      </c>
      <c r="H2102" t="s">
        <v>74</v>
      </c>
      <c r="I2102">
        <v>3</v>
      </c>
      <c r="J2102">
        <v>3895</v>
      </c>
      <c r="K2102">
        <v>0</v>
      </c>
      <c r="L2102">
        <v>11685</v>
      </c>
      <c r="M2102">
        <v>6786.64</v>
      </c>
      <c r="N2102">
        <v>4898.3599999999997</v>
      </c>
      <c r="O2102" t="s">
        <v>79</v>
      </c>
      <c r="P2102" t="s">
        <v>86</v>
      </c>
    </row>
    <row r="2103" spans="1:16" x14ac:dyDescent="0.25">
      <c r="A2103">
        <v>2102</v>
      </c>
      <c r="B2103" s="2">
        <v>46015</v>
      </c>
      <c r="C2103" t="s">
        <v>16</v>
      </c>
      <c r="D2103" t="s">
        <v>24</v>
      </c>
      <c r="E2103" t="s">
        <v>28</v>
      </c>
      <c r="F2103" t="s">
        <v>63</v>
      </c>
      <c r="G2103" t="s">
        <v>70</v>
      </c>
      <c r="H2103" t="s">
        <v>75</v>
      </c>
      <c r="I2103">
        <v>2</v>
      </c>
      <c r="J2103">
        <v>579</v>
      </c>
      <c r="K2103">
        <v>0.05</v>
      </c>
      <c r="L2103">
        <v>1100.0999999999999</v>
      </c>
      <c r="M2103">
        <v>726.47</v>
      </c>
      <c r="N2103">
        <v>373.63</v>
      </c>
      <c r="O2103" t="s">
        <v>78</v>
      </c>
      <c r="P2103" t="s">
        <v>85</v>
      </c>
    </row>
    <row r="2104" spans="1:16" x14ac:dyDescent="0.25">
      <c r="A2104">
        <v>2103</v>
      </c>
      <c r="B2104" s="2">
        <v>45716</v>
      </c>
      <c r="C2104" t="s">
        <v>17</v>
      </c>
      <c r="D2104" t="s">
        <v>25</v>
      </c>
      <c r="E2104" t="s">
        <v>33</v>
      </c>
      <c r="F2104" t="s">
        <v>46</v>
      </c>
      <c r="G2104" t="s">
        <v>71</v>
      </c>
      <c r="H2104" t="s">
        <v>74</v>
      </c>
      <c r="I2104">
        <v>7</v>
      </c>
      <c r="J2104">
        <v>39929</v>
      </c>
      <c r="K2104">
        <v>0.1</v>
      </c>
      <c r="L2104">
        <v>251552.7</v>
      </c>
      <c r="M2104">
        <v>189776.41</v>
      </c>
      <c r="N2104">
        <v>61776.29</v>
      </c>
      <c r="O2104" t="s">
        <v>76</v>
      </c>
      <c r="P2104" t="s">
        <v>83</v>
      </c>
    </row>
    <row r="2105" spans="1:16" x14ac:dyDescent="0.25">
      <c r="A2105">
        <v>2104</v>
      </c>
      <c r="B2105" s="2">
        <v>45712</v>
      </c>
      <c r="C2105" t="s">
        <v>22</v>
      </c>
      <c r="D2105" t="s">
        <v>24</v>
      </c>
      <c r="E2105" t="s">
        <v>31</v>
      </c>
      <c r="F2105" t="s">
        <v>50</v>
      </c>
      <c r="G2105" t="s">
        <v>70</v>
      </c>
      <c r="H2105" t="s">
        <v>73</v>
      </c>
      <c r="I2105">
        <v>1</v>
      </c>
      <c r="J2105">
        <v>1108</v>
      </c>
      <c r="K2105">
        <v>0</v>
      </c>
      <c r="L2105">
        <v>1108</v>
      </c>
      <c r="M2105">
        <v>823.66</v>
      </c>
      <c r="N2105">
        <v>284.33999999999997</v>
      </c>
      <c r="O2105" t="s">
        <v>77</v>
      </c>
      <c r="P2105" t="s">
        <v>88</v>
      </c>
    </row>
    <row r="2106" spans="1:16" x14ac:dyDescent="0.25">
      <c r="A2106">
        <v>2105</v>
      </c>
      <c r="B2106" s="2">
        <v>45757</v>
      </c>
      <c r="C2106" t="s">
        <v>20</v>
      </c>
      <c r="D2106" t="s">
        <v>26</v>
      </c>
      <c r="E2106" t="s">
        <v>28</v>
      </c>
      <c r="F2106" t="s">
        <v>54</v>
      </c>
      <c r="G2106" t="s">
        <v>70</v>
      </c>
      <c r="H2106" t="s">
        <v>75</v>
      </c>
      <c r="I2106">
        <v>5</v>
      </c>
      <c r="J2106">
        <v>2137</v>
      </c>
      <c r="K2106">
        <v>0.1</v>
      </c>
      <c r="L2106">
        <v>9616.5</v>
      </c>
      <c r="M2106">
        <v>6958.68</v>
      </c>
      <c r="N2106">
        <v>2657.82</v>
      </c>
      <c r="O2106" t="s">
        <v>79</v>
      </c>
      <c r="P2106" t="s">
        <v>86</v>
      </c>
    </row>
    <row r="2107" spans="1:16" x14ac:dyDescent="0.25">
      <c r="A2107">
        <v>2106</v>
      </c>
      <c r="B2107" s="2">
        <v>45929</v>
      </c>
      <c r="C2107" t="s">
        <v>21</v>
      </c>
      <c r="D2107" t="s">
        <v>24</v>
      </c>
      <c r="E2107" t="s">
        <v>32</v>
      </c>
      <c r="F2107" t="s">
        <v>48</v>
      </c>
      <c r="G2107" t="s">
        <v>71</v>
      </c>
      <c r="H2107" t="s">
        <v>73</v>
      </c>
      <c r="I2107">
        <v>4</v>
      </c>
      <c r="J2107">
        <v>11854</v>
      </c>
      <c r="K2107">
        <v>0.1</v>
      </c>
      <c r="L2107">
        <v>42674.400000000001</v>
      </c>
      <c r="M2107">
        <v>27732.29</v>
      </c>
      <c r="N2107">
        <v>14942.11</v>
      </c>
      <c r="O2107" t="s">
        <v>76</v>
      </c>
      <c r="P2107" t="s">
        <v>87</v>
      </c>
    </row>
    <row r="2108" spans="1:16" x14ac:dyDescent="0.25">
      <c r="A2108">
        <v>2107</v>
      </c>
      <c r="B2108" s="2">
        <v>45720</v>
      </c>
      <c r="C2108" t="s">
        <v>16</v>
      </c>
      <c r="D2108" t="s">
        <v>24</v>
      </c>
      <c r="E2108" t="s">
        <v>31</v>
      </c>
      <c r="F2108" t="s">
        <v>38</v>
      </c>
      <c r="G2108" t="s">
        <v>72</v>
      </c>
      <c r="H2108" t="s">
        <v>75</v>
      </c>
      <c r="I2108">
        <v>6</v>
      </c>
      <c r="J2108">
        <v>572</v>
      </c>
      <c r="K2108">
        <v>0</v>
      </c>
      <c r="L2108">
        <v>3432</v>
      </c>
      <c r="M2108">
        <v>2453.41</v>
      </c>
      <c r="N2108">
        <v>978.59</v>
      </c>
      <c r="O2108" t="s">
        <v>79</v>
      </c>
      <c r="P2108" t="s">
        <v>83</v>
      </c>
    </row>
    <row r="2109" spans="1:16" x14ac:dyDescent="0.25">
      <c r="A2109">
        <v>2108</v>
      </c>
      <c r="B2109" s="2">
        <v>45725</v>
      </c>
      <c r="C2109" t="s">
        <v>21</v>
      </c>
      <c r="D2109" t="s">
        <v>24</v>
      </c>
      <c r="E2109" t="s">
        <v>29</v>
      </c>
      <c r="F2109" t="s">
        <v>53</v>
      </c>
      <c r="G2109" t="s">
        <v>72</v>
      </c>
      <c r="H2109" t="s">
        <v>74</v>
      </c>
      <c r="I2109">
        <v>4</v>
      </c>
      <c r="J2109">
        <v>8334</v>
      </c>
      <c r="K2109">
        <v>0.15</v>
      </c>
      <c r="L2109">
        <v>28335.599999999999</v>
      </c>
      <c r="M2109">
        <v>15896.24</v>
      </c>
      <c r="N2109">
        <v>12439.36</v>
      </c>
      <c r="O2109" t="s">
        <v>79</v>
      </c>
      <c r="P2109" t="s">
        <v>85</v>
      </c>
    </row>
    <row r="2110" spans="1:16" x14ac:dyDescent="0.25">
      <c r="A2110">
        <v>2109</v>
      </c>
      <c r="B2110" s="2">
        <v>45831</v>
      </c>
      <c r="C2110" t="s">
        <v>17</v>
      </c>
      <c r="D2110" t="s">
        <v>25</v>
      </c>
      <c r="E2110" t="s">
        <v>33</v>
      </c>
      <c r="F2110" t="s">
        <v>41</v>
      </c>
      <c r="G2110" t="s">
        <v>71</v>
      </c>
      <c r="H2110" t="s">
        <v>75</v>
      </c>
      <c r="I2110">
        <v>6</v>
      </c>
      <c r="J2110">
        <v>3287</v>
      </c>
      <c r="K2110">
        <v>0.1</v>
      </c>
      <c r="L2110">
        <v>17749.8</v>
      </c>
      <c r="M2110">
        <v>10837.28</v>
      </c>
      <c r="N2110">
        <v>6912.52</v>
      </c>
      <c r="O2110" t="s">
        <v>76</v>
      </c>
      <c r="P2110" t="s">
        <v>88</v>
      </c>
    </row>
    <row r="2111" spans="1:16" x14ac:dyDescent="0.25">
      <c r="A2111">
        <v>2110</v>
      </c>
      <c r="B2111" s="2">
        <v>45929</v>
      </c>
      <c r="C2111" t="s">
        <v>20</v>
      </c>
      <c r="D2111" t="s">
        <v>26</v>
      </c>
      <c r="E2111" t="s">
        <v>31</v>
      </c>
      <c r="F2111" t="s">
        <v>50</v>
      </c>
      <c r="G2111" t="s">
        <v>70</v>
      </c>
      <c r="H2111" t="s">
        <v>75</v>
      </c>
      <c r="I2111">
        <v>1</v>
      </c>
      <c r="J2111">
        <v>1450</v>
      </c>
      <c r="K2111">
        <v>0.05</v>
      </c>
      <c r="L2111">
        <v>1377.5</v>
      </c>
      <c r="M2111">
        <v>918.18</v>
      </c>
      <c r="N2111">
        <v>459.32</v>
      </c>
      <c r="O2111" t="s">
        <v>77</v>
      </c>
      <c r="P2111" t="s">
        <v>87</v>
      </c>
    </row>
    <row r="2112" spans="1:16" x14ac:dyDescent="0.25">
      <c r="A2112">
        <v>2111</v>
      </c>
      <c r="B2112" s="2">
        <v>45716</v>
      </c>
      <c r="C2112" t="s">
        <v>22</v>
      </c>
      <c r="D2112" t="s">
        <v>24</v>
      </c>
      <c r="E2112" t="s">
        <v>28</v>
      </c>
      <c r="F2112" t="s">
        <v>58</v>
      </c>
      <c r="G2112" t="s">
        <v>70</v>
      </c>
      <c r="H2112" t="s">
        <v>73</v>
      </c>
      <c r="I2112">
        <v>6</v>
      </c>
      <c r="J2112">
        <v>1286</v>
      </c>
      <c r="K2112">
        <v>0.1</v>
      </c>
      <c r="L2112">
        <v>6944.4</v>
      </c>
      <c r="M2112">
        <v>4418.34</v>
      </c>
      <c r="N2112">
        <v>2526.06</v>
      </c>
      <c r="O2112" t="s">
        <v>78</v>
      </c>
      <c r="P2112" t="s">
        <v>85</v>
      </c>
    </row>
    <row r="2113" spans="1:16" x14ac:dyDescent="0.25">
      <c r="A2113">
        <v>2112</v>
      </c>
      <c r="B2113" s="2">
        <v>45691</v>
      </c>
      <c r="C2113" t="s">
        <v>22</v>
      </c>
      <c r="D2113" t="s">
        <v>24</v>
      </c>
      <c r="E2113" t="s">
        <v>33</v>
      </c>
      <c r="F2113" t="s">
        <v>60</v>
      </c>
      <c r="G2113" t="s">
        <v>70</v>
      </c>
      <c r="H2113" t="s">
        <v>74</v>
      </c>
      <c r="I2113">
        <v>8</v>
      </c>
      <c r="J2113">
        <v>29677</v>
      </c>
      <c r="K2113">
        <v>0.05</v>
      </c>
      <c r="L2113">
        <v>225545.2</v>
      </c>
      <c r="M2113">
        <v>139850.32999999999</v>
      </c>
      <c r="N2113">
        <v>85694.87</v>
      </c>
      <c r="O2113" t="s">
        <v>79</v>
      </c>
      <c r="P2113" t="s">
        <v>88</v>
      </c>
    </row>
    <row r="2114" spans="1:16" x14ac:dyDescent="0.25">
      <c r="A2114">
        <v>2113</v>
      </c>
      <c r="B2114" s="2">
        <v>45718</v>
      </c>
      <c r="C2114" t="s">
        <v>21</v>
      </c>
      <c r="D2114" t="s">
        <v>24</v>
      </c>
      <c r="E2114" t="s">
        <v>34</v>
      </c>
      <c r="F2114" t="s">
        <v>51</v>
      </c>
      <c r="G2114" t="s">
        <v>70</v>
      </c>
      <c r="H2114" t="s">
        <v>75</v>
      </c>
      <c r="I2114">
        <v>4</v>
      </c>
      <c r="J2114">
        <v>2848</v>
      </c>
      <c r="K2114">
        <v>0.15</v>
      </c>
      <c r="L2114">
        <v>9683.2000000000007</v>
      </c>
      <c r="M2114">
        <v>5530.35</v>
      </c>
      <c r="N2114">
        <v>4152.8500000000004</v>
      </c>
      <c r="O2114" t="s">
        <v>77</v>
      </c>
      <c r="P2114" t="s">
        <v>81</v>
      </c>
    </row>
    <row r="2115" spans="1:16" x14ac:dyDescent="0.25">
      <c r="A2115">
        <v>2114</v>
      </c>
      <c r="B2115" s="2">
        <v>45866</v>
      </c>
      <c r="C2115" t="s">
        <v>19</v>
      </c>
      <c r="D2115" t="s">
        <v>26</v>
      </c>
      <c r="E2115" t="s">
        <v>28</v>
      </c>
      <c r="F2115" t="s">
        <v>54</v>
      </c>
      <c r="G2115" t="s">
        <v>71</v>
      </c>
      <c r="H2115" t="s">
        <v>73</v>
      </c>
      <c r="I2115">
        <v>7</v>
      </c>
      <c r="J2115">
        <v>2482</v>
      </c>
      <c r="K2115">
        <v>0.1</v>
      </c>
      <c r="L2115">
        <v>15636.6</v>
      </c>
      <c r="M2115">
        <v>12692.81</v>
      </c>
      <c r="N2115">
        <v>2943.79</v>
      </c>
      <c r="O2115" t="s">
        <v>77</v>
      </c>
      <c r="P2115" t="s">
        <v>88</v>
      </c>
    </row>
    <row r="2116" spans="1:16" x14ac:dyDescent="0.25">
      <c r="A2116">
        <v>2115</v>
      </c>
      <c r="B2116" s="2">
        <v>45855</v>
      </c>
      <c r="C2116" t="s">
        <v>18</v>
      </c>
      <c r="D2116" t="s">
        <v>26</v>
      </c>
      <c r="E2116" t="s">
        <v>34</v>
      </c>
      <c r="F2116" t="s">
        <v>65</v>
      </c>
      <c r="G2116" t="s">
        <v>71</v>
      </c>
      <c r="H2116" t="s">
        <v>74</v>
      </c>
      <c r="I2116">
        <v>2</v>
      </c>
      <c r="J2116">
        <v>1473</v>
      </c>
      <c r="K2116">
        <v>0</v>
      </c>
      <c r="L2116">
        <v>2946</v>
      </c>
      <c r="M2116">
        <v>2236.0300000000002</v>
      </c>
      <c r="N2116">
        <v>709.97</v>
      </c>
      <c r="O2116" t="s">
        <v>77</v>
      </c>
      <c r="P2116" t="s">
        <v>86</v>
      </c>
    </row>
    <row r="2117" spans="1:16" x14ac:dyDescent="0.25">
      <c r="A2117">
        <v>2116</v>
      </c>
      <c r="B2117" s="2">
        <v>45875</v>
      </c>
      <c r="C2117" t="s">
        <v>22</v>
      </c>
      <c r="D2117" t="s">
        <v>24</v>
      </c>
      <c r="E2117" t="s">
        <v>34</v>
      </c>
      <c r="F2117" t="s">
        <v>55</v>
      </c>
      <c r="G2117" t="s">
        <v>71</v>
      </c>
      <c r="H2117" t="s">
        <v>75</v>
      </c>
      <c r="I2117">
        <v>6</v>
      </c>
      <c r="J2117">
        <v>4328</v>
      </c>
      <c r="K2117">
        <v>0.05</v>
      </c>
      <c r="L2117">
        <v>24669.599999999999</v>
      </c>
      <c r="M2117">
        <v>18169.25</v>
      </c>
      <c r="N2117">
        <v>6500.35</v>
      </c>
      <c r="O2117" t="s">
        <v>79</v>
      </c>
      <c r="P2117" t="s">
        <v>81</v>
      </c>
    </row>
    <row r="2118" spans="1:16" x14ac:dyDescent="0.25">
      <c r="A2118">
        <v>2117</v>
      </c>
      <c r="B2118" s="2">
        <v>45945</v>
      </c>
      <c r="C2118" t="s">
        <v>18</v>
      </c>
      <c r="D2118" t="s">
        <v>26</v>
      </c>
      <c r="E2118" t="s">
        <v>30</v>
      </c>
      <c r="F2118" t="s">
        <v>64</v>
      </c>
      <c r="G2118" t="s">
        <v>72</v>
      </c>
      <c r="H2118" t="s">
        <v>74</v>
      </c>
      <c r="I2118">
        <v>5</v>
      </c>
      <c r="J2118">
        <v>38282</v>
      </c>
      <c r="K2118">
        <v>0.05</v>
      </c>
      <c r="L2118">
        <v>181839.5</v>
      </c>
      <c r="M2118">
        <v>138405.29999999999</v>
      </c>
      <c r="N2118">
        <v>43434.2</v>
      </c>
      <c r="O2118" t="s">
        <v>78</v>
      </c>
      <c r="P2118" t="s">
        <v>88</v>
      </c>
    </row>
    <row r="2119" spans="1:16" x14ac:dyDescent="0.25">
      <c r="A2119">
        <v>2118</v>
      </c>
      <c r="B2119" s="2">
        <v>45689</v>
      </c>
      <c r="C2119" t="s">
        <v>20</v>
      </c>
      <c r="D2119" t="s">
        <v>26</v>
      </c>
      <c r="E2119" t="s">
        <v>34</v>
      </c>
      <c r="F2119" t="s">
        <v>43</v>
      </c>
      <c r="G2119" t="s">
        <v>71</v>
      </c>
      <c r="H2119" t="s">
        <v>75</v>
      </c>
      <c r="I2119">
        <v>4</v>
      </c>
      <c r="J2119">
        <v>3213</v>
      </c>
      <c r="K2119">
        <v>0</v>
      </c>
      <c r="L2119">
        <v>12852</v>
      </c>
      <c r="M2119">
        <v>8004.37</v>
      </c>
      <c r="N2119">
        <v>4847.63</v>
      </c>
      <c r="O2119" t="s">
        <v>80</v>
      </c>
      <c r="P2119" t="s">
        <v>83</v>
      </c>
    </row>
    <row r="2120" spans="1:16" x14ac:dyDescent="0.25">
      <c r="A2120">
        <v>2119</v>
      </c>
      <c r="B2120" s="2">
        <v>46017</v>
      </c>
      <c r="C2120" t="s">
        <v>17</v>
      </c>
      <c r="D2120" t="s">
        <v>25</v>
      </c>
      <c r="E2120" t="s">
        <v>33</v>
      </c>
      <c r="F2120" t="s">
        <v>46</v>
      </c>
      <c r="G2120" t="s">
        <v>72</v>
      </c>
      <c r="H2120" t="s">
        <v>75</v>
      </c>
      <c r="I2120">
        <v>8</v>
      </c>
      <c r="J2120">
        <v>6089</v>
      </c>
      <c r="K2120">
        <v>0</v>
      </c>
      <c r="L2120">
        <v>48712</v>
      </c>
      <c r="M2120">
        <v>38196.699999999997</v>
      </c>
      <c r="N2120">
        <v>10515.3</v>
      </c>
      <c r="O2120" t="s">
        <v>76</v>
      </c>
      <c r="P2120" t="s">
        <v>88</v>
      </c>
    </row>
    <row r="2121" spans="1:16" x14ac:dyDescent="0.25">
      <c r="A2121">
        <v>2120</v>
      </c>
      <c r="B2121" s="2">
        <v>45936</v>
      </c>
      <c r="C2121" t="s">
        <v>22</v>
      </c>
      <c r="D2121" t="s">
        <v>24</v>
      </c>
      <c r="E2121" t="s">
        <v>34</v>
      </c>
      <c r="F2121" t="s">
        <v>65</v>
      </c>
      <c r="G2121" t="s">
        <v>70</v>
      </c>
      <c r="H2121" t="s">
        <v>73</v>
      </c>
      <c r="I2121">
        <v>6</v>
      </c>
      <c r="J2121">
        <v>3914</v>
      </c>
      <c r="K2121">
        <v>0.15</v>
      </c>
      <c r="L2121">
        <v>19961.400000000001</v>
      </c>
      <c r="M2121">
        <v>12557.58</v>
      </c>
      <c r="N2121">
        <v>7403.82</v>
      </c>
      <c r="O2121" t="s">
        <v>80</v>
      </c>
      <c r="P2121" t="s">
        <v>84</v>
      </c>
    </row>
    <row r="2122" spans="1:16" x14ac:dyDescent="0.25">
      <c r="A2122">
        <v>2121</v>
      </c>
      <c r="B2122" s="2">
        <v>46018</v>
      </c>
      <c r="C2122" t="s">
        <v>19</v>
      </c>
      <c r="D2122" t="s">
        <v>26</v>
      </c>
      <c r="E2122" t="s">
        <v>33</v>
      </c>
      <c r="F2122" t="s">
        <v>46</v>
      </c>
      <c r="G2122" t="s">
        <v>70</v>
      </c>
      <c r="H2122" t="s">
        <v>75</v>
      </c>
      <c r="I2122">
        <v>4</v>
      </c>
      <c r="J2122">
        <v>35844</v>
      </c>
      <c r="K2122">
        <v>0.05</v>
      </c>
      <c r="L2122">
        <v>136207.20000000001</v>
      </c>
      <c r="M2122">
        <v>90823.7</v>
      </c>
      <c r="N2122">
        <v>45383.5</v>
      </c>
      <c r="O2122" t="s">
        <v>79</v>
      </c>
      <c r="P2122" t="s">
        <v>81</v>
      </c>
    </row>
    <row r="2123" spans="1:16" x14ac:dyDescent="0.25">
      <c r="A2123">
        <v>2122</v>
      </c>
      <c r="B2123" s="2">
        <v>45753</v>
      </c>
      <c r="C2123" t="s">
        <v>19</v>
      </c>
      <c r="D2123" t="s">
        <v>26</v>
      </c>
      <c r="E2123" t="s">
        <v>29</v>
      </c>
      <c r="F2123" t="s">
        <v>36</v>
      </c>
      <c r="G2123" t="s">
        <v>72</v>
      </c>
      <c r="H2123" t="s">
        <v>74</v>
      </c>
      <c r="I2123">
        <v>7</v>
      </c>
      <c r="J2123">
        <v>11337</v>
      </c>
      <c r="K2123">
        <v>0.05</v>
      </c>
      <c r="L2123">
        <v>75391.05</v>
      </c>
      <c r="M2123">
        <v>59312.58</v>
      </c>
      <c r="N2123">
        <v>16078.47</v>
      </c>
      <c r="O2123" t="s">
        <v>76</v>
      </c>
      <c r="P2123" t="s">
        <v>85</v>
      </c>
    </row>
    <row r="2124" spans="1:16" x14ac:dyDescent="0.25">
      <c r="A2124">
        <v>2123</v>
      </c>
      <c r="B2124" s="2">
        <v>45778</v>
      </c>
      <c r="C2124" t="s">
        <v>20</v>
      </c>
      <c r="D2124" t="s">
        <v>26</v>
      </c>
      <c r="E2124" t="s">
        <v>28</v>
      </c>
      <c r="F2124" t="s">
        <v>35</v>
      </c>
      <c r="G2124" t="s">
        <v>70</v>
      </c>
      <c r="H2124" t="s">
        <v>75</v>
      </c>
      <c r="I2124">
        <v>4</v>
      </c>
      <c r="J2124">
        <v>1548</v>
      </c>
      <c r="K2124">
        <v>0.1</v>
      </c>
      <c r="L2124">
        <v>5572.8</v>
      </c>
      <c r="M2124">
        <v>4074.57</v>
      </c>
      <c r="N2124">
        <v>1498.23</v>
      </c>
      <c r="O2124" t="s">
        <v>80</v>
      </c>
      <c r="P2124" t="s">
        <v>88</v>
      </c>
    </row>
    <row r="2125" spans="1:16" x14ac:dyDescent="0.25">
      <c r="A2125">
        <v>2124</v>
      </c>
      <c r="B2125" s="2">
        <v>45984</v>
      </c>
      <c r="C2125" t="s">
        <v>16</v>
      </c>
      <c r="D2125" t="s">
        <v>24</v>
      </c>
      <c r="E2125" t="s">
        <v>32</v>
      </c>
      <c r="F2125" t="s">
        <v>66</v>
      </c>
      <c r="G2125" t="s">
        <v>70</v>
      </c>
      <c r="H2125" t="s">
        <v>75</v>
      </c>
      <c r="I2125">
        <v>7</v>
      </c>
      <c r="J2125">
        <v>7086</v>
      </c>
      <c r="K2125">
        <v>0</v>
      </c>
      <c r="L2125">
        <v>49602</v>
      </c>
      <c r="M2125">
        <v>30255.33</v>
      </c>
      <c r="N2125">
        <v>19346.669999999998</v>
      </c>
      <c r="O2125" t="s">
        <v>79</v>
      </c>
      <c r="P2125" t="s">
        <v>84</v>
      </c>
    </row>
    <row r="2126" spans="1:16" x14ac:dyDescent="0.25">
      <c r="A2126">
        <v>2125</v>
      </c>
      <c r="B2126" s="2">
        <v>45812</v>
      </c>
      <c r="C2126" t="s">
        <v>23</v>
      </c>
      <c r="D2126" t="s">
        <v>27</v>
      </c>
      <c r="E2126" t="s">
        <v>30</v>
      </c>
      <c r="F2126" t="s">
        <v>40</v>
      </c>
      <c r="G2126" t="s">
        <v>72</v>
      </c>
      <c r="H2126" t="s">
        <v>74</v>
      </c>
      <c r="I2126">
        <v>7</v>
      </c>
      <c r="J2126">
        <v>14424</v>
      </c>
      <c r="K2126">
        <v>0</v>
      </c>
      <c r="L2126">
        <v>100968</v>
      </c>
      <c r="M2126">
        <v>75984</v>
      </c>
      <c r="N2126">
        <v>24984</v>
      </c>
      <c r="O2126" t="s">
        <v>80</v>
      </c>
      <c r="P2126" t="s">
        <v>83</v>
      </c>
    </row>
    <row r="2127" spans="1:16" x14ac:dyDescent="0.25">
      <c r="A2127">
        <v>2126</v>
      </c>
      <c r="B2127" s="2">
        <v>45663</v>
      </c>
      <c r="C2127" t="s">
        <v>16</v>
      </c>
      <c r="D2127" t="s">
        <v>24</v>
      </c>
      <c r="E2127" t="s">
        <v>33</v>
      </c>
      <c r="F2127" t="s">
        <v>46</v>
      </c>
      <c r="G2127" t="s">
        <v>72</v>
      </c>
      <c r="H2127" t="s">
        <v>73</v>
      </c>
      <c r="I2127">
        <v>5</v>
      </c>
      <c r="J2127">
        <v>14961</v>
      </c>
      <c r="K2127">
        <v>0.1</v>
      </c>
      <c r="L2127">
        <v>67324.5</v>
      </c>
      <c r="M2127">
        <v>49441.75</v>
      </c>
      <c r="N2127">
        <v>17882.75</v>
      </c>
      <c r="O2127" t="s">
        <v>80</v>
      </c>
      <c r="P2127" t="s">
        <v>87</v>
      </c>
    </row>
    <row r="2128" spans="1:16" x14ac:dyDescent="0.25">
      <c r="A2128">
        <v>2127</v>
      </c>
      <c r="B2128" s="2">
        <v>45759</v>
      </c>
      <c r="C2128" t="s">
        <v>20</v>
      </c>
      <c r="D2128" t="s">
        <v>26</v>
      </c>
      <c r="E2128" t="s">
        <v>31</v>
      </c>
      <c r="F2128" t="s">
        <v>47</v>
      </c>
      <c r="G2128" t="s">
        <v>70</v>
      </c>
      <c r="H2128" t="s">
        <v>74</v>
      </c>
      <c r="I2128">
        <v>1</v>
      </c>
      <c r="J2128">
        <v>772</v>
      </c>
      <c r="K2128">
        <v>0.05</v>
      </c>
      <c r="L2128">
        <v>733.4</v>
      </c>
      <c r="M2128">
        <v>426.96</v>
      </c>
      <c r="N2128">
        <v>306.44</v>
      </c>
      <c r="O2128" t="s">
        <v>77</v>
      </c>
      <c r="P2128" t="s">
        <v>87</v>
      </c>
    </row>
    <row r="2129" spans="1:16" x14ac:dyDescent="0.25">
      <c r="A2129">
        <v>2128</v>
      </c>
      <c r="B2129" s="2">
        <v>45739</v>
      </c>
      <c r="C2129" t="s">
        <v>23</v>
      </c>
      <c r="D2129" t="s">
        <v>27</v>
      </c>
      <c r="E2129" t="s">
        <v>28</v>
      </c>
      <c r="F2129" t="s">
        <v>54</v>
      </c>
      <c r="G2129" t="s">
        <v>71</v>
      </c>
      <c r="H2129" t="s">
        <v>73</v>
      </c>
      <c r="I2129">
        <v>2</v>
      </c>
      <c r="J2129">
        <v>2124</v>
      </c>
      <c r="K2129">
        <v>0.1</v>
      </c>
      <c r="L2129">
        <v>3823.2</v>
      </c>
      <c r="M2129">
        <v>2990.93</v>
      </c>
      <c r="N2129">
        <v>832.27</v>
      </c>
      <c r="O2129" t="s">
        <v>76</v>
      </c>
      <c r="P2129" t="s">
        <v>85</v>
      </c>
    </row>
    <row r="2130" spans="1:16" x14ac:dyDescent="0.25">
      <c r="A2130">
        <v>2129</v>
      </c>
      <c r="B2130" s="2">
        <v>45765</v>
      </c>
      <c r="C2130" t="s">
        <v>18</v>
      </c>
      <c r="D2130" t="s">
        <v>26</v>
      </c>
      <c r="E2130" t="s">
        <v>29</v>
      </c>
      <c r="F2130" t="s">
        <v>53</v>
      </c>
      <c r="G2130" t="s">
        <v>72</v>
      </c>
      <c r="H2130" t="s">
        <v>73</v>
      </c>
      <c r="I2130">
        <v>3</v>
      </c>
      <c r="J2130">
        <v>4351</v>
      </c>
      <c r="K2130">
        <v>0.15</v>
      </c>
      <c r="L2130">
        <v>11095.05</v>
      </c>
      <c r="M2130">
        <v>6207.31</v>
      </c>
      <c r="N2130">
        <v>4887.74</v>
      </c>
      <c r="O2130" t="s">
        <v>79</v>
      </c>
      <c r="P2130" t="s">
        <v>81</v>
      </c>
    </row>
    <row r="2131" spans="1:16" x14ac:dyDescent="0.25">
      <c r="A2131">
        <v>2130</v>
      </c>
      <c r="B2131" s="2">
        <v>45871</v>
      </c>
      <c r="C2131" t="s">
        <v>18</v>
      </c>
      <c r="D2131" t="s">
        <v>26</v>
      </c>
      <c r="E2131" t="s">
        <v>31</v>
      </c>
      <c r="F2131" t="s">
        <v>47</v>
      </c>
      <c r="G2131" t="s">
        <v>71</v>
      </c>
      <c r="H2131" t="s">
        <v>75</v>
      </c>
      <c r="I2131">
        <v>5</v>
      </c>
      <c r="J2131">
        <v>896</v>
      </c>
      <c r="K2131">
        <v>0.15</v>
      </c>
      <c r="L2131">
        <v>3808</v>
      </c>
      <c r="M2131">
        <v>2567.17</v>
      </c>
      <c r="N2131">
        <v>1240.83</v>
      </c>
      <c r="O2131" t="s">
        <v>78</v>
      </c>
      <c r="P2131" t="s">
        <v>86</v>
      </c>
    </row>
    <row r="2132" spans="1:16" x14ac:dyDescent="0.25">
      <c r="A2132">
        <v>2131</v>
      </c>
      <c r="B2132" s="2">
        <v>45827</v>
      </c>
      <c r="C2132" t="s">
        <v>21</v>
      </c>
      <c r="D2132" t="s">
        <v>24</v>
      </c>
      <c r="E2132" t="s">
        <v>31</v>
      </c>
      <c r="F2132" t="s">
        <v>69</v>
      </c>
      <c r="G2132" t="s">
        <v>70</v>
      </c>
      <c r="H2132" t="s">
        <v>75</v>
      </c>
      <c r="I2132">
        <v>5</v>
      </c>
      <c r="J2132">
        <v>231</v>
      </c>
      <c r="K2132">
        <v>0.05</v>
      </c>
      <c r="L2132">
        <v>1097.25</v>
      </c>
      <c r="M2132">
        <v>956.47</v>
      </c>
      <c r="N2132">
        <v>140.78</v>
      </c>
      <c r="O2132" t="s">
        <v>80</v>
      </c>
      <c r="P2132" t="s">
        <v>84</v>
      </c>
    </row>
    <row r="2133" spans="1:16" x14ac:dyDescent="0.25">
      <c r="A2133">
        <v>2132</v>
      </c>
      <c r="B2133" s="2">
        <v>45802</v>
      </c>
      <c r="C2133" t="s">
        <v>20</v>
      </c>
      <c r="D2133" t="s">
        <v>26</v>
      </c>
      <c r="E2133" t="s">
        <v>29</v>
      </c>
      <c r="F2133" t="s">
        <v>42</v>
      </c>
      <c r="G2133" t="s">
        <v>70</v>
      </c>
      <c r="H2133" t="s">
        <v>75</v>
      </c>
      <c r="I2133">
        <v>4</v>
      </c>
      <c r="J2133">
        <v>1472</v>
      </c>
      <c r="K2133">
        <v>0.15</v>
      </c>
      <c r="L2133">
        <v>5004.8</v>
      </c>
      <c r="M2133">
        <v>4009.61</v>
      </c>
      <c r="N2133">
        <v>995.19</v>
      </c>
      <c r="O2133" t="s">
        <v>76</v>
      </c>
      <c r="P2133" t="s">
        <v>83</v>
      </c>
    </row>
    <row r="2134" spans="1:16" x14ac:dyDescent="0.25">
      <c r="A2134">
        <v>2133</v>
      </c>
      <c r="B2134" s="2">
        <v>45720</v>
      </c>
      <c r="C2134" t="s">
        <v>21</v>
      </c>
      <c r="D2134" t="s">
        <v>24</v>
      </c>
      <c r="E2134" t="s">
        <v>32</v>
      </c>
      <c r="F2134" t="s">
        <v>39</v>
      </c>
      <c r="G2134" t="s">
        <v>71</v>
      </c>
      <c r="H2134" t="s">
        <v>74</v>
      </c>
      <c r="I2134">
        <v>1</v>
      </c>
      <c r="J2134">
        <v>12347</v>
      </c>
      <c r="K2134">
        <v>0.05</v>
      </c>
      <c r="L2134">
        <v>11729.65</v>
      </c>
      <c r="M2134">
        <v>8199.49</v>
      </c>
      <c r="N2134">
        <v>3530.16</v>
      </c>
      <c r="O2134" t="s">
        <v>79</v>
      </c>
      <c r="P2134" t="s">
        <v>84</v>
      </c>
    </row>
    <row r="2135" spans="1:16" x14ac:dyDescent="0.25">
      <c r="A2135">
        <v>2134</v>
      </c>
      <c r="B2135" s="2">
        <v>45921</v>
      </c>
      <c r="C2135" t="s">
        <v>21</v>
      </c>
      <c r="D2135" t="s">
        <v>24</v>
      </c>
      <c r="E2135" t="s">
        <v>28</v>
      </c>
      <c r="F2135" t="s">
        <v>58</v>
      </c>
      <c r="G2135" t="s">
        <v>70</v>
      </c>
      <c r="H2135" t="s">
        <v>73</v>
      </c>
      <c r="I2135">
        <v>8</v>
      </c>
      <c r="J2135">
        <v>1265</v>
      </c>
      <c r="K2135">
        <v>0</v>
      </c>
      <c r="L2135">
        <v>10120</v>
      </c>
      <c r="M2135">
        <v>7062.9</v>
      </c>
      <c r="N2135">
        <v>3057.1</v>
      </c>
      <c r="O2135" t="s">
        <v>76</v>
      </c>
      <c r="P2135" t="s">
        <v>85</v>
      </c>
    </row>
    <row r="2136" spans="1:16" x14ac:dyDescent="0.25">
      <c r="A2136">
        <v>2135</v>
      </c>
      <c r="B2136" s="2">
        <v>45659</v>
      </c>
      <c r="C2136" t="s">
        <v>23</v>
      </c>
      <c r="D2136" t="s">
        <v>27</v>
      </c>
      <c r="E2136" t="s">
        <v>28</v>
      </c>
      <c r="F2136" t="s">
        <v>63</v>
      </c>
      <c r="G2136" t="s">
        <v>71</v>
      </c>
      <c r="H2136" t="s">
        <v>75</v>
      </c>
      <c r="I2136">
        <v>1</v>
      </c>
      <c r="J2136">
        <v>133</v>
      </c>
      <c r="K2136">
        <v>0.1</v>
      </c>
      <c r="L2136">
        <v>119.7</v>
      </c>
      <c r="M2136">
        <v>67.02</v>
      </c>
      <c r="N2136">
        <v>52.68</v>
      </c>
      <c r="O2136" t="s">
        <v>79</v>
      </c>
      <c r="P2136" t="s">
        <v>86</v>
      </c>
    </row>
    <row r="2137" spans="1:16" x14ac:dyDescent="0.25">
      <c r="A2137">
        <v>2136</v>
      </c>
      <c r="B2137" s="2">
        <v>45982</v>
      </c>
      <c r="C2137" t="s">
        <v>21</v>
      </c>
      <c r="D2137" t="s">
        <v>24</v>
      </c>
      <c r="E2137" t="s">
        <v>31</v>
      </c>
      <c r="F2137" t="s">
        <v>38</v>
      </c>
      <c r="G2137" t="s">
        <v>70</v>
      </c>
      <c r="H2137" t="s">
        <v>75</v>
      </c>
      <c r="I2137">
        <v>1</v>
      </c>
      <c r="J2137">
        <v>2031</v>
      </c>
      <c r="K2137">
        <v>0.15</v>
      </c>
      <c r="L2137">
        <v>1726.35</v>
      </c>
      <c r="M2137">
        <v>1269.96</v>
      </c>
      <c r="N2137">
        <v>456.39</v>
      </c>
      <c r="O2137" t="s">
        <v>78</v>
      </c>
      <c r="P2137" t="s">
        <v>85</v>
      </c>
    </row>
    <row r="2138" spans="1:16" x14ac:dyDescent="0.25">
      <c r="A2138">
        <v>2137</v>
      </c>
      <c r="B2138" s="2">
        <v>45887</v>
      </c>
      <c r="C2138" t="s">
        <v>20</v>
      </c>
      <c r="D2138" t="s">
        <v>26</v>
      </c>
      <c r="E2138" t="s">
        <v>30</v>
      </c>
      <c r="F2138" t="s">
        <v>37</v>
      </c>
      <c r="G2138" t="s">
        <v>71</v>
      </c>
      <c r="H2138" t="s">
        <v>74</v>
      </c>
      <c r="I2138">
        <v>2</v>
      </c>
      <c r="J2138">
        <v>68789</v>
      </c>
      <c r="K2138">
        <v>0.1</v>
      </c>
      <c r="L2138">
        <v>123820.2</v>
      </c>
      <c r="M2138">
        <v>71568.03</v>
      </c>
      <c r="N2138">
        <v>52252.17</v>
      </c>
      <c r="O2138" t="s">
        <v>80</v>
      </c>
      <c r="P2138" t="s">
        <v>84</v>
      </c>
    </row>
    <row r="2139" spans="1:16" x14ac:dyDescent="0.25">
      <c r="A2139">
        <v>2138</v>
      </c>
      <c r="B2139" s="2">
        <v>45726</v>
      </c>
      <c r="C2139" t="s">
        <v>18</v>
      </c>
      <c r="D2139" t="s">
        <v>26</v>
      </c>
      <c r="E2139" t="s">
        <v>31</v>
      </c>
      <c r="F2139" t="s">
        <v>67</v>
      </c>
      <c r="G2139" t="s">
        <v>72</v>
      </c>
      <c r="H2139" t="s">
        <v>75</v>
      </c>
      <c r="I2139">
        <v>7</v>
      </c>
      <c r="J2139">
        <v>2045</v>
      </c>
      <c r="K2139">
        <v>0.15</v>
      </c>
      <c r="L2139">
        <v>12167.75</v>
      </c>
      <c r="M2139">
        <v>7695.8</v>
      </c>
      <c r="N2139">
        <v>4471.95</v>
      </c>
      <c r="O2139" t="s">
        <v>77</v>
      </c>
      <c r="P2139" t="s">
        <v>86</v>
      </c>
    </row>
    <row r="2140" spans="1:16" x14ac:dyDescent="0.25">
      <c r="A2140">
        <v>2139</v>
      </c>
      <c r="B2140" s="2">
        <v>45841</v>
      </c>
      <c r="C2140" t="s">
        <v>16</v>
      </c>
      <c r="D2140" t="s">
        <v>24</v>
      </c>
      <c r="E2140" t="s">
        <v>34</v>
      </c>
      <c r="F2140" t="s">
        <v>43</v>
      </c>
      <c r="G2140" t="s">
        <v>70</v>
      </c>
      <c r="H2140" t="s">
        <v>75</v>
      </c>
      <c r="I2140">
        <v>8</v>
      </c>
      <c r="J2140">
        <v>1950</v>
      </c>
      <c r="K2140">
        <v>0</v>
      </c>
      <c r="L2140">
        <v>15600</v>
      </c>
      <c r="M2140">
        <v>10632.09</v>
      </c>
      <c r="N2140">
        <v>4967.91</v>
      </c>
      <c r="O2140" t="s">
        <v>77</v>
      </c>
      <c r="P2140" t="s">
        <v>88</v>
      </c>
    </row>
    <row r="2141" spans="1:16" x14ac:dyDescent="0.25">
      <c r="A2141">
        <v>2140</v>
      </c>
      <c r="B2141" s="2">
        <v>45727</v>
      </c>
      <c r="C2141" t="s">
        <v>20</v>
      </c>
      <c r="D2141" t="s">
        <v>26</v>
      </c>
      <c r="E2141" t="s">
        <v>28</v>
      </c>
      <c r="F2141" t="s">
        <v>63</v>
      </c>
      <c r="G2141" t="s">
        <v>71</v>
      </c>
      <c r="H2141" t="s">
        <v>73</v>
      </c>
      <c r="I2141">
        <v>4</v>
      </c>
      <c r="J2141">
        <v>1416</v>
      </c>
      <c r="K2141">
        <v>0.1</v>
      </c>
      <c r="L2141">
        <v>5097.6000000000004</v>
      </c>
      <c r="M2141">
        <v>3999.92</v>
      </c>
      <c r="N2141">
        <v>1097.68</v>
      </c>
      <c r="O2141" t="s">
        <v>78</v>
      </c>
      <c r="P2141" t="s">
        <v>87</v>
      </c>
    </row>
    <row r="2142" spans="1:16" x14ac:dyDescent="0.25">
      <c r="A2142">
        <v>2141</v>
      </c>
      <c r="B2142" s="2">
        <v>46006</v>
      </c>
      <c r="C2142" t="s">
        <v>19</v>
      </c>
      <c r="D2142" t="s">
        <v>26</v>
      </c>
      <c r="E2142" t="s">
        <v>34</v>
      </c>
      <c r="F2142" t="s">
        <v>68</v>
      </c>
      <c r="G2142" t="s">
        <v>71</v>
      </c>
      <c r="H2142" t="s">
        <v>73</v>
      </c>
      <c r="I2142">
        <v>2</v>
      </c>
      <c r="J2142">
        <v>4344</v>
      </c>
      <c r="K2142">
        <v>0</v>
      </c>
      <c r="L2142">
        <v>8688</v>
      </c>
      <c r="M2142">
        <v>7174.06</v>
      </c>
      <c r="N2142">
        <v>1513.94</v>
      </c>
      <c r="O2142" t="s">
        <v>77</v>
      </c>
      <c r="P2142" t="s">
        <v>84</v>
      </c>
    </row>
    <row r="2143" spans="1:16" x14ac:dyDescent="0.25">
      <c r="A2143">
        <v>2142</v>
      </c>
      <c r="B2143" s="2">
        <v>45962</v>
      </c>
      <c r="C2143" t="s">
        <v>23</v>
      </c>
      <c r="D2143" t="s">
        <v>27</v>
      </c>
      <c r="E2143" t="s">
        <v>33</v>
      </c>
      <c r="F2143" t="s">
        <v>46</v>
      </c>
      <c r="G2143" t="s">
        <v>72</v>
      </c>
      <c r="H2143" t="s">
        <v>75</v>
      </c>
      <c r="I2143">
        <v>7</v>
      </c>
      <c r="J2143">
        <v>6310</v>
      </c>
      <c r="K2143">
        <v>0.15</v>
      </c>
      <c r="L2143">
        <v>37544.5</v>
      </c>
      <c r="M2143">
        <v>27121.4</v>
      </c>
      <c r="N2143">
        <v>10423.1</v>
      </c>
      <c r="O2143" t="s">
        <v>77</v>
      </c>
      <c r="P2143" t="s">
        <v>85</v>
      </c>
    </row>
    <row r="2144" spans="1:16" x14ac:dyDescent="0.25">
      <c r="A2144">
        <v>2143</v>
      </c>
      <c r="B2144" s="2">
        <v>45669</v>
      </c>
      <c r="C2144" t="s">
        <v>21</v>
      </c>
      <c r="D2144" t="s">
        <v>24</v>
      </c>
      <c r="E2144" t="s">
        <v>32</v>
      </c>
      <c r="F2144" t="s">
        <v>48</v>
      </c>
      <c r="G2144" t="s">
        <v>72</v>
      </c>
      <c r="H2144" t="s">
        <v>74</v>
      </c>
      <c r="I2144">
        <v>2</v>
      </c>
      <c r="J2144">
        <v>2888</v>
      </c>
      <c r="K2144">
        <v>0.15</v>
      </c>
      <c r="L2144">
        <v>4909.6000000000004</v>
      </c>
      <c r="M2144">
        <v>3933.04</v>
      </c>
      <c r="N2144">
        <v>976.56</v>
      </c>
      <c r="O2144" t="s">
        <v>77</v>
      </c>
      <c r="P2144" t="s">
        <v>87</v>
      </c>
    </row>
    <row r="2145" spans="1:16" x14ac:dyDescent="0.25">
      <c r="A2145">
        <v>2144</v>
      </c>
      <c r="B2145" s="2">
        <v>45661</v>
      </c>
      <c r="C2145" t="s">
        <v>23</v>
      </c>
      <c r="D2145" t="s">
        <v>27</v>
      </c>
      <c r="E2145" t="s">
        <v>29</v>
      </c>
      <c r="F2145" t="s">
        <v>36</v>
      </c>
      <c r="G2145" t="s">
        <v>70</v>
      </c>
      <c r="H2145" t="s">
        <v>73</v>
      </c>
      <c r="I2145">
        <v>1</v>
      </c>
      <c r="J2145">
        <v>11822</v>
      </c>
      <c r="K2145">
        <v>0</v>
      </c>
      <c r="L2145">
        <v>11822</v>
      </c>
      <c r="M2145">
        <v>9789.5499999999993</v>
      </c>
      <c r="N2145">
        <v>2032.45</v>
      </c>
      <c r="O2145" t="s">
        <v>80</v>
      </c>
      <c r="P2145" t="s">
        <v>88</v>
      </c>
    </row>
    <row r="2146" spans="1:16" x14ac:dyDescent="0.25">
      <c r="A2146">
        <v>2145</v>
      </c>
      <c r="B2146" s="2">
        <v>46012</v>
      </c>
      <c r="C2146" t="s">
        <v>21</v>
      </c>
      <c r="D2146" t="s">
        <v>24</v>
      </c>
      <c r="E2146" t="s">
        <v>31</v>
      </c>
      <c r="F2146" t="s">
        <v>47</v>
      </c>
      <c r="G2146" t="s">
        <v>72</v>
      </c>
      <c r="H2146" t="s">
        <v>75</v>
      </c>
      <c r="I2146">
        <v>8</v>
      </c>
      <c r="J2146">
        <v>577</v>
      </c>
      <c r="K2146">
        <v>0.1</v>
      </c>
      <c r="L2146">
        <v>4154.3999999999996</v>
      </c>
      <c r="M2146">
        <v>3421.11</v>
      </c>
      <c r="N2146">
        <v>733.29</v>
      </c>
      <c r="O2146" t="s">
        <v>76</v>
      </c>
      <c r="P2146" t="s">
        <v>86</v>
      </c>
    </row>
    <row r="2147" spans="1:16" x14ac:dyDescent="0.25">
      <c r="A2147">
        <v>2146</v>
      </c>
      <c r="B2147" s="2">
        <v>45868</v>
      </c>
      <c r="C2147" t="s">
        <v>20</v>
      </c>
      <c r="D2147" t="s">
        <v>26</v>
      </c>
      <c r="E2147" t="s">
        <v>34</v>
      </c>
      <c r="F2147" t="s">
        <v>43</v>
      </c>
      <c r="G2147" t="s">
        <v>70</v>
      </c>
      <c r="H2147" t="s">
        <v>73</v>
      </c>
      <c r="I2147">
        <v>8</v>
      </c>
      <c r="J2147">
        <v>4781</v>
      </c>
      <c r="K2147">
        <v>0.15</v>
      </c>
      <c r="L2147">
        <v>32510.799999999999</v>
      </c>
      <c r="M2147">
        <v>21378.35</v>
      </c>
      <c r="N2147">
        <v>11132.45</v>
      </c>
      <c r="O2147" t="s">
        <v>77</v>
      </c>
      <c r="P2147" t="s">
        <v>84</v>
      </c>
    </row>
    <row r="2148" spans="1:16" x14ac:dyDescent="0.25">
      <c r="A2148">
        <v>2147</v>
      </c>
      <c r="B2148" s="2">
        <v>45787</v>
      </c>
      <c r="C2148" t="s">
        <v>20</v>
      </c>
      <c r="D2148" t="s">
        <v>26</v>
      </c>
      <c r="E2148" t="s">
        <v>32</v>
      </c>
      <c r="F2148" t="s">
        <v>62</v>
      </c>
      <c r="G2148" t="s">
        <v>70</v>
      </c>
      <c r="H2148" t="s">
        <v>74</v>
      </c>
      <c r="I2148">
        <v>8</v>
      </c>
      <c r="J2148">
        <v>4921</v>
      </c>
      <c r="K2148">
        <v>0</v>
      </c>
      <c r="L2148">
        <v>39368</v>
      </c>
      <c r="M2148">
        <v>25627.21</v>
      </c>
      <c r="N2148">
        <v>13740.79</v>
      </c>
      <c r="O2148" t="s">
        <v>80</v>
      </c>
      <c r="P2148" t="s">
        <v>83</v>
      </c>
    </row>
    <row r="2149" spans="1:16" x14ac:dyDescent="0.25">
      <c r="A2149">
        <v>2148</v>
      </c>
      <c r="B2149" s="2">
        <v>45809</v>
      </c>
      <c r="C2149" t="s">
        <v>16</v>
      </c>
      <c r="D2149" t="s">
        <v>24</v>
      </c>
      <c r="E2149" t="s">
        <v>34</v>
      </c>
      <c r="F2149" t="s">
        <v>51</v>
      </c>
      <c r="G2149" t="s">
        <v>72</v>
      </c>
      <c r="H2149" t="s">
        <v>74</v>
      </c>
      <c r="I2149">
        <v>3</v>
      </c>
      <c r="J2149">
        <v>5499</v>
      </c>
      <c r="K2149">
        <v>0.1</v>
      </c>
      <c r="L2149">
        <v>14847.3</v>
      </c>
      <c r="M2149">
        <v>10440.469999999999</v>
      </c>
      <c r="N2149">
        <v>4406.83</v>
      </c>
      <c r="O2149" t="s">
        <v>79</v>
      </c>
      <c r="P2149" t="s">
        <v>83</v>
      </c>
    </row>
    <row r="2150" spans="1:16" x14ac:dyDescent="0.25">
      <c r="A2150">
        <v>2149</v>
      </c>
      <c r="B2150" s="2">
        <v>45846</v>
      </c>
      <c r="C2150" t="s">
        <v>19</v>
      </c>
      <c r="D2150" t="s">
        <v>26</v>
      </c>
      <c r="E2150" t="s">
        <v>31</v>
      </c>
      <c r="F2150" t="s">
        <v>50</v>
      </c>
      <c r="G2150" t="s">
        <v>71</v>
      </c>
      <c r="H2150" t="s">
        <v>74</v>
      </c>
      <c r="I2150">
        <v>2</v>
      </c>
      <c r="J2150">
        <v>487</v>
      </c>
      <c r="K2150">
        <v>0.15</v>
      </c>
      <c r="L2150">
        <v>827.9</v>
      </c>
      <c r="M2150">
        <v>623.74</v>
      </c>
      <c r="N2150">
        <v>204.16</v>
      </c>
      <c r="O2150" t="s">
        <v>79</v>
      </c>
      <c r="P2150" t="s">
        <v>82</v>
      </c>
    </row>
    <row r="2151" spans="1:16" x14ac:dyDescent="0.25">
      <c r="A2151">
        <v>2150</v>
      </c>
      <c r="B2151" s="2">
        <v>45891</v>
      </c>
      <c r="C2151" t="s">
        <v>18</v>
      </c>
      <c r="D2151" t="s">
        <v>26</v>
      </c>
      <c r="E2151" t="s">
        <v>32</v>
      </c>
      <c r="F2151" t="s">
        <v>49</v>
      </c>
      <c r="G2151" t="s">
        <v>71</v>
      </c>
      <c r="H2151" t="s">
        <v>73</v>
      </c>
      <c r="I2151">
        <v>1</v>
      </c>
      <c r="J2151">
        <v>22066</v>
      </c>
      <c r="K2151">
        <v>0</v>
      </c>
      <c r="L2151">
        <v>22066</v>
      </c>
      <c r="M2151">
        <v>12163.79</v>
      </c>
      <c r="N2151">
        <v>9902.2099999999991</v>
      </c>
      <c r="O2151" t="s">
        <v>80</v>
      </c>
      <c r="P2151" t="s">
        <v>88</v>
      </c>
    </row>
    <row r="2152" spans="1:16" x14ac:dyDescent="0.25">
      <c r="A2152">
        <v>2151</v>
      </c>
      <c r="B2152" s="2">
        <v>45953</v>
      </c>
      <c r="C2152" t="s">
        <v>22</v>
      </c>
      <c r="D2152" t="s">
        <v>24</v>
      </c>
      <c r="E2152" t="s">
        <v>30</v>
      </c>
      <c r="F2152" t="s">
        <v>44</v>
      </c>
      <c r="G2152" t="s">
        <v>70</v>
      </c>
      <c r="H2152" t="s">
        <v>73</v>
      </c>
      <c r="I2152">
        <v>1</v>
      </c>
      <c r="J2152">
        <v>23544</v>
      </c>
      <c r="K2152">
        <v>0.05</v>
      </c>
      <c r="L2152">
        <v>22366.799999999999</v>
      </c>
      <c r="M2152">
        <v>15584.34</v>
      </c>
      <c r="N2152">
        <v>6782.46</v>
      </c>
      <c r="O2152" t="s">
        <v>76</v>
      </c>
      <c r="P2152" t="s">
        <v>81</v>
      </c>
    </row>
    <row r="2153" spans="1:16" x14ac:dyDescent="0.25">
      <c r="A2153">
        <v>2152</v>
      </c>
      <c r="B2153" s="2">
        <v>45875</v>
      </c>
      <c r="C2153" t="s">
        <v>21</v>
      </c>
      <c r="D2153" t="s">
        <v>24</v>
      </c>
      <c r="E2153" t="s">
        <v>30</v>
      </c>
      <c r="F2153" t="s">
        <v>37</v>
      </c>
      <c r="G2153" t="s">
        <v>70</v>
      </c>
      <c r="H2153" t="s">
        <v>75</v>
      </c>
      <c r="I2153">
        <v>4</v>
      </c>
      <c r="J2153">
        <v>48444</v>
      </c>
      <c r="K2153">
        <v>0.15</v>
      </c>
      <c r="L2153">
        <v>164709.6</v>
      </c>
      <c r="M2153">
        <v>91300.98</v>
      </c>
      <c r="N2153">
        <v>73408.62</v>
      </c>
      <c r="O2153" t="s">
        <v>76</v>
      </c>
      <c r="P2153" t="s">
        <v>83</v>
      </c>
    </row>
    <row r="2154" spans="1:16" x14ac:dyDescent="0.25">
      <c r="A2154">
        <v>2153</v>
      </c>
      <c r="B2154" s="2">
        <v>45741</v>
      </c>
      <c r="C2154" t="s">
        <v>17</v>
      </c>
      <c r="D2154" t="s">
        <v>25</v>
      </c>
      <c r="E2154" t="s">
        <v>29</v>
      </c>
      <c r="F2154" t="s">
        <v>57</v>
      </c>
      <c r="G2154" t="s">
        <v>70</v>
      </c>
      <c r="H2154" t="s">
        <v>75</v>
      </c>
      <c r="I2154">
        <v>6</v>
      </c>
      <c r="J2154">
        <v>857</v>
      </c>
      <c r="K2154">
        <v>0.05</v>
      </c>
      <c r="L2154">
        <v>4884.8999999999996</v>
      </c>
      <c r="M2154">
        <v>3153.5</v>
      </c>
      <c r="N2154">
        <v>1731.4</v>
      </c>
      <c r="O2154" t="s">
        <v>80</v>
      </c>
      <c r="P2154" t="s">
        <v>83</v>
      </c>
    </row>
    <row r="2155" spans="1:16" x14ac:dyDescent="0.25">
      <c r="A2155">
        <v>2154</v>
      </c>
      <c r="B2155" s="2">
        <v>45777</v>
      </c>
      <c r="C2155" t="s">
        <v>22</v>
      </c>
      <c r="D2155" t="s">
        <v>24</v>
      </c>
      <c r="E2155" t="s">
        <v>28</v>
      </c>
      <c r="F2155" t="s">
        <v>63</v>
      </c>
      <c r="G2155" t="s">
        <v>72</v>
      </c>
      <c r="H2155" t="s">
        <v>75</v>
      </c>
      <c r="I2155">
        <v>1</v>
      </c>
      <c r="J2155">
        <v>1033</v>
      </c>
      <c r="K2155">
        <v>0.15</v>
      </c>
      <c r="L2155">
        <v>878.05</v>
      </c>
      <c r="M2155">
        <v>694.68</v>
      </c>
      <c r="N2155">
        <v>183.37</v>
      </c>
      <c r="O2155" t="s">
        <v>76</v>
      </c>
      <c r="P2155" t="s">
        <v>85</v>
      </c>
    </row>
    <row r="2156" spans="1:16" x14ac:dyDescent="0.25">
      <c r="A2156">
        <v>2155</v>
      </c>
      <c r="B2156" s="2">
        <v>45664</v>
      </c>
      <c r="C2156" t="s">
        <v>21</v>
      </c>
      <c r="D2156" t="s">
        <v>24</v>
      </c>
      <c r="E2156" t="s">
        <v>32</v>
      </c>
      <c r="F2156" t="s">
        <v>39</v>
      </c>
      <c r="G2156" t="s">
        <v>70</v>
      </c>
      <c r="H2156" t="s">
        <v>74</v>
      </c>
      <c r="I2156">
        <v>7</v>
      </c>
      <c r="J2156">
        <v>16487</v>
      </c>
      <c r="K2156">
        <v>0.1</v>
      </c>
      <c r="L2156">
        <v>103868.1</v>
      </c>
      <c r="M2156">
        <v>87349.42</v>
      </c>
      <c r="N2156">
        <v>16518.68</v>
      </c>
      <c r="O2156" t="s">
        <v>78</v>
      </c>
      <c r="P2156" t="s">
        <v>85</v>
      </c>
    </row>
    <row r="2157" spans="1:16" x14ac:dyDescent="0.25">
      <c r="A2157">
        <v>2156</v>
      </c>
      <c r="B2157" s="2">
        <v>45677</v>
      </c>
      <c r="C2157" t="s">
        <v>23</v>
      </c>
      <c r="D2157" t="s">
        <v>27</v>
      </c>
      <c r="E2157" t="s">
        <v>32</v>
      </c>
      <c r="F2157" t="s">
        <v>49</v>
      </c>
      <c r="G2157" t="s">
        <v>71</v>
      </c>
      <c r="H2157" t="s">
        <v>73</v>
      </c>
      <c r="I2157">
        <v>3</v>
      </c>
      <c r="J2157">
        <v>17388</v>
      </c>
      <c r="K2157">
        <v>0.2</v>
      </c>
      <c r="L2157">
        <v>41731.199999999997</v>
      </c>
      <c r="M2157">
        <v>26611.46</v>
      </c>
      <c r="N2157">
        <v>15119.74</v>
      </c>
      <c r="O2157" t="s">
        <v>77</v>
      </c>
      <c r="P2157" t="s">
        <v>81</v>
      </c>
    </row>
    <row r="2158" spans="1:16" x14ac:dyDescent="0.25">
      <c r="A2158">
        <v>2157</v>
      </c>
      <c r="B2158" s="2">
        <v>45923</v>
      </c>
      <c r="C2158" t="s">
        <v>22</v>
      </c>
      <c r="D2158" t="s">
        <v>24</v>
      </c>
      <c r="E2158" t="s">
        <v>31</v>
      </c>
      <c r="F2158" t="s">
        <v>47</v>
      </c>
      <c r="G2158" t="s">
        <v>71</v>
      </c>
      <c r="H2158" t="s">
        <v>74</v>
      </c>
      <c r="I2158">
        <v>5</v>
      </c>
      <c r="J2158">
        <v>1005</v>
      </c>
      <c r="K2158">
        <v>0.15</v>
      </c>
      <c r="L2158">
        <v>4271.25</v>
      </c>
      <c r="M2158">
        <v>3023.17</v>
      </c>
      <c r="N2158">
        <v>1248.08</v>
      </c>
      <c r="O2158" t="s">
        <v>79</v>
      </c>
      <c r="P2158" t="s">
        <v>82</v>
      </c>
    </row>
    <row r="2159" spans="1:16" x14ac:dyDescent="0.25">
      <c r="A2159">
        <v>2158</v>
      </c>
      <c r="B2159" s="2">
        <v>45857</v>
      </c>
      <c r="C2159" t="s">
        <v>20</v>
      </c>
      <c r="D2159" t="s">
        <v>26</v>
      </c>
      <c r="E2159" t="s">
        <v>33</v>
      </c>
      <c r="F2159" t="s">
        <v>41</v>
      </c>
      <c r="G2159" t="s">
        <v>72</v>
      </c>
      <c r="H2159" t="s">
        <v>74</v>
      </c>
      <c r="I2159">
        <v>3</v>
      </c>
      <c r="J2159">
        <v>2517</v>
      </c>
      <c r="K2159">
        <v>0</v>
      </c>
      <c r="L2159">
        <v>7551</v>
      </c>
      <c r="M2159">
        <v>6395.17</v>
      </c>
      <c r="N2159">
        <v>1155.83</v>
      </c>
      <c r="O2159" t="s">
        <v>79</v>
      </c>
      <c r="P2159" t="s">
        <v>87</v>
      </c>
    </row>
    <row r="2160" spans="1:16" x14ac:dyDescent="0.25">
      <c r="A2160">
        <v>2159</v>
      </c>
      <c r="B2160" s="2">
        <v>45864</v>
      </c>
      <c r="C2160" t="s">
        <v>22</v>
      </c>
      <c r="D2160" t="s">
        <v>24</v>
      </c>
      <c r="E2160" t="s">
        <v>34</v>
      </c>
      <c r="F2160" t="s">
        <v>55</v>
      </c>
      <c r="G2160" t="s">
        <v>71</v>
      </c>
      <c r="H2160" t="s">
        <v>74</v>
      </c>
      <c r="I2160">
        <v>1</v>
      </c>
      <c r="J2160">
        <v>5876</v>
      </c>
      <c r="K2160">
        <v>0.15</v>
      </c>
      <c r="L2160">
        <v>4994.6000000000004</v>
      </c>
      <c r="M2160">
        <v>2910.27</v>
      </c>
      <c r="N2160">
        <v>2084.33</v>
      </c>
      <c r="O2160" t="s">
        <v>76</v>
      </c>
      <c r="P2160" t="s">
        <v>84</v>
      </c>
    </row>
    <row r="2161" spans="1:16" x14ac:dyDescent="0.25">
      <c r="A2161">
        <v>2160</v>
      </c>
      <c r="B2161" s="2">
        <v>45685</v>
      </c>
      <c r="C2161" t="s">
        <v>21</v>
      </c>
      <c r="D2161" t="s">
        <v>24</v>
      </c>
      <c r="E2161" t="s">
        <v>33</v>
      </c>
      <c r="F2161" t="s">
        <v>52</v>
      </c>
      <c r="G2161" t="s">
        <v>72</v>
      </c>
      <c r="H2161" t="s">
        <v>75</v>
      </c>
      <c r="I2161">
        <v>7</v>
      </c>
      <c r="J2161">
        <v>10976</v>
      </c>
      <c r="K2161">
        <v>0</v>
      </c>
      <c r="L2161">
        <v>76832</v>
      </c>
      <c r="M2161">
        <v>49517.35</v>
      </c>
      <c r="N2161">
        <v>27314.65</v>
      </c>
      <c r="O2161" t="s">
        <v>76</v>
      </c>
      <c r="P2161" t="s">
        <v>84</v>
      </c>
    </row>
    <row r="2162" spans="1:16" x14ac:dyDescent="0.25">
      <c r="A2162">
        <v>2161</v>
      </c>
      <c r="B2162" s="2">
        <v>45855</v>
      </c>
      <c r="C2162" t="s">
        <v>22</v>
      </c>
      <c r="D2162" t="s">
        <v>24</v>
      </c>
      <c r="E2162" t="s">
        <v>34</v>
      </c>
      <c r="F2162" t="s">
        <v>65</v>
      </c>
      <c r="G2162" t="s">
        <v>72</v>
      </c>
      <c r="H2162" t="s">
        <v>73</v>
      </c>
      <c r="I2162">
        <v>4</v>
      </c>
      <c r="J2162">
        <v>2308</v>
      </c>
      <c r="K2162">
        <v>0.1</v>
      </c>
      <c r="L2162">
        <v>8308.7999999999993</v>
      </c>
      <c r="M2162">
        <v>4960.1499999999996</v>
      </c>
      <c r="N2162">
        <v>3348.65</v>
      </c>
      <c r="O2162" t="s">
        <v>80</v>
      </c>
      <c r="P2162" t="s">
        <v>83</v>
      </c>
    </row>
    <row r="2163" spans="1:16" x14ac:dyDescent="0.25">
      <c r="A2163">
        <v>2162</v>
      </c>
      <c r="B2163" s="2">
        <v>46017</v>
      </c>
      <c r="C2163" t="s">
        <v>20</v>
      </c>
      <c r="D2163" t="s">
        <v>26</v>
      </c>
      <c r="E2163" t="s">
        <v>33</v>
      </c>
      <c r="F2163" t="s">
        <v>59</v>
      </c>
      <c r="G2163" t="s">
        <v>72</v>
      </c>
      <c r="H2163" t="s">
        <v>74</v>
      </c>
      <c r="I2163">
        <v>3</v>
      </c>
      <c r="J2163">
        <v>3418</v>
      </c>
      <c r="K2163">
        <v>0</v>
      </c>
      <c r="L2163">
        <v>10254</v>
      </c>
      <c r="M2163">
        <v>8658.7199999999993</v>
      </c>
      <c r="N2163">
        <v>1595.28</v>
      </c>
      <c r="O2163" t="s">
        <v>77</v>
      </c>
      <c r="P2163" t="s">
        <v>86</v>
      </c>
    </row>
    <row r="2164" spans="1:16" x14ac:dyDescent="0.25">
      <c r="A2164">
        <v>2163</v>
      </c>
      <c r="B2164" s="2">
        <v>45693</v>
      </c>
      <c r="C2164" t="s">
        <v>18</v>
      </c>
      <c r="D2164" t="s">
        <v>26</v>
      </c>
      <c r="E2164" t="s">
        <v>34</v>
      </c>
      <c r="F2164" t="s">
        <v>51</v>
      </c>
      <c r="G2164" t="s">
        <v>70</v>
      </c>
      <c r="H2164" t="s">
        <v>75</v>
      </c>
      <c r="I2164">
        <v>4</v>
      </c>
      <c r="J2164">
        <v>668</v>
      </c>
      <c r="K2164">
        <v>0.1</v>
      </c>
      <c r="L2164">
        <v>2404.8000000000002</v>
      </c>
      <c r="M2164">
        <v>1455.29</v>
      </c>
      <c r="N2164">
        <v>949.51</v>
      </c>
      <c r="O2164" t="s">
        <v>77</v>
      </c>
      <c r="P2164" t="s">
        <v>81</v>
      </c>
    </row>
    <row r="2165" spans="1:16" x14ac:dyDescent="0.25">
      <c r="A2165">
        <v>2164</v>
      </c>
      <c r="B2165" s="2">
        <v>45688</v>
      </c>
      <c r="C2165" t="s">
        <v>23</v>
      </c>
      <c r="D2165" t="s">
        <v>27</v>
      </c>
      <c r="E2165" t="s">
        <v>30</v>
      </c>
      <c r="F2165" t="s">
        <v>64</v>
      </c>
      <c r="G2165" t="s">
        <v>72</v>
      </c>
      <c r="H2165" t="s">
        <v>74</v>
      </c>
      <c r="I2165">
        <v>2</v>
      </c>
      <c r="J2165">
        <v>38347</v>
      </c>
      <c r="K2165">
        <v>0.1</v>
      </c>
      <c r="L2165">
        <v>69024.600000000006</v>
      </c>
      <c r="M2165">
        <v>53711.03</v>
      </c>
      <c r="N2165">
        <v>15313.57</v>
      </c>
      <c r="O2165" t="s">
        <v>77</v>
      </c>
      <c r="P2165" t="s">
        <v>88</v>
      </c>
    </row>
    <row r="2166" spans="1:16" x14ac:dyDescent="0.25">
      <c r="A2166">
        <v>2165</v>
      </c>
      <c r="B2166" s="2">
        <v>45868</v>
      </c>
      <c r="C2166" t="s">
        <v>21</v>
      </c>
      <c r="D2166" t="s">
        <v>24</v>
      </c>
      <c r="E2166" t="s">
        <v>33</v>
      </c>
      <c r="F2166" t="s">
        <v>41</v>
      </c>
      <c r="G2166" t="s">
        <v>70</v>
      </c>
      <c r="H2166" t="s">
        <v>74</v>
      </c>
      <c r="I2166">
        <v>3</v>
      </c>
      <c r="J2166">
        <v>42041</v>
      </c>
      <c r="K2166">
        <v>0.15</v>
      </c>
      <c r="L2166">
        <v>107204.55</v>
      </c>
      <c r="M2166">
        <v>62291.93</v>
      </c>
      <c r="N2166">
        <v>44912.62</v>
      </c>
      <c r="O2166" t="s">
        <v>76</v>
      </c>
      <c r="P2166" t="s">
        <v>87</v>
      </c>
    </row>
    <row r="2167" spans="1:16" x14ac:dyDescent="0.25">
      <c r="A2167">
        <v>2166</v>
      </c>
      <c r="B2167" s="2">
        <v>45914</v>
      </c>
      <c r="C2167" t="s">
        <v>19</v>
      </c>
      <c r="D2167" t="s">
        <v>26</v>
      </c>
      <c r="E2167" t="s">
        <v>30</v>
      </c>
      <c r="F2167" t="s">
        <v>37</v>
      </c>
      <c r="G2167" t="s">
        <v>70</v>
      </c>
      <c r="H2167" t="s">
        <v>73</v>
      </c>
      <c r="I2167">
        <v>6</v>
      </c>
      <c r="J2167">
        <v>44819</v>
      </c>
      <c r="K2167">
        <v>0</v>
      </c>
      <c r="L2167">
        <v>268914</v>
      </c>
      <c r="M2167">
        <v>185056.42</v>
      </c>
      <c r="N2167">
        <v>83857.58</v>
      </c>
      <c r="O2167" t="s">
        <v>77</v>
      </c>
      <c r="P2167" t="s">
        <v>81</v>
      </c>
    </row>
    <row r="2168" spans="1:16" x14ac:dyDescent="0.25">
      <c r="A2168">
        <v>2167</v>
      </c>
      <c r="B2168" s="2">
        <v>45824</v>
      </c>
      <c r="C2168" t="s">
        <v>20</v>
      </c>
      <c r="D2168" t="s">
        <v>26</v>
      </c>
      <c r="E2168" t="s">
        <v>32</v>
      </c>
      <c r="F2168" t="s">
        <v>62</v>
      </c>
      <c r="G2168" t="s">
        <v>70</v>
      </c>
      <c r="H2168" t="s">
        <v>74</v>
      </c>
      <c r="I2168">
        <v>6</v>
      </c>
      <c r="J2168">
        <v>5867</v>
      </c>
      <c r="K2168">
        <v>0.2</v>
      </c>
      <c r="L2168">
        <v>28161.599999999999</v>
      </c>
      <c r="M2168">
        <v>21354.3</v>
      </c>
      <c r="N2168">
        <v>6807.3</v>
      </c>
      <c r="O2168" t="s">
        <v>79</v>
      </c>
      <c r="P2168" t="s">
        <v>84</v>
      </c>
    </row>
    <row r="2169" spans="1:16" x14ac:dyDescent="0.25">
      <c r="A2169">
        <v>2168</v>
      </c>
      <c r="B2169" s="2">
        <v>45693</v>
      </c>
      <c r="C2169" t="s">
        <v>18</v>
      </c>
      <c r="D2169" t="s">
        <v>26</v>
      </c>
      <c r="E2169" t="s">
        <v>30</v>
      </c>
      <c r="F2169" t="s">
        <v>37</v>
      </c>
      <c r="G2169" t="s">
        <v>70</v>
      </c>
      <c r="H2169" t="s">
        <v>75</v>
      </c>
      <c r="I2169">
        <v>7</v>
      </c>
      <c r="J2169">
        <v>63736</v>
      </c>
      <c r="K2169">
        <v>0</v>
      </c>
      <c r="L2169">
        <v>446152</v>
      </c>
      <c r="M2169">
        <v>370705.85</v>
      </c>
      <c r="N2169">
        <v>75446.149999999994</v>
      </c>
      <c r="O2169" t="s">
        <v>79</v>
      </c>
      <c r="P2169" t="s">
        <v>88</v>
      </c>
    </row>
    <row r="2170" spans="1:16" x14ac:dyDescent="0.25">
      <c r="A2170">
        <v>2169</v>
      </c>
      <c r="B2170" s="2">
        <v>46001</v>
      </c>
      <c r="C2170" t="s">
        <v>23</v>
      </c>
      <c r="D2170" t="s">
        <v>27</v>
      </c>
      <c r="E2170" t="s">
        <v>33</v>
      </c>
      <c r="F2170" t="s">
        <v>60</v>
      </c>
      <c r="G2170" t="s">
        <v>71</v>
      </c>
      <c r="H2170" t="s">
        <v>74</v>
      </c>
      <c r="I2170">
        <v>6</v>
      </c>
      <c r="J2170">
        <v>14109</v>
      </c>
      <c r="K2170">
        <v>0.1</v>
      </c>
      <c r="L2170">
        <v>76188.600000000006</v>
      </c>
      <c r="M2170">
        <v>52779.29</v>
      </c>
      <c r="N2170">
        <v>23409.31</v>
      </c>
      <c r="O2170" t="s">
        <v>77</v>
      </c>
      <c r="P2170" t="s">
        <v>85</v>
      </c>
    </row>
    <row r="2171" spans="1:16" x14ac:dyDescent="0.25">
      <c r="A2171">
        <v>2170</v>
      </c>
      <c r="B2171" s="2">
        <v>45787</v>
      </c>
      <c r="C2171" t="s">
        <v>22</v>
      </c>
      <c r="D2171" t="s">
        <v>24</v>
      </c>
      <c r="E2171" t="s">
        <v>33</v>
      </c>
      <c r="F2171" t="s">
        <v>41</v>
      </c>
      <c r="G2171" t="s">
        <v>70</v>
      </c>
      <c r="H2171" t="s">
        <v>75</v>
      </c>
      <c r="I2171">
        <v>6</v>
      </c>
      <c r="J2171">
        <v>47122</v>
      </c>
      <c r="K2171">
        <v>0</v>
      </c>
      <c r="L2171">
        <v>282732</v>
      </c>
      <c r="M2171">
        <v>206317.89</v>
      </c>
      <c r="N2171">
        <v>76414.11</v>
      </c>
      <c r="O2171" t="s">
        <v>78</v>
      </c>
      <c r="P2171" t="s">
        <v>81</v>
      </c>
    </row>
    <row r="2172" spans="1:16" x14ac:dyDescent="0.25">
      <c r="A2172">
        <v>2171</v>
      </c>
      <c r="B2172" s="2">
        <v>45725</v>
      </c>
      <c r="C2172" t="s">
        <v>23</v>
      </c>
      <c r="D2172" t="s">
        <v>27</v>
      </c>
      <c r="E2172" t="s">
        <v>33</v>
      </c>
      <c r="F2172" t="s">
        <v>41</v>
      </c>
      <c r="G2172" t="s">
        <v>71</v>
      </c>
      <c r="H2172" t="s">
        <v>75</v>
      </c>
      <c r="I2172">
        <v>2</v>
      </c>
      <c r="J2172">
        <v>33600</v>
      </c>
      <c r="K2172">
        <v>0.15</v>
      </c>
      <c r="L2172">
        <v>57120</v>
      </c>
      <c r="M2172">
        <v>33582.800000000003</v>
      </c>
      <c r="N2172">
        <v>23537.200000000001</v>
      </c>
      <c r="O2172" t="s">
        <v>77</v>
      </c>
      <c r="P2172" t="s">
        <v>87</v>
      </c>
    </row>
    <row r="2173" spans="1:16" x14ac:dyDescent="0.25">
      <c r="A2173">
        <v>2172</v>
      </c>
      <c r="B2173" s="2">
        <v>45912</v>
      </c>
      <c r="C2173" t="s">
        <v>20</v>
      </c>
      <c r="D2173" t="s">
        <v>26</v>
      </c>
      <c r="E2173" t="s">
        <v>28</v>
      </c>
      <c r="F2173" t="s">
        <v>35</v>
      </c>
      <c r="G2173" t="s">
        <v>70</v>
      </c>
      <c r="H2173" t="s">
        <v>73</v>
      </c>
      <c r="I2173">
        <v>2</v>
      </c>
      <c r="J2173">
        <v>1635</v>
      </c>
      <c r="K2173">
        <v>0.2</v>
      </c>
      <c r="L2173">
        <v>2616</v>
      </c>
      <c r="M2173">
        <v>1947.01</v>
      </c>
      <c r="N2173">
        <v>668.99</v>
      </c>
      <c r="O2173" t="s">
        <v>76</v>
      </c>
      <c r="P2173" t="s">
        <v>83</v>
      </c>
    </row>
    <row r="2174" spans="1:16" x14ac:dyDescent="0.25">
      <c r="A2174">
        <v>2173</v>
      </c>
      <c r="B2174" s="2">
        <v>45789</v>
      </c>
      <c r="C2174" t="s">
        <v>23</v>
      </c>
      <c r="D2174" t="s">
        <v>27</v>
      </c>
      <c r="E2174" t="s">
        <v>29</v>
      </c>
      <c r="F2174" t="s">
        <v>53</v>
      </c>
      <c r="G2174" t="s">
        <v>70</v>
      </c>
      <c r="H2174" t="s">
        <v>73</v>
      </c>
      <c r="I2174">
        <v>3</v>
      </c>
      <c r="J2174">
        <v>10628</v>
      </c>
      <c r="K2174">
        <v>0.05</v>
      </c>
      <c r="L2174">
        <v>30289.8</v>
      </c>
      <c r="M2174">
        <v>26319.96</v>
      </c>
      <c r="N2174">
        <v>3969.84</v>
      </c>
      <c r="O2174" t="s">
        <v>79</v>
      </c>
      <c r="P2174" t="s">
        <v>82</v>
      </c>
    </row>
    <row r="2175" spans="1:16" x14ac:dyDescent="0.25">
      <c r="A2175">
        <v>2174</v>
      </c>
      <c r="B2175" s="2">
        <v>45807</v>
      </c>
      <c r="C2175" t="s">
        <v>23</v>
      </c>
      <c r="D2175" t="s">
        <v>27</v>
      </c>
      <c r="E2175" t="s">
        <v>30</v>
      </c>
      <c r="F2175" t="s">
        <v>40</v>
      </c>
      <c r="G2175" t="s">
        <v>70</v>
      </c>
      <c r="H2175" t="s">
        <v>75</v>
      </c>
      <c r="I2175">
        <v>7</v>
      </c>
      <c r="J2175">
        <v>56733</v>
      </c>
      <c r="K2175">
        <v>0.1</v>
      </c>
      <c r="L2175">
        <v>357417.9</v>
      </c>
      <c r="M2175">
        <v>285716.89</v>
      </c>
      <c r="N2175">
        <v>71701.009999999995</v>
      </c>
      <c r="O2175" t="s">
        <v>78</v>
      </c>
      <c r="P2175" t="s">
        <v>82</v>
      </c>
    </row>
    <row r="2176" spans="1:16" x14ac:dyDescent="0.25">
      <c r="A2176">
        <v>2175</v>
      </c>
      <c r="B2176" s="2">
        <v>45764</v>
      </c>
      <c r="C2176" t="s">
        <v>21</v>
      </c>
      <c r="D2176" t="s">
        <v>24</v>
      </c>
      <c r="E2176" t="s">
        <v>33</v>
      </c>
      <c r="F2176" t="s">
        <v>52</v>
      </c>
      <c r="G2176" t="s">
        <v>71</v>
      </c>
      <c r="H2176" t="s">
        <v>74</v>
      </c>
      <c r="I2176">
        <v>8</v>
      </c>
      <c r="J2176">
        <v>17532</v>
      </c>
      <c r="K2176">
        <v>0.05</v>
      </c>
      <c r="L2176">
        <v>133243.20000000001</v>
      </c>
      <c r="M2176">
        <v>90763.64</v>
      </c>
      <c r="N2176">
        <v>42479.56</v>
      </c>
      <c r="O2176" t="s">
        <v>76</v>
      </c>
      <c r="P2176" t="s">
        <v>88</v>
      </c>
    </row>
    <row r="2177" spans="1:16" x14ac:dyDescent="0.25">
      <c r="A2177">
        <v>2176</v>
      </c>
      <c r="B2177" s="2">
        <v>45664</v>
      </c>
      <c r="C2177" t="s">
        <v>18</v>
      </c>
      <c r="D2177" t="s">
        <v>26</v>
      </c>
      <c r="E2177" t="s">
        <v>34</v>
      </c>
      <c r="F2177" t="s">
        <v>43</v>
      </c>
      <c r="G2177" t="s">
        <v>70</v>
      </c>
      <c r="H2177" t="s">
        <v>73</v>
      </c>
      <c r="I2177">
        <v>4</v>
      </c>
      <c r="J2177">
        <v>1786</v>
      </c>
      <c r="K2177">
        <v>0.05</v>
      </c>
      <c r="L2177">
        <v>6786.8</v>
      </c>
      <c r="M2177">
        <v>5301.55</v>
      </c>
      <c r="N2177">
        <v>1485.25</v>
      </c>
      <c r="O2177" t="s">
        <v>76</v>
      </c>
      <c r="P2177" t="s">
        <v>86</v>
      </c>
    </row>
    <row r="2178" spans="1:16" x14ac:dyDescent="0.25">
      <c r="A2178">
        <v>2177</v>
      </c>
      <c r="B2178" s="2">
        <v>45794</v>
      </c>
      <c r="C2178" t="s">
        <v>16</v>
      </c>
      <c r="D2178" t="s">
        <v>24</v>
      </c>
      <c r="E2178" t="s">
        <v>28</v>
      </c>
      <c r="F2178" t="s">
        <v>63</v>
      </c>
      <c r="G2178" t="s">
        <v>72</v>
      </c>
      <c r="H2178" t="s">
        <v>75</v>
      </c>
      <c r="I2178">
        <v>8</v>
      </c>
      <c r="J2178">
        <v>2374</v>
      </c>
      <c r="K2178">
        <v>0</v>
      </c>
      <c r="L2178">
        <v>18992</v>
      </c>
      <c r="M2178">
        <v>16141.46</v>
      </c>
      <c r="N2178">
        <v>2850.54</v>
      </c>
      <c r="O2178" t="s">
        <v>76</v>
      </c>
      <c r="P2178" t="s">
        <v>88</v>
      </c>
    </row>
    <row r="2179" spans="1:16" x14ac:dyDescent="0.25">
      <c r="A2179">
        <v>2178</v>
      </c>
      <c r="B2179" s="2">
        <v>45838</v>
      </c>
      <c r="C2179" t="s">
        <v>19</v>
      </c>
      <c r="D2179" t="s">
        <v>26</v>
      </c>
      <c r="E2179" t="s">
        <v>34</v>
      </c>
      <c r="F2179" t="s">
        <v>43</v>
      </c>
      <c r="G2179" t="s">
        <v>71</v>
      </c>
      <c r="H2179" t="s">
        <v>73</v>
      </c>
      <c r="I2179">
        <v>4</v>
      </c>
      <c r="J2179">
        <v>500</v>
      </c>
      <c r="K2179">
        <v>0</v>
      </c>
      <c r="L2179">
        <v>2000</v>
      </c>
      <c r="M2179">
        <v>1432.33</v>
      </c>
      <c r="N2179">
        <v>567.66999999999996</v>
      </c>
      <c r="O2179" t="s">
        <v>77</v>
      </c>
      <c r="P2179" t="s">
        <v>84</v>
      </c>
    </row>
    <row r="2180" spans="1:16" x14ac:dyDescent="0.25">
      <c r="A2180">
        <v>2179</v>
      </c>
      <c r="B2180" s="2">
        <v>46019</v>
      </c>
      <c r="C2180" t="s">
        <v>23</v>
      </c>
      <c r="D2180" t="s">
        <v>27</v>
      </c>
      <c r="E2180" t="s">
        <v>28</v>
      </c>
      <c r="F2180" t="s">
        <v>63</v>
      </c>
      <c r="G2180" t="s">
        <v>70</v>
      </c>
      <c r="H2180" t="s">
        <v>75</v>
      </c>
      <c r="I2180">
        <v>6</v>
      </c>
      <c r="J2180">
        <v>1961</v>
      </c>
      <c r="K2180">
        <v>0.1</v>
      </c>
      <c r="L2180">
        <v>10589.4</v>
      </c>
      <c r="M2180">
        <v>9206.0499999999993</v>
      </c>
      <c r="N2180">
        <v>1383.35</v>
      </c>
      <c r="O2180" t="s">
        <v>79</v>
      </c>
      <c r="P2180" t="s">
        <v>84</v>
      </c>
    </row>
    <row r="2181" spans="1:16" x14ac:dyDescent="0.25">
      <c r="A2181">
        <v>2180</v>
      </c>
      <c r="B2181" s="2">
        <v>46015</v>
      </c>
      <c r="C2181" t="s">
        <v>17</v>
      </c>
      <c r="D2181" t="s">
        <v>25</v>
      </c>
      <c r="E2181" t="s">
        <v>33</v>
      </c>
      <c r="F2181" t="s">
        <v>59</v>
      </c>
      <c r="G2181" t="s">
        <v>72</v>
      </c>
      <c r="H2181" t="s">
        <v>73</v>
      </c>
      <c r="I2181">
        <v>5</v>
      </c>
      <c r="J2181">
        <v>17116</v>
      </c>
      <c r="K2181">
        <v>0.1</v>
      </c>
      <c r="L2181">
        <v>77022</v>
      </c>
      <c r="M2181">
        <v>57185.13</v>
      </c>
      <c r="N2181">
        <v>19836.87</v>
      </c>
      <c r="O2181" t="s">
        <v>76</v>
      </c>
      <c r="P2181" t="s">
        <v>87</v>
      </c>
    </row>
    <row r="2182" spans="1:16" x14ac:dyDescent="0.25">
      <c r="A2182">
        <v>2181</v>
      </c>
      <c r="B2182" s="2">
        <v>45732</v>
      </c>
      <c r="C2182" t="s">
        <v>17</v>
      </c>
      <c r="D2182" t="s">
        <v>25</v>
      </c>
      <c r="E2182" t="s">
        <v>31</v>
      </c>
      <c r="F2182" t="s">
        <v>67</v>
      </c>
      <c r="G2182" t="s">
        <v>72</v>
      </c>
      <c r="H2182" t="s">
        <v>74</v>
      </c>
      <c r="I2182">
        <v>2</v>
      </c>
      <c r="J2182">
        <v>843</v>
      </c>
      <c r="K2182">
        <v>0.1</v>
      </c>
      <c r="L2182">
        <v>1517.4</v>
      </c>
      <c r="M2182">
        <v>1061.05</v>
      </c>
      <c r="N2182">
        <v>456.35</v>
      </c>
      <c r="O2182" t="s">
        <v>80</v>
      </c>
      <c r="P2182" t="s">
        <v>87</v>
      </c>
    </row>
    <row r="2183" spans="1:16" x14ac:dyDescent="0.25">
      <c r="A2183">
        <v>2182</v>
      </c>
      <c r="B2183" s="2">
        <v>45971</v>
      </c>
      <c r="C2183" t="s">
        <v>23</v>
      </c>
      <c r="D2183" t="s">
        <v>27</v>
      </c>
      <c r="E2183" t="s">
        <v>34</v>
      </c>
      <c r="F2183" t="s">
        <v>51</v>
      </c>
      <c r="G2183" t="s">
        <v>71</v>
      </c>
      <c r="H2183" t="s">
        <v>74</v>
      </c>
      <c r="I2183">
        <v>5</v>
      </c>
      <c r="J2183">
        <v>3651</v>
      </c>
      <c r="K2183">
        <v>0.05</v>
      </c>
      <c r="L2183">
        <v>17342.25</v>
      </c>
      <c r="M2183">
        <v>14764.28</v>
      </c>
      <c r="N2183">
        <v>2577.9699999999998</v>
      </c>
      <c r="O2183" t="s">
        <v>79</v>
      </c>
      <c r="P2183" t="s">
        <v>88</v>
      </c>
    </row>
    <row r="2184" spans="1:16" x14ac:dyDescent="0.25">
      <c r="A2184">
        <v>2183</v>
      </c>
      <c r="B2184" s="2">
        <v>45935</v>
      </c>
      <c r="C2184" t="s">
        <v>20</v>
      </c>
      <c r="D2184" t="s">
        <v>26</v>
      </c>
      <c r="E2184" t="s">
        <v>31</v>
      </c>
      <c r="F2184" t="s">
        <v>38</v>
      </c>
      <c r="G2184" t="s">
        <v>70</v>
      </c>
      <c r="H2184" t="s">
        <v>73</v>
      </c>
      <c r="I2184">
        <v>6</v>
      </c>
      <c r="J2184">
        <v>111</v>
      </c>
      <c r="K2184">
        <v>0.15</v>
      </c>
      <c r="L2184">
        <v>566.1</v>
      </c>
      <c r="M2184">
        <v>462.13</v>
      </c>
      <c r="N2184">
        <v>103.97</v>
      </c>
      <c r="O2184" t="s">
        <v>78</v>
      </c>
      <c r="P2184" t="s">
        <v>85</v>
      </c>
    </row>
    <row r="2185" spans="1:16" x14ac:dyDescent="0.25">
      <c r="A2185">
        <v>2184</v>
      </c>
      <c r="B2185" s="2">
        <v>45809</v>
      </c>
      <c r="C2185" t="s">
        <v>22</v>
      </c>
      <c r="D2185" t="s">
        <v>24</v>
      </c>
      <c r="E2185" t="s">
        <v>33</v>
      </c>
      <c r="F2185" t="s">
        <v>60</v>
      </c>
      <c r="G2185" t="s">
        <v>72</v>
      </c>
      <c r="H2185" t="s">
        <v>73</v>
      </c>
      <c r="I2185">
        <v>2</v>
      </c>
      <c r="J2185">
        <v>5907</v>
      </c>
      <c r="K2185">
        <v>0.05</v>
      </c>
      <c r="L2185">
        <v>11223.3</v>
      </c>
      <c r="M2185">
        <v>8670.4500000000007</v>
      </c>
      <c r="N2185">
        <v>2552.85</v>
      </c>
      <c r="O2185" t="s">
        <v>77</v>
      </c>
      <c r="P2185" t="s">
        <v>81</v>
      </c>
    </row>
    <row r="2186" spans="1:16" x14ac:dyDescent="0.25">
      <c r="A2186">
        <v>2185</v>
      </c>
      <c r="B2186" s="2">
        <v>45679</v>
      </c>
      <c r="C2186" t="s">
        <v>18</v>
      </c>
      <c r="D2186" t="s">
        <v>26</v>
      </c>
      <c r="E2186" t="s">
        <v>34</v>
      </c>
      <c r="F2186" t="s">
        <v>68</v>
      </c>
      <c r="G2186" t="s">
        <v>70</v>
      </c>
      <c r="H2186" t="s">
        <v>75</v>
      </c>
      <c r="I2186">
        <v>4</v>
      </c>
      <c r="J2186">
        <v>5320</v>
      </c>
      <c r="K2186">
        <v>0.1</v>
      </c>
      <c r="L2186">
        <v>19152</v>
      </c>
      <c r="M2186">
        <v>15430.09</v>
      </c>
      <c r="N2186">
        <v>3721.91</v>
      </c>
      <c r="O2186" t="s">
        <v>76</v>
      </c>
      <c r="P2186" t="s">
        <v>86</v>
      </c>
    </row>
    <row r="2187" spans="1:16" x14ac:dyDescent="0.25">
      <c r="A2187">
        <v>2186</v>
      </c>
      <c r="B2187" s="2">
        <v>45926</v>
      </c>
      <c r="C2187" t="s">
        <v>19</v>
      </c>
      <c r="D2187" t="s">
        <v>26</v>
      </c>
      <c r="E2187" t="s">
        <v>34</v>
      </c>
      <c r="F2187" t="s">
        <v>68</v>
      </c>
      <c r="G2187" t="s">
        <v>70</v>
      </c>
      <c r="H2187" t="s">
        <v>75</v>
      </c>
      <c r="I2187">
        <v>3</v>
      </c>
      <c r="J2187">
        <v>5571</v>
      </c>
      <c r="K2187">
        <v>0.1</v>
      </c>
      <c r="L2187">
        <v>15041.7</v>
      </c>
      <c r="M2187">
        <v>11798.79</v>
      </c>
      <c r="N2187">
        <v>3242.91</v>
      </c>
      <c r="O2187" t="s">
        <v>76</v>
      </c>
      <c r="P2187" t="s">
        <v>81</v>
      </c>
    </row>
    <row r="2188" spans="1:16" x14ac:dyDescent="0.25">
      <c r="A2188">
        <v>2187</v>
      </c>
      <c r="B2188" s="2">
        <v>45712</v>
      </c>
      <c r="C2188" t="s">
        <v>23</v>
      </c>
      <c r="D2188" t="s">
        <v>27</v>
      </c>
      <c r="E2188" t="s">
        <v>33</v>
      </c>
      <c r="F2188" t="s">
        <v>52</v>
      </c>
      <c r="G2188" t="s">
        <v>72</v>
      </c>
      <c r="H2188" t="s">
        <v>75</v>
      </c>
      <c r="I2188">
        <v>6</v>
      </c>
      <c r="J2188">
        <v>13764</v>
      </c>
      <c r="K2188">
        <v>0.1</v>
      </c>
      <c r="L2188">
        <v>74325.600000000006</v>
      </c>
      <c r="M2188">
        <v>58630.26</v>
      </c>
      <c r="N2188">
        <v>15695.34</v>
      </c>
      <c r="O2188" t="s">
        <v>76</v>
      </c>
      <c r="P2188" t="s">
        <v>86</v>
      </c>
    </row>
    <row r="2189" spans="1:16" x14ac:dyDescent="0.25">
      <c r="A2189">
        <v>2188</v>
      </c>
      <c r="B2189" s="2">
        <v>45803</v>
      </c>
      <c r="C2189" t="s">
        <v>20</v>
      </c>
      <c r="D2189" t="s">
        <v>26</v>
      </c>
      <c r="E2189" t="s">
        <v>30</v>
      </c>
      <c r="F2189" t="s">
        <v>37</v>
      </c>
      <c r="G2189" t="s">
        <v>72</v>
      </c>
      <c r="H2189" t="s">
        <v>73</v>
      </c>
      <c r="I2189">
        <v>4</v>
      </c>
      <c r="J2189">
        <v>54153</v>
      </c>
      <c r="K2189">
        <v>0.15</v>
      </c>
      <c r="L2189">
        <v>184120.2</v>
      </c>
      <c r="M2189">
        <v>149717.85999999999</v>
      </c>
      <c r="N2189">
        <v>34402.339999999997</v>
      </c>
      <c r="O2189" t="s">
        <v>77</v>
      </c>
      <c r="P2189" t="s">
        <v>83</v>
      </c>
    </row>
    <row r="2190" spans="1:16" x14ac:dyDescent="0.25">
      <c r="A2190">
        <v>2189</v>
      </c>
      <c r="B2190" s="2">
        <v>45953</v>
      </c>
      <c r="C2190" t="s">
        <v>16</v>
      </c>
      <c r="D2190" t="s">
        <v>24</v>
      </c>
      <c r="E2190" t="s">
        <v>32</v>
      </c>
      <c r="F2190" t="s">
        <v>48</v>
      </c>
      <c r="G2190" t="s">
        <v>70</v>
      </c>
      <c r="H2190" t="s">
        <v>73</v>
      </c>
      <c r="I2190">
        <v>7</v>
      </c>
      <c r="J2190">
        <v>9571</v>
      </c>
      <c r="K2190">
        <v>0.1</v>
      </c>
      <c r="L2190">
        <v>60297.3</v>
      </c>
      <c r="M2190">
        <v>33645.339999999997</v>
      </c>
      <c r="N2190">
        <v>26651.96</v>
      </c>
      <c r="O2190" t="s">
        <v>76</v>
      </c>
      <c r="P2190" t="s">
        <v>84</v>
      </c>
    </row>
    <row r="2191" spans="1:16" x14ac:dyDescent="0.25">
      <c r="A2191">
        <v>2190</v>
      </c>
      <c r="B2191" s="2">
        <v>45766</v>
      </c>
      <c r="C2191" t="s">
        <v>17</v>
      </c>
      <c r="D2191" t="s">
        <v>25</v>
      </c>
      <c r="E2191" t="s">
        <v>28</v>
      </c>
      <c r="F2191" t="s">
        <v>58</v>
      </c>
      <c r="G2191" t="s">
        <v>72</v>
      </c>
      <c r="H2191" t="s">
        <v>74</v>
      </c>
      <c r="I2191">
        <v>3</v>
      </c>
      <c r="J2191">
        <v>1442</v>
      </c>
      <c r="K2191">
        <v>0</v>
      </c>
      <c r="L2191">
        <v>4326</v>
      </c>
      <c r="M2191">
        <v>3630.31</v>
      </c>
      <c r="N2191">
        <v>695.69</v>
      </c>
      <c r="O2191" t="s">
        <v>78</v>
      </c>
      <c r="P2191" t="s">
        <v>88</v>
      </c>
    </row>
    <row r="2192" spans="1:16" x14ac:dyDescent="0.25">
      <c r="A2192">
        <v>2191</v>
      </c>
      <c r="B2192" s="2">
        <v>45872</v>
      </c>
      <c r="C2192" t="s">
        <v>20</v>
      </c>
      <c r="D2192" t="s">
        <v>26</v>
      </c>
      <c r="E2192" t="s">
        <v>28</v>
      </c>
      <c r="F2192" t="s">
        <v>54</v>
      </c>
      <c r="G2192" t="s">
        <v>70</v>
      </c>
      <c r="H2192" t="s">
        <v>75</v>
      </c>
      <c r="I2192">
        <v>4</v>
      </c>
      <c r="J2192">
        <v>1955</v>
      </c>
      <c r="K2192">
        <v>0.05</v>
      </c>
      <c r="L2192">
        <v>7429</v>
      </c>
      <c r="M2192">
        <v>5023.16</v>
      </c>
      <c r="N2192">
        <v>2405.84</v>
      </c>
      <c r="O2192" t="s">
        <v>76</v>
      </c>
      <c r="P2192" t="s">
        <v>88</v>
      </c>
    </row>
    <row r="2193" spans="1:16" x14ac:dyDescent="0.25">
      <c r="A2193">
        <v>2192</v>
      </c>
      <c r="B2193" s="2">
        <v>45890</v>
      </c>
      <c r="C2193" t="s">
        <v>20</v>
      </c>
      <c r="D2193" t="s">
        <v>26</v>
      </c>
      <c r="E2193" t="s">
        <v>29</v>
      </c>
      <c r="F2193" t="s">
        <v>42</v>
      </c>
      <c r="G2193" t="s">
        <v>71</v>
      </c>
      <c r="H2193" t="s">
        <v>75</v>
      </c>
      <c r="I2193">
        <v>7</v>
      </c>
      <c r="J2193">
        <v>8142</v>
      </c>
      <c r="K2193">
        <v>0.05</v>
      </c>
      <c r="L2193">
        <v>54144.3</v>
      </c>
      <c r="M2193">
        <v>38634.269999999997</v>
      </c>
      <c r="N2193">
        <v>15510.03</v>
      </c>
      <c r="O2193" t="s">
        <v>80</v>
      </c>
      <c r="P2193" t="s">
        <v>82</v>
      </c>
    </row>
    <row r="2194" spans="1:16" x14ac:dyDescent="0.25">
      <c r="A2194">
        <v>2193</v>
      </c>
      <c r="B2194" s="2">
        <v>45825</v>
      </c>
      <c r="C2194" t="s">
        <v>16</v>
      </c>
      <c r="D2194" t="s">
        <v>24</v>
      </c>
      <c r="E2194" t="s">
        <v>30</v>
      </c>
      <c r="F2194" t="s">
        <v>56</v>
      </c>
      <c r="G2194" t="s">
        <v>71</v>
      </c>
      <c r="H2194" t="s">
        <v>74</v>
      </c>
      <c r="I2194">
        <v>8</v>
      </c>
      <c r="J2194">
        <v>68013</v>
      </c>
      <c r="K2194">
        <v>0</v>
      </c>
      <c r="L2194">
        <v>544104</v>
      </c>
      <c r="M2194">
        <v>425566.09</v>
      </c>
      <c r="N2194">
        <v>118537.91</v>
      </c>
      <c r="O2194" t="s">
        <v>79</v>
      </c>
      <c r="P2194" t="s">
        <v>88</v>
      </c>
    </row>
    <row r="2195" spans="1:16" x14ac:dyDescent="0.25">
      <c r="A2195">
        <v>2194</v>
      </c>
      <c r="B2195" s="2">
        <v>45871</v>
      </c>
      <c r="C2195" t="s">
        <v>20</v>
      </c>
      <c r="D2195" t="s">
        <v>26</v>
      </c>
      <c r="E2195" t="s">
        <v>34</v>
      </c>
      <c r="F2195" t="s">
        <v>55</v>
      </c>
      <c r="G2195" t="s">
        <v>70</v>
      </c>
      <c r="H2195" t="s">
        <v>74</v>
      </c>
      <c r="I2195">
        <v>5</v>
      </c>
      <c r="J2195">
        <v>4843</v>
      </c>
      <c r="K2195">
        <v>0.15</v>
      </c>
      <c r="L2195">
        <v>20582.75</v>
      </c>
      <c r="M2195">
        <v>13014.72</v>
      </c>
      <c r="N2195">
        <v>7568.03</v>
      </c>
      <c r="O2195" t="s">
        <v>79</v>
      </c>
      <c r="P2195" t="s">
        <v>86</v>
      </c>
    </row>
    <row r="2196" spans="1:16" x14ac:dyDescent="0.25">
      <c r="A2196">
        <v>2195</v>
      </c>
      <c r="B2196" s="2">
        <v>45754</v>
      </c>
      <c r="C2196" t="s">
        <v>16</v>
      </c>
      <c r="D2196" t="s">
        <v>24</v>
      </c>
      <c r="E2196" t="s">
        <v>32</v>
      </c>
      <c r="F2196" t="s">
        <v>66</v>
      </c>
      <c r="G2196" t="s">
        <v>71</v>
      </c>
      <c r="H2196" t="s">
        <v>75</v>
      </c>
      <c r="I2196">
        <v>7</v>
      </c>
      <c r="J2196">
        <v>9894</v>
      </c>
      <c r="K2196">
        <v>0</v>
      </c>
      <c r="L2196">
        <v>69258</v>
      </c>
      <c r="M2196">
        <v>48952.11</v>
      </c>
      <c r="N2196">
        <v>20305.89</v>
      </c>
      <c r="O2196" t="s">
        <v>76</v>
      </c>
      <c r="P2196" t="s">
        <v>83</v>
      </c>
    </row>
    <row r="2197" spans="1:16" x14ac:dyDescent="0.25">
      <c r="A2197">
        <v>2196</v>
      </c>
      <c r="B2197" s="2">
        <v>45969</v>
      </c>
      <c r="C2197" t="s">
        <v>16</v>
      </c>
      <c r="D2197" t="s">
        <v>24</v>
      </c>
      <c r="E2197" t="s">
        <v>32</v>
      </c>
      <c r="F2197" t="s">
        <v>48</v>
      </c>
      <c r="G2197" t="s">
        <v>72</v>
      </c>
      <c r="H2197" t="s">
        <v>75</v>
      </c>
      <c r="I2197">
        <v>6</v>
      </c>
      <c r="J2197">
        <v>7890</v>
      </c>
      <c r="K2197">
        <v>0.15</v>
      </c>
      <c r="L2197">
        <v>40239</v>
      </c>
      <c r="M2197">
        <v>29812.04</v>
      </c>
      <c r="N2197">
        <v>10426.959999999999</v>
      </c>
      <c r="O2197" t="s">
        <v>77</v>
      </c>
      <c r="P2197" t="s">
        <v>86</v>
      </c>
    </row>
    <row r="2198" spans="1:16" x14ac:dyDescent="0.25">
      <c r="A2198">
        <v>2197</v>
      </c>
      <c r="B2198" s="2">
        <v>45660</v>
      </c>
      <c r="C2198" t="s">
        <v>20</v>
      </c>
      <c r="D2198" t="s">
        <v>26</v>
      </c>
      <c r="E2198" t="s">
        <v>28</v>
      </c>
      <c r="F2198" t="s">
        <v>35</v>
      </c>
      <c r="G2198" t="s">
        <v>70</v>
      </c>
      <c r="H2198" t="s">
        <v>74</v>
      </c>
      <c r="I2198">
        <v>6</v>
      </c>
      <c r="J2198">
        <v>232</v>
      </c>
      <c r="K2198">
        <v>0.1</v>
      </c>
      <c r="L2198">
        <v>1252.8</v>
      </c>
      <c r="M2198">
        <v>831.14</v>
      </c>
      <c r="N2198">
        <v>421.66</v>
      </c>
      <c r="O2198" t="s">
        <v>79</v>
      </c>
      <c r="P2198" t="s">
        <v>87</v>
      </c>
    </row>
    <row r="2199" spans="1:16" x14ac:dyDescent="0.25">
      <c r="A2199">
        <v>2198</v>
      </c>
      <c r="B2199" s="2">
        <v>45673</v>
      </c>
      <c r="C2199" t="s">
        <v>20</v>
      </c>
      <c r="D2199" t="s">
        <v>26</v>
      </c>
      <c r="E2199" t="s">
        <v>29</v>
      </c>
      <c r="F2199" t="s">
        <v>42</v>
      </c>
      <c r="G2199" t="s">
        <v>71</v>
      </c>
      <c r="H2199" t="s">
        <v>74</v>
      </c>
      <c r="I2199">
        <v>6</v>
      </c>
      <c r="J2199">
        <v>5634</v>
      </c>
      <c r="K2199">
        <v>0</v>
      </c>
      <c r="L2199">
        <v>33804</v>
      </c>
      <c r="M2199">
        <v>20610.96</v>
      </c>
      <c r="N2199">
        <v>13193.04</v>
      </c>
      <c r="O2199" t="s">
        <v>76</v>
      </c>
      <c r="P2199" t="s">
        <v>87</v>
      </c>
    </row>
    <row r="2200" spans="1:16" x14ac:dyDescent="0.25">
      <c r="A2200">
        <v>2199</v>
      </c>
      <c r="B2200" s="2">
        <v>45729</v>
      </c>
      <c r="C2200" t="s">
        <v>23</v>
      </c>
      <c r="D2200" t="s">
        <v>27</v>
      </c>
      <c r="E2200" t="s">
        <v>28</v>
      </c>
      <c r="F2200" t="s">
        <v>35</v>
      </c>
      <c r="G2200" t="s">
        <v>70</v>
      </c>
      <c r="H2200" t="s">
        <v>73</v>
      </c>
      <c r="I2200">
        <v>5</v>
      </c>
      <c r="J2200">
        <v>1496</v>
      </c>
      <c r="K2200">
        <v>0.15</v>
      </c>
      <c r="L2200">
        <v>6358</v>
      </c>
      <c r="M2200">
        <v>4709.37</v>
      </c>
      <c r="N2200">
        <v>1648.63</v>
      </c>
      <c r="O2200" t="s">
        <v>79</v>
      </c>
      <c r="P2200" t="s">
        <v>82</v>
      </c>
    </row>
    <row r="2201" spans="1:16" x14ac:dyDescent="0.25">
      <c r="A2201">
        <v>2200</v>
      </c>
      <c r="B2201" s="2">
        <v>45727</v>
      </c>
      <c r="C2201" t="s">
        <v>20</v>
      </c>
      <c r="D2201" t="s">
        <v>26</v>
      </c>
      <c r="E2201" t="s">
        <v>32</v>
      </c>
      <c r="F2201" t="s">
        <v>48</v>
      </c>
      <c r="G2201" t="s">
        <v>72</v>
      </c>
      <c r="H2201" t="s">
        <v>74</v>
      </c>
      <c r="I2201">
        <v>2</v>
      </c>
      <c r="J2201">
        <v>19458</v>
      </c>
      <c r="K2201">
        <v>0.1</v>
      </c>
      <c r="L2201">
        <v>35024.400000000001</v>
      </c>
      <c r="M2201">
        <v>27231.39</v>
      </c>
      <c r="N2201">
        <v>7793.01</v>
      </c>
      <c r="O2201" t="s">
        <v>77</v>
      </c>
      <c r="P2201" t="s">
        <v>86</v>
      </c>
    </row>
    <row r="2202" spans="1:16" x14ac:dyDescent="0.25">
      <c r="A2202">
        <v>2201</v>
      </c>
      <c r="B2202" s="2">
        <v>46004</v>
      </c>
      <c r="C2202" t="s">
        <v>20</v>
      </c>
      <c r="D2202" t="s">
        <v>26</v>
      </c>
      <c r="E2202" t="s">
        <v>28</v>
      </c>
      <c r="F2202" t="s">
        <v>63</v>
      </c>
      <c r="G2202" t="s">
        <v>72</v>
      </c>
      <c r="H2202" t="s">
        <v>73</v>
      </c>
      <c r="I2202">
        <v>8</v>
      </c>
      <c r="J2202">
        <v>821</v>
      </c>
      <c r="K2202">
        <v>0</v>
      </c>
      <c r="L2202">
        <v>6568</v>
      </c>
      <c r="M2202">
        <v>4532.24</v>
      </c>
      <c r="N2202">
        <v>2035.76</v>
      </c>
      <c r="O2202" t="s">
        <v>79</v>
      </c>
      <c r="P2202" t="s">
        <v>88</v>
      </c>
    </row>
    <row r="2203" spans="1:16" x14ac:dyDescent="0.25">
      <c r="A2203">
        <v>2202</v>
      </c>
      <c r="B2203" s="2">
        <v>45675</v>
      </c>
      <c r="C2203" t="s">
        <v>23</v>
      </c>
      <c r="D2203" t="s">
        <v>27</v>
      </c>
      <c r="E2203" t="s">
        <v>28</v>
      </c>
      <c r="F2203" t="s">
        <v>63</v>
      </c>
      <c r="G2203" t="s">
        <v>71</v>
      </c>
      <c r="H2203" t="s">
        <v>75</v>
      </c>
      <c r="I2203">
        <v>1</v>
      </c>
      <c r="J2203">
        <v>1418</v>
      </c>
      <c r="K2203">
        <v>0.1</v>
      </c>
      <c r="L2203">
        <v>1276.2</v>
      </c>
      <c r="M2203">
        <v>767.02</v>
      </c>
      <c r="N2203">
        <v>509.18</v>
      </c>
      <c r="O2203" t="s">
        <v>80</v>
      </c>
      <c r="P2203" t="s">
        <v>83</v>
      </c>
    </row>
    <row r="2204" spans="1:16" x14ac:dyDescent="0.25">
      <c r="A2204">
        <v>2203</v>
      </c>
      <c r="B2204" s="2">
        <v>45983</v>
      </c>
      <c r="C2204" t="s">
        <v>19</v>
      </c>
      <c r="D2204" t="s">
        <v>26</v>
      </c>
      <c r="E2204" t="s">
        <v>30</v>
      </c>
      <c r="F2204" t="s">
        <v>44</v>
      </c>
      <c r="G2204" t="s">
        <v>71</v>
      </c>
      <c r="H2204" t="s">
        <v>75</v>
      </c>
      <c r="I2204">
        <v>5</v>
      </c>
      <c r="J2204">
        <v>58144</v>
      </c>
      <c r="K2204">
        <v>0.05</v>
      </c>
      <c r="L2204">
        <v>276184</v>
      </c>
      <c r="M2204">
        <v>175360.64000000001</v>
      </c>
      <c r="N2204">
        <v>100823.36</v>
      </c>
      <c r="O2204" t="s">
        <v>79</v>
      </c>
      <c r="P2204" t="s">
        <v>87</v>
      </c>
    </row>
    <row r="2205" spans="1:16" x14ac:dyDescent="0.25">
      <c r="A2205">
        <v>2204</v>
      </c>
      <c r="B2205" s="2">
        <v>45798</v>
      </c>
      <c r="C2205" t="s">
        <v>20</v>
      </c>
      <c r="D2205" t="s">
        <v>26</v>
      </c>
      <c r="E2205" t="s">
        <v>31</v>
      </c>
      <c r="F2205" t="s">
        <v>38</v>
      </c>
      <c r="G2205" t="s">
        <v>72</v>
      </c>
      <c r="H2205" t="s">
        <v>74</v>
      </c>
      <c r="I2205">
        <v>5</v>
      </c>
      <c r="J2205">
        <v>2146</v>
      </c>
      <c r="K2205">
        <v>0.15</v>
      </c>
      <c r="L2205">
        <v>9120.5</v>
      </c>
      <c r="M2205">
        <v>7875.27</v>
      </c>
      <c r="N2205">
        <v>1245.23</v>
      </c>
      <c r="O2205" t="s">
        <v>78</v>
      </c>
      <c r="P2205" t="s">
        <v>85</v>
      </c>
    </row>
    <row r="2206" spans="1:16" x14ac:dyDescent="0.25">
      <c r="A2206">
        <v>2205</v>
      </c>
      <c r="B2206" s="2">
        <v>45759</v>
      </c>
      <c r="C2206" t="s">
        <v>20</v>
      </c>
      <c r="D2206" t="s">
        <v>26</v>
      </c>
      <c r="E2206" t="s">
        <v>32</v>
      </c>
      <c r="F2206" t="s">
        <v>48</v>
      </c>
      <c r="G2206" t="s">
        <v>71</v>
      </c>
      <c r="H2206" t="s">
        <v>74</v>
      </c>
      <c r="I2206">
        <v>1</v>
      </c>
      <c r="J2206">
        <v>20824</v>
      </c>
      <c r="K2206">
        <v>0.05</v>
      </c>
      <c r="L2206">
        <v>19782.8</v>
      </c>
      <c r="M2206">
        <v>12277.61</v>
      </c>
      <c r="N2206">
        <v>7505.19</v>
      </c>
      <c r="O2206" t="s">
        <v>79</v>
      </c>
      <c r="P2206" t="s">
        <v>84</v>
      </c>
    </row>
    <row r="2207" spans="1:16" x14ac:dyDescent="0.25">
      <c r="A2207">
        <v>2206</v>
      </c>
      <c r="B2207" s="2">
        <v>45967</v>
      </c>
      <c r="C2207" t="s">
        <v>21</v>
      </c>
      <c r="D2207" t="s">
        <v>24</v>
      </c>
      <c r="E2207" t="s">
        <v>33</v>
      </c>
      <c r="F2207" t="s">
        <v>46</v>
      </c>
      <c r="G2207" t="s">
        <v>72</v>
      </c>
      <c r="H2207" t="s">
        <v>74</v>
      </c>
      <c r="I2207">
        <v>7</v>
      </c>
      <c r="J2207">
        <v>4225</v>
      </c>
      <c r="K2207">
        <v>0</v>
      </c>
      <c r="L2207">
        <v>29575</v>
      </c>
      <c r="M2207">
        <v>24912.37</v>
      </c>
      <c r="N2207">
        <v>4662.63</v>
      </c>
      <c r="O2207" t="s">
        <v>78</v>
      </c>
      <c r="P2207" t="s">
        <v>83</v>
      </c>
    </row>
    <row r="2208" spans="1:16" x14ac:dyDescent="0.25">
      <c r="A2208">
        <v>2207</v>
      </c>
      <c r="B2208" s="2">
        <v>45975</v>
      </c>
      <c r="C2208" t="s">
        <v>16</v>
      </c>
      <c r="D2208" t="s">
        <v>24</v>
      </c>
      <c r="E2208" t="s">
        <v>32</v>
      </c>
      <c r="F2208" t="s">
        <v>62</v>
      </c>
      <c r="G2208" t="s">
        <v>72</v>
      </c>
      <c r="H2208" t="s">
        <v>75</v>
      </c>
      <c r="I2208">
        <v>3</v>
      </c>
      <c r="J2208">
        <v>21145</v>
      </c>
      <c r="K2208">
        <v>0.1</v>
      </c>
      <c r="L2208">
        <v>57091.5</v>
      </c>
      <c r="M2208">
        <v>40948.300000000003</v>
      </c>
      <c r="N2208">
        <v>16143.2</v>
      </c>
      <c r="O2208" t="s">
        <v>79</v>
      </c>
      <c r="P2208" t="s">
        <v>84</v>
      </c>
    </row>
    <row r="2209" spans="1:16" x14ac:dyDescent="0.25">
      <c r="A2209">
        <v>2208</v>
      </c>
      <c r="B2209" s="2">
        <v>45990</v>
      </c>
      <c r="C2209" t="s">
        <v>22</v>
      </c>
      <c r="D2209" t="s">
        <v>24</v>
      </c>
      <c r="E2209" t="s">
        <v>32</v>
      </c>
      <c r="F2209" t="s">
        <v>39</v>
      </c>
      <c r="G2209" t="s">
        <v>70</v>
      </c>
      <c r="H2209" t="s">
        <v>73</v>
      </c>
      <c r="I2209">
        <v>4</v>
      </c>
      <c r="J2209">
        <v>9461</v>
      </c>
      <c r="K2209">
        <v>0</v>
      </c>
      <c r="L2209">
        <v>37844</v>
      </c>
      <c r="M2209">
        <v>23452.54</v>
      </c>
      <c r="N2209">
        <v>14391.46</v>
      </c>
      <c r="O2209" t="s">
        <v>77</v>
      </c>
      <c r="P2209" t="s">
        <v>85</v>
      </c>
    </row>
    <row r="2210" spans="1:16" x14ac:dyDescent="0.25">
      <c r="A2210">
        <v>2209</v>
      </c>
      <c r="B2210" s="2">
        <v>45864</v>
      </c>
      <c r="C2210" t="s">
        <v>20</v>
      </c>
      <c r="D2210" t="s">
        <v>26</v>
      </c>
      <c r="E2210" t="s">
        <v>32</v>
      </c>
      <c r="F2210" t="s">
        <v>48</v>
      </c>
      <c r="G2210" t="s">
        <v>72</v>
      </c>
      <c r="H2210" t="s">
        <v>74</v>
      </c>
      <c r="I2210">
        <v>5</v>
      </c>
      <c r="J2210">
        <v>5961</v>
      </c>
      <c r="K2210">
        <v>0.05</v>
      </c>
      <c r="L2210">
        <v>28314.75</v>
      </c>
      <c r="M2210">
        <v>23086.9</v>
      </c>
      <c r="N2210">
        <v>5227.8500000000004</v>
      </c>
      <c r="O2210" t="s">
        <v>78</v>
      </c>
      <c r="P2210" t="s">
        <v>86</v>
      </c>
    </row>
    <row r="2211" spans="1:16" x14ac:dyDescent="0.25">
      <c r="A2211">
        <v>2210</v>
      </c>
      <c r="B2211" s="2">
        <v>46007</v>
      </c>
      <c r="C2211" t="s">
        <v>21</v>
      </c>
      <c r="D2211" t="s">
        <v>24</v>
      </c>
      <c r="E2211" t="s">
        <v>31</v>
      </c>
      <c r="F2211" t="s">
        <v>38</v>
      </c>
      <c r="G2211" t="s">
        <v>70</v>
      </c>
      <c r="H2211" t="s">
        <v>74</v>
      </c>
      <c r="I2211">
        <v>4</v>
      </c>
      <c r="J2211">
        <v>197</v>
      </c>
      <c r="K2211">
        <v>0.1</v>
      </c>
      <c r="L2211">
        <v>709.2</v>
      </c>
      <c r="M2211">
        <v>452.28</v>
      </c>
      <c r="N2211">
        <v>256.92</v>
      </c>
      <c r="O2211" t="s">
        <v>79</v>
      </c>
      <c r="P2211" t="s">
        <v>86</v>
      </c>
    </row>
    <row r="2212" spans="1:16" x14ac:dyDescent="0.25">
      <c r="A2212">
        <v>2211</v>
      </c>
      <c r="B2212" s="2">
        <v>45947</v>
      </c>
      <c r="C2212" t="s">
        <v>22</v>
      </c>
      <c r="D2212" t="s">
        <v>24</v>
      </c>
      <c r="E2212" t="s">
        <v>29</v>
      </c>
      <c r="F2212" t="s">
        <v>53</v>
      </c>
      <c r="G2212" t="s">
        <v>72</v>
      </c>
      <c r="H2212" t="s">
        <v>75</v>
      </c>
      <c r="I2212">
        <v>3</v>
      </c>
      <c r="J2212">
        <v>5332</v>
      </c>
      <c r="K2212">
        <v>0.1</v>
      </c>
      <c r="L2212">
        <v>14396.4</v>
      </c>
      <c r="M2212">
        <v>10212.06</v>
      </c>
      <c r="N2212">
        <v>4184.34</v>
      </c>
      <c r="O2212" t="s">
        <v>77</v>
      </c>
      <c r="P2212" t="s">
        <v>81</v>
      </c>
    </row>
    <row r="2213" spans="1:16" x14ac:dyDescent="0.25">
      <c r="A2213">
        <v>2212</v>
      </c>
      <c r="B2213" s="2">
        <v>45926</v>
      </c>
      <c r="C2213" t="s">
        <v>22</v>
      </c>
      <c r="D2213" t="s">
        <v>24</v>
      </c>
      <c r="E2213" t="s">
        <v>30</v>
      </c>
      <c r="F2213" t="s">
        <v>56</v>
      </c>
      <c r="G2213" t="s">
        <v>71</v>
      </c>
      <c r="H2213" t="s">
        <v>75</v>
      </c>
      <c r="I2213">
        <v>3</v>
      </c>
      <c r="J2213">
        <v>60949</v>
      </c>
      <c r="K2213">
        <v>0.1</v>
      </c>
      <c r="L2213">
        <v>164562.29999999999</v>
      </c>
      <c r="M2213">
        <v>136404.07999999999</v>
      </c>
      <c r="N2213">
        <v>28158.22</v>
      </c>
      <c r="O2213" t="s">
        <v>77</v>
      </c>
      <c r="P2213" t="s">
        <v>87</v>
      </c>
    </row>
    <row r="2214" spans="1:16" x14ac:dyDescent="0.25">
      <c r="A2214">
        <v>2213</v>
      </c>
      <c r="B2214" s="2">
        <v>46017</v>
      </c>
      <c r="C2214" t="s">
        <v>23</v>
      </c>
      <c r="D2214" t="s">
        <v>27</v>
      </c>
      <c r="E2214" t="s">
        <v>33</v>
      </c>
      <c r="F2214" t="s">
        <v>46</v>
      </c>
      <c r="G2214" t="s">
        <v>72</v>
      </c>
      <c r="H2214" t="s">
        <v>73</v>
      </c>
      <c r="I2214">
        <v>8</v>
      </c>
      <c r="J2214">
        <v>45095</v>
      </c>
      <c r="K2214">
        <v>0.05</v>
      </c>
      <c r="L2214">
        <v>342722</v>
      </c>
      <c r="M2214">
        <v>292278.09000000003</v>
      </c>
      <c r="N2214">
        <v>50443.91</v>
      </c>
      <c r="O2214" t="s">
        <v>78</v>
      </c>
      <c r="P2214" t="s">
        <v>86</v>
      </c>
    </row>
    <row r="2215" spans="1:16" x14ac:dyDescent="0.25">
      <c r="A2215">
        <v>2214</v>
      </c>
      <c r="B2215" s="2">
        <v>45736</v>
      </c>
      <c r="C2215" t="s">
        <v>18</v>
      </c>
      <c r="D2215" t="s">
        <v>26</v>
      </c>
      <c r="E2215" t="s">
        <v>28</v>
      </c>
      <c r="F2215" t="s">
        <v>63</v>
      </c>
      <c r="G2215" t="s">
        <v>71</v>
      </c>
      <c r="H2215" t="s">
        <v>75</v>
      </c>
      <c r="I2215">
        <v>6</v>
      </c>
      <c r="J2215">
        <v>1961</v>
      </c>
      <c r="K2215">
        <v>0.1</v>
      </c>
      <c r="L2215">
        <v>10589.4</v>
      </c>
      <c r="M2215">
        <v>6082.39</v>
      </c>
      <c r="N2215">
        <v>4507.01</v>
      </c>
      <c r="O2215" t="s">
        <v>80</v>
      </c>
      <c r="P2215" t="s">
        <v>87</v>
      </c>
    </row>
    <row r="2216" spans="1:16" x14ac:dyDescent="0.25">
      <c r="A2216">
        <v>2215</v>
      </c>
      <c r="B2216" s="2">
        <v>45997</v>
      </c>
      <c r="C2216" t="s">
        <v>19</v>
      </c>
      <c r="D2216" t="s">
        <v>26</v>
      </c>
      <c r="E2216" t="s">
        <v>31</v>
      </c>
      <c r="F2216" t="s">
        <v>47</v>
      </c>
      <c r="G2216" t="s">
        <v>70</v>
      </c>
      <c r="H2216" t="s">
        <v>75</v>
      </c>
      <c r="I2216">
        <v>5</v>
      </c>
      <c r="J2216">
        <v>540</v>
      </c>
      <c r="K2216">
        <v>0</v>
      </c>
      <c r="L2216">
        <v>2700</v>
      </c>
      <c r="M2216">
        <v>2221.94</v>
      </c>
      <c r="N2216">
        <v>478.06</v>
      </c>
      <c r="O2216" t="s">
        <v>79</v>
      </c>
      <c r="P2216" t="s">
        <v>81</v>
      </c>
    </row>
    <row r="2217" spans="1:16" x14ac:dyDescent="0.25">
      <c r="A2217">
        <v>2216</v>
      </c>
      <c r="B2217" s="2">
        <v>45853</v>
      </c>
      <c r="C2217" t="s">
        <v>20</v>
      </c>
      <c r="D2217" t="s">
        <v>26</v>
      </c>
      <c r="E2217" t="s">
        <v>28</v>
      </c>
      <c r="F2217" t="s">
        <v>58</v>
      </c>
      <c r="G2217" t="s">
        <v>72</v>
      </c>
      <c r="H2217" t="s">
        <v>75</v>
      </c>
      <c r="I2217">
        <v>6</v>
      </c>
      <c r="J2217">
        <v>220</v>
      </c>
      <c r="K2217">
        <v>0.1</v>
      </c>
      <c r="L2217">
        <v>1188</v>
      </c>
      <c r="M2217">
        <v>801.49</v>
      </c>
      <c r="N2217">
        <v>386.51</v>
      </c>
      <c r="O2217" t="s">
        <v>80</v>
      </c>
      <c r="P2217" t="s">
        <v>87</v>
      </c>
    </row>
    <row r="2218" spans="1:16" x14ac:dyDescent="0.25">
      <c r="A2218">
        <v>2217</v>
      </c>
      <c r="B2218" s="2">
        <v>45944</v>
      </c>
      <c r="C2218" t="s">
        <v>21</v>
      </c>
      <c r="D2218" t="s">
        <v>24</v>
      </c>
      <c r="E2218" t="s">
        <v>29</v>
      </c>
      <c r="F2218" t="s">
        <v>53</v>
      </c>
      <c r="G2218" t="s">
        <v>72</v>
      </c>
      <c r="H2218" t="s">
        <v>73</v>
      </c>
      <c r="I2218">
        <v>4</v>
      </c>
      <c r="J2218">
        <v>7488</v>
      </c>
      <c r="K2218">
        <v>0.05</v>
      </c>
      <c r="L2218">
        <v>28454.400000000001</v>
      </c>
      <c r="M2218">
        <v>22896.9</v>
      </c>
      <c r="N2218">
        <v>5557.5</v>
      </c>
      <c r="O2218" t="s">
        <v>76</v>
      </c>
      <c r="P2218" t="s">
        <v>82</v>
      </c>
    </row>
    <row r="2219" spans="1:16" x14ac:dyDescent="0.25">
      <c r="A2219">
        <v>2218</v>
      </c>
      <c r="B2219" s="2">
        <v>46019</v>
      </c>
      <c r="C2219" t="s">
        <v>22</v>
      </c>
      <c r="D2219" t="s">
        <v>24</v>
      </c>
      <c r="E2219" t="s">
        <v>30</v>
      </c>
      <c r="F2219" t="s">
        <v>44</v>
      </c>
      <c r="G2219" t="s">
        <v>71</v>
      </c>
      <c r="H2219" t="s">
        <v>74</v>
      </c>
      <c r="I2219">
        <v>6</v>
      </c>
      <c r="J2219">
        <v>32096</v>
      </c>
      <c r="K2219">
        <v>0.05</v>
      </c>
      <c r="L2219">
        <v>182947.20000000001</v>
      </c>
      <c r="M2219">
        <v>151746.97</v>
      </c>
      <c r="N2219">
        <v>31200.23</v>
      </c>
      <c r="O2219" t="s">
        <v>77</v>
      </c>
      <c r="P2219" t="s">
        <v>85</v>
      </c>
    </row>
    <row r="2220" spans="1:16" x14ac:dyDescent="0.25">
      <c r="A2220">
        <v>2219</v>
      </c>
      <c r="B2220" s="2">
        <v>46008</v>
      </c>
      <c r="C2220" t="s">
        <v>22</v>
      </c>
      <c r="D2220" t="s">
        <v>24</v>
      </c>
      <c r="E2220" t="s">
        <v>30</v>
      </c>
      <c r="F2220" t="s">
        <v>40</v>
      </c>
      <c r="G2220" t="s">
        <v>71</v>
      </c>
      <c r="H2220" t="s">
        <v>73</v>
      </c>
      <c r="I2220">
        <v>4</v>
      </c>
      <c r="J2220">
        <v>58402</v>
      </c>
      <c r="K2220">
        <v>0.05</v>
      </c>
      <c r="L2220">
        <v>221927.6</v>
      </c>
      <c r="M2220">
        <v>139102.87</v>
      </c>
      <c r="N2220">
        <v>82824.73</v>
      </c>
      <c r="O2220" t="s">
        <v>79</v>
      </c>
      <c r="P2220" t="s">
        <v>83</v>
      </c>
    </row>
    <row r="2221" spans="1:16" x14ac:dyDescent="0.25">
      <c r="A2221">
        <v>2220</v>
      </c>
      <c r="B2221" s="2">
        <v>45819</v>
      </c>
      <c r="C2221" t="s">
        <v>20</v>
      </c>
      <c r="D2221" t="s">
        <v>26</v>
      </c>
      <c r="E2221" t="s">
        <v>31</v>
      </c>
      <c r="F2221" t="s">
        <v>38</v>
      </c>
      <c r="G2221" t="s">
        <v>72</v>
      </c>
      <c r="H2221" t="s">
        <v>74</v>
      </c>
      <c r="I2221">
        <v>5</v>
      </c>
      <c r="J2221">
        <v>1462</v>
      </c>
      <c r="K2221">
        <v>0.1</v>
      </c>
      <c r="L2221">
        <v>6579</v>
      </c>
      <c r="M2221">
        <v>4112.42</v>
      </c>
      <c r="N2221">
        <v>2466.58</v>
      </c>
      <c r="O2221" t="s">
        <v>78</v>
      </c>
      <c r="P2221" t="s">
        <v>84</v>
      </c>
    </row>
    <row r="2222" spans="1:16" x14ac:dyDescent="0.25">
      <c r="A2222">
        <v>2221</v>
      </c>
      <c r="B2222" s="2">
        <v>45764</v>
      </c>
      <c r="C2222" t="s">
        <v>22</v>
      </c>
      <c r="D2222" t="s">
        <v>24</v>
      </c>
      <c r="E2222" t="s">
        <v>28</v>
      </c>
      <c r="F2222" t="s">
        <v>58</v>
      </c>
      <c r="G2222" t="s">
        <v>70</v>
      </c>
      <c r="H2222" t="s">
        <v>75</v>
      </c>
      <c r="I2222">
        <v>1</v>
      </c>
      <c r="J2222">
        <v>1782</v>
      </c>
      <c r="K2222">
        <v>0</v>
      </c>
      <c r="L2222">
        <v>1782</v>
      </c>
      <c r="M2222">
        <v>1263.8499999999999</v>
      </c>
      <c r="N2222">
        <v>518.15</v>
      </c>
      <c r="O2222" t="s">
        <v>79</v>
      </c>
      <c r="P2222" t="s">
        <v>88</v>
      </c>
    </row>
    <row r="2223" spans="1:16" x14ac:dyDescent="0.25">
      <c r="A2223">
        <v>2222</v>
      </c>
      <c r="B2223" s="2">
        <v>45987</v>
      </c>
      <c r="C2223" t="s">
        <v>18</v>
      </c>
      <c r="D2223" t="s">
        <v>26</v>
      </c>
      <c r="E2223" t="s">
        <v>33</v>
      </c>
      <c r="F2223" t="s">
        <v>59</v>
      </c>
      <c r="G2223" t="s">
        <v>70</v>
      </c>
      <c r="H2223" t="s">
        <v>74</v>
      </c>
      <c r="I2223">
        <v>5</v>
      </c>
      <c r="J2223">
        <v>49118</v>
      </c>
      <c r="K2223">
        <v>0</v>
      </c>
      <c r="L2223">
        <v>245590</v>
      </c>
      <c r="M2223">
        <v>166412</v>
      </c>
      <c r="N2223">
        <v>79178</v>
      </c>
      <c r="O2223" t="s">
        <v>77</v>
      </c>
      <c r="P2223" t="s">
        <v>86</v>
      </c>
    </row>
    <row r="2224" spans="1:16" x14ac:dyDescent="0.25">
      <c r="A2224">
        <v>2223</v>
      </c>
      <c r="B2224" s="2">
        <v>45823</v>
      </c>
      <c r="C2224" t="s">
        <v>20</v>
      </c>
      <c r="D2224" t="s">
        <v>26</v>
      </c>
      <c r="E2224" t="s">
        <v>31</v>
      </c>
      <c r="F2224" t="s">
        <v>50</v>
      </c>
      <c r="G2224" t="s">
        <v>70</v>
      </c>
      <c r="H2224" t="s">
        <v>73</v>
      </c>
      <c r="I2224">
        <v>4</v>
      </c>
      <c r="J2224">
        <v>537</v>
      </c>
      <c r="K2224">
        <v>0.05</v>
      </c>
      <c r="L2224">
        <v>2040.6</v>
      </c>
      <c r="M2224">
        <v>1709.31</v>
      </c>
      <c r="N2224">
        <v>331.29</v>
      </c>
      <c r="O2224" t="s">
        <v>77</v>
      </c>
      <c r="P2224" t="s">
        <v>81</v>
      </c>
    </row>
    <row r="2225" spans="1:16" x14ac:dyDescent="0.25">
      <c r="A2225">
        <v>2224</v>
      </c>
      <c r="B2225" s="2">
        <v>45816</v>
      </c>
      <c r="C2225" t="s">
        <v>17</v>
      </c>
      <c r="D2225" t="s">
        <v>25</v>
      </c>
      <c r="E2225" t="s">
        <v>34</v>
      </c>
      <c r="F2225" t="s">
        <v>55</v>
      </c>
      <c r="G2225" t="s">
        <v>71</v>
      </c>
      <c r="H2225" t="s">
        <v>75</v>
      </c>
      <c r="I2225">
        <v>3</v>
      </c>
      <c r="J2225">
        <v>4361</v>
      </c>
      <c r="K2225">
        <v>0.05</v>
      </c>
      <c r="L2225">
        <v>12428.85</v>
      </c>
      <c r="M2225">
        <v>10193.57</v>
      </c>
      <c r="N2225">
        <v>2235.2800000000002</v>
      </c>
      <c r="O2225" t="s">
        <v>76</v>
      </c>
      <c r="P2225" t="s">
        <v>81</v>
      </c>
    </row>
    <row r="2226" spans="1:16" x14ac:dyDescent="0.25">
      <c r="A2226">
        <v>2225</v>
      </c>
      <c r="B2226" s="2">
        <v>45941</v>
      </c>
      <c r="C2226" t="s">
        <v>16</v>
      </c>
      <c r="D2226" t="s">
        <v>24</v>
      </c>
      <c r="E2226" t="s">
        <v>30</v>
      </c>
      <c r="F2226" t="s">
        <v>56</v>
      </c>
      <c r="G2226" t="s">
        <v>72</v>
      </c>
      <c r="H2226" t="s">
        <v>73</v>
      </c>
      <c r="I2226">
        <v>4</v>
      </c>
      <c r="J2226">
        <v>66805</v>
      </c>
      <c r="K2226">
        <v>0.05</v>
      </c>
      <c r="L2226">
        <v>253859</v>
      </c>
      <c r="M2226">
        <v>177680.64000000001</v>
      </c>
      <c r="N2226">
        <v>76178.36</v>
      </c>
      <c r="O2226" t="s">
        <v>76</v>
      </c>
      <c r="P2226" t="s">
        <v>83</v>
      </c>
    </row>
    <row r="2227" spans="1:16" x14ac:dyDescent="0.25">
      <c r="A2227">
        <v>2226</v>
      </c>
      <c r="B2227" s="2">
        <v>45906</v>
      </c>
      <c r="C2227" t="s">
        <v>19</v>
      </c>
      <c r="D2227" t="s">
        <v>26</v>
      </c>
      <c r="E2227" t="s">
        <v>34</v>
      </c>
      <c r="F2227" t="s">
        <v>55</v>
      </c>
      <c r="G2227" t="s">
        <v>71</v>
      </c>
      <c r="H2227" t="s">
        <v>74</v>
      </c>
      <c r="I2227">
        <v>7</v>
      </c>
      <c r="J2227">
        <v>1129</v>
      </c>
      <c r="K2227">
        <v>0.15</v>
      </c>
      <c r="L2227">
        <v>6717.55</v>
      </c>
      <c r="M2227">
        <v>3848.96</v>
      </c>
      <c r="N2227">
        <v>2868.59</v>
      </c>
      <c r="O2227" t="s">
        <v>78</v>
      </c>
      <c r="P2227" t="s">
        <v>85</v>
      </c>
    </row>
    <row r="2228" spans="1:16" x14ac:dyDescent="0.25">
      <c r="A2228">
        <v>2227</v>
      </c>
      <c r="B2228" s="2">
        <v>45914</v>
      </c>
      <c r="C2228" t="s">
        <v>19</v>
      </c>
      <c r="D2228" t="s">
        <v>26</v>
      </c>
      <c r="E2228" t="s">
        <v>29</v>
      </c>
      <c r="F2228" t="s">
        <v>57</v>
      </c>
      <c r="G2228" t="s">
        <v>72</v>
      </c>
      <c r="H2228" t="s">
        <v>73</v>
      </c>
      <c r="I2228">
        <v>6</v>
      </c>
      <c r="J2228">
        <v>9703</v>
      </c>
      <c r="K2228">
        <v>0.1</v>
      </c>
      <c r="L2228">
        <v>52396.2</v>
      </c>
      <c r="M2228">
        <v>36881.14</v>
      </c>
      <c r="N2228">
        <v>15515.06</v>
      </c>
      <c r="O2228" t="s">
        <v>78</v>
      </c>
      <c r="P2228" t="s">
        <v>86</v>
      </c>
    </row>
    <row r="2229" spans="1:16" x14ac:dyDescent="0.25">
      <c r="A2229">
        <v>2228</v>
      </c>
      <c r="B2229" s="2">
        <v>45774</v>
      </c>
      <c r="C2229" t="s">
        <v>18</v>
      </c>
      <c r="D2229" t="s">
        <v>26</v>
      </c>
      <c r="E2229" t="s">
        <v>29</v>
      </c>
      <c r="F2229" t="s">
        <v>57</v>
      </c>
      <c r="G2229" t="s">
        <v>70</v>
      </c>
      <c r="H2229" t="s">
        <v>74</v>
      </c>
      <c r="I2229">
        <v>7</v>
      </c>
      <c r="J2229">
        <v>2833</v>
      </c>
      <c r="K2229">
        <v>0.2</v>
      </c>
      <c r="L2229">
        <v>15864.8</v>
      </c>
      <c r="M2229">
        <v>9936.83</v>
      </c>
      <c r="N2229">
        <v>5927.97</v>
      </c>
      <c r="O2229" t="s">
        <v>80</v>
      </c>
      <c r="P2229" t="s">
        <v>88</v>
      </c>
    </row>
    <row r="2230" spans="1:16" x14ac:dyDescent="0.25">
      <c r="A2230">
        <v>2229</v>
      </c>
      <c r="B2230" s="2">
        <v>45924</v>
      </c>
      <c r="C2230" t="s">
        <v>18</v>
      </c>
      <c r="D2230" t="s">
        <v>26</v>
      </c>
      <c r="E2230" t="s">
        <v>33</v>
      </c>
      <c r="F2230" t="s">
        <v>52</v>
      </c>
      <c r="G2230" t="s">
        <v>71</v>
      </c>
      <c r="H2230" t="s">
        <v>73</v>
      </c>
      <c r="I2230">
        <v>6</v>
      </c>
      <c r="J2230">
        <v>9188</v>
      </c>
      <c r="K2230">
        <v>0.1</v>
      </c>
      <c r="L2230">
        <v>49615.199999999997</v>
      </c>
      <c r="M2230">
        <v>30964.02</v>
      </c>
      <c r="N2230">
        <v>18651.18</v>
      </c>
      <c r="O2230" t="s">
        <v>76</v>
      </c>
      <c r="P2230" t="s">
        <v>85</v>
      </c>
    </row>
    <row r="2231" spans="1:16" x14ac:dyDescent="0.25">
      <c r="A2231">
        <v>2230</v>
      </c>
      <c r="B2231" s="2">
        <v>45751</v>
      </c>
      <c r="C2231" t="s">
        <v>20</v>
      </c>
      <c r="D2231" t="s">
        <v>26</v>
      </c>
      <c r="E2231" t="s">
        <v>32</v>
      </c>
      <c r="F2231" t="s">
        <v>66</v>
      </c>
      <c r="G2231" t="s">
        <v>72</v>
      </c>
      <c r="H2231" t="s">
        <v>74</v>
      </c>
      <c r="I2231">
        <v>4</v>
      </c>
      <c r="J2231">
        <v>7781</v>
      </c>
      <c r="K2231">
        <v>0</v>
      </c>
      <c r="L2231">
        <v>31124</v>
      </c>
      <c r="M2231">
        <v>22645.34</v>
      </c>
      <c r="N2231">
        <v>8478.66</v>
      </c>
      <c r="O2231" t="s">
        <v>80</v>
      </c>
      <c r="P2231" t="s">
        <v>88</v>
      </c>
    </row>
    <row r="2232" spans="1:16" x14ac:dyDescent="0.25">
      <c r="A2232">
        <v>2231</v>
      </c>
      <c r="B2232" s="2">
        <v>45714</v>
      </c>
      <c r="C2232" t="s">
        <v>16</v>
      </c>
      <c r="D2232" t="s">
        <v>24</v>
      </c>
      <c r="E2232" t="s">
        <v>34</v>
      </c>
      <c r="F2232" t="s">
        <v>55</v>
      </c>
      <c r="G2232" t="s">
        <v>71</v>
      </c>
      <c r="H2232" t="s">
        <v>74</v>
      </c>
      <c r="I2232">
        <v>5</v>
      </c>
      <c r="J2232">
        <v>3657</v>
      </c>
      <c r="K2232">
        <v>0.05</v>
      </c>
      <c r="L2232">
        <v>17370.75</v>
      </c>
      <c r="M2232">
        <v>10283.61</v>
      </c>
      <c r="N2232">
        <v>7087.14</v>
      </c>
      <c r="O2232" t="s">
        <v>80</v>
      </c>
      <c r="P2232" t="s">
        <v>87</v>
      </c>
    </row>
    <row r="2233" spans="1:16" x14ac:dyDescent="0.25">
      <c r="A2233">
        <v>2232</v>
      </c>
      <c r="B2233" s="2">
        <v>45958</v>
      </c>
      <c r="C2233" t="s">
        <v>20</v>
      </c>
      <c r="D2233" t="s">
        <v>26</v>
      </c>
      <c r="E2233" t="s">
        <v>33</v>
      </c>
      <c r="F2233" t="s">
        <v>46</v>
      </c>
      <c r="G2233" t="s">
        <v>70</v>
      </c>
      <c r="H2233" t="s">
        <v>74</v>
      </c>
      <c r="I2233">
        <v>2</v>
      </c>
      <c r="J2233">
        <v>43221</v>
      </c>
      <c r="K2233">
        <v>0.1</v>
      </c>
      <c r="L2233">
        <v>77797.8</v>
      </c>
      <c r="M2233">
        <v>60520.800000000003</v>
      </c>
      <c r="N2233">
        <v>17277</v>
      </c>
      <c r="O2233" t="s">
        <v>77</v>
      </c>
      <c r="P2233" t="s">
        <v>81</v>
      </c>
    </row>
    <row r="2234" spans="1:16" x14ac:dyDescent="0.25">
      <c r="A2234">
        <v>2233</v>
      </c>
      <c r="B2234" s="2">
        <v>46018</v>
      </c>
      <c r="C2234" t="s">
        <v>20</v>
      </c>
      <c r="D2234" t="s">
        <v>26</v>
      </c>
      <c r="E2234" t="s">
        <v>33</v>
      </c>
      <c r="F2234" t="s">
        <v>46</v>
      </c>
      <c r="G2234" t="s">
        <v>70</v>
      </c>
      <c r="H2234" t="s">
        <v>74</v>
      </c>
      <c r="I2234">
        <v>8</v>
      </c>
      <c r="J2234">
        <v>25754</v>
      </c>
      <c r="K2234">
        <v>0</v>
      </c>
      <c r="L2234">
        <v>206032</v>
      </c>
      <c r="M2234">
        <v>127834.89</v>
      </c>
      <c r="N2234">
        <v>78197.11</v>
      </c>
      <c r="O2234" t="s">
        <v>80</v>
      </c>
      <c r="P2234" t="s">
        <v>87</v>
      </c>
    </row>
    <row r="2235" spans="1:16" x14ac:dyDescent="0.25">
      <c r="A2235">
        <v>2234</v>
      </c>
      <c r="B2235" s="2">
        <v>45926</v>
      </c>
      <c r="C2235" t="s">
        <v>20</v>
      </c>
      <c r="D2235" t="s">
        <v>26</v>
      </c>
      <c r="E2235" t="s">
        <v>32</v>
      </c>
      <c r="F2235" t="s">
        <v>62</v>
      </c>
      <c r="G2235" t="s">
        <v>70</v>
      </c>
      <c r="H2235" t="s">
        <v>74</v>
      </c>
      <c r="I2235">
        <v>1</v>
      </c>
      <c r="J2235">
        <v>24903</v>
      </c>
      <c r="K2235">
        <v>0.1</v>
      </c>
      <c r="L2235">
        <v>22412.7</v>
      </c>
      <c r="M2235">
        <v>18890.57</v>
      </c>
      <c r="N2235">
        <v>3522.13</v>
      </c>
      <c r="O2235" t="s">
        <v>77</v>
      </c>
      <c r="P2235" t="s">
        <v>84</v>
      </c>
    </row>
    <row r="2236" spans="1:16" x14ac:dyDescent="0.25">
      <c r="A2236">
        <v>2235</v>
      </c>
      <c r="B2236" s="2">
        <v>45867</v>
      </c>
      <c r="C2236" t="s">
        <v>22</v>
      </c>
      <c r="D2236" t="s">
        <v>24</v>
      </c>
      <c r="E2236" t="s">
        <v>34</v>
      </c>
      <c r="F2236" t="s">
        <v>68</v>
      </c>
      <c r="G2236" t="s">
        <v>70</v>
      </c>
      <c r="H2236" t="s">
        <v>73</v>
      </c>
      <c r="I2236">
        <v>1</v>
      </c>
      <c r="J2236">
        <v>1834</v>
      </c>
      <c r="K2236">
        <v>0.15</v>
      </c>
      <c r="L2236">
        <v>1558.9</v>
      </c>
      <c r="M2236">
        <v>969.79</v>
      </c>
      <c r="N2236">
        <v>589.11</v>
      </c>
      <c r="O2236" t="s">
        <v>76</v>
      </c>
      <c r="P2236" t="s">
        <v>83</v>
      </c>
    </row>
    <row r="2237" spans="1:16" x14ac:dyDescent="0.25">
      <c r="A2237">
        <v>2236</v>
      </c>
      <c r="B2237" s="2">
        <v>45828</v>
      </c>
      <c r="C2237" t="s">
        <v>22</v>
      </c>
      <c r="D2237" t="s">
        <v>24</v>
      </c>
      <c r="E2237" t="s">
        <v>29</v>
      </c>
      <c r="F2237" t="s">
        <v>53</v>
      </c>
      <c r="G2237" t="s">
        <v>72</v>
      </c>
      <c r="H2237" t="s">
        <v>75</v>
      </c>
      <c r="I2237">
        <v>3</v>
      </c>
      <c r="J2237">
        <v>11787</v>
      </c>
      <c r="K2237">
        <v>0.05</v>
      </c>
      <c r="L2237">
        <v>33592.949999999997</v>
      </c>
      <c r="M2237">
        <v>19314.78</v>
      </c>
      <c r="N2237">
        <v>14278.17</v>
      </c>
      <c r="O2237" t="s">
        <v>79</v>
      </c>
      <c r="P2237" t="s">
        <v>84</v>
      </c>
    </row>
    <row r="2238" spans="1:16" x14ac:dyDescent="0.25">
      <c r="A2238">
        <v>2237</v>
      </c>
      <c r="B2238" s="2">
        <v>45812</v>
      </c>
      <c r="C2238" t="s">
        <v>22</v>
      </c>
      <c r="D2238" t="s">
        <v>24</v>
      </c>
      <c r="E2238" t="s">
        <v>32</v>
      </c>
      <c r="F2238" t="s">
        <v>39</v>
      </c>
      <c r="G2238" t="s">
        <v>72</v>
      </c>
      <c r="H2238" t="s">
        <v>75</v>
      </c>
      <c r="I2238">
        <v>5</v>
      </c>
      <c r="J2238">
        <v>17457</v>
      </c>
      <c r="K2238">
        <v>0.1</v>
      </c>
      <c r="L2238">
        <v>78556.5</v>
      </c>
      <c r="M2238">
        <v>47426.71</v>
      </c>
      <c r="N2238">
        <v>31129.79</v>
      </c>
      <c r="O2238" t="s">
        <v>76</v>
      </c>
      <c r="P2238" t="s">
        <v>87</v>
      </c>
    </row>
    <row r="2239" spans="1:16" x14ac:dyDescent="0.25">
      <c r="A2239">
        <v>2238</v>
      </c>
      <c r="B2239" s="2">
        <v>45716</v>
      </c>
      <c r="C2239" t="s">
        <v>16</v>
      </c>
      <c r="D2239" t="s">
        <v>24</v>
      </c>
      <c r="E2239" t="s">
        <v>29</v>
      </c>
      <c r="F2239" t="s">
        <v>57</v>
      </c>
      <c r="G2239" t="s">
        <v>72</v>
      </c>
      <c r="H2239" t="s">
        <v>75</v>
      </c>
      <c r="I2239">
        <v>7</v>
      </c>
      <c r="J2239">
        <v>4214</v>
      </c>
      <c r="K2239">
        <v>0.05</v>
      </c>
      <c r="L2239">
        <v>28023.1</v>
      </c>
      <c r="M2239">
        <v>16634.2</v>
      </c>
      <c r="N2239">
        <v>11388.9</v>
      </c>
      <c r="O2239" t="s">
        <v>78</v>
      </c>
      <c r="P2239" t="s">
        <v>87</v>
      </c>
    </row>
    <row r="2240" spans="1:16" x14ac:dyDescent="0.25">
      <c r="A2240">
        <v>2239</v>
      </c>
      <c r="B2240" s="2">
        <v>45776</v>
      </c>
      <c r="C2240" t="s">
        <v>20</v>
      </c>
      <c r="D2240" t="s">
        <v>26</v>
      </c>
      <c r="E2240" t="s">
        <v>30</v>
      </c>
      <c r="F2240" t="s">
        <v>40</v>
      </c>
      <c r="G2240" t="s">
        <v>72</v>
      </c>
      <c r="H2240" t="s">
        <v>73</v>
      </c>
      <c r="I2240">
        <v>1</v>
      </c>
      <c r="J2240">
        <v>61449</v>
      </c>
      <c r="K2240">
        <v>0.1</v>
      </c>
      <c r="L2240">
        <v>55304.1</v>
      </c>
      <c r="M2240">
        <v>42768.15</v>
      </c>
      <c r="N2240">
        <v>12535.95</v>
      </c>
      <c r="O2240" t="s">
        <v>78</v>
      </c>
      <c r="P2240" t="s">
        <v>87</v>
      </c>
    </row>
    <row r="2241" spans="1:16" x14ac:dyDescent="0.25">
      <c r="A2241">
        <v>2240</v>
      </c>
      <c r="B2241" s="2">
        <v>45735</v>
      </c>
      <c r="C2241" t="s">
        <v>23</v>
      </c>
      <c r="D2241" t="s">
        <v>27</v>
      </c>
      <c r="E2241" t="s">
        <v>28</v>
      </c>
      <c r="F2241" t="s">
        <v>35</v>
      </c>
      <c r="G2241" t="s">
        <v>72</v>
      </c>
      <c r="H2241" t="s">
        <v>74</v>
      </c>
      <c r="I2241">
        <v>6</v>
      </c>
      <c r="J2241">
        <v>439</v>
      </c>
      <c r="K2241">
        <v>0.15</v>
      </c>
      <c r="L2241">
        <v>2238.9</v>
      </c>
      <c r="M2241">
        <v>1911.69</v>
      </c>
      <c r="N2241">
        <v>327.20999999999998</v>
      </c>
      <c r="O2241" t="s">
        <v>80</v>
      </c>
      <c r="P2241" t="s">
        <v>81</v>
      </c>
    </row>
    <row r="2242" spans="1:16" x14ac:dyDescent="0.25">
      <c r="A2242">
        <v>2241</v>
      </c>
      <c r="B2242" s="2">
        <v>45774</v>
      </c>
      <c r="C2242" t="s">
        <v>23</v>
      </c>
      <c r="D2242" t="s">
        <v>27</v>
      </c>
      <c r="E2242" t="s">
        <v>33</v>
      </c>
      <c r="F2242" t="s">
        <v>41</v>
      </c>
      <c r="G2242" t="s">
        <v>71</v>
      </c>
      <c r="H2242" t="s">
        <v>74</v>
      </c>
      <c r="I2242">
        <v>7</v>
      </c>
      <c r="J2242">
        <v>44270</v>
      </c>
      <c r="K2242">
        <v>0.05</v>
      </c>
      <c r="L2242">
        <v>294395.5</v>
      </c>
      <c r="M2242">
        <v>182502.76</v>
      </c>
      <c r="N2242">
        <v>111892.74</v>
      </c>
      <c r="O2242" t="s">
        <v>76</v>
      </c>
      <c r="P2242" t="s">
        <v>83</v>
      </c>
    </row>
    <row r="2243" spans="1:16" x14ac:dyDescent="0.25">
      <c r="A2243">
        <v>2242</v>
      </c>
      <c r="B2243" s="2">
        <v>45948</v>
      </c>
      <c r="C2243" t="s">
        <v>22</v>
      </c>
      <c r="D2243" t="s">
        <v>24</v>
      </c>
      <c r="E2243" t="s">
        <v>33</v>
      </c>
      <c r="F2243" t="s">
        <v>41</v>
      </c>
      <c r="G2243" t="s">
        <v>72</v>
      </c>
      <c r="H2243" t="s">
        <v>73</v>
      </c>
      <c r="I2243">
        <v>1</v>
      </c>
      <c r="J2243">
        <v>31277</v>
      </c>
      <c r="K2243">
        <v>0.05</v>
      </c>
      <c r="L2243">
        <v>29713.15</v>
      </c>
      <c r="M2243">
        <v>19812.96</v>
      </c>
      <c r="N2243">
        <v>9900.19</v>
      </c>
      <c r="O2243" t="s">
        <v>78</v>
      </c>
      <c r="P2243" t="s">
        <v>86</v>
      </c>
    </row>
    <row r="2244" spans="1:16" x14ac:dyDescent="0.25">
      <c r="A2244">
        <v>2243</v>
      </c>
      <c r="B2244" s="2">
        <v>45680</v>
      </c>
      <c r="C2244" t="s">
        <v>20</v>
      </c>
      <c r="D2244" t="s">
        <v>26</v>
      </c>
      <c r="E2244" t="s">
        <v>34</v>
      </c>
      <c r="F2244" t="s">
        <v>65</v>
      </c>
      <c r="G2244" t="s">
        <v>70</v>
      </c>
      <c r="H2244" t="s">
        <v>74</v>
      </c>
      <c r="I2244">
        <v>5</v>
      </c>
      <c r="J2244">
        <v>3935</v>
      </c>
      <c r="K2244">
        <v>0.05</v>
      </c>
      <c r="L2244">
        <v>18691.25</v>
      </c>
      <c r="M2244">
        <v>14218.16</v>
      </c>
      <c r="N2244">
        <v>4473.09</v>
      </c>
      <c r="O2244" t="s">
        <v>78</v>
      </c>
      <c r="P2244" t="s">
        <v>85</v>
      </c>
    </row>
    <row r="2245" spans="1:16" x14ac:dyDescent="0.25">
      <c r="A2245">
        <v>2244</v>
      </c>
      <c r="B2245" s="2">
        <v>46005</v>
      </c>
      <c r="C2245" t="s">
        <v>22</v>
      </c>
      <c r="D2245" t="s">
        <v>24</v>
      </c>
      <c r="E2245" t="s">
        <v>32</v>
      </c>
      <c r="F2245" t="s">
        <v>66</v>
      </c>
      <c r="G2245" t="s">
        <v>71</v>
      </c>
      <c r="H2245" t="s">
        <v>74</v>
      </c>
      <c r="I2245">
        <v>2</v>
      </c>
      <c r="J2245">
        <v>13912</v>
      </c>
      <c r="K2245">
        <v>0.2</v>
      </c>
      <c r="L2245">
        <v>22259.200000000001</v>
      </c>
      <c r="M2245">
        <v>13601.5</v>
      </c>
      <c r="N2245">
        <v>8657.7000000000007</v>
      </c>
      <c r="O2245" t="s">
        <v>78</v>
      </c>
      <c r="P2245" t="s">
        <v>81</v>
      </c>
    </row>
    <row r="2246" spans="1:16" x14ac:dyDescent="0.25">
      <c r="A2246">
        <v>2245</v>
      </c>
      <c r="B2246" s="2">
        <v>45793</v>
      </c>
      <c r="C2246" t="s">
        <v>20</v>
      </c>
      <c r="D2246" t="s">
        <v>26</v>
      </c>
      <c r="E2246" t="s">
        <v>29</v>
      </c>
      <c r="F2246" t="s">
        <v>36</v>
      </c>
      <c r="G2246" t="s">
        <v>72</v>
      </c>
      <c r="H2246" t="s">
        <v>75</v>
      </c>
      <c r="I2246">
        <v>2</v>
      </c>
      <c r="J2246">
        <v>9769</v>
      </c>
      <c r="K2246">
        <v>0.1</v>
      </c>
      <c r="L2246">
        <v>17584.2</v>
      </c>
      <c r="M2246">
        <v>12684.6</v>
      </c>
      <c r="N2246">
        <v>4899.6000000000004</v>
      </c>
      <c r="O2246" t="s">
        <v>80</v>
      </c>
      <c r="P2246" t="s">
        <v>84</v>
      </c>
    </row>
    <row r="2247" spans="1:16" x14ac:dyDescent="0.25">
      <c r="A2247">
        <v>2246</v>
      </c>
      <c r="B2247" s="2">
        <v>45887</v>
      </c>
      <c r="C2247" t="s">
        <v>20</v>
      </c>
      <c r="D2247" t="s">
        <v>26</v>
      </c>
      <c r="E2247" t="s">
        <v>32</v>
      </c>
      <c r="F2247" t="s">
        <v>49</v>
      </c>
      <c r="G2247" t="s">
        <v>72</v>
      </c>
      <c r="H2247" t="s">
        <v>73</v>
      </c>
      <c r="I2247">
        <v>2</v>
      </c>
      <c r="J2247">
        <v>11759</v>
      </c>
      <c r="K2247">
        <v>0.1</v>
      </c>
      <c r="L2247">
        <v>21166.2</v>
      </c>
      <c r="M2247">
        <v>14520.61</v>
      </c>
      <c r="N2247">
        <v>6645.59</v>
      </c>
      <c r="O2247" t="s">
        <v>79</v>
      </c>
      <c r="P2247" t="s">
        <v>83</v>
      </c>
    </row>
    <row r="2248" spans="1:16" x14ac:dyDescent="0.25">
      <c r="A2248">
        <v>2247</v>
      </c>
      <c r="B2248" s="2">
        <v>45664</v>
      </c>
      <c r="C2248" t="s">
        <v>21</v>
      </c>
      <c r="D2248" t="s">
        <v>24</v>
      </c>
      <c r="E2248" t="s">
        <v>31</v>
      </c>
      <c r="F2248" t="s">
        <v>38</v>
      </c>
      <c r="G2248" t="s">
        <v>70</v>
      </c>
      <c r="H2248" t="s">
        <v>75</v>
      </c>
      <c r="I2248">
        <v>1</v>
      </c>
      <c r="J2248">
        <v>735</v>
      </c>
      <c r="K2248">
        <v>0.05</v>
      </c>
      <c r="L2248">
        <v>698.25</v>
      </c>
      <c r="M2248">
        <v>583.19000000000005</v>
      </c>
      <c r="N2248">
        <v>115.06</v>
      </c>
      <c r="O2248" t="s">
        <v>78</v>
      </c>
      <c r="P2248" t="s">
        <v>82</v>
      </c>
    </row>
    <row r="2249" spans="1:16" x14ac:dyDescent="0.25">
      <c r="A2249">
        <v>2248</v>
      </c>
      <c r="B2249" s="2">
        <v>45829</v>
      </c>
      <c r="C2249" t="s">
        <v>21</v>
      </c>
      <c r="D2249" t="s">
        <v>24</v>
      </c>
      <c r="E2249" t="s">
        <v>30</v>
      </c>
      <c r="F2249" t="s">
        <v>37</v>
      </c>
      <c r="G2249" t="s">
        <v>70</v>
      </c>
      <c r="H2249" t="s">
        <v>75</v>
      </c>
      <c r="I2249">
        <v>7</v>
      </c>
      <c r="J2249">
        <v>57587</v>
      </c>
      <c r="K2249">
        <v>0.1</v>
      </c>
      <c r="L2249">
        <v>362798.1</v>
      </c>
      <c r="M2249">
        <v>283523.20000000001</v>
      </c>
      <c r="N2249">
        <v>79274.899999999994</v>
      </c>
      <c r="O2249" t="s">
        <v>76</v>
      </c>
      <c r="P2249" t="s">
        <v>84</v>
      </c>
    </row>
    <row r="2250" spans="1:16" x14ac:dyDescent="0.25">
      <c r="A2250">
        <v>2249</v>
      </c>
      <c r="B2250" s="2">
        <v>45867</v>
      </c>
      <c r="C2250" t="s">
        <v>20</v>
      </c>
      <c r="D2250" t="s">
        <v>26</v>
      </c>
      <c r="E2250" t="s">
        <v>33</v>
      </c>
      <c r="F2250" t="s">
        <v>59</v>
      </c>
      <c r="G2250" t="s">
        <v>70</v>
      </c>
      <c r="H2250" t="s">
        <v>74</v>
      </c>
      <c r="I2250">
        <v>4</v>
      </c>
      <c r="J2250">
        <v>45374</v>
      </c>
      <c r="K2250">
        <v>0.15</v>
      </c>
      <c r="L2250">
        <v>154271.6</v>
      </c>
      <c r="M2250">
        <v>112283.74</v>
      </c>
      <c r="N2250">
        <v>41987.86</v>
      </c>
      <c r="O2250" t="s">
        <v>78</v>
      </c>
      <c r="P2250" t="s">
        <v>81</v>
      </c>
    </row>
    <row r="2251" spans="1:16" x14ac:dyDescent="0.25">
      <c r="A2251">
        <v>2250</v>
      </c>
      <c r="B2251" s="2">
        <v>45893</v>
      </c>
      <c r="C2251" t="s">
        <v>17</v>
      </c>
      <c r="D2251" t="s">
        <v>25</v>
      </c>
      <c r="E2251" t="s">
        <v>34</v>
      </c>
      <c r="F2251" t="s">
        <v>68</v>
      </c>
      <c r="G2251" t="s">
        <v>71</v>
      </c>
      <c r="H2251" t="s">
        <v>75</v>
      </c>
      <c r="I2251">
        <v>4</v>
      </c>
      <c r="J2251">
        <v>2828</v>
      </c>
      <c r="K2251">
        <v>0.1</v>
      </c>
      <c r="L2251">
        <v>10180.799999999999</v>
      </c>
      <c r="M2251">
        <v>7605.54</v>
      </c>
      <c r="N2251">
        <v>2575.2600000000002</v>
      </c>
      <c r="O2251" t="s">
        <v>79</v>
      </c>
      <c r="P2251" t="s">
        <v>88</v>
      </c>
    </row>
    <row r="2252" spans="1:16" x14ac:dyDescent="0.25">
      <c r="A2252">
        <v>2251</v>
      </c>
      <c r="B2252" s="2">
        <v>45999</v>
      </c>
      <c r="C2252" t="s">
        <v>22</v>
      </c>
      <c r="D2252" t="s">
        <v>24</v>
      </c>
      <c r="E2252" t="s">
        <v>31</v>
      </c>
      <c r="F2252" t="s">
        <v>47</v>
      </c>
      <c r="G2252" t="s">
        <v>71</v>
      </c>
      <c r="H2252" t="s">
        <v>73</v>
      </c>
      <c r="I2252">
        <v>8</v>
      </c>
      <c r="J2252">
        <v>1179</v>
      </c>
      <c r="K2252">
        <v>0</v>
      </c>
      <c r="L2252">
        <v>9432</v>
      </c>
      <c r="M2252">
        <v>6411.8</v>
      </c>
      <c r="N2252">
        <v>3020.2</v>
      </c>
      <c r="O2252" t="s">
        <v>78</v>
      </c>
      <c r="P2252" t="s">
        <v>81</v>
      </c>
    </row>
    <row r="2253" spans="1:16" x14ac:dyDescent="0.25">
      <c r="A2253">
        <v>2252</v>
      </c>
      <c r="B2253" s="2">
        <v>45705</v>
      </c>
      <c r="C2253" t="s">
        <v>20</v>
      </c>
      <c r="D2253" t="s">
        <v>26</v>
      </c>
      <c r="E2253" t="s">
        <v>33</v>
      </c>
      <c r="F2253" t="s">
        <v>52</v>
      </c>
      <c r="G2253" t="s">
        <v>71</v>
      </c>
      <c r="H2253" t="s">
        <v>73</v>
      </c>
      <c r="I2253">
        <v>4</v>
      </c>
      <c r="J2253">
        <v>42721</v>
      </c>
      <c r="K2253">
        <v>0.15</v>
      </c>
      <c r="L2253">
        <v>145251.4</v>
      </c>
      <c r="M2253">
        <v>119830.57</v>
      </c>
      <c r="N2253">
        <v>25420.83</v>
      </c>
      <c r="O2253" t="s">
        <v>77</v>
      </c>
      <c r="P2253" t="s">
        <v>81</v>
      </c>
    </row>
    <row r="2254" spans="1:16" x14ac:dyDescent="0.25">
      <c r="A2254">
        <v>2253</v>
      </c>
      <c r="B2254" s="2">
        <v>45746</v>
      </c>
      <c r="C2254" t="s">
        <v>20</v>
      </c>
      <c r="D2254" t="s">
        <v>26</v>
      </c>
      <c r="E2254" t="s">
        <v>28</v>
      </c>
      <c r="F2254" t="s">
        <v>63</v>
      </c>
      <c r="G2254" t="s">
        <v>72</v>
      </c>
      <c r="H2254" t="s">
        <v>75</v>
      </c>
      <c r="I2254">
        <v>3</v>
      </c>
      <c r="J2254">
        <v>1556</v>
      </c>
      <c r="K2254">
        <v>0.2</v>
      </c>
      <c r="L2254">
        <v>3734.4</v>
      </c>
      <c r="M2254">
        <v>2691.85</v>
      </c>
      <c r="N2254">
        <v>1042.55</v>
      </c>
      <c r="O2254" t="s">
        <v>78</v>
      </c>
      <c r="P2254" t="s">
        <v>83</v>
      </c>
    </row>
    <row r="2255" spans="1:16" x14ac:dyDescent="0.25">
      <c r="A2255">
        <v>2254</v>
      </c>
      <c r="B2255" s="2">
        <v>45824</v>
      </c>
      <c r="C2255" t="s">
        <v>20</v>
      </c>
      <c r="D2255" t="s">
        <v>26</v>
      </c>
      <c r="E2255" t="s">
        <v>28</v>
      </c>
      <c r="F2255" t="s">
        <v>63</v>
      </c>
      <c r="G2255" t="s">
        <v>72</v>
      </c>
      <c r="H2255" t="s">
        <v>75</v>
      </c>
      <c r="I2255">
        <v>1</v>
      </c>
      <c r="J2255">
        <v>1658</v>
      </c>
      <c r="K2255">
        <v>0.15</v>
      </c>
      <c r="L2255">
        <v>1409.3</v>
      </c>
      <c r="M2255">
        <v>1163.44</v>
      </c>
      <c r="N2255">
        <v>245.86</v>
      </c>
      <c r="O2255" t="s">
        <v>77</v>
      </c>
      <c r="P2255" t="s">
        <v>84</v>
      </c>
    </row>
    <row r="2256" spans="1:16" x14ac:dyDescent="0.25">
      <c r="A2256">
        <v>2255</v>
      </c>
      <c r="B2256" s="2">
        <v>46006</v>
      </c>
      <c r="C2256" t="s">
        <v>16</v>
      </c>
      <c r="D2256" t="s">
        <v>24</v>
      </c>
      <c r="E2256" t="s">
        <v>30</v>
      </c>
      <c r="F2256" t="s">
        <v>40</v>
      </c>
      <c r="G2256" t="s">
        <v>71</v>
      </c>
      <c r="H2256" t="s">
        <v>73</v>
      </c>
      <c r="I2256">
        <v>6</v>
      </c>
      <c r="J2256">
        <v>19513</v>
      </c>
      <c r="K2256">
        <v>0.15</v>
      </c>
      <c r="L2256">
        <v>99516.3</v>
      </c>
      <c r="M2256">
        <v>55357.65</v>
      </c>
      <c r="N2256">
        <v>44158.65</v>
      </c>
      <c r="O2256" t="s">
        <v>79</v>
      </c>
      <c r="P2256" t="s">
        <v>87</v>
      </c>
    </row>
    <row r="2257" spans="1:16" x14ac:dyDescent="0.25">
      <c r="A2257">
        <v>2256</v>
      </c>
      <c r="B2257" s="2">
        <v>45923</v>
      </c>
      <c r="C2257" t="s">
        <v>16</v>
      </c>
      <c r="D2257" t="s">
        <v>24</v>
      </c>
      <c r="E2257" t="s">
        <v>33</v>
      </c>
      <c r="F2257" t="s">
        <v>41</v>
      </c>
      <c r="G2257" t="s">
        <v>71</v>
      </c>
      <c r="H2257" t="s">
        <v>73</v>
      </c>
      <c r="I2257">
        <v>8</v>
      </c>
      <c r="J2257">
        <v>28911</v>
      </c>
      <c r="K2257">
        <v>0.1</v>
      </c>
      <c r="L2257">
        <v>208159.2</v>
      </c>
      <c r="M2257">
        <v>131435.85</v>
      </c>
      <c r="N2257">
        <v>76723.350000000006</v>
      </c>
      <c r="O2257" t="s">
        <v>78</v>
      </c>
      <c r="P2257" t="s">
        <v>85</v>
      </c>
    </row>
    <row r="2258" spans="1:16" x14ac:dyDescent="0.25">
      <c r="A2258">
        <v>2257</v>
      </c>
      <c r="B2258" s="2">
        <v>45780</v>
      </c>
      <c r="C2258" t="s">
        <v>21</v>
      </c>
      <c r="D2258" t="s">
        <v>24</v>
      </c>
      <c r="E2258" t="s">
        <v>31</v>
      </c>
      <c r="F2258" t="s">
        <v>38</v>
      </c>
      <c r="G2258" t="s">
        <v>70</v>
      </c>
      <c r="H2258" t="s">
        <v>73</v>
      </c>
      <c r="I2258">
        <v>2</v>
      </c>
      <c r="J2258">
        <v>872</v>
      </c>
      <c r="K2258">
        <v>0</v>
      </c>
      <c r="L2258">
        <v>1744</v>
      </c>
      <c r="M2258">
        <v>972.56</v>
      </c>
      <c r="N2258">
        <v>771.44</v>
      </c>
      <c r="O2258" t="s">
        <v>80</v>
      </c>
      <c r="P2258" t="s">
        <v>81</v>
      </c>
    </row>
    <row r="2259" spans="1:16" x14ac:dyDescent="0.25">
      <c r="A2259">
        <v>2258</v>
      </c>
      <c r="B2259" s="2">
        <v>45701</v>
      </c>
      <c r="C2259" t="s">
        <v>21</v>
      </c>
      <c r="D2259" t="s">
        <v>24</v>
      </c>
      <c r="E2259" t="s">
        <v>33</v>
      </c>
      <c r="F2259" t="s">
        <v>59</v>
      </c>
      <c r="G2259" t="s">
        <v>72</v>
      </c>
      <c r="H2259" t="s">
        <v>75</v>
      </c>
      <c r="I2259">
        <v>7</v>
      </c>
      <c r="J2259">
        <v>18859</v>
      </c>
      <c r="K2259">
        <v>0.05</v>
      </c>
      <c r="L2259">
        <v>125412.35</v>
      </c>
      <c r="M2259">
        <v>91482.67</v>
      </c>
      <c r="N2259">
        <v>33929.68</v>
      </c>
      <c r="O2259" t="s">
        <v>79</v>
      </c>
      <c r="P2259" t="s">
        <v>82</v>
      </c>
    </row>
    <row r="2260" spans="1:16" x14ac:dyDescent="0.25">
      <c r="A2260">
        <v>2259</v>
      </c>
      <c r="B2260" s="2">
        <v>45826</v>
      </c>
      <c r="C2260" t="s">
        <v>20</v>
      </c>
      <c r="D2260" t="s">
        <v>26</v>
      </c>
      <c r="E2260" t="s">
        <v>29</v>
      </c>
      <c r="F2260" t="s">
        <v>45</v>
      </c>
      <c r="G2260" t="s">
        <v>70</v>
      </c>
      <c r="H2260" t="s">
        <v>75</v>
      </c>
      <c r="I2260">
        <v>5</v>
      </c>
      <c r="J2260">
        <v>9861</v>
      </c>
      <c r="K2260">
        <v>0</v>
      </c>
      <c r="L2260">
        <v>49305</v>
      </c>
      <c r="M2260">
        <v>27453.599999999999</v>
      </c>
      <c r="N2260">
        <v>21851.4</v>
      </c>
      <c r="O2260" t="s">
        <v>78</v>
      </c>
      <c r="P2260" t="s">
        <v>84</v>
      </c>
    </row>
    <row r="2261" spans="1:16" x14ac:dyDescent="0.25">
      <c r="A2261">
        <v>2260</v>
      </c>
      <c r="B2261" s="2">
        <v>45752</v>
      </c>
      <c r="C2261" t="s">
        <v>20</v>
      </c>
      <c r="D2261" t="s">
        <v>26</v>
      </c>
      <c r="E2261" t="s">
        <v>28</v>
      </c>
      <c r="F2261" t="s">
        <v>61</v>
      </c>
      <c r="G2261" t="s">
        <v>72</v>
      </c>
      <c r="H2261" t="s">
        <v>75</v>
      </c>
      <c r="I2261">
        <v>5</v>
      </c>
      <c r="J2261">
        <v>255</v>
      </c>
      <c r="K2261">
        <v>0.1</v>
      </c>
      <c r="L2261">
        <v>1147.5</v>
      </c>
      <c r="M2261">
        <v>943.4</v>
      </c>
      <c r="N2261">
        <v>204.1</v>
      </c>
      <c r="O2261" t="s">
        <v>77</v>
      </c>
      <c r="P2261" t="s">
        <v>85</v>
      </c>
    </row>
    <row r="2262" spans="1:16" x14ac:dyDescent="0.25">
      <c r="A2262">
        <v>2261</v>
      </c>
      <c r="B2262" s="2">
        <v>45775</v>
      </c>
      <c r="C2262" t="s">
        <v>21</v>
      </c>
      <c r="D2262" t="s">
        <v>24</v>
      </c>
      <c r="E2262" t="s">
        <v>30</v>
      </c>
      <c r="F2262" t="s">
        <v>37</v>
      </c>
      <c r="G2262" t="s">
        <v>70</v>
      </c>
      <c r="H2262" t="s">
        <v>74</v>
      </c>
      <c r="I2262">
        <v>6</v>
      </c>
      <c r="J2262">
        <v>55322</v>
      </c>
      <c r="K2262">
        <v>0</v>
      </c>
      <c r="L2262">
        <v>331932</v>
      </c>
      <c r="M2262">
        <v>280291.09999999998</v>
      </c>
      <c r="N2262">
        <v>51640.9</v>
      </c>
      <c r="O2262" t="s">
        <v>76</v>
      </c>
      <c r="P2262" t="s">
        <v>87</v>
      </c>
    </row>
    <row r="2263" spans="1:16" x14ac:dyDescent="0.25">
      <c r="A2263">
        <v>2262</v>
      </c>
      <c r="B2263" s="2">
        <v>45892</v>
      </c>
      <c r="C2263" t="s">
        <v>17</v>
      </c>
      <c r="D2263" t="s">
        <v>25</v>
      </c>
      <c r="E2263" t="s">
        <v>32</v>
      </c>
      <c r="F2263" t="s">
        <v>66</v>
      </c>
      <c r="G2263" t="s">
        <v>71</v>
      </c>
      <c r="H2263" t="s">
        <v>74</v>
      </c>
      <c r="I2263">
        <v>8</v>
      </c>
      <c r="J2263">
        <v>20011</v>
      </c>
      <c r="K2263">
        <v>0.1</v>
      </c>
      <c r="L2263">
        <v>144079.20000000001</v>
      </c>
      <c r="M2263">
        <v>100404.09</v>
      </c>
      <c r="N2263">
        <v>43675.11</v>
      </c>
      <c r="O2263" t="s">
        <v>76</v>
      </c>
      <c r="P2263" t="s">
        <v>84</v>
      </c>
    </row>
    <row r="2264" spans="1:16" x14ac:dyDescent="0.25">
      <c r="A2264">
        <v>2263</v>
      </c>
      <c r="B2264" s="2">
        <v>45740</v>
      </c>
      <c r="C2264" t="s">
        <v>20</v>
      </c>
      <c r="D2264" t="s">
        <v>26</v>
      </c>
      <c r="E2264" t="s">
        <v>32</v>
      </c>
      <c r="F2264" t="s">
        <v>62</v>
      </c>
      <c r="G2264" t="s">
        <v>72</v>
      </c>
      <c r="H2264" t="s">
        <v>75</v>
      </c>
      <c r="I2264">
        <v>4</v>
      </c>
      <c r="J2264">
        <v>24241</v>
      </c>
      <c r="K2264">
        <v>0.15</v>
      </c>
      <c r="L2264">
        <v>82419.399999999994</v>
      </c>
      <c r="M2264">
        <v>49315.21</v>
      </c>
      <c r="N2264">
        <v>33104.19</v>
      </c>
      <c r="O2264" t="s">
        <v>80</v>
      </c>
      <c r="P2264" t="s">
        <v>85</v>
      </c>
    </row>
    <row r="2265" spans="1:16" x14ac:dyDescent="0.25">
      <c r="A2265">
        <v>2264</v>
      </c>
      <c r="B2265" s="2">
        <v>45962</v>
      </c>
      <c r="C2265" t="s">
        <v>22</v>
      </c>
      <c r="D2265" t="s">
        <v>24</v>
      </c>
      <c r="E2265" t="s">
        <v>34</v>
      </c>
      <c r="F2265" t="s">
        <v>55</v>
      </c>
      <c r="G2265" t="s">
        <v>70</v>
      </c>
      <c r="H2265" t="s">
        <v>74</v>
      </c>
      <c r="I2265">
        <v>6</v>
      </c>
      <c r="J2265">
        <v>5301</v>
      </c>
      <c r="K2265">
        <v>0.1</v>
      </c>
      <c r="L2265">
        <v>28625.4</v>
      </c>
      <c r="M2265">
        <v>18713.21</v>
      </c>
      <c r="N2265">
        <v>9912.19</v>
      </c>
      <c r="O2265" t="s">
        <v>78</v>
      </c>
      <c r="P2265" t="s">
        <v>88</v>
      </c>
    </row>
    <row r="2266" spans="1:16" x14ac:dyDescent="0.25">
      <c r="A2266">
        <v>2265</v>
      </c>
      <c r="B2266" s="2">
        <v>45897</v>
      </c>
      <c r="C2266" t="s">
        <v>21</v>
      </c>
      <c r="D2266" t="s">
        <v>24</v>
      </c>
      <c r="E2266" t="s">
        <v>28</v>
      </c>
      <c r="F2266" t="s">
        <v>35</v>
      </c>
      <c r="G2266" t="s">
        <v>72</v>
      </c>
      <c r="H2266" t="s">
        <v>74</v>
      </c>
      <c r="I2266">
        <v>6</v>
      </c>
      <c r="J2266">
        <v>179</v>
      </c>
      <c r="K2266">
        <v>0.1</v>
      </c>
      <c r="L2266">
        <v>966.6</v>
      </c>
      <c r="M2266">
        <v>613.79</v>
      </c>
      <c r="N2266">
        <v>352.81</v>
      </c>
      <c r="O2266" t="s">
        <v>78</v>
      </c>
      <c r="P2266" t="s">
        <v>82</v>
      </c>
    </row>
    <row r="2267" spans="1:16" x14ac:dyDescent="0.25">
      <c r="A2267">
        <v>2266</v>
      </c>
      <c r="B2267" s="2">
        <v>45985</v>
      </c>
      <c r="C2267" t="s">
        <v>16</v>
      </c>
      <c r="D2267" t="s">
        <v>24</v>
      </c>
      <c r="E2267" t="s">
        <v>32</v>
      </c>
      <c r="F2267" t="s">
        <v>39</v>
      </c>
      <c r="G2267" t="s">
        <v>70</v>
      </c>
      <c r="H2267" t="s">
        <v>73</v>
      </c>
      <c r="I2267">
        <v>6</v>
      </c>
      <c r="J2267">
        <v>18992</v>
      </c>
      <c r="K2267">
        <v>0.05</v>
      </c>
      <c r="L2267">
        <v>108254.39999999999</v>
      </c>
      <c r="M2267">
        <v>59542.33</v>
      </c>
      <c r="N2267">
        <v>48712.07</v>
      </c>
      <c r="O2267" t="s">
        <v>80</v>
      </c>
      <c r="P2267" t="s">
        <v>85</v>
      </c>
    </row>
    <row r="2268" spans="1:16" x14ac:dyDescent="0.25">
      <c r="A2268">
        <v>2267</v>
      </c>
      <c r="B2268" s="2">
        <v>45937</v>
      </c>
      <c r="C2268" t="s">
        <v>19</v>
      </c>
      <c r="D2268" t="s">
        <v>26</v>
      </c>
      <c r="E2268" t="s">
        <v>32</v>
      </c>
      <c r="F2268" t="s">
        <v>66</v>
      </c>
      <c r="G2268" t="s">
        <v>72</v>
      </c>
      <c r="H2268" t="s">
        <v>75</v>
      </c>
      <c r="I2268">
        <v>8</v>
      </c>
      <c r="J2268">
        <v>24809</v>
      </c>
      <c r="K2268">
        <v>0.05</v>
      </c>
      <c r="L2268">
        <v>188548.4</v>
      </c>
      <c r="M2268">
        <v>125772.71</v>
      </c>
      <c r="N2268">
        <v>62775.69</v>
      </c>
      <c r="O2268" t="s">
        <v>80</v>
      </c>
      <c r="P2268" t="s">
        <v>83</v>
      </c>
    </row>
    <row r="2269" spans="1:16" x14ac:dyDescent="0.25">
      <c r="A2269">
        <v>2268</v>
      </c>
      <c r="B2269" s="2">
        <v>45897</v>
      </c>
      <c r="C2269" t="s">
        <v>22</v>
      </c>
      <c r="D2269" t="s">
        <v>24</v>
      </c>
      <c r="E2269" t="s">
        <v>30</v>
      </c>
      <c r="F2269" t="s">
        <v>44</v>
      </c>
      <c r="G2269" t="s">
        <v>71</v>
      </c>
      <c r="H2269" t="s">
        <v>74</v>
      </c>
      <c r="I2269">
        <v>2</v>
      </c>
      <c r="J2269">
        <v>37666</v>
      </c>
      <c r="K2269">
        <v>0.1</v>
      </c>
      <c r="L2269">
        <v>67798.8</v>
      </c>
      <c r="M2269">
        <v>43466.01</v>
      </c>
      <c r="N2269">
        <v>24332.79</v>
      </c>
      <c r="O2269" t="s">
        <v>79</v>
      </c>
      <c r="P2269" t="s">
        <v>86</v>
      </c>
    </row>
    <row r="2270" spans="1:16" x14ac:dyDescent="0.25">
      <c r="A2270">
        <v>2269</v>
      </c>
      <c r="B2270" s="2">
        <v>46000</v>
      </c>
      <c r="C2270" t="s">
        <v>20</v>
      </c>
      <c r="D2270" t="s">
        <v>26</v>
      </c>
      <c r="E2270" t="s">
        <v>30</v>
      </c>
      <c r="F2270" t="s">
        <v>40</v>
      </c>
      <c r="G2270" t="s">
        <v>72</v>
      </c>
      <c r="H2270" t="s">
        <v>74</v>
      </c>
      <c r="I2270">
        <v>3</v>
      </c>
      <c r="J2270">
        <v>53247</v>
      </c>
      <c r="K2270">
        <v>0.1</v>
      </c>
      <c r="L2270">
        <v>143766.9</v>
      </c>
      <c r="M2270">
        <v>84470.01</v>
      </c>
      <c r="N2270">
        <v>59296.89</v>
      </c>
      <c r="O2270" t="s">
        <v>79</v>
      </c>
      <c r="P2270" t="s">
        <v>85</v>
      </c>
    </row>
    <row r="2271" spans="1:16" x14ac:dyDescent="0.25">
      <c r="A2271">
        <v>2270</v>
      </c>
      <c r="B2271" s="2">
        <v>45679</v>
      </c>
      <c r="C2271" t="s">
        <v>23</v>
      </c>
      <c r="D2271" t="s">
        <v>27</v>
      </c>
      <c r="E2271" t="s">
        <v>34</v>
      </c>
      <c r="F2271" t="s">
        <v>65</v>
      </c>
      <c r="G2271" t="s">
        <v>70</v>
      </c>
      <c r="H2271" t="s">
        <v>75</v>
      </c>
      <c r="I2271">
        <v>5</v>
      </c>
      <c r="J2271">
        <v>4454</v>
      </c>
      <c r="K2271">
        <v>0.15</v>
      </c>
      <c r="L2271">
        <v>18929.5</v>
      </c>
      <c r="M2271">
        <v>15619.9</v>
      </c>
      <c r="N2271">
        <v>3309.6</v>
      </c>
      <c r="O2271" t="s">
        <v>79</v>
      </c>
      <c r="P2271" t="s">
        <v>81</v>
      </c>
    </row>
    <row r="2272" spans="1:16" x14ac:dyDescent="0.25">
      <c r="A2272">
        <v>2271</v>
      </c>
      <c r="B2272" s="2">
        <v>45677</v>
      </c>
      <c r="C2272" t="s">
        <v>16</v>
      </c>
      <c r="D2272" t="s">
        <v>24</v>
      </c>
      <c r="E2272" t="s">
        <v>30</v>
      </c>
      <c r="F2272" t="s">
        <v>64</v>
      </c>
      <c r="G2272" t="s">
        <v>72</v>
      </c>
      <c r="H2272" t="s">
        <v>74</v>
      </c>
      <c r="I2272">
        <v>5</v>
      </c>
      <c r="J2272">
        <v>41873</v>
      </c>
      <c r="K2272">
        <v>0.1</v>
      </c>
      <c r="L2272">
        <v>188428.5</v>
      </c>
      <c r="M2272">
        <v>107339.61</v>
      </c>
      <c r="N2272">
        <v>81088.89</v>
      </c>
      <c r="O2272" t="s">
        <v>78</v>
      </c>
      <c r="P2272" t="s">
        <v>82</v>
      </c>
    </row>
    <row r="2273" spans="1:16" x14ac:dyDescent="0.25">
      <c r="A2273">
        <v>2272</v>
      </c>
      <c r="B2273" s="2">
        <v>45798</v>
      </c>
      <c r="C2273" t="s">
        <v>21</v>
      </c>
      <c r="D2273" t="s">
        <v>24</v>
      </c>
      <c r="E2273" t="s">
        <v>31</v>
      </c>
      <c r="F2273" t="s">
        <v>69</v>
      </c>
      <c r="G2273" t="s">
        <v>71</v>
      </c>
      <c r="H2273" t="s">
        <v>75</v>
      </c>
      <c r="I2273">
        <v>6</v>
      </c>
      <c r="J2273">
        <v>1829</v>
      </c>
      <c r="K2273">
        <v>0.1</v>
      </c>
      <c r="L2273">
        <v>9876.6</v>
      </c>
      <c r="M2273">
        <v>7440.32</v>
      </c>
      <c r="N2273">
        <v>2436.2800000000002</v>
      </c>
      <c r="O2273" t="s">
        <v>76</v>
      </c>
      <c r="P2273" t="s">
        <v>87</v>
      </c>
    </row>
    <row r="2274" spans="1:16" x14ac:dyDescent="0.25">
      <c r="A2274">
        <v>2273</v>
      </c>
      <c r="B2274" s="2">
        <v>45980</v>
      </c>
      <c r="C2274" t="s">
        <v>18</v>
      </c>
      <c r="D2274" t="s">
        <v>26</v>
      </c>
      <c r="E2274" t="s">
        <v>34</v>
      </c>
      <c r="F2274" t="s">
        <v>43</v>
      </c>
      <c r="G2274" t="s">
        <v>72</v>
      </c>
      <c r="H2274" t="s">
        <v>73</v>
      </c>
      <c r="I2274">
        <v>5</v>
      </c>
      <c r="J2274">
        <v>2922</v>
      </c>
      <c r="K2274">
        <v>0.05</v>
      </c>
      <c r="L2274">
        <v>13879.5</v>
      </c>
      <c r="M2274">
        <v>9626.11</v>
      </c>
      <c r="N2274">
        <v>4253.3900000000003</v>
      </c>
      <c r="O2274" t="s">
        <v>78</v>
      </c>
      <c r="P2274" t="s">
        <v>88</v>
      </c>
    </row>
    <row r="2275" spans="1:16" x14ac:dyDescent="0.25">
      <c r="A2275">
        <v>2274</v>
      </c>
      <c r="B2275" s="2">
        <v>45973</v>
      </c>
      <c r="C2275" t="s">
        <v>20</v>
      </c>
      <c r="D2275" t="s">
        <v>26</v>
      </c>
      <c r="E2275" t="s">
        <v>33</v>
      </c>
      <c r="F2275" t="s">
        <v>60</v>
      </c>
      <c r="G2275" t="s">
        <v>72</v>
      </c>
      <c r="H2275" t="s">
        <v>74</v>
      </c>
      <c r="I2275">
        <v>2</v>
      </c>
      <c r="J2275">
        <v>34619</v>
      </c>
      <c r="K2275">
        <v>0.15</v>
      </c>
      <c r="L2275">
        <v>58852.3</v>
      </c>
      <c r="M2275">
        <v>44959.19</v>
      </c>
      <c r="N2275">
        <v>13893.11</v>
      </c>
      <c r="O2275" t="s">
        <v>77</v>
      </c>
      <c r="P2275" t="s">
        <v>83</v>
      </c>
    </row>
    <row r="2276" spans="1:16" x14ac:dyDescent="0.25">
      <c r="A2276">
        <v>2275</v>
      </c>
      <c r="B2276" s="2">
        <v>45762</v>
      </c>
      <c r="C2276" t="s">
        <v>16</v>
      </c>
      <c r="D2276" t="s">
        <v>24</v>
      </c>
      <c r="E2276" t="s">
        <v>32</v>
      </c>
      <c r="F2276" t="s">
        <v>48</v>
      </c>
      <c r="G2276" t="s">
        <v>72</v>
      </c>
      <c r="H2276" t="s">
        <v>73</v>
      </c>
      <c r="I2276">
        <v>1</v>
      </c>
      <c r="J2276">
        <v>10494</v>
      </c>
      <c r="K2276">
        <v>0</v>
      </c>
      <c r="L2276">
        <v>10494</v>
      </c>
      <c r="M2276">
        <v>6447.52</v>
      </c>
      <c r="N2276">
        <v>4046.48</v>
      </c>
      <c r="O2276" t="s">
        <v>80</v>
      </c>
      <c r="P2276" t="s">
        <v>81</v>
      </c>
    </row>
    <row r="2277" spans="1:16" x14ac:dyDescent="0.25">
      <c r="A2277">
        <v>2276</v>
      </c>
      <c r="B2277" s="2">
        <v>45778</v>
      </c>
      <c r="C2277" t="s">
        <v>16</v>
      </c>
      <c r="D2277" t="s">
        <v>24</v>
      </c>
      <c r="E2277" t="s">
        <v>28</v>
      </c>
      <c r="F2277" t="s">
        <v>35</v>
      </c>
      <c r="G2277" t="s">
        <v>71</v>
      </c>
      <c r="H2277" t="s">
        <v>74</v>
      </c>
      <c r="I2277">
        <v>4</v>
      </c>
      <c r="J2277">
        <v>2366</v>
      </c>
      <c r="K2277">
        <v>0.1</v>
      </c>
      <c r="L2277">
        <v>8517.6</v>
      </c>
      <c r="M2277">
        <v>6830.05</v>
      </c>
      <c r="N2277">
        <v>1687.55</v>
      </c>
      <c r="O2277" t="s">
        <v>76</v>
      </c>
      <c r="P2277" t="s">
        <v>85</v>
      </c>
    </row>
    <row r="2278" spans="1:16" x14ac:dyDescent="0.25">
      <c r="A2278">
        <v>2277</v>
      </c>
      <c r="B2278" s="2">
        <v>45867</v>
      </c>
      <c r="C2278" t="s">
        <v>23</v>
      </c>
      <c r="D2278" t="s">
        <v>27</v>
      </c>
      <c r="E2278" t="s">
        <v>32</v>
      </c>
      <c r="F2278" t="s">
        <v>39</v>
      </c>
      <c r="G2278" t="s">
        <v>72</v>
      </c>
      <c r="H2278" t="s">
        <v>74</v>
      </c>
      <c r="I2278">
        <v>5</v>
      </c>
      <c r="J2278">
        <v>14367</v>
      </c>
      <c r="K2278">
        <v>0.15</v>
      </c>
      <c r="L2278">
        <v>61059.75</v>
      </c>
      <c r="M2278">
        <v>41204.61</v>
      </c>
      <c r="N2278">
        <v>19855.14</v>
      </c>
      <c r="O2278" t="s">
        <v>77</v>
      </c>
      <c r="P2278" t="s">
        <v>88</v>
      </c>
    </row>
    <row r="2279" spans="1:16" x14ac:dyDescent="0.25">
      <c r="A2279">
        <v>2278</v>
      </c>
      <c r="B2279" s="2">
        <v>45954</v>
      </c>
      <c r="C2279" t="s">
        <v>22</v>
      </c>
      <c r="D2279" t="s">
        <v>24</v>
      </c>
      <c r="E2279" t="s">
        <v>28</v>
      </c>
      <c r="F2279" t="s">
        <v>63</v>
      </c>
      <c r="G2279" t="s">
        <v>70</v>
      </c>
      <c r="H2279" t="s">
        <v>73</v>
      </c>
      <c r="I2279">
        <v>7</v>
      </c>
      <c r="J2279">
        <v>1353</v>
      </c>
      <c r="K2279">
        <v>0</v>
      </c>
      <c r="L2279">
        <v>9471</v>
      </c>
      <c r="M2279">
        <v>6249.96</v>
      </c>
      <c r="N2279">
        <v>3221.04</v>
      </c>
      <c r="O2279" t="s">
        <v>79</v>
      </c>
      <c r="P2279" t="s">
        <v>86</v>
      </c>
    </row>
    <row r="2280" spans="1:16" x14ac:dyDescent="0.25">
      <c r="A2280">
        <v>2279</v>
      </c>
      <c r="B2280" s="2">
        <v>45854</v>
      </c>
      <c r="C2280" t="s">
        <v>20</v>
      </c>
      <c r="D2280" t="s">
        <v>26</v>
      </c>
      <c r="E2280" t="s">
        <v>29</v>
      </c>
      <c r="F2280" t="s">
        <v>36</v>
      </c>
      <c r="G2280" t="s">
        <v>70</v>
      </c>
      <c r="H2280" t="s">
        <v>74</v>
      </c>
      <c r="I2280">
        <v>5</v>
      </c>
      <c r="J2280">
        <v>4799</v>
      </c>
      <c r="K2280">
        <v>0.15</v>
      </c>
      <c r="L2280">
        <v>20395.75</v>
      </c>
      <c r="M2280">
        <v>11640.7</v>
      </c>
      <c r="N2280">
        <v>8755.0499999999993</v>
      </c>
      <c r="O2280" t="s">
        <v>79</v>
      </c>
      <c r="P2280" t="s">
        <v>84</v>
      </c>
    </row>
    <row r="2281" spans="1:16" x14ac:dyDescent="0.25">
      <c r="A2281">
        <v>2280</v>
      </c>
      <c r="B2281" s="2">
        <v>45802</v>
      </c>
      <c r="C2281" t="s">
        <v>18</v>
      </c>
      <c r="D2281" t="s">
        <v>26</v>
      </c>
      <c r="E2281" t="s">
        <v>31</v>
      </c>
      <c r="F2281" t="s">
        <v>47</v>
      </c>
      <c r="G2281" t="s">
        <v>71</v>
      </c>
      <c r="H2281" t="s">
        <v>75</v>
      </c>
      <c r="I2281">
        <v>4</v>
      </c>
      <c r="J2281">
        <v>1979</v>
      </c>
      <c r="K2281">
        <v>0.1</v>
      </c>
      <c r="L2281">
        <v>7124.4</v>
      </c>
      <c r="M2281">
        <v>5540.07</v>
      </c>
      <c r="N2281">
        <v>1584.33</v>
      </c>
      <c r="O2281" t="s">
        <v>79</v>
      </c>
      <c r="P2281" t="s">
        <v>81</v>
      </c>
    </row>
    <row r="2282" spans="1:16" x14ac:dyDescent="0.25">
      <c r="A2282">
        <v>2281</v>
      </c>
      <c r="B2282" s="2">
        <v>45906</v>
      </c>
      <c r="C2282" t="s">
        <v>18</v>
      </c>
      <c r="D2282" t="s">
        <v>26</v>
      </c>
      <c r="E2282" t="s">
        <v>33</v>
      </c>
      <c r="F2282" t="s">
        <v>59</v>
      </c>
      <c r="G2282" t="s">
        <v>71</v>
      </c>
      <c r="H2282" t="s">
        <v>75</v>
      </c>
      <c r="I2282">
        <v>7</v>
      </c>
      <c r="J2282">
        <v>34224</v>
      </c>
      <c r="K2282">
        <v>0.05</v>
      </c>
      <c r="L2282">
        <v>227589.6</v>
      </c>
      <c r="M2282">
        <v>196205.87</v>
      </c>
      <c r="N2282">
        <v>31383.73</v>
      </c>
      <c r="O2282" t="s">
        <v>77</v>
      </c>
      <c r="P2282" t="s">
        <v>86</v>
      </c>
    </row>
    <row r="2283" spans="1:16" x14ac:dyDescent="0.25">
      <c r="A2283">
        <v>2282</v>
      </c>
      <c r="B2283" s="2">
        <v>45729</v>
      </c>
      <c r="C2283" t="s">
        <v>18</v>
      </c>
      <c r="D2283" t="s">
        <v>26</v>
      </c>
      <c r="E2283" t="s">
        <v>28</v>
      </c>
      <c r="F2283" t="s">
        <v>63</v>
      </c>
      <c r="G2283" t="s">
        <v>70</v>
      </c>
      <c r="H2283" t="s">
        <v>75</v>
      </c>
      <c r="I2283">
        <v>2</v>
      </c>
      <c r="J2283">
        <v>1028</v>
      </c>
      <c r="K2283">
        <v>0.1</v>
      </c>
      <c r="L2283">
        <v>1850.4</v>
      </c>
      <c r="M2283">
        <v>1138.22</v>
      </c>
      <c r="N2283">
        <v>712.18</v>
      </c>
      <c r="O2283" t="s">
        <v>76</v>
      </c>
      <c r="P2283" t="s">
        <v>88</v>
      </c>
    </row>
    <row r="2284" spans="1:16" x14ac:dyDescent="0.25">
      <c r="A2284">
        <v>2283</v>
      </c>
      <c r="B2284" s="2">
        <v>45678</v>
      </c>
      <c r="C2284" t="s">
        <v>23</v>
      </c>
      <c r="D2284" t="s">
        <v>27</v>
      </c>
      <c r="E2284" t="s">
        <v>33</v>
      </c>
      <c r="F2284" t="s">
        <v>46</v>
      </c>
      <c r="G2284" t="s">
        <v>72</v>
      </c>
      <c r="H2284" t="s">
        <v>75</v>
      </c>
      <c r="I2284">
        <v>7</v>
      </c>
      <c r="J2284">
        <v>40271</v>
      </c>
      <c r="K2284">
        <v>0.1</v>
      </c>
      <c r="L2284">
        <v>253707.3</v>
      </c>
      <c r="M2284">
        <v>150845.69</v>
      </c>
      <c r="N2284">
        <v>102861.61</v>
      </c>
      <c r="O2284" t="s">
        <v>78</v>
      </c>
      <c r="P2284" t="s">
        <v>82</v>
      </c>
    </row>
    <row r="2285" spans="1:16" x14ac:dyDescent="0.25">
      <c r="A2285">
        <v>2284</v>
      </c>
      <c r="B2285" s="2">
        <v>45784</v>
      </c>
      <c r="C2285" t="s">
        <v>22</v>
      </c>
      <c r="D2285" t="s">
        <v>24</v>
      </c>
      <c r="E2285" t="s">
        <v>34</v>
      </c>
      <c r="F2285" t="s">
        <v>51</v>
      </c>
      <c r="G2285" t="s">
        <v>72</v>
      </c>
      <c r="H2285" t="s">
        <v>73</v>
      </c>
      <c r="I2285">
        <v>3</v>
      </c>
      <c r="J2285">
        <v>364</v>
      </c>
      <c r="K2285">
        <v>0.05</v>
      </c>
      <c r="L2285">
        <v>1037.4000000000001</v>
      </c>
      <c r="M2285">
        <v>719.88</v>
      </c>
      <c r="N2285">
        <v>317.52</v>
      </c>
      <c r="O2285" t="s">
        <v>80</v>
      </c>
      <c r="P2285" t="s">
        <v>81</v>
      </c>
    </row>
    <row r="2286" spans="1:16" x14ac:dyDescent="0.25">
      <c r="A2286">
        <v>2285</v>
      </c>
      <c r="B2286" s="2">
        <v>45931</v>
      </c>
      <c r="C2286" t="s">
        <v>23</v>
      </c>
      <c r="D2286" t="s">
        <v>27</v>
      </c>
      <c r="E2286" t="s">
        <v>30</v>
      </c>
      <c r="F2286" t="s">
        <v>56</v>
      </c>
      <c r="G2286" t="s">
        <v>72</v>
      </c>
      <c r="H2286" t="s">
        <v>74</v>
      </c>
      <c r="I2286">
        <v>2</v>
      </c>
      <c r="J2286">
        <v>24316</v>
      </c>
      <c r="K2286">
        <v>0.15</v>
      </c>
      <c r="L2286">
        <v>41337.199999999997</v>
      </c>
      <c r="M2286">
        <v>30581.08</v>
      </c>
      <c r="N2286">
        <v>10756.12</v>
      </c>
      <c r="O2286" t="s">
        <v>78</v>
      </c>
      <c r="P2286" t="s">
        <v>87</v>
      </c>
    </row>
    <row r="2287" spans="1:16" x14ac:dyDescent="0.25">
      <c r="A2287">
        <v>2286</v>
      </c>
      <c r="B2287" s="2">
        <v>45927</v>
      </c>
      <c r="C2287" t="s">
        <v>21</v>
      </c>
      <c r="D2287" t="s">
        <v>24</v>
      </c>
      <c r="E2287" t="s">
        <v>32</v>
      </c>
      <c r="F2287" t="s">
        <v>66</v>
      </c>
      <c r="G2287" t="s">
        <v>72</v>
      </c>
      <c r="H2287" t="s">
        <v>74</v>
      </c>
      <c r="I2287">
        <v>3</v>
      </c>
      <c r="J2287">
        <v>22926</v>
      </c>
      <c r="K2287">
        <v>0</v>
      </c>
      <c r="L2287">
        <v>68778</v>
      </c>
      <c r="M2287">
        <v>55217.86</v>
      </c>
      <c r="N2287">
        <v>13560.14</v>
      </c>
      <c r="O2287" t="s">
        <v>78</v>
      </c>
      <c r="P2287" t="s">
        <v>87</v>
      </c>
    </row>
    <row r="2288" spans="1:16" x14ac:dyDescent="0.25">
      <c r="A2288">
        <v>2287</v>
      </c>
      <c r="B2288" s="2">
        <v>45963</v>
      </c>
      <c r="C2288" t="s">
        <v>18</v>
      </c>
      <c r="D2288" t="s">
        <v>26</v>
      </c>
      <c r="E2288" t="s">
        <v>28</v>
      </c>
      <c r="F2288" t="s">
        <v>63</v>
      </c>
      <c r="G2288" t="s">
        <v>71</v>
      </c>
      <c r="H2288" t="s">
        <v>73</v>
      </c>
      <c r="I2288">
        <v>5</v>
      </c>
      <c r="J2288">
        <v>522</v>
      </c>
      <c r="K2288">
        <v>0.15</v>
      </c>
      <c r="L2288">
        <v>2218.5</v>
      </c>
      <c r="M2288">
        <v>1530.46</v>
      </c>
      <c r="N2288">
        <v>688.04</v>
      </c>
      <c r="O2288" t="s">
        <v>78</v>
      </c>
      <c r="P2288" t="s">
        <v>81</v>
      </c>
    </row>
    <row r="2289" spans="1:16" x14ac:dyDescent="0.25">
      <c r="A2289">
        <v>2288</v>
      </c>
      <c r="B2289" s="2">
        <v>45903</v>
      </c>
      <c r="C2289" t="s">
        <v>22</v>
      </c>
      <c r="D2289" t="s">
        <v>24</v>
      </c>
      <c r="E2289" t="s">
        <v>31</v>
      </c>
      <c r="F2289" t="s">
        <v>69</v>
      </c>
      <c r="G2289" t="s">
        <v>70</v>
      </c>
      <c r="H2289" t="s">
        <v>74</v>
      </c>
      <c r="I2289">
        <v>8</v>
      </c>
      <c r="J2289">
        <v>1364</v>
      </c>
      <c r="K2289">
        <v>0.1</v>
      </c>
      <c r="L2289">
        <v>9820.7999999999993</v>
      </c>
      <c r="M2289">
        <v>8250.42</v>
      </c>
      <c r="N2289">
        <v>1570.38</v>
      </c>
      <c r="O2289" t="s">
        <v>76</v>
      </c>
      <c r="P2289" t="s">
        <v>83</v>
      </c>
    </row>
    <row r="2290" spans="1:16" x14ac:dyDescent="0.25">
      <c r="A2290">
        <v>2289</v>
      </c>
      <c r="B2290" s="2">
        <v>45944</v>
      </c>
      <c r="C2290" t="s">
        <v>18</v>
      </c>
      <c r="D2290" t="s">
        <v>26</v>
      </c>
      <c r="E2290" t="s">
        <v>31</v>
      </c>
      <c r="F2290" t="s">
        <v>69</v>
      </c>
      <c r="G2290" t="s">
        <v>70</v>
      </c>
      <c r="H2290" t="s">
        <v>73</v>
      </c>
      <c r="I2290">
        <v>7</v>
      </c>
      <c r="J2290">
        <v>2276</v>
      </c>
      <c r="K2290">
        <v>0</v>
      </c>
      <c r="L2290">
        <v>15932</v>
      </c>
      <c r="M2290">
        <v>13751.34</v>
      </c>
      <c r="N2290">
        <v>2180.66</v>
      </c>
      <c r="O2290" t="s">
        <v>77</v>
      </c>
      <c r="P2290" t="s">
        <v>85</v>
      </c>
    </row>
    <row r="2291" spans="1:16" x14ac:dyDescent="0.25">
      <c r="A2291">
        <v>2290</v>
      </c>
      <c r="B2291" s="2">
        <v>45977</v>
      </c>
      <c r="C2291" t="s">
        <v>17</v>
      </c>
      <c r="D2291" t="s">
        <v>25</v>
      </c>
      <c r="E2291" t="s">
        <v>29</v>
      </c>
      <c r="F2291" t="s">
        <v>57</v>
      </c>
      <c r="G2291" t="s">
        <v>72</v>
      </c>
      <c r="H2291" t="s">
        <v>73</v>
      </c>
      <c r="I2291">
        <v>2</v>
      </c>
      <c r="J2291">
        <v>9427</v>
      </c>
      <c r="K2291">
        <v>0.05</v>
      </c>
      <c r="L2291">
        <v>17911.3</v>
      </c>
      <c r="M2291">
        <v>15659.87</v>
      </c>
      <c r="N2291">
        <v>2251.4299999999998</v>
      </c>
      <c r="O2291" t="s">
        <v>76</v>
      </c>
      <c r="P2291" t="s">
        <v>88</v>
      </c>
    </row>
    <row r="2292" spans="1:16" x14ac:dyDescent="0.25">
      <c r="A2292">
        <v>2291</v>
      </c>
      <c r="B2292" s="2">
        <v>45885</v>
      </c>
      <c r="C2292" t="s">
        <v>20</v>
      </c>
      <c r="D2292" t="s">
        <v>26</v>
      </c>
      <c r="E2292" t="s">
        <v>33</v>
      </c>
      <c r="F2292" t="s">
        <v>59</v>
      </c>
      <c r="G2292" t="s">
        <v>72</v>
      </c>
      <c r="H2292" t="s">
        <v>74</v>
      </c>
      <c r="I2292">
        <v>4</v>
      </c>
      <c r="J2292">
        <v>43759</v>
      </c>
      <c r="K2292">
        <v>0.05</v>
      </c>
      <c r="L2292">
        <v>166284.20000000001</v>
      </c>
      <c r="M2292">
        <v>110245.88</v>
      </c>
      <c r="N2292">
        <v>56038.32</v>
      </c>
      <c r="O2292" t="s">
        <v>78</v>
      </c>
      <c r="P2292" t="s">
        <v>88</v>
      </c>
    </row>
    <row r="2293" spans="1:16" x14ac:dyDescent="0.25">
      <c r="A2293">
        <v>2292</v>
      </c>
      <c r="B2293" s="2">
        <v>45749</v>
      </c>
      <c r="C2293" t="s">
        <v>23</v>
      </c>
      <c r="D2293" t="s">
        <v>27</v>
      </c>
      <c r="E2293" t="s">
        <v>30</v>
      </c>
      <c r="F2293" t="s">
        <v>40</v>
      </c>
      <c r="G2293" t="s">
        <v>72</v>
      </c>
      <c r="H2293" t="s">
        <v>73</v>
      </c>
      <c r="I2293">
        <v>3</v>
      </c>
      <c r="J2293">
        <v>10395</v>
      </c>
      <c r="K2293">
        <v>0.15</v>
      </c>
      <c r="L2293">
        <v>26507.25</v>
      </c>
      <c r="M2293">
        <v>20300.599999999999</v>
      </c>
      <c r="N2293">
        <v>6206.65</v>
      </c>
      <c r="O2293" t="s">
        <v>80</v>
      </c>
      <c r="P2293" t="s">
        <v>88</v>
      </c>
    </row>
    <row r="2294" spans="1:16" x14ac:dyDescent="0.25">
      <c r="A2294">
        <v>2293</v>
      </c>
      <c r="B2294" s="2">
        <v>45980</v>
      </c>
      <c r="C2294" t="s">
        <v>20</v>
      </c>
      <c r="D2294" t="s">
        <v>26</v>
      </c>
      <c r="E2294" t="s">
        <v>28</v>
      </c>
      <c r="F2294" t="s">
        <v>35</v>
      </c>
      <c r="G2294" t="s">
        <v>70</v>
      </c>
      <c r="H2294" t="s">
        <v>73</v>
      </c>
      <c r="I2294">
        <v>2</v>
      </c>
      <c r="J2294">
        <v>1099</v>
      </c>
      <c r="K2294">
        <v>0</v>
      </c>
      <c r="L2294">
        <v>2198</v>
      </c>
      <c r="M2294">
        <v>1253.6500000000001</v>
      </c>
      <c r="N2294">
        <v>944.35</v>
      </c>
      <c r="O2294" t="s">
        <v>80</v>
      </c>
      <c r="P2294" t="s">
        <v>83</v>
      </c>
    </row>
    <row r="2295" spans="1:16" x14ac:dyDescent="0.25">
      <c r="A2295">
        <v>2294</v>
      </c>
      <c r="B2295" s="2">
        <v>45778</v>
      </c>
      <c r="C2295" t="s">
        <v>22</v>
      </c>
      <c r="D2295" t="s">
        <v>24</v>
      </c>
      <c r="E2295" t="s">
        <v>32</v>
      </c>
      <c r="F2295" t="s">
        <v>49</v>
      </c>
      <c r="G2295" t="s">
        <v>72</v>
      </c>
      <c r="H2295" t="s">
        <v>74</v>
      </c>
      <c r="I2295">
        <v>1</v>
      </c>
      <c r="J2295">
        <v>20288</v>
      </c>
      <c r="K2295">
        <v>0.05</v>
      </c>
      <c r="L2295">
        <v>19273.599999999999</v>
      </c>
      <c r="M2295">
        <v>16560.259999999998</v>
      </c>
      <c r="N2295">
        <v>2713.34</v>
      </c>
      <c r="O2295" t="s">
        <v>80</v>
      </c>
      <c r="P2295" t="s">
        <v>83</v>
      </c>
    </row>
    <row r="2296" spans="1:16" x14ac:dyDescent="0.25">
      <c r="A2296">
        <v>2295</v>
      </c>
      <c r="B2296" s="2">
        <v>45829</v>
      </c>
      <c r="C2296" t="s">
        <v>23</v>
      </c>
      <c r="D2296" t="s">
        <v>27</v>
      </c>
      <c r="E2296" t="s">
        <v>34</v>
      </c>
      <c r="F2296" t="s">
        <v>43</v>
      </c>
      <c r="G2296" t="s">
        <v>70</v>
      </c>
      <c r="H2296" t="s">
        <v>74</v>
      </c>
      <c r="I2296">
        <v>5</v>
      </c>
      <c r="J2296">
        <v>3057</v>
      </c>
      <c r="K2296">
        <v>0.05</v>
      </c>
      <c r="L2296">
        <v>14520.75</v>
      </c>
      <c r="M2296">
        <v>8611.1</v>
      </c>
      <c r="N2296">
        <v>5909.65</v>
      </c>
      <c r="O2296" t="s">
        <v>76</v>
      </c>
      <c r="P2296" t="s">
        <v>81</v>
      </c>
    </row>
    <row r="2297" spans="1:16" x14ac:dyDescent="0.25">
      <c r="A2297">
        <v>2296</v>
      </c>
      <c r="B2297" s="2">
        <v>45814</v>
      </c>
      <c r="C2297" t="s">
        <v>22</v>
      </c>
      <c r="D2297" t="s">
        <v>24</v>
      </c>
      <c r="E2297" t="s">
        <v>31</v>
      </c>
      <c r="F2297" t="s">
        <v>38</v>
      </c>
      <c r="G2297" t="s">
        <v>71</v>
      </c>
      <c r="H2297" t="s">
        <v>75</v>
      </c>
      <c r="I2297">
        <v>3</v>
      </c>
      <c r="J2297">
        <v>837</v>
      </c>
      <c r="K2297">
        <v>0.2</v>
      </c>
      <c r="L2297">
        <v>2008.8</v>
      </c>
      <c r="M2297">
        <v>1267.1099999999999</v>
      </c>
      <c r="N2297">
        <v>741.69</v>
      </c>
      <c r="O2297" t="s">
        <v>78</v>
      </c>
      <c r="P2297" t="s">
        <v>81</v>
      </c>
    </row>
    <row r="2298" spans="1:16" x14ac:dyDescent="0.25">
      <c r="A2298">
        <v>2297</v>
      </c>
      <c r="B2298" s="2">
        <v>45790</v>
      </c>
      <c r="C2298" t="s">
        <v>20</v>
      </c>
      <c r="D2298" t="s">
        <v>26</v>
      </c>
      <c r="E2298" t="s">
        <v>32</v>
      </c>
      <c r="F2298" t="s">
        <v>62</v>
      </c>
      <c r="G2298" t="s">
        <v>70</v>
      </c>
      <c r="H2298" t="s">
        <v>75</v>
      </c>
      <c r="I2298">
        <v>7</v>
      </c>
      <c r="J2298">
        <v>16555</v>
      </c>
      <c r="K2298">
        <v>0.05</v>
      </c>
      <c r="L2298">
        <v>110090.75</v>
      </c>
      <c r="M2298">
        <v>68979.710000000006</v>
      </c>
      <c r="N2298">
        <v>41111.040000000001</v>
      </c>
      <c r="O2298" t="s">
        <v>79</v>
      </c>
      <c r="P2298" t="s">
        <v>82</v>
      </c>
    </row>
    <row r="2299" spans="1:16" x14ac:dyDescent="0.25">
      <c r="A2299">
        <v>2298</v>
      </c>
      <c r="B2299" s="2">
        <v>45736</v>
      </c>
      <c r="C2299" t="s">
        <v>23</v>
      </c>
      <c r="D2299" t="s">
        <v>27</v>
      </c>
      <c r="E2299" t="s">
        <v>34</v>
      </c>
      <c r="F2299" t="s">
        <v>55</v>
      </c>
      <c r="G2299" t="s">
        <v>70</v>
      </c>
      <c r="H2299" t="s">
        <v>74</v>
      </c>
      <c r="I2299">
        <v>2</v>
      </c>
      <c r="J2299">
        <v>4506</v>
      </c>
      <c r="K2299">
        <v>0.1</v>
      </c>
      <c r="L2299">
        <v>8110.8</v>
      </c>
      <c r="M2299">
        <v>6347.5</v>
      </c>
      <c r="N2299">
        <v>1763.3</v>
      </c>
      <c r="O2299" t="s">
        <v>77</v>
      </c>
      <c r="P2299" t="s">
        <v>86</v>
      </c>
    </row>
    <row r="2300" spans="1:16" x14ac:dyDescent="0.25">
      <c r="A2300">
        <v>2299</v>
      </c>
      <c r="B2300" s="2">
        <v>45692</v>
      </c>
      <c r="C2300" t="s">
        <v>20</v>
      </c>
      <c r="D2300" t="s">
        <v>26</v>
      </c>
      <c r="E2300" t="s">
        <v>28</v>
      </c>
      <c r="F2300" t="s">
        <v>58</v>
      </c>
      <c r="G2300" t="s">
        <v>70</v>
      </c>
      <c r="H2300" t="s">
        <v>75</v>
      </c>
      <c r="I2300">
        <v>2</v>
      </c>
      <c r="J2300">
        <v>1303</v>
      </c>
      <c r="K2300">
        <v>0.1</v>
      </c>
      <c r="L2300">
        <v>2345.4</v>
      </c>
      <c r="M2300">
        <v>1709.12</v>
      </c>
      <c r="N2300">
        <v>636.28</v>
      </c>
      <c r="O2300" t="s">
        <v>76</v>
      </c>
      <c r="P2300" t="s">
        <v>81</v>
      </c>
    </row>
    <row r="2301" spans="1:16" x14ac:dyDescent="0.25">
      <c r="A2301">
        <v>2300</v>
      </c>
      <c r="B2301" s="2">
        <v>45838</v>
      </c>
      <c r="C2301" t="s">
        <v>16</v>
      </c>
      <c r="D2301" t="s">
        <v>24</v>
      </c>
      <c r="E2301" t="s">
        <v>29</v>
      </c>
      <c r="F2301" t="s">
        <v>57</v>
      </c>
      <c r="G2301" t="s">
        <v>70</v>
      </c>
      <c r="H2301" t="s">
        <v>73</v>
      </c>
      <c r="I2301">
        <v>4</v>
      </c>
      <c r="J2301">
        <v>9909</v>
      </c>
      <c r="K2301">
        <v>0</v>
      </c>
      <c r="L2301">
        <v>39636</v>
      </c>
      <c r="M2301">
        <v>30658.6</v>
      </c>
      <c r="N2301">
        <v>8977.4</v>
      </c>
      <c r="O2301" t="s">
        <v>78</v>
      </c>
      <c r="P2301" t="s">
        <v>85</v>
      </c>
    </row>
    <row r="2302" spans="1:16" x14ac:dyDescent="0.25">
      <c r="A2302">
        <v>2301</v>
      </c>
      <c r="B2302" s="2">
        <v>45762</v>
      </c>
      <c r="C2302" t="s">
        <v>20</v>
      </c>
      <c r="D2302" t="s">
        <v>26</v>
      </c>
      <c r="E2302" t="s">
        <v>32</v>
      </c>
      <c r="F2302" t="s">
        <v>66</v>
      </c>
      <c r="G2302" t="s">
        <v>70</v>
      </c>
      <c r="H2302" t="s">
        <v>73</v>
      </c>
      <c r="I2302">
        <v>5</v>
      </c>
      <c r="J2302">
        <v>5049</v>
      </c>
      <c r="K2302">
        <v>0.05</v>
      </c>
      <c r="L2302">
        <v>23982.75</v>
      </c>
      <c r="M2302">
        <v>18199.740000000002</v>
      </c>
      <c r="N2302">
        <v>5783.01</v>
      </c>
      <c r="O2302" t="s">
        <v>78</v>
      </c>
      <c r="P2302" t="s">
        <v>88</v>
      </c>
    </row>
    <row r="2303" spans="1:16" x14ac:dyDescent="0.25">
      <c r="A2303">
        <v>2302</v>
      </c>
      <c r="B2303" s="2">
        <v>45893</v>
      </c>
      <c r="C2303" t="s">
        <v>20</v>
      </c>
      <c r="D2303" t="s">
        <v>26</v>
      </c>
      <c r="E2303" t="s">
        <v>28</v>
      </c>
      <c r="F2303" t="s">
        <v>58</v>
      </c>
      <c r="G2303" t="s">
        <v>70</v>
      </c>
      <c r="H2303" t="s">
        <v>74</v>
      </c>
      <c r="I2303">
        <v>1</v>
      </c>
      <c r="J2303">
        <v>2379</v>
      </c>
      <c r="K2303">
        <v>0.05</v>
      </c>
      <c r="L2303">
        <v>2260.0500000000002</v>
      </c>
      <c r="M2303">
        <v>1918.42</v>
      </c>
      <c r="N2303">
        <v>341.63</v>
      </c>
      <c r="O2303" t="s">
        <v>79</v>
      </c>
      <c r="P2303" t="s">
        <v>87</v>
      </c>
    </row>
    <row r="2304" spans="1:16" x14ac:dyDescent="0.25">
      <c r="A2304">
        <v>2303</v>
      </c>
      <c r="B2304" s="2">
        <v>45969</v>
      </c>
      <c r="C2304" t="s">
        <v>22</v>
      </c>
      <c r="D2304" t="s">
        <v>24</v>
      </c>
      <c r="E2304" t="s">
        <v>32</v>
      </c>
      <c r="F2304" t="s">
        <v>49</v>
      </c>
      <c r="G2304" t="s">
        <v>70</v>
      </c>
      <c r="H2304" t="s">
        <v>75</v>
      </c>
      <c r="I2304">
        <v>6</v>
      </c>
      <c r="J2304">
        <v>15782</v>
      </c>
      <c r="K2304">
        <v>0.1</v>
      </c>
      <c r="L2304">
        <v>85222.8</v>
      </c>
      <c r="M2304">
        <v>71704.7</v>
      </c>
      <c r="N2304">
        <v>13518.1</v>
      </c>
      <c r="O2304" t="s">
        <v>79</v>
      </c>
      <c r="P2304" t="s">
        <v>87</v>
      </c>
    </row>
    <row r="2305" spans="1:16" x14ac:dyDescent="0.25">
      <c r="A2305">
        <v>2304</v>
      </c>
      <c r="B2305" s="2">
        <v>46015</v>
      </c>
      <c r="C2305" t="s">
        <v>17</v>
      </c>
      <c r="D2305" t="s">
        <v>25</v>
      </c>
      <c r="E2305" t="s">
        <v>32</v>
      </c>
      <c r="F2305" t="s">
        <v>62</v>
      </c>
      <c r="G2305" t="s">
        <v>70</v>
      </c>
      <c r="H2305" t="s">
        <v>74</v>
      </c>
      <c r="I2305">
        <v>7</v>
      </c>
      <c r="J2305">
        <v>3558</v>
      </c>
      <c r="K2305">
        <v>0.1</v>
      </c>
      <c r="L2305">
        <v>22415.4</v>
      </c>
      <c r="M2305">
        <v>13169.03</v>
      </c>
      <c r="N2305">
        <v>9246.3700000000008</v>
      </c>
      <c r="O2305" t="s">
        <v>80</v>
      </c>
      <c r="P2305" t="s">
        <v>81</v>
      </c>
    </row>
    <row r="2306" spans="1:16" x14ac:dyDescent="0.25">
      <c r="A2306">
        <v>2305</v>
      </c>
      <c r="B2306" s="2">
        <v>45802</v>
      </c>
      <c r="C2306" t="s">
        <v>20</v>
      </c>
      <c r="D2306" t="s">
        <v>26</v>
      </c>
      <c r="E2306" t="s">
        <v>33</v>
      </c>
      <c r="F2306" t="s">
        <v>46</v>
      </c>
      <c r="G2306" t="s">
        <v>72</v>
      </c>
      <c r="H2306" t="s">
        <v>75</v>
      </c>
      <c r="I2306">
        <v>5</v>
      </c>
      <c r="J2306">
        <v>3055</v>
      </c>
      <c r="K2306">
        <v>0</v>
      </c>
      <c r="L2306">
        <v>15275</v>
      </c>
      <c r="M2306">
        <v>11895.79</v>
      </c>
      <c r="N2306">
        <v>3379.21</v>
      </c>
      <c r="O2306" t="s">
        <v>77</v>
      </c>
      <c r="P2306" t="s">
        <v>88</v>
      </c>
    </row>
    <row r="2307" spans="1:16" x14ac:dyDescent="0.25">
      <c r="A2307">
        <v>2306</v>
      </c>
      <c r="B2307" s="2">
        <v>45751</v>
      </c>
      <c r="C2307" t="s">
        <v>18</v>
      </c>
      <c r="D2307" t="s">
        <v>26</v>
      </c>
      <c r="E2307" t="s">
        <v>30</v>
      </c>
      <c r="F2307" t="s">
        <v>56</v>
      </c>
      <c r="G2307" t="s">
        <v>72</v>
      </c>
      <c r="H2307" t="s">
        <v>74</v>
      </c>
      <c r="I2307">
        <v>8</v>
      </c>
      <c r="J2307">
        <v>14365</v>
      </c>
      <c r="K2307">
        <v>0.05</v>
      </c>
      <c r="L2307">
        <v>109174</v>
      </c>
      <c r="M2307">
        <v>85396.81</v>
      </c>
      <c r="N2307">
        <v>23777.19</v>
      </c>
      <c r="O2307" t="s">
        <v>80</v>
      </c>
      <c r="P2307" t="s">
        <v>86</v>
      </c>
    </row>
    <row r="2308" spans="1:16" x14ac:dyDescent="0.25">
      <c r="A2308">
        <v>2307</v>
      </c>
      <c r="B2308" s="2">
        <v>45978</v>
      </c>
      <c r="C2308" t="s">
        <v>16</v>
      </c>
      <c r="D2308" t="s">
        <v>24</v>
      </c>
      <c r="E2308" t="s">
        <v>29</v>
      </c>
      <c r="F2308" t="s">
        <v>36</v>
      </c>
      <c r="G2308" t="s">
        <v>70</v>
      </c>
      <c r="H2308" t="s">
        <v>75</v>
      </c>
      <c r="I2308">
        <v>3</v>
      </c>
      <c r="J2308">
        <v>9819</v>
      </c>
      <c r="K2308">
        <v>0.1</v>
      </c>
      <c r="L2308">
        <v>26511.3</v>
      </c>
      <c r="M2308">
        <v>18493.98</v>
      </c>
      <c r="N2308">
        <v>8017.32</v>
      </c>
      <c r="O2308" t="s">
        <v>77</v>
      </c>
      <c r="P2308" t="s">
        <v>83</v>
      </c>
    </row>
    <row r="2309" spans="1:16" x14ac:dyDescent="0.25">
      <c r="A2309">
        <v>2308</v>
      </c>
      <c r="B2309" s="2">
        <v>45710</v>
      </c>
      <c r="C2309" t="s">
        <v>23</v>
      </c>
      <c r="D2309" t="s">
        <v>27</v>
      </c>
      <c r="E2309" t="s">
        <v>28</v>
      </c>
      <c r="F2309" t="s">
        <v>35</v>
      </c>
      <c r="G2309" t="s">
        <v>71</v>
      </c>
      <c r="H2309" t="s">
        <v>73</v>
      </c>
      <c r="I2309">
        <v>6</v>
      </c>
      <c r="J2309">
        <v>273</v>
      </c>
      <c r="K2309">
        <v>0</v>
      </c>
      <c r="L2309">
        <v>1638</v>
      </c>
      <c r="M2309">
        <v>912.62</v>
      </c>
      <c r="N2309">
        <v>725.38</v>
      </c>
      <c r="O2309" t="s">
        <v>77</v>
      </c>
      <c r="P2309" t="s">
        <v>82</v>
      </c>
    </row>
    <row r="2310" spans="1:16" x14ac:dyDescent="0.25">
      <c r="A2310">
        <v>2309</v>
      </c>
      <c r="B2310" s="2">
        <v>45718</v>
      </c>
      <c r="C2310" t="s">
        <v>21</v>
      </c>
      <c r="D2310" t="s">
        <v>24</v>
      </c>
      <c r="E2310" t="s">
        <v>33</v>
      </c>
      <c r="F2310" t="s">
        <v>60</v>
      </c>
      <c r="G2310" t="s">
        <v>71</v>
      </c>
      <c r="H2310" t="s">
        <v>73</v>
      </c>
      <c r="I2310">
        <v>2</v>
      </c>
      <c r="J2310">
        <v>21631</v>
      </c>
      <c r="K2310">
        <v>0</v>
      </c>
      <c r="L2310">
        <v>43262</v>
      </c>
      <c r="M2310">
        <v>30875.43</v>
      </c>
      <c r="N2310">
        <v>12386.57</v>
      </c>
      <c r="O2310" t="s">
        <v>76</v>
      </c>
      <c r="P2310" t="s">
        <v>82</v>
      </c>
    </row>
    <row r="2311" spans="1:16" x14ac:dyDescent="0.25">
      <c r="A2311">
        <v>2310</v>
      </c>
      <c r="B2311" s="2">
        <v>45865</v>
      </c>
      <c r="C2311" t="s">
        <v>20</v>
      </c>
      <c r="D2311" t="s">
        <v>26</v>
      </c>
      <c r="E2311" t="s">
        <v>32</v>
      </c>
      <c r="F2311" t="s">
        <v>49</v>
      </c>
      <c r="G2311" t="s">
        <v>72</v>
      </c>
      <c r="H2311" t="s">
        <v>73</v>
      </c>
      <c r="I2311">
        <v>5</v>
      </c>
      <c r="J2311">
        <v>5758</v>
      </c>
      <c r="K2311">
        <v>0.05</v>
      </c>
      <c r="L2311">
        <v>27350.5</v>
      </c>
      <c r="M2311">
        <v>22188.68</v>
      </c>
      <c r="N2311">
        <v>5161.82</v>
      </c>
      <c r="O2311" t="s">
        <v>79</v>
      </c>
      <c r="P2311" t="s">
        <v>86</v>
      </c>
    </row>
    <row r="2312" spans="1:16" x14ac:dyDescent="0.25">
      <c r="A2312">
        <v>2311</v>
      </c>
      <c r="B2312" s="2">
        <v>45972</v>
      </c>
      <c r="C2312" t="s">
        <v>17</v>
      </c>
      <c r="D2312" t="s">
        <v>25</v>
      </c>
      <c r="E2312" t="s">
        <v>28</v>
      </c>
      <c r="F2312" t="s">
        <v>61</v>
      </c>
      <c r="G2312" t="s">
        <v>71</v>
      </c>
      <c r="H2312" t="s">
        <v>74</v>
      </c>
      <c r="I2312">
        <v>2</v>
      </c>
      <c r="J2312">
        <v>1955</v>
      </c>
      <c r="K2312">
        <v>0.1</v>
      </c>
      <c r="L2312">
        <v>3519</v>
      </c>
      <c r="M2312">
        <v>2448.6799999999998</v>
      </c>
      <c r="N2312">
        <v>1070.32</v>
      </c>
      <c r="O2312" t="s">
        <v>78</v>
      </c>
      <c r="P2312" t="s">
        <v>83</v>
      </c>
    </row>
    <row r="2313" spans="1:16" x14ac:dyDescent="0.25">
      <c r="A2313">
        <v>2312</v>
      </c>
      <c r="B2313" s="2">
        <v>45714</v>
      </c>
      <c r="C2313" t="s">
        <v>16</v>
      </c>
      <c r="D2313" t="s">
        <v>24</v>
      </c>
      <c r="E2313" t="s">
        <v>34</v>
      </c>
      <c r="F2313" t="s">
        <v>55</v>
      </c>
      <c r="G2313" t="s">
        <v>71</v>
      </c>
      <c r="H2313" t="s">
        <v>73</v>
      </c>
      <c r="I2313">
        <v>2</v>
      </c>
      <c r="J2313">
        <v>2223</v>
      </c>
      <c r="K2313">
        <v>0.05</v>
      </c>
      <c r="L2313">
        <v>4223.7</v>
      </c>
      <c r="M2313">
        <v>2637.79</v>
      </c>
      <c r="N2313">
        <v>1585.91</v>
      </c>
      <c r="O2313" t="s">
        <v>79</v>
      </c>
      <c r="P2313" t="s">
        <v>81</v>
      </c>
    </row>
    <row r="2314" spans="1:16" x14ac:dyDescent="0.25">
      <c r="A2314">
        <v>2313</v>
      </c>
      <c r="B2314" s="2">
        <v>45761</v>
      </c>
      <c r="C2314" t="s">
        <v>18</v>
      </c>
      <c r="D2314" t="s">
        <v>26</v>
      </c>
      <c r="E2314" t="s">
        <v>34</v>
      </c>
      <c r="F2314" t="s">
        <v>51</v>
      </c>
      <c r="G2314" t="s">
        <v>72</v>
      </c>
      <c r="H2314" t="s">
        <v>74</v>
      </c>
      <c r="I2314">
        <v>8</v>
      </c>
      <c r="J2314">
        <v>2850</v>
      </c>
      <c r="K2314">
        <v>0.1</v>
      </c>
      <c r="L2314">
        <v>20520</v>
      </c>
      <c r="M2314">
        <v>12996.95</v>
      </c>
      <c r="N2314">
        <v>7523.05</v>
      </c>
      <c r="O2314" t="s">
        <v>76</v>
      </c>
      <c r="P2314" t="s">
        <v>83</v>
      </c>
    </row>
    <row r="2315" spans="1:16" x14ac:dyDescent="0.25">
      <c r="A2315">
        <v>2314</v>
      </c>
      <c r="B2315" s="2">
        <v>45713</v>
      </c>
      <c r="C2315" t="s">
        <v>16</v>
      </c>
      <c r="D2315" t="s">
        <v>24</v>
      </c>
      <c r="E2315" t="s">
        <v>31</v>
      </c>
      <c r="F2315" t="s">
        <v>38</v>
      </c>
      <c r="G2315" t="s">
        <v>70</v>
      </c>
      <c r="H2315" t="s">
        <v>73</v>
      </c>
      <c r="I2315">
        <v>6</v>
      </c>
      <c r="J2315">
        <v>317</v>
      </c>
      <c r="K2315">
        <v>0.05</v>
      </c>
      <c r="L2315">
        <v>1806.9</v>
      </c>
      <c r="M2315">
        <v>1127.1199999999999</v>
      </c>
      <c r="N2315">
        <v>679.78</v>
      </c>
      <c r="O2315" t="s">
        <v>78</v>
      </c>
      <c r="P2315" t="s">
        <v>82</v>
      </c>
    </row>
    <row r="2316" spans="1:16" x14ac:dyDescent="0.25">
      <c r="A2316">
        <v>2315</v>
      </c>
      <c r="B2316" s="2">
        <v>45719</v>
      </c>
      <c r="C2316" t="s">
        <v>23</v>
      </c>
      <c r="D2316" t="s">
        <v>27</v>
      </c>
      <c r="E2316" t="s">
        <v>30</v>
      </c>
      <c r="F2316" t="s">
        <v>37</v>
      </c>
      <c r="G2316" t="s">
        <v>70</v>
      </c>
      <c r="H2316" t="s">
        <v>74</v>
      </c>
      <c r="I2316">
        <v>2</v>
      </c>
      <c r="J2316">
        <v>67657</v>
      </c>
      <c r="K2316">
        <v>0.05</v>
      </c>
      <c r="L2316">
        <v>128548.3</v>
      </c>
      <c r="M2316">
        <v>89540.88</v>
      </c>
      <c r="N2316">
        <v>39007.42</v>
      </c>
      <c r="O2316" t="s">
        <v>77</v>
      </c>
      <c r="P2316" t="s">
        <v>86</v>
      </c>
    </row>
    <row r="2317" spans="1:16" x14ac:dyDescent="0.25">
      <c r="A2317">
        <v>2316</v>
      </c>
      <c r="B2317" s="2">
        <v>45871</v>
      </c>
      <c r="C2317" t="s">
        <v>22</v>
      </c>
      <c r="D2317" t="s">
        <v>24</v>
      </c>
      <c r="E2317" t="s">
        <v>29</v>
      </c>
      <c r="F2317" t="s">
        <v>53</v>
      </c>
      <c r="G2317" t="s">
        <v>71</v>
      </c>
      <c r="H2317" t="s">
        <v>73</v>
      </c>
      <c r="I2317">
        <v>1</v>
      </c>
      <c r="J2317">
        <v>6964</v>
      </c>
      <c r="K2317">
        <v>0.1</v>
      </c>
      <c r="L2317">
        <v>6267.6</v>
      </c>
      <c r="M2317">
        <v>4094.34</v>
      </c>
      <c r="N2317">
        <v>2173.2600000000002</v>
      </c>
      <c r="O2317" t="s">
        <v>80</v>
      </c>
      <c r="P2317" t="s">
        <v>83</v>
      </c>
    </row>
    <row r="2318" spans="1:16" x14ac:dyDescent="0.25">
      <c r="A2318">
        <v>2317</v>
      </c>
      <c r="B2318" s="2">
        <v>45973</v>
      </c>
      <c r="C2318" t="s">
        <v>18</v>
      </c>
      <c r="D2318" t="s">
        <v>26</v>
      </c>
      <c r="E2318" t="s">
        <v>30</v>
      </c>
      <c r="F2318" t="s">
        <v>64</v>
      </c>
      <c r="G2318" t="s">
        <v>72</v>
      </c>
      <c r="H2318" t="s">
        <v>75</v>
      </c>
      <c r="I2318">
        <v>2</v>
      </c>
      <c r="J2318">
        <v>49240</v>
      </c>
      <c r="K2318">
        <v>0</v>
      </c>
      <c r="L2318">
        <v>98480</v>
      </c>
      <c r="M2318">
        <v>55146.68</v>
      </c>
      <c r="N2318">
        <v>43333.32</v>
      </c>
      <c r="O2318" t="s">
        <v>76</v>
      </c>
      <c r="P2318" t="s">
        <v>85</v>
      </c>
    </row>
    <row r="2319" spans="1:16" x14ac:dyDescent="0.25">
      <c r="A2319">
        <v>2318</v>
      </c>
      <c r="B2319" s="2">
        <v>45828</v>
      </c>
      <c r="C2319" t="s">
        <v>21</v>
      </c>
      <c r="D2319" t="s">
        <v>24</v>
      </c>
      <c r="E2319" t="s">
        <v>28</v>
      </c>
      <c r="F2319" t="s">
        <v>35</v>
      </c>
      <c r="G2319" t="s">
        <v>71</v>
      </c>
      <c r="H2319" t="s">
        <v>75</v>
      </c>
      <c r="I2319">
        <v>8</v>
      </c>
      <c r="J2319">
        <v>1952</v>
      </c>
      <c r="K2319">
        <v>0.1</v>
      </c>
      <c r="L2319">
        <v>14054.4</v>
      </c>
      <c r="M2319">
        <v>9519.7199999999993</v>
      </c>
      <c r="N2319">
        <v>4534.68</v>
      </c>
      <c r="O2319" t="s">
        <v>77</v>
      </c>
      <c r="P2319" t="s">
        <v>82</v>
      </c>
    </row>
    <row r="2320" spans="1:16" x14ac:dyDescent="0.25">
      <c r="A2320">
        <v>2319</v>
      </c>
      <c r="B2320" s="2">
        <v>45806</v>
      </c>
      <c r="C2320" t="s">
        <v>19</v>
      </c>
      <c r="D2320" t="s">
        <v>26</v>
      </c>
      <c r="E2320" t="s">
        <v>31</v>
      </c>
      <c r="F2320" t="s">
        <v>69</v>
      </c>
      <c r="G2320" t="s">
        <v>70</v>
      </c>
      <c r="H2320" t="s">
        <v>73</v>
      </c>
      <c r="I2320">
        <v>6</v>
      </c>
      <c r="J2320">
        <v>591</v>
      </c>
      <c r="K2320">
        <v>0.2</v>
      </c>
      <c r="L2320">
        <v>2836.8</v>
      </c>
      <c r="M2320">
        <v>2107.41</v>
      </c>
      <c r="N2320">
        <v>729.39</v>
      </c>
      <c r="O2320" t="s">
        <v>78</v>
      </c>
      <c r="P2320" t="s">
        <v>87</v>
      </c>
    </row>
    <row r="2321" spans="1:16" x14ac:dyDescent="0.25">
      <c r="A2321">
        <v>2320</v>
      </c>
      <c r="B2321" s="2">
        <v>45900</v>
      </c>
      <c r="C2321" t="s">
        <v>21</v>
      </c>
      <c r="D2321" t="s">
        <v>24</v>
      </c>
      <c r="E2321" t="s">
        <v>29</v>
      </c>
      <c r="F2321" t="s">
        <v>53</v>
      </c>
      <c r="G2321" t="s">
        <v>71</v>
      </c>
      <c r="H2321" t="s">
        <v>73</v>
      </c>
      <c r="I2321">
        <v>2</v>
      </c>
      <c r="J2321">
        <v>9800</v>
      </c>
      <c r="K2321">
        <v>0.15</v>
      </c>
      <c r="L2321">
        <v>16660</v>
      </c>
      <c r="M2321">
        <v>11293.82</v>
      </c>
      <c r="N2321">
        <v>5366.18</v>
      </c>
      <c r="O2321" t="s">
        <v>78</v>
      </c>
      <c r="P2321" t="s">
        <v>85</v>
      </c>
    </row>
    <row r="2322" spans="1:16" x14ac:dyDescent="0.25">
      <c r="A2322">
        <v>2321</v>
      </c>
      <c r="B2322" s="2">
        <v>45962</v>
      </c>
      <c r="C2322" t="s">
        <v>17</v>
      </c>
      <c r="D2322" t="s">
        <v>25</v>
      </c>
      <c r="E2322" t="s">
        <v>29</v>
      </c>
      <c r="F2322" t="s">
        <v>36</v>
      </c>
      <c r="G2322" t="s">
        <v>70</v>
      </c>
      <c r="H2322" t="s">
        <v>73</v>
      </c>
      <c r="I2322">
        <v>5</v>
      </c>
      <c r="J2322">
        <v>11314</v>
      </c>
      <c r="K2322">
        <v>0.1</v>
      </c>
      <c r="L2322">
        <v>50913</v>
      </c>
      <c r="M2322">
        <v>42099.75</v>
      </c>
      <c r="N2322">
        <v>8813.25</v>
      </c>
      <c r="O2322" t="s">
        <v>77</v>
      </c>
      <c r="P2322" t="s">
        <v>81</v>
      </c>
    </row>
    <row r="2323" spans="1:16" x14ac:dyDescent="0.25">
      <c r="A2323">
        <v>2322</v>
      </c>
      <c r="B2323" s="2">
        <v>45808</v>
      </c>
      <c r="C2323" t="s">
        <v>17</v>
      </c>
      <c r="D2323" t="s">
        <v>25</v>
      </c>
      <c r="E2323" t="s">
        <v>34</v>
      </c>
      <c r="F2323" t="s">
        <v>65</v>
      </c>
      <c r="G2323" t="s">
        <v>70</v>
      </c>
      <c r="H2323" t="s">
        <v>74</v>
      </c>
      <c r="I2323">
        <v>3</v>
      </c>
      <c r="J2323">
        <v>3993</v>
      </c>
      <c r="K2323">
        <v>0</v>
      </c>
      <c r="L2323">
        <v>11979</v>
      </c>
      <c r="M2323">
        <v>8323.94</v>
      </c>
      <c r="N2323">
        <v>3655.06</v>
      </c>
      <c r="O2323" t="s">
        <v>79</v>
      </c>
      <c r="P2323" t="s">
        <v>86</v>
      </c>
    </row>
    <row r="2324" spans="1:16" x14ac:dyDescent="0.25">
      <c r="A2324">
        <v>2323</v>
      </c>
      <c r="B2324" s="2">
        <v>45664</v>
      </c>
      <c r="C2324" t="s">
        <v>20</v>
      </c>
      <c r="D2324" t="s">
        <v>26</v>
      </c>
      <c r="E2324" t="s">
        <v>28</v>
      </c>
      <c r="F2324" t="s">
        <v>35</v>
      </c>
      <c r="G2324" t="s">
        <v>72</v>
      </c>
      <c r="H2324" t="s">
        <v>75</v>
      </c>
      <c r="I2324">
        <v>8</v>
      </c>
      <c r="J2324">
        <v>1859</v>
      </c>
      <c r="K2324">
        <v>0.05</v>
      </c>
      <c r="L2324">
        <v>14128.4</v>
      </c>
      <c r="M2324">
        <v>9648.6</v>
      </c>
      <c r="N2324">
        <v>4479.8</v>
      </c>
      <c r="O2324" t="s">
        <v>78</v>
      </c>
      <c r="P2324" t="s">
        <v>85</v>
      </c>
    </row>
    <row r="2325" spans="1:16" x14ac:dyDescent="0.25">
      <c r="A2325">
        <v>2324</v>
      </c>
      <c r="B2325" s="2">
        <v>46014</v>
      </c>
      <c r="C2325" t="s">
        <v>20</v>
      </c>
      <c r="D2325" t="s">
        <v>26</v>
      </c>
      <c r="E2325" t="s">
        <v>34</v>
      </c>
      <c r="F2325" t="s">
        <v>43</v>
      </c>
      <c r="G2325" t="s">
        <v>72</v>
      </c>
      <c r="H2325" t="s">
        <v>73</v>
      </c>
      <c r="I2325">
        <v>4</v>
      </c>
      <c r="J2325">
        <v>4939</v>
      </c>
      <c r="K2325">
        <v>0</v>
      </c>
      <c r="L2325">
        <v>19756</v>
      </c>
      <c r="M2325">
        <v>16714.61</v>
      </c>
      <c r="N2325">
        <v>3041.39</v>
      </c>
      <c r="O2325" t="s">
        <v>79</v>
      </c>
      <c r="P2325" t="s">
        <v>82</v>
      </c>
    </row>
    <row r="2326" spans="1:16" x14ac:dyDescent="0.25">
      <c r="A2326">
        <v>2325</v>
      </c>
      <c r="B2326" s="2">
        <v>45838</v>
      </c>
      <c r="C2326" t="s">
        <v>20</v>
      </c>
      <c r="D2326" t="s">
        <v>26</v>
      </c>
      <c r="E2326" t="s">
        <v>32</v>
      </c>
      <c r="F2326" t="s">
        <v>66</v>
      </c>
      <c r="G2326" t="s">
        <v>72</v>
      </c>
      <c r="H2326" t="s">
        <v>75</v>
      </c>
      <c r="I2326">
        <v>4</v>
      </c>
      <c r="J2326">
        <v>23641</v>
      </c>
      <c r="K2326">
        <v>0.2</v>
      </c>
      <c r="L2326">
        <v>75651.199999999997</v>
      </c>
      <c r="M2326">
        <v>54467.82</v>
      </c>
      <c r="N2326">
        <v>21183.38</v>
      </c>
      <c r="O2326" t="s">
        <v>76</v>
      </c>
      <c r="P2326" t="s">
        <v>85</v>
      </c>
    </row>
    <row r="2327" spans="1:16" x14ac:dyDescent="0.25">
      <c r="A2327">
        <v>2326</v>
      </c>
      <c r="B2327" s="2">
        <v>45923</v>
      </c>
      <c r="C2327" t="s">
        <v>20</v>
      </c>
      <c r="D2327" t="s">
        <v>26</v>
      </c>
      <c r="E2327" t="s">
        <v>29</v>
      </c>
      <c r="F2327" t="s">
        <v>53</v>
      </c>
      <c r="G2327" t="s">
        <v>70</v>
      </c>
      <c r="H2327" t="s">
        <v>75</v>
      </c>
      <c r="I2327">
        <v>2</v>
      </c>
      <c r="J2327">
        <v>7461</v>
      </c>
      <c r="K2327">
        <v>0.1</v>
      </c>
      <c r="L2327">
        <v>13429.8</v>
      </c>
      <c r="M2327">
        <v>8267.65</v>
      </c>
      <c r="N2327">
        <v>5162.1499999999996</v>
      </c>
      <c r="O2327" t="s">
        <v>77</v>
      </c>
      <c r="P2327" t="s">
        <v>81</v>
      </c>
    </row>
    <row r="2328" spans="1:16" x14ac:dyDescent="0.25">
      <c r="A2328">
        <v>2327</v>
      </c>
      <c r="B2328" s="2">
        <v>45909</v>
      </c>
      <c r="C2328" t="s">
        <v>20</v>
      </c>
      <c r="D2328" t="s">
        <v>26</v>
      </c>
      <c r="E2328" t="s">
        <v>31</v>
      </c>
      <c r="F2328" t="s">
        <v>50</v>
      </c>
      <c r="G2328" t="s">
        <v>72</v>
      </c>
      <c r="H2328" t="s">
        <v>75</v>
      </c>
      <c r="I2328">
        <v>7</v>
      </c>
      <c r="J2328">
        <v>2034</v>
      </c>
      <c r="K2328">
        <v>0.15</v>
      </c>
      <c r="L2328">
        <v>12102.3</v>
      </c>
      <c r="M2328">
        <v>8882.49</v>
      </c>
      <c r="N2328">
        <v>3219.81</v>
      </c>
      <c r="O2328" t="s">
        <v>78</v>
      </c>
      <c r="P2328" t="s">
        <v>87</v>
      </c>
    </row>
    <row r="2329" spans="1:16" x14ac:dyDescent="0.25">
      <c r="A2329">
        <v>2328</v>
      </c>
      <c r="B2329" s="2">
        <v>45981</v>
      </c>
      <c r="C2329" t="s">
        <v>20</v>
      </c>
      <c r="D2329" t="s">
        <v>26</v>
      </c>
      <c r="E2329" t="s">
        <v>34</v>
      </c>
      <c r="F2329" t="s">
        <v>51</v>
      </c>
      <c r="G2329" t="s">
        <v>70</v>
      </c>
      <c r="H2329" t="s">
        <v>73</v>
      </c>
      <c r="I2329">
        <v>1</v>
      </c>
      <c r="J2329">
        <v>3562</v>
      </c>
      <c r="K2329">
        <v>0</v>
      </c>
      <c r="L2329">
        <v>3562</v>
      </c>
      <c r="M2329">
        <v>2977.69</v>
      </c>
      <c r="N2329">
        <v>584.30999999999995</v>
      </c>
      <c r="O2329" t="s">
        <v>80</v>
      </c>
      <c r="P2329" t="s">
        <v>84</v>
      </c>
    </row>
    <row r="2330" spans="1:16" x14ac:dyDescent="0.25">
      <c r="A2330">
        <v>2329</v>
      </c>
      <c r="B2330" s="2">
        <v>45703</v>
      </c>
      <c r="C2330" t="s">
        <v>23</v>
      </c>
      <c r="D2330" t="s">
        <v>27</v>
      </c>
      <c r="E2330" t="s">
        <v>32</v>
      </c>
      <c r="F2330" t="s">
        <v>62</v>
      </c>
      <c r="G2330" t="s">
        <v>72</v>
      </c>
      <c r="H2330" t="s">
        <v>73</v>
      </c>
      <c r="I2330">
        <v>5</v>
      </c>
      <c r="J2330">
        <v>14554</v>
      </c>
      <c r="K2330">
        <v>0.05</v>
      </c>
      <c r="L2330">
        <v>69131.5</v>
      </c>
      <c r="M2330">
        <v>47628.35</v>
      </c>
      <c r="N2330">
        <v>21503.15</v>
      </c>
      <c r="O2330" t="s">
        <v>79</v>
      </c>
      <c r="P2330" t="s">
        <v>86</v>
      </c>
    </row>
    <row r="2331" spans="1:16" x14ac:dyDescent="0.25">
      <c r="A2331">
        <v>2330</v>
      </c>
      <c r="B2331" s="2">
        <v>45965</v>
      </c>
      <c r="C2331" t="s">
        <v>19</v>
      </c>
      <c r="D2331" t="s">
        <v>26</v>
      </c>
      <c r="E2331" t="s">
        <v>33</v>
      </c>
      <c r="F2331" t="s">
        <v>60</v>
      </c>
      <c r="G2331" t="s">
        <v>70</v>
      </c>
      <c r="H2331" t="s">
        <v>74</v>
      </c>
      <c r="I2331">
        <v>3</v>
      </c>
      <c r="J2331">
        <v>49022</v>
      </c>
      <c r="K2331">
        <v>0</v>
      </c>
      <c r="L2331">
        <v>147066</v>
      </c>
      <c r="M2331">
        <v>116927.93</v>
      </c>
      <c r="N2331">
        <v>30138.07</v>
      </c>
      <c r="O2331" t="s">
        <v>79</v>
      </c>
      <c r="P2331" t="s">
        <v>81</v>
      </c>
    </row>
    <row r="2332" spans="1:16" x14ac:dyDescent="0.25">
      <c r="A2332">
        <v>2331</v>
      </c>
      <c r="B2332" s="2">
        <v>45926</v>
      </c>
      <c r="C2332" t="s">
        <v>18</v>
      </c>
      <c r="D2332" t="s">
        <v>26</v>
      </c>
      <c r="E2332" t="s">
        <v>30</v>
      </c>
      <c r="F2332" t="s">
        <v>44</v>
      </c>
      <c r="G2332" t="s">
        <v>70</v>
      </c>
      <c r="H2332" t="s">
        <v>73</v>
      </c>
      <c r="I2332">
        <v>8</v>
      </c>
      <c r="J2332">
        <v>9224</v>
      </c>
      <c r="K2332">
        <v>0.2</v>
      </c>
      <c r="L2332">
        <v>59033.599999999999</v>
      </c>
      <c r="M2332">
        <v>41373.47</v>
      </c>
      <c r="N2332">
        <v>17660.13</v>
      </c>
      <c r="O2332" t="s">
        <v>78</v>
      </c>
      <c r="P2332" t="s">
        <v>82</v>
      </c>
    </row>
    <row r="2333" spans="1:16" x14ac:dyDescent="0.25">
      <c r="A2333">
        <v>2332</v>
      </c>
      <c r="B2333" s="2">
        <v>45995</v>
      </c>
      <c r="C2333" t="s">
        <v>20</v>
      </c>
      <c r="D2333" t="s">
        <v>26</v>
      </c>
      <c r="E2333" t="s">
        <v>30</v>
      </c>
      <c r="F2333" t="s">
        <v>37</v>
      </c>
      <c r="G2333" t="s">
        <v>72</v>
      </c>
      <c r="H2333" t="s">
        <v>74</v>
      </c>
      <c r="I2333">
        <v>6</v>
      </c>
      <c r="J2333">
        <v>12636</v>
      </c>
      <c r="K2333">
        <v>0.05</v>
      </c>
      <c r="L2333">
        <v>72025.2</v>
      </c>
      <c r="M2333">
        <v>44778.68</v>
      </c>
      <c r="N2333">
        <v>27246.52</v>
      </c>
      <c r="O2333" t="s">
        <v>80</v>
      </c>
      <c r="P2333" t="s">
        <v>81</v>
      </c>
    </row>
    <row r="2334" spans="1:16" x14ac:dyDescent="0.25">
      <c r="A2334">
        <v>2333</v>
      </c>
      <c r="B2334" s="2">
        <v>45767</v>
      </c>
      <c r="C2334" t="s">
        <v>19</v>
      </c>
      <c r="D2334" t="s">
        <v>26</v>
      </c>
      <c r="E2334" t="s">
        <v>29</v>
      </c>
      <c r="F2334" t="s">
        <v>53</v>
      </c>
      <c r="G2334" t="s">
        <v>71</v>
      </c>
      <c r="H2334" t="s">
        <v>73</v>
      </c>
      <c r="I2334">
        <v>4</v>
      </c>
      <c r="J2334">
        <v>7978</v>
      </c>
      <c r="K2334">
        <v>0.15</v>
      </c>
      <c r="L2334">
        <v>27125.200000000001</v>
      </c>
      <c r="M2334">
        <v>21515.67</v>
      </c>
      <c r="N2334">
        <v>5609.53</v>
      </c>
      <c r="O2334" t="s">
        <v>80</v>
      </c>
      <c r="P2334" t="s">
        <v>84</v>
      </c>
    </row>
    <row r="2335" spans="1:16" x14ac:dyDescent="0.25">
      <c r="A2335">
        <v>2334</v>
      </c>
      <c r="B2335" s="2">
        <v>45904</v>
      </c>
      <c r="C2335" t="s">
        <v>21</v>
      </c>
      <c r="D2335" t="s">
        <v>24</v>
      </c>
      <c r="E2335" t="s">
        <v>31</v>
      </c>
      <c r="F2335" t="s">
        <v>69</v>
      </c>
      <c r="G2335" t="s">
        <v>71</v>
      </c>
      <c r="H2335" t="s">
        <v>73</v>
      </c>
      <c r="I2335">
        <v>1</v>
      </c>
      <c r="J2335">
        <v>2250</v>
      </c>
      <c r="K2335">
        <v>0.15</v>
      </c>
      <c r="L2335">
        <v>1912.5</v>
      </c>
      <c r="M2335">
        <v>1477.89</v>
      </c>
      <c r="N2335">
        <v>434.61</v>
      </c>
      <c r="O2335" t="s">
        <v>80</v>
      </c>
      <c r="P2335" t="s">
        <v>88</v>
      </c>
    </row>
    <row r="2336" spans="1:16" x14ac:dyDescent="0.25">
      <c r="A2336">
        <v>2335</v>
      </c>
      <c r="B2336" s="2">
        <v>45910</v>
      </c>
      <c r="C2336" t="s">
        <v>17</v>
      </c>
      <c r="D2336" t="s">
        <v>25</v>
      </c>
      <c r="E2336" t="s">
        <v>30</v>
      </c>
      <c r="F2336" t="s">
        <v>64</v>
      </c>
      <c r="G2336" t="s">
        <v>71</v>
      </c>
      <c r="H2336" t="s">
        <v>74</v>
      </c>
      <c r="I2336">
        <v>1</v>
      </c>
      <c r="J2336">
        <v>40569</v>
      </c>
      <c r="K2336">
        <v>0.1</v>
      </c>
      <c r="L2336">
        <v>36512.1</v>
      </c>
      <c r="M2336">
        <v>24481.58</v>
      </c>
      <c r="N2336">
        <v>12030.52</v>
      </c>
      <c r="O2336" t="s">
        <v>76</v>
      </c>
      <c r="P2336" t="s">
        <v>85</v>
      </c>
    </row>
    <row r="2337" spans="1:16" x14ac:dyDescent="0.25">
      <c r="A2337">
        <v>2336</v>
      </c>
      <c r="B2337" s="2">
        <v>45770</v>
      </c>
      <c r="C2337" t="s">
        <v>20</v>
      </c>
      <c r="D2337" t="s">
        <v>26</v>
      </c>
      <c r="E2337" t="s">
        <v>34</v>
      </c>
      <c r="F2337" t="s">
        <v>51</v>
      </c>
      <c r="G2337" t="s">
        <v>72</v>
      </c>
      <c r="H2337" t="s">
        <v>73</v>
      </c>
      <c r="I2337">
        <v>8</v>
      </c>
      <c r="J2337">
        <v>1429</v>
      </c>
      <c r="K2337">
        <v>0.05</v>
      </c>
      <c r="L2337">
        <v>10860.4</v>
      </c>
      <c r="M2337">
        <v>7433.16</v>
      </c>
      <c r="N2337">
        <v>3427.24</v>
      </c>
      <c r="O2337" t="s">
        <v>76</v>
      </c>
      <c r="P2337" t="s">
        <v>84</v>
      </c>
    </row>
    <row r="2338" spans="1:16" x14ac:dyDescent="0.25">
      <c r="A2338">
        <v>2337</v>
      </c>
      <c r="B2338" s="2">
        <v>45828</v>
      </c>
      <c r="C2338" t="s">
        <v>18</v>
      </c>
      <c r="D2338" t="s">
        <v>26</v>
      </c>
      <c r="E2338" t="s">
        <v>28</v>
      </c>
      <c r="F2338" t="s">
        <v>63</v>
      </c>
      <c r="G2338" t="s">
        <v>71</v>
      </c>
      <c r="H2338" t="s">
        <v>73</v>
      </c>
      <c r="I2338">
        <v>2</v>
      </c>
      <c r="J2338">
        <v>1065</v>
      </c>
      <c r="K2338">
        <v>0.1</v>
      </c>
      <c r="L2338">
        <v>1917</v>
      </c>
      <c r="M2338">
        <v>1630.53</v>
      </c>
      <c r="N2338">
        <v>286.47000000000003</v>
      </c>
      <c r="O2338" t="s">
        <v>79</v>
      </c>
      <c r="P2338" t="s">
        <v>86</v>
      </c>
    </row>
    <row r="2339" spans="1:16" x14ac:dyDescent="0.25">
      <c r="A2339">
        <v>2338</v>
      </c>
      <c r="B2339" s="2">
        <v>45794</v>
      </c>
      <c r="C2339" t="s">
        <v>21</v>
      </c>
      <c r="D2339" t="s">
        <v>24</v>
      </c>
      <c r="E2339" t="s">
        <v>34</v>
      </c>
      <c r="F2339" t="s">
        <v>55</v>
      </c>
      <c r="G2339" t="s">
        <v>71</v>
      </c>
      <c r="H2339" t="s">
        <v>75</v>
      </c>
      <c r="I2339">
        <v>8</v>
      </c>
      <c r="J2339">
        <v>1923</v>
      </c>
      <c r="K2339">
        <v>0.1</v>
      </c>
      <c r="L2339">
        <v>13845.6</v>
      </c>
      <c r="M2339">
        <v>10752</v>
      </c>
      <c r="N2339">
        <v>3093.6</v>
      </c>
      <c r="O2339" t="s">
        <v>79</v>
      </c>
      <c r="P2339" t="s">
        <v>83</v>
      </c>
    </row>
    <row r="2340" spans="1:16" x14ac:dyDescent="0.25">
      <c r="A2340">
        <v>2339</v>
      </c>
      <c r="B2340" s="2">
        <v>45728</v>
      </c>
      <c r="C2340" t="s">
        <v>19</v>
      </c>
      <c r="D2340" t="s">
        <v>26</v>
      </c>
      <c r="E2340" t="s">
        <v>31</v>
      </c>
      <c r="F2340" t="s">
        <v>47</v>
      </c>
      <c r="G2340" t="s">
        <v>71</v>
      </c>
      <c r="H2340" t="s">
        <v>74</v>
      </c>
      <c r="I2340">
        <v>8</v>
      </c>
      <c r="J2340">
        <v>1516</v>
      </c>
      <c r="K2340">
        <v>0.05</v>
      </c>
      <c r="L2340">
        <v>11521.6</v>
      </c>
      <c r="M2340">
        <v>6630.5</v>
      </c>
      <c r="N2340">
        <v>4891.1000000000004</v>
      </c>
      <c r="O2340" t="s">
        <v>79</v>
      </c>
      <c r="P2340" t="s">
        <v>83</v>
      </c>
    </row>
    <row r="2341" spans="1:16" x14ac:dyDescent="0.25">
      <c r="A2341">
        <v>2340</v>
      </c>
      <c r="B2341" s="2">
        <v>45763</v>
      </c>
      <c r="C2341" t="s">
        <v>20</v>
      </c>
      <c r="D2341" t="s">
        <v>26</v>
      </c>
      <c r="E2341" t="s">
        <v>34</v>
      </c>
      <c r="F2341" t="s">
        <v>43</v>
      </c>
      <c r="G2341" t="s">
        <v>72</v>
      </c>
      <c r="H2341" t="s">
        <v>73</v>
      </c>
      <c r="I2341">
        <v>5</v>
      </c>
      <c r="J2341">
        <v>1902</v>
      </c>
      <c r="K2341">
        <v>0</v>
      </c>
      <c r="L2341">
        <v>9510</v>
      </c>
      <c r="M2341">
        <v>6529.83</v>
      </c>
      <c r="N2341">
        <v>2980.17</v>
      </c>
      <c r="O2341" t="s">
        <v>78</v>
      </c>
      <c r="P2341" t="s">
        <v>82</v>
      </c>
    </row>
    <row r="2342" spans="1:16" x14ac:dyDescent="0.25">
      <c r="A2342">
        <v>2341</v>
      </c>
      <c r="B2342" s="2">
        <v>45979</v>
      </c>
      <c r="C2342" t="s">
        <v>20</v>
      </c>
      <c r="D2342" t="s">
        <v>26</v>
      </c>
      <c r="E2342" t="s">
        <v>33</v>
      </c>
      <c r="F2342" t="s">
        <v>59</v>
      </c>
      <c r="G2342" t="s">
        <v>72</v>
      </c>
      <c r="H2342" t="s">
        <v>73</v>
      </c>
      <c r="I2342">
        <v>5</v>
      </c>
      <c r="J2342">
        <v>11876</v>
      </c>
      <c r="K2342">
        <v>0.15</v>
      </c>
      <c r="L2342">
        <v>50473</v>
      </c>
      <c r="M2342">
        <v>41494.67</v>
      </c>
      <c r="N2342">
        <v>8978.33</v>
      </c>
      <c r="O2342" t="s">
        <v>76</v>
      </c>
      <c r="P2342" t="s">
        <v>81</v>
      </c>
    </row>
    <row r="2343" spans="1:16" x14ac:dyDescent="0.25">
      <c r="A2343">
        <v>2342</v>
      </c>
      <c r="B2343" s="2">
        <v>45890</v>
      </c>
      <c r="C2343" t="s">
        <v>16</v>
      </c>
      <c r="D2343" t="s">
        <v>24</v>
      </c>
      <c r="E2343" t="s">
        <v>28</v>
      </c>
      <c r="F2343" t="s">
        <v>61</v>
      </c>
      <c r="G2343" t="s">
        <v>70</v>
      </c>
      <c r="H2343" t="s">
        <v>74</v>
      </c>
      <c r="I2343">
        <v>3</v>
      </c>
      <c r="J2343">
        <v>635</v>
      </c>
      <c r="K2343">
        <v>0</v>
      </c>
      <c r="L2343">
        <v>1905</v>
      </c>
      <c r="M2343">
        <v>1334.7</v>
      </c>
      <c r="N2343">
        <v>570.29999999999995</v>
      </c>
      <c r="O2343" t="s">
        <v>79</v>
      </c>
      <c r="P2343" t="s">
        <v>82</v>
      </c>
    </row>
    <row r="2344" spans="1:16" x14ac:dyDescent="0.25">
      <c r="A2344">
        <v>2343</v>
      </c>
      <c r="B2344" s="2">
        <v>45911</v>
      </c>
      <c r="C2344" t="s">
        <v>20</v>
      </c>
      <c r="D2344" t="s">
        <v>26</v>
      </c>
      <c r="E2344" t="s">
        <v>28</v>
      </c>
      <c r="F2344" t="s">
        <v>35</v>
      </c>
      <c r="G2344" t="s">
        <v>72</v>
      </c>
      <c r="H2344" t="s">
        <v>74</v>
      </c>
      <c r="I2344">
        <v>4</v>
      </c>
      <c r="J2344">
        <v>1294</v>
      </c>
      <c r="K2344">
        <v>0</v>
      </c>
      <c r="L2344">
        <v>5176</v>
      </c>
      <c r="M2344">
        <v>3228.25</v>
      </c>
      <c r="N2344">
        <v>1947.75</v>
      </c>
      <c r="O2344" t="s">
        <v>80</v>
      </c>
      <c r="P2344" t="s">
        <v>86</v>
      </c>
    </row>
    <row r="2345" spans="1:16" x14ac:dyDescent="0.25">
      <c r="A2345">
        <v>2344</v>
      </c>
      <c r="B2345" s="2">
        <v>45802</v>
      </c>
      <c r="C2345" t="s">
        <v>23</v>
      </c>
      <c r="D2345" t="s">
        <v>27</v>
      </c>
      <c r="E2345" t="s">
        <v>31</v>
      </c>
      <c r="F2345" t="s">
        <v>69</v>
      </c>
      <c r="G2345" t="s">
        <v>72</v>
      </c>
      <c r="H2345" t="s">
        <v>73</v>
      </c>
      <c r="I2345">
        <v>1</v>
      </c>
      <c r="J2345">
        <v>1730</v>
      </c>
      <c r="K2345">
        <v>0.05</v>
      </c>
      <c r="L2345">
        <v>1643.5</v>
      </c>
      <c r="M2345">
        <v>1002.01</v>
      </c>
      <c r="N2345">
        <v>641.49</v>
      </c>
      <c r="O2345" t="s">
        <v>79</v>
      </c>
      <c r="P2345" t="s">
        <v>87</v>
      </c>
    </row>
    <row r="2346" spans="1:16" x14ac:dyDescent="0.25">
      <c r="A2346">
        <v>2345</v>
      </c>
      <c r="B2346" s="2">
        <v>45956</v>
      </c>
      <c r="C2346" t="s">
        <v>20</v>
      </c>
      <c r="D2346" t="s">
        <v>26</v>
      </c>
      <c r="E2346" t="s">
        <v>34</v>
      </c>
      <c r="F2346" t="s">
        <v>51</v>
      </c>
      <c r="G2346" t="s">
        <v>72</v>
      </c>
      <c r="H2346" t="s">
        <v>74</v>
      </c>
      <c r="I2346">
        <v>8</v>
      </c>
      <c r="J2346">
        <v>5756</v>
      </c>
      <c r="K2346">
        <v>0.1</v>
      </c>
      <c r="L2346">
        <v>41443.199999999997</v>
      </c>
      <c r="M2346">
        <v>24154.43</v>
      </c>
      <c r="N2346">
        <v>17288.77</v>
      </c>
      <c r="O2346" t="s">
        <v>79</v>
      </c>
      <c r="P2346" t="s">
        <v>82</v>
      </c>
    </row>
    <row r="2347" spans="1:16" x14ac:dyDescent="0.25">
      <c r="A2347">
        <v>2346</v>
      </c>
      <c r="B2347" s="2">
        <v>45721</v>
      </c>
      <c r="C2347" t="s">
        <v>23</v>
      </c>
      <c r="D2347" t="s">
        <v>27</v>
      </c>
      <c r="E2347" t="s">
        <v>34</v>
      </c>
      <c r="F2347" t="s">
        <v>68</v>
      </c>
      <c r="G2347" t="s">
        <v>70</v>
      </c>
      <c r="H2347" t="s">
        <v>75</v>
      </c>
      <c r="I2347">
        <v>4</v>
      </c>
      <c r="J2347">
        <v>825</v>
      </c>
      <c r="K2347">
        <v>0.1</v>
      </c>
      <c r="L2347">
        <v>2970</v>
      </c>
      <c r="M2347">
        <v>2398.71</v>
      </c>
      <c r="N2347">
        <v>571.29</v>
      </c>
      <c r="O2347" t="s">
        <v>77</v>
      </c>
      <c r="P2347" t="s">
        <v>88</v>
      </c>
    </row>
    <row r="2348" spans="1:16" x14ac:dyDescent="0.25">
      <c r="A2348">
        <v>2347</v>
      </c>
      <c r="B2348" s="2">
        <v>45946</v>
      </c>
      <c r="C2348" t="s">
        <v>21</v>
      </c>
      <c r="D2348" t="s">
        <v>24</v>
      </c>
      <c r="E2348" t="s">
        <v>29</v>
      </c>
      <c r="F2348" t="s">
        <v>53</v>
      </c>
      <c r="G2348" t="s">
        <v>72</v>
      </c>
      <c r="H2348" t="s">
        <v>73</v>
      </c>
      <c r="I2348">
        <v>3</v>
      </c>
      <c r="J2348">
        <v>8477</v>
      </c>
      <c r="K2348">
        <v>0</v>
      </c>
      <c r="L2348">
        <v>25431</v>
      </c>
      <c r="M2348">
        <v>20493.63</v>
      </c>
      <c r="N2348">
        <v>4937.37</v>
      </c>
      <c r="O2348" t="s">
        <v>78</v>
      </c>
      <c r="P2348" t="s">
        <v>82</v>
      </c>
    </row>
    <row r="2349" spans="1:16" x14ac:dyDescent="0.25">
      <c r="A2349">
        <v>2348</v>
      </c>
      <c r="B2349" s="2">
        <v>45717</v>
      </c>
      <c r="C2349" t="s">
        <v>16</v>
      </c>
      <c r="D2349" t="s">
        <v>24</v>
      </c>
      <c r="E2349" t="s">
        <v>28</v>
      </c>
      <c r="F2349" t="s">
        <v>54</v>
      </c>
      <c r="G2349" t="s">
        <v>72</v>
      </c>
      <c r="H2349" t="s">
        <v>73</v>
      </c>
      <c r="I2349">
        <v>8</v>
      </c>
      <c r="J2349">
        <v>533</v>
      </c>
      <c r="K2349">
        <v>0.05</v>
      </c>
      <c r="L2349">
        <v>4050.8</v>
      </c>
      <c r="M2349">
        <v>2354.08</v>
      </c>
      <c r="N2349">
        <v>1696.72</v>
      </c>
      <c r="O2349" t="s">
        <v>78</v>
      </c>
      <c r="P2349" t="s">
        <v>83</v>
      </c>
    </row>
    <row r="2350" spans="1:16" x14ac:dyDescent="0.25">
      <c r="A2350">
        <v>2349</v>
      </c>
      <c r="B2350" s="2">
        <v>45878</v>
      </c>
      <c r="C2350" t="s">
        <v>23</v>
      </c>
      <c r="D2350" t="s">
        <v>27</v>
      </c>
      <c r="E2350" t="s">
        <v>33</v>
      </c>
      <c r="F2350" t="s">
        <v>59</v>
      </c>
      <c r="G2350" t="s">
        <v>70</v>
      </c>
      <c r="H2350" t="s">
        <v>73</v>
      </c>
      <c r="I2350">
        <v>2</v>
      </c>
      <c r="J2350">
        <v>27795</v>
      </c>
      <c r="K2350">
        <v>0.05</v>
      </c>
      <c r="L2350">
        <v>52810.5</v>
      </c>
      <c r="M2350">
        <v>40934</v>
      </c>
      <c r="N2350">
        <v>11876.5</v>
      </c>
      <c r="O2350" t="s">
        <v>79</v>
      </c>
      <c r="P2350" t="s">
        <v>86</v>
      </c>
    </row>
    <row r="2351" spans="1:16" x14ac:dyDescent="0.25">
      <c r="A2351">
        <v>2350</v>
      </c>
      <c r="B2351" s="2">
        <v>45991</v>
      </c>
      <c r="C2351" t="s">
        <v>21</v>
      </c>
      <c r="D2351" t="s">
        <v>24</v>
      </c>
      <c r="E2351" t="s">
        <v>32</v>
      </c>
      <c r="F2351" t="s">
        <v>39</v>
      </c>
      <c r="G2351" t="s">
        <v>71</v>
      </c>
      <c r="H2351" t="s">
        <v>73</v>
      </c>
      <c r="I2351">
        <v>7</v>
      </c>
      <c r="J2351">
        <v>16336</v>
      </c>
      <c r="K2351">
        <v>0.05</v>
      </c>
      <c r="L2351">
        <v>108634.4</v>
      </c>
      <c r="M2351">
        <v>85048.81</v>
      </c>
      <c r="N2351">
        <v>23585.59</v>
      </c>
      <c r="O2351" t="s">
        <v>77</v>
      </c>
      <c r="P2351" t="s">
        <v>84</v>
      </c>
    </row>
    <row r="2352" spans="1:16" x14ac:dyDescent="0.25">
      <c r="A2352">
        <v>2351</v>
      </c>
      <c r="B2352" s="2">
        <v>45932</v>
      </c>
      <c r="C2352" t="s">
        <v>20</v>
      </c>
      <c r="D2352" t="s">
        <v>26</v>
      </c>
      <c r="E2352" t="s">
        <v>28</v>
      </c>
      <c r="F2352" t="s">
        <v>58</v>
      </c>
      <c r="G2352" t="s">
        <v>70</v>
      </c>
      <c r="H2352" t="s">
        <v>75</v>
      </c>
      <c r="I2352">
        <v>1</v>
      </c>
      <c r="J2352">
        <v>1797</v>
      </c>
      <c r="K2352">
        <v>0.05</v>
      </c>
      <c r="L2352">
        <v>1707.15</v>
      </c>
      <c r="M2352">
        <v>1419.96</v>
      </c>
      <c r="N2352">
        <v>287.19</v>
      </c>
      <c r="O2352" t="s">
        <v>76</v>
      </c>
      <c r="P2352" t="s">
        <v>82</v>
      </c>
    </row>
    <row r="2353" spans="1:16" x14ac:dyDescent="0.25">
      <c r="A2353">
        <v>2352</v>
      </c>
      <c r="B2353" s="2">
        <v>45665</v>
      </c>
      <c r="C2353" t="s">
        <v>19</v>
      </c>
      <c r="D2353" t="s">
        <v>26</v>
      </c>
      <c r="E2353" t="s">
        <v>32</v>
      </c>
      <c r="F2353" t="s">
        <v>49</v>
      </c>
      <c r="G2353" t="s">
        <v>71</v>
      </c>
      <c r="H2353" t="s">
        <v>73</v>
      </c>
      <c r="I2353">
        <v>2</v>
      </c>
      <c r="J2353">
        <v>5867</v>
      </c>
      <c r="K2353">
        <v>0.15</v>
      </c>
      <c r="L2353">
        <v>9973.9</v>
      </c>
      <c r="M2353">
        <v>5777.6</v>
      </c>
      <c r="N2353">
        <v>4196.3</v>
      </c>
      <c r="O2353" t="s">
        <v>77</v>
      </c>
      <c r="P2353" t="s">
        <v>87</v>
      </c>
    </row>
    <row r="2354" spans="1:16" x14ac:dyDescent="0.25">
      <c r="A2354">
        <v>2353</v>
      </c>
      <c r="B2354" s="2">
        <v>45726</v>
      </c>
      <c r="C2354" t="s">
        <v>18</v>
      </c>
      <c r="D2354" t="s">
        <v>26</v>
      </c>
      <c r="E2354" t="s">
        <v>31</v>
      </c>
      <c r="F2354" t="s">
        <v>47</v>
      </c>
      <c r="G2354" t="s">
        <v>72</v>
      </c>
      <c r="H2354" t="s">
        <v>73</v>
      </c>
      <c r="I2354">
        <v>8</v>
      </c>
      <c r="J2354">
        <v>466</v>
      </c>
      <c r="K2354">
        <v>0.15</v>
      </c>
      <c r="L2354">
        <v>3168.8</v>
      </c>
      <c r="M2354">
        <v>2149.38</v>
      </c>
      <c r="N2354">
        <v>1019.42</v>
      </c>
      <c r="O2354" t="s">
        <v>79</v>
      </c>
      <c r="P2354" t="s">
        <v>86</v>
      </c>
    </row>
    <row r="2355" spans="1:16" x14ac:dyDescent="0.25">
      <c r="A2355">
        <v>2354</v>
      </c>
      <c r="B2355" s="2">
        <v>45723</v>
      </c>
      <c r="C2355" t="s">
        <v>22</v>
      </c>
      <c r="D2355" t="s">
        <v>24</v>
      </c>
      <c r="E2355" t="s">
        <v>33</v>
      </c>
      <c r="F2355" t="s">
        <v>59</v>
      </c>
      <c r="G2355" t="s">
        <v>70</v>
      </c>
      <c r="H2355" t="s">
        <v>73</v>
      </c>
      <c r="I2355">
        <v>3</v>
      </c>
      <c r="J2355">
        <v>19488</v>
      </c>
      <c r="K2355">
        <v>0.05</v>
      </c>
      <c r="L2355">
        <v>55540.800000000003</v>
      </c>
      <c r="M2355">
        <v>32651.93</v>
      </c>
      <c r="N2355">
        <v>22888.87</v>
      </c>
      <c r="O2355" t="s">
        <v>79</v>
      </c>
      <c r="P2355" t="s">
        <v>82</v>
      </c>
    </row>
    <row r="2356" spans="1:16" x14ac:dyDescent="0.25">
      <c r="A2356">
        <v>2355</v>
      </c>
      <c r="B2356" s="2">
        <v>45864</v>
      </c>
      <c r="C2356" t="s">
        <v>21</v>
      </c>
      <c r="D2356" t="s">
        <v>24</v>
      </c>
      <c r="E2356" t="s">
        <v>31</v>
      </c>
      <c r="F2356" t="s">
        <v>67</v>
      </c>
      <c r="G2356" t="s">
        <v>71</v>
      </c>
      <c r="H2356" t="s">
        <v>73</v>
      </c>
      <c r="I2356">
        <v>4</v>
      </c>
      <c r="J2356">
        <v>2057</v>
      </c>
      <c r="K2356">
        <v>0.05</v>
      </c>
      <c r="L2356">
        <v>7816.6</v>
      </c>
      <c r="M2356">
        <v>4324.17</v>
      </c>
      <c r="N2356">
        <v>3492.43</v>
      </c>
      <c r="O2356" t="s">
        <v>76</v>
      </c>
      <c r="P2356" t="s">
        <v>83</v>
      </c>
    </row>
    <row r="2357" spans="1:16" x14ac:dyDescent="0.25">
      <c r="A2357">
        <v>2356</v>
      </c>
      <c r="B2357" s="2">
        <v>45948</v>
      </c>
      <c r="C2357" t="s">
        <v>23</v>
      </c>
      <c r="D2357" t="s">
        <v>27</v>
      </c>
      <c r="E2357" t="s">
        <v>31</v>
      </c>
      <c r="F2357" t="s">
        <v>38</v>
      </c>
      <c r="G2357" t="s">
        <v>70</v>
      </c>
      <c r="H2357" t="s">
        <v>74</v>
      </c>
      <c r="I2357">
        <v>5</v>
      </c>
      <c r="J2357">
        <v>1644</v>
      </c>
      <c r="K2357">
        <v>0.05</v>
      </c>
      <c r="L2357">
        <v>7809</v>
      </c>
      <c r="M2357">
        <v>6697.14</v>
      </c>
      <c r="N2357">
        <v>1111.8599999999999</v>
      </c>
      <c r="O2357" t="s">
        <v>78</v>
      </c>
      <c r="P2357" t="s">
        <v>83</v>
      </c>
    </row>
    <row r="2358" spans="1:16" x14ac:dyDescent="0.25">
      <c r="A2358">
        <v>2357</v>
      </c>
      <c r="B2358" s="2">
        <v>45858</v>
      </c>
      <c r="C2358" t="s">
        <v>16</v>
      </c>
      <c r="D2358" t="s">
        <v>24</v>
      </c>
      <c r="E2358" t="s">
        <v>34</v>
      </c>
      <c r="F2358" t="s">
        <v>68</v>
      </c>
      <c r="G2358" t="s">
        <v>72</v>
      </c>
      <c r="H2358" t="s">
        <v>73</v>
      </c>
      <c r="I2358">
        <v>1</v>
      </c>
      <c r="J2358">
        <v>1617</v>
      </c>
      <c r="K2358">
        <v>0</v>
      </c>
      <c r="L2358">
        <v>1617</v>
      </c>
      <c r="M2358">
        <v>1315.33</v>
      </c>
      <c r="N2358">
        <v>301.67</v>
      </c>
      <c r="O2358" t="s">
        <v>80</v>
      </c>
      <c r="P2358" t="s">
        <v>84</v>
      </c>
    </row>
    <row r="2359" spans="1:16" x14ac:dyDescent="0.25">
      <c r="A2359">
        <v>2358</v>
      </c>
      <c r="B2359" s="2">
        <v>45821</v>
      </c>
      <c r="C2359" t="s">
        <v>21</v>
      </c>
      <c r="D2359" t="s">
        <v>24</v>
      </c>
      <c r="E2359" t="s">
        <v>31</v>
      </c>
      <c r="F2359" t="s">
        <v>47</v>
      </c>
      <c r="G2359" t="s">
        <v>70</v>
      </c>
      <c r="H2359" t="s">
        <v>73</v>
      </c>
      <c r="I2359">
        <v>4</v>
      </c>
      <c r="J2359">
        <v>1342</v>
      </c>
      <c r="K2359">
        <v>0.05</v>
      </c>
      <c r="L2359">
        <v>5099.6000000000004</v>
      </c>
      <c r="M2359">
        <v>2892.74</v>
      </c>
      <c r="N2359">
        <v>2206.86</v>
      </c>
      <c r="O2359" t="s">
        <v>80</v>
      </c>
      <c r="P2359" t="s">
        <v>84</v>
      </c>
    </row>
    <row r="2360" spans="1:16" x14ac:dyDescent="0.25">
      <c r="A2360">
        <v>2359</v>
      </c>
      <c r="B2360" s="2">
        <v>45663</v>
      </c>
      <c r="C2360" t="s">
        <v>16</v>
      </c>
      <c r="D2360" t="s">
        <v>24</v>
      </c>
      <c r="E2360" t="s">
        <v>29</v>
      </c>
      <c r="F2360" t="s">
        <v>36</v>
      </c>
      <c r="G2360" t="s">
        <v>70</v>
      </c>
      <c r="H2360" t="s">
        <v>73</v>
      </c>
      <c r="I2360">
        <v>7</v>
      </c>
      <c r="J2360">
        <v>973</v>
      </c>
      <c r="K2360">
        <v>0</v>
      </c>
      <c r="L2360">
        <v>6811</v>
      </c>
      <c r="M2360">
        <v>5264.85</v>
      </c>
      <c r="N2360">
        <v>1546.15</v>
      </c>
      <c r="O2360" t="s">
        <v>80</v>
      </c>
      <c r="P2360" t="s">
        <v>87</v>
      </c>
    </row>
    <row r="2361" spans="1:16" x14ac:dyDescent="0.25">
      <c r="A2361">
        <v>2360</v>
      </c>
      <c r="B2361" s="2">
        <v>45717</v>
      </c>
      <c r="C2361" t="s">
        <v>20</v>
      </c>
      <c r="D2361" t="s">
        <v>26</v>
      </c>
      <c r="E2361" t="s">
        <v>29</v>
      </c>
      <c r="F2361" t="s">
        <v>42</v>
      </c>
      <c r="G2361" t="s">
        <v>70</v>
      </c>
      <c r="H2361" t="s">
        <v>75</v>
      </c>
      <c r="I2361">
        <v>2</v>
      </c>
      <c r="J2361">
        <v>11899</v>
      </c>
      <c r="K2361">
        <v>0</v>
      </c>
      <c r="L2361">
        <v>23798</v>
      </c>
      <c r="M2361">
        <v>17489.5</v>
      </c>
      <c r="N2361">
        <v>6308.5</v>
      </c>
      <c r="O2361" t="s">
        <v>79</v>
      </c>
      <c r="P2361" t="s">
        <v>88</v>
      </c>
    </row>
    <row r="2362" spans="1:16" x14ac:dyDescent="0.25">
      <c r="A2362">
        <v>2361</v>
      </c>
      <c r="B2362" s="2">
        <v>45946</v>
      </c>
      <c r="C2362" t="s">
        <v>16</v>
      </c>
      <c r="D2362" t="s">
        <v>24</v>
      </c>
      <c r="E2362" t="s">
        <v>28</v>
      </c>
      <c r="F2362" t="s">
        <v>35</v>
      </c>
      <c r="G2362" t="s">
        <v>71</v>
      </c>
      <c r="H2362" t="s">
        <v>75</v>
      </c>
      <c r="I2362">
        <v>1</v>
      </c>
      <c r="J2362">
        <v>2275</v>
      </c>
      <c r="K2362">
        <v>0.05</v>
      </c>
      <c r="L2362">
        <v>2161.25</v>
      </c>
      <c r="M2362">
        <v>1325.43</v>
      </c>
      <c r="N2362">
        <v>835.82</v>
      </c>
      <c r="O2362" t="s">
        <v>76</v>
      </c>
      <c r="P2362" t="s">
        <v>85</v>
      </c>
    </row>
    <row r="2363" spans="1:16" x14ac:dyDescent="0.25">
      <c r="A2363">
        <v>2362</v>
      </c>
      <c r="B2363" s="2">
        <v>45816</v>
      </c>
      <c r="C2363" t="s">
        <v>23</v>
      </c>
      <c r="D2363" t="s">
        <v>27</v>
      </c>
      <c r="E2363" t="s">
        <v>34</v>
      </c>
      <c r="F2363" t="s">
        <v>65</v>
      </c>
      <c r="G2363" t="s">
        <v>70</v>
      </c>
      <c r="H2363" t="s">
        <v>74</v>
      </c>
      <c r="I2363">
        <v>8</v>
      </c>
      <c r="J2363">
        <v>948</v>
      </c>
      <c r="K2363">
        <v>0.05</v>
      </c>
      <c r="L2363">
        <v>7204.8</v>
      </c>
      <c r="M2363">
        <v>4564.6000000000004</v>
      </c>
      <c r="N2363">
        <v>2640.2</v>
      </c>
      <c r="O2363" t="s">
        <v>76</v>
      </c>
      <c r="P2363" t="s">
        <v>81</v>
      </c>
    </row>
    <row r="2364" spans="1:16" x14ac:dyDescent="0.25">
      <c r="A2364">
        <v>2363</v>
      </c>
      <c r="B2364" s="2">
        <v>45669</v>
      </c>
      <c r="C2364" t="s">
        <v>20</v>
      </c>
      <c r="D2364" t="s">
        <v>26</v>
      </c>
      <c r="E2364" t="s">
        <v>28</v>
      </c>
      <c r="F2364" t="s">
        <v>61</v>
      </c>
      <c r="G2364" t="s">
        <v>72</v>
      </c>
      <c r="H2364" t="s">
        <v>73</v>
      </c>
      <c r="I2364">
        <v>5</v>
      </c>
      <c r="J2364">
        <v>947</v>
      </c>
      <c r="K2364">
        <v>0.1</v>
      </c>
      <c r="L2364">
        <v>4261.5</v>
      </c>
      <c r="M2364">
        <v>3221.38</v>
      </c>
      <c r="N2364">
        <v>1040.1199999999999</v>
      </c>
      <c r="O2364" t="s">
        <v>77</v>
      </c>
      <c r="P2364" t="s">
        <v>82</v>
      </c>
    </row>
    <row r="2365" spans="1:16" x14ac:dyDescent="0.25">
      <c r="A2365">
        <v>2364</v>
      </c>
      <c r="B2365" s="2">
        <v>45704</v>
      </c>
      <c r="C2365" t="s">
        <v>23</v>
      </c>
      <c r="D2365" t="s">
        <v>27</v>
      </c>
      <c r="E2365" t="s">
        <v>30</v>
      </c>
      <c r="F2365" t="s">
        <v>40</v>
      </c>
      <c r="G2365" t="s">
        <v>72</v>
      </c>
      <c r="H2365" t="s">
        <v>75</v>
      </c>
      <c r="I2365">
        <v>4</v>
      </c>
      <c r="J2365">
        <v>37007</v>
      </c>
      <c r="K2365">
        <v>0.1</v>
      </c>
      <c r="L2365">
        <v>133225.20000000001</v>
      </c>
      <c r="M2365">
        <v>73705.02</v>
      </c>
      <c r="N2365">
        <v>59520.18</v>
      </c>
      <c r="O2365" t="s">
        <v>77</v>
      </c>
      <c r="P2365" t="s">
        <v>88</v>
      </c>
    </row>
    <row r="2366" spans="1:16" x14ac:dyDescent="0.25">
      <c r="A2366">
        <v>2365</v>
      </c>
      <c r="B2366" s="2">
        <v>45674</v>
      </c>
      <c r="C2366" t="s">
        <v>23</v>
      </c>
      <c r="D2366" t="s">
        <v>27</v>
      </c>
      <c r="E2366" t="s">
        <v>31</v>
      </c>
      <c r="F2366" t="s">
        <v>50</v>
      </c>
      <c r="G2366" t="s">
        <v>71</v>
      </c>
      <c r="H2366" t="s">
        <v>74</v>
      </c>
      <c r="I2366">
        <v>8</v>
      </c>
      <c r="J2366">
        <v>1590</v>
      </c>
      <c r="K2366">
        <v>0.15</v>
      </c>
      <c r="L2366">
        <v>10812</v>
      </c>
      <c r="M2366">
        <v>9376.2800000000007</v>
      </c>
      <c r="N2366">
        <v>1435.72</v>
      </c>
      <c r="O2366" t="s">
        <v>79</v>
      </c>
      <c r="P2366" t="s">
        <v>85</v>
      </c>
    </row>
    <row r="2367" spans="1:16" x14ac:dyDescent="0.25">
      <c r="A2367">
        <v>2366</v>
      </c>
      <c r="B2367" s="2">
        <v>45999</v>
      </c>
      <c r="C2367" t="s">
        <v>16</v>
      </c>
      <c r="D2367" t="s">
        <v>24</v>
      </c>
      <c r="E2367" t="s">
        <v>30</v>
      </c>
      <c r="F2367" t="s">
        <v>37</v>
      </c>
      <c r="G2367" t="s">
        <v>72</v>
      </c>
      <c r="H2367" t="s">
        <v>75</v>
      </c>
      <c r="I2367">
        <v>6</v>
      </c>
      <c r="J2367">
        <v>14264</v>
      </c>
      <c r="K2367">
        <v>0.2</v>
      </c>
      <c r="L2367">
        <v>68467.199999999997</v>
      </c>
      <c r="M2367">
        <v>52005.78</v>
      </c>
      <c r="N2367">
        <v>16461.419999999998</v>
      </c>
      <c r="O2367" t="s">
        <v>78</v>
      </c>
      <c r="P2367" t="s">
        <v>82</v>
      </c>
    </row>
    <row r="2368" spans="1:16" x14ac:dyDescent="0.25">
      <c r="A2368">
        <v>2367</v>
      </c>
      <c r="B2368" s="2">
        <v>45731</v>
      </c>
      <c r="C2368" t="s">
        <v>20</v>
      </c>
      <c r="D2368" t="s">
        <v>26</v>
      </c>
      <c r="E2368" t="s">
        <v>32</v>
      </c>
      <c r="F2368" t="s">
        <v>39</v>
      </c>
      <c r="G2368" t="s">
        <v>72</v>
      </c>
      <c r="H2368" t="s">
        <v>74</v>
      </c>
      <c r="I2368">
        <v>1</v>
      </c>
      <c r="J2368">
        <v>14710</v>
      </c>
      <c r="K2368">
        <v>0</v>
      </c>
      <c r="L2368">
        <v>14710</v>
      </c>
      <c r="M2368">
        <v>11139.4</v>
      </c>
      <c r="N2368">
        <v>3570.6</v>
      </c>
      <c r="O2368" t="s">
        <v>79</v>
      </c>
      <c r="P2368" t="s">
        <v>84</v>
      </c>
    </row>
    <row r="2369" spans="1:16" x14ac:dyDescent="0.25">
      <c r="A2369">
        <v>2368</v>
      </c>
      <c r="B2369" s="2">
        <v>45946</v>
      </c>
      <c r="C2369" t="s">
        <v>18</v>
      </c>
      <c r="D2369" t="s">
        <v>26</v>
      </c>
      <c r="E2369" t="s">
        <v>29</v>
      </c>
      <c r="F2369" t="s">
        <v>45</v>
      </c>
      <c r="G2369" t="s">
        <v>71</v>
      </c>
      <c r="H2369" t="s">
        <v>75</v>
      </c>
      <c r="I2369">
        <v>5</v>
      </c>
      <c r="J2369">
        <v>2439</v>
      </c>
      <c r="K2369">
        <v>0.05</v>
      </c>
      <c r="L2369">
        <v>11585.25</v>
      </c>
      <c r="M2369">
        <v>8180.25</v>
      </c>
      <c r="N2369">
        <v>3405</v>
      </c>
      <c r="O2369" t="s">
        <v>77</v>
      </c>
      <c r="P2369" t="s">
        <v>86</v>
      </c>
    </row>
    <row r="2370" spans="1:16" x14ac:dyDescent="0.25">
      <c r="A2370">
        <v>2369</v>
      </c>
      <c r="B2370" s="2">
        <v>45984</v>
      </c>
      <c r="C2370" t="s">
        <v>17</v>
      </c>
      <c r="D2370" t="s">
        <v>25</v>
      </c>
      <c r="E2370" t="s">
        <v>34</v>
      </c>
      <c r="F2370" t="s">
        <v>51</v>
      </c>
      <c r="G2370" t="s">
        <v>70</v>
      </c>
      <c r="H2370" t="s">
        <v>75</v>
      </c>
      <c r="I2370">
        <v>6</v>
      </c>
      <c r="J2370">
        <v>545</v>
      </c>
      <c r="K2370">
        <v>0.1</v>
      </c>
      <c r="L2370">
        <v>2943</v>
      </c>
      <c r="M2370">
        <v>2100.16</v>
      </c>
      <c r="N2370">
        <v>842.84</v>
      </c>
      <c r="O2370" t="s">
        <v>80</v>
      </c>
      <c r="P2370" t="s">
        <v>83</v>
      </c>
    </row>
    <row r="2371" spans="1:16" x14ac:dyDescent="0.25">
      <c r="A2371">
        <v>2370</v>
      </c>
      <c r="B2371" s="2">
        <v>45698</v>
      </c>
      <c r="C2371" t="s">
        <v>20</v>
      </c>
      <c r="D2371" t="s">
        <v>26</v>
      </c>
      <c r="E2371" t="s">
        <v>28</v>
      </c>
      <c r="F2371" t="s">
        <v>63</v>
      </c>
      <c r="G2371" t="s">
        <v>72</v>
      </c>
      <c r="H2371" t="s">
        <v>74</v>
      </c>
      <c r="I2371">
        <v>5</v>
      </c>
      <c r="J2371">
        <v>1104</v>
      </c>
      <c r="K2371">
        <v>0.1</v>
      </c>
      <c r="L2371">
        <v>4968</v>
      </c>
      <c r="M2371">
        <v>3288.99</v>
      </c>
      <c r="N2371">
        <v>1679.01</v>
      </c>
      <c r="O2371" t="s">
        <v>77</v>
      </c>
      <c r="P2371" t="s">
        <v>85</v>
      </c>
    </row>
    <row r="2372" spans="1:16" x14ac:dyDescent="0.25">
      <c r="A2372">
        <v>2371</v>
      </c>
      <c r="B2372" s="2">
        <v>45676</v>
      </c>
      <c r="C2372" t="s">
        <v>21</v>
      </c>
      <c r="D2372" t="s">
        <v>24</v>
      </c>
      <c r="E2372" t="s">
        <v>33</v>
      </c>
      <c r="F2372" t="s">
        <v>60</v>
      </c>
      <c r="G2372" t="s">
        <v>71</v>
      </c>
      <c r="H2372" t="s">
        <v>73</v>
      </c>
      <c r="I2372">
        <v>3</v>
      </c>
      <c r="J2372">
        <v>27547</v>
      </c>
      <c r="K2372">
        <v>0.05</v>
      </c>
      <c r="L2372">
        <v>78508.95</v>
      </c>
      <c r="M2372">
        <v>68932.91</v>
      </c>
      <c r="N2372">
        <v>9576.0400000000009</v>
      </c>
      <c r="O2372" t="s">
        <v>80</v>
      </c>
      <c r="P2372" t="s">
        <v>83</v>
      </c>
    </row>
    <row r="2373" spans="1:16" x14ac:dyDescent="0.25">
      <c r="A2373">
        <v>2372</v>
      </c>
      <c r="B2373" s="2">
        <v>45799</v>
      </c>
      <c r="C2373" t="s">
        <v>22</v>
      </c>
      <c r="D2373" t="s">
        <v>24</v>
      </c>
      <c r="E2373" t="s">
        <v>30</v>
      </c>
      <c r="F2373" t="s">
        <v>56</v>
      </c>
      <c r="G2373" t="s">
        <v>71</v>
      </c>
      <c r="H2373" t="s">
        <v>73</v>
      </c>
      <c r="I2373">
        <v>8</v>
      </c>
      <c r="J2373">
        <v>25764</v>
      </c>
      <c r="K2373">
        <v>0.1</v>
      </c>
      <c r="L2373">
        <v>185500.79999999999</v>
      </c>
      <c r="M2373">
        <v>154048.48000000001</v>
      </c>
      <c r="N2373">
        <v>31452.32</v>
      </c>
      <c r="O2373" t="s">
        <v>76</v>
      </c>
      <c r="P2373" t="s">
        <v>82</v>
      </c>
    </row>
    <row r="2374" spans="1:16" x14ac:dyDescent="0.25">
      <c r="A2374">
        <v>2373</v>
      </c>
      <c r="B2374" s="2">
        <v>45740</v>
      </c>
      <c r="C2374" t="s">
        <v>22</v>
      </c>
      <c r="D2374" t="s">
        <v>24</v>
      </c>
      <c r="E2374" t="s">
        <v>34</v>
      </c>
      <c r="F2374" t="s">
        <v>51</v>
      </c>
      <c r="G2374" t="s">
        <v>72</v>
      </c>
      <c r="H2374" t="s">
        <v>74</v>
      </c>
      <c r="I2374">
        <v>3</v>
      </c>
      <c r="J2374">
        <v>4483</v>
      </c>
      <c r="K2374">
        <v>0.15</v>
      </c>
      <c r="L2374">
        <v>11431.65</v>
      </c>
      <c r="M2374">
        <v>9691.16</v>
      </c>
      <c r="N2374">
        <v>1740.49</v>
      </c>
      <c r="O2374" t="s">
        <v>80</v>
      </c>
      <c r="P2374" t="s">
        <v>87</v>
      </c>
    </row>
    <row r="2375" spans="1:16" x14ac:dyDescent="0.25">
      <c r="A2375">
        <v>2374</v>
      </c>
      <c r="B2375" s="2">
        <v>46009</v>
      </c>
      <c r="C2375" t="s">
        <v>21</v>
      </c>
      <c r="D2375" t="s">
        <v>24</v>
      </c>
      <c r="E2375" t="s">
        <v>34</v>
      </c>
      <c r="F2375" t="s">
        <v>55</v>
      </c>
      <c r="G2375" t="s">
        <v>70</v>
      </c>
      <c r="H2375" t="s">
        <v>74</v>
      </c>
      <c r="I2375">
        <v>7</v>
      </c>
      <c r="J2375">
        <v>2422</v>
      </c>
      <c r="K2375">
        <v>0</v>
      </c>
      <c r="L2375">
        <v>16954</v>
      </c>
      <c r="M2375">
        <v>10604.25</v>
      </c>
      <c r="N2375">
        <v>6349.75</v>
      </c>
      <c r="O2375" t="s">
        <v>76</v>
      </c>
      <c r="P2375" t="s">
        <v>87</v>
      </c>
    </row>
    <row r="2376" spans="1:16" x14ac:dyDescent="0.25">
      <c r="A2376">
        <v>2375</v>
      </c>
      <c r="B2376" s="2">
        <v>45965</v>
      </c>
      <c r="C2376" t="s">
        <v>17</v>
      </c>
      <c r="D2376" t="s">
        <v>25</v>
      </c>
      <c r="E2376" t="s">
        <v>34</v>
      </c>
      <c r="F2376" t="s">
        <v>51</v>
      </c>
      <c r="G2376" t="s">
        <v>70</v>
      </c>
      <c r="H2376" t="s">
        <v>73</v>
      </c>
      <c r="I2376">
        <v>7</v>
      </c>
      <c r="J2376">
        <v>5570</v>
      </c>
      <c r="K2376">
        <v>0.05</v>
      </c>
      <c r="L2376">
        <v>37040.5</v>
      </c>
      <c r="M2376">
        <v>24540.39</v>
      </c>
      <c r="N2376">
        <v>12500.11</v>
      </c>
      <c r="O2376" t="s">
        <v>80</v>
      </c>
      <c r="P2376" t="s">
        <v>87</v>
      </c>
    </row>
    <row r="2377" spans="1:16" x14ac:dyDescent="0.25">
      <c r="A2377">
        <v>2376</v>
      </c>
      <c r="B2377" s="2">
        <v>45909</v>
      </c>
      <c r="C2377" t="s">
        <v>20</v>
      </c>
      <c r="D2377" t="s">
        <v>26</v>
      </c>
      <c r="E2377" t="s">
        <v>33</v>
      </c>
      <c r="F2377" t="s">
        <v>46</v>
      </c>
      <c r="G2377" t="s">
        <v>71</v>
      </c>
      <c r="H2377" t="s">
        <v>75</v>
      </c>
      <c r="I2377">
        <v>7</v>
      </c>
      <c r="J2377">
        <v>35068</v>
      </c>
      <c r="K2377">
        <v>0.05</v>
      </c>
      <c r="L2377">
        <v>233202.2</v>
      </c>
      <c r="M2377">
        <v>183017.55</v>
      </c>
      <c r="N2377">
        <v>50184.65</v>
      </c>
      <c r="O2377" t="s">
        <v>80</v>
      </c>
      <c r="P2377" t="s">
        <v>88</v>
      </c>
    </row>
    <row r="2378" spans="1:16" x14ac:dyDescent="0.25">
      <c r="A2378">
        <v>2377</v>
      </c>
      <c r="B2378" s="2">
        <v>45849</v>
      </c>
      <c r="C2378" t="s">
        <v>23</v>
      </c>
      <c r="D2378" t="s">
        <v>27</v>
      </c>
      <c r="E2378" t="s">
        <v>33</v>
      </c>
      <c r="F2378" t="s">
        <v>46</v>
      </c>
      <c r="G2378" t="s">
        <v>72</v>
      </c>
      <c r="H2378" t="s">
        <v>75</v>
      </c>
      <c r="I2378">
        <v>4</v>
      </c>
      <c r="J2378">
        <v>4553</v>
      </c>
      <c r="K2378">
        <v>0.15</v>
      </c>
      <c r="L2378">
        <v>15480.2</v>
      </c>
      <c r="M2378">
        <v>11681.23</v>
      </c>
      <c r="N2378">
        <v>3798.97</v>
      </c>
      <c r="O2378" t="s">
        <v>78</v>
      </c>
      <c r="P2378" t="s">
        <v>83</v>
      </c>
    </row>
    <row r="2379" spans="1:16" x14ac:dyDescent="0.25">
      <c r="A2379">
        <v>2378</v>
      </c>
      <c r="B2379" s="2">
        <v>45748</v>
      </c>
      <c r="C2379" t="s">
        <v>19</v>
      </c>
      <c r="D2379" t="s">
        <v>26</v>
      </c>
      <c r="E2379" t="s">
        <v>30</v>
      </c>
      <c r="F2379" t="s">
        <v>40</v>
      </c>
      <c r="G2379" t="s">
        <v>72</v>
      </c>
      <c r="H2379" t="s">
        <v>73</v>
      </c>
      <c r="I2379">
        <v>6</v>
      </c>
      <c r="J2379">
        <v>42999</v>
      </c>
      <c r="K2379">
        <v>0.1</v>
      </c>
      <c r="L2379">
        <v>232194.6</v>
      </c>
      <c r="M2379">
        <v>164262.96</v>
      </c>
      <c r="N2379">
        <v>67931.64</v>
      </c>
      <c r="O2379" t="s">
        <v>77</v>
      </c>
      <c r="P2379" t="s">
        <v>81</v>
      </c>
    </row>
    <row r="2380" spans="1:16" x14ac:dyDescent="0.25">
      <c r="A2380">
        <v>2379</v>
      </c>
      <c r="B2380" s="2">
        <v>45860</v>
      </c>
      <c r="C2380" t="s">
        <v>22</v>
      </c>
      <c r="D2380" t="s">
        <v>24</v>
      </c>
      <c r="E2380" t="s">
        <v>34</v>
      </c>
      <c r="F2380" t="s">
        <v>68</v>
      </c>
      <c r="G2380" t="s">
        <v>70</v>
      </c>
      <c r="H2380" t="s">
        <v>74</v>
      </c>
      <c r="I2380">
        <v>7</v>
      </c>
      <c r="J2380">
        <v>5755</v>
      </c>
      <c r="K2380">
        <v>0.1</v>
      </c>
      <c r="L2380">
        <v>36256.5</v>
      </c>
      <c r="M2380">
        <v>30043.89</v>
      </c>
      <c r="N2380">
        <v>6212.61</v>
      </c>
      <c r="O2380" t="s">
        <v>77</v>
      </c>
      <c r="P2380" t="s">
        <v>83</v>
      </c>
    </row>
    <row r="2381" spans="1:16" x14ac:dyDescent="0.25">
      <c r="A2381">
        <v>2380</v>
      </c>
      <c r="B2381" s="2">
        <v>45823</v>
      </c>
      <c r="C2381" t="s">
        <v>23</v>
      </c>
      <c r="D2381" t="s">
        <v>27</v>
      </c>
      <c r="E2381" t="s">
        <v>32</v>
      </c>
      <c r="F2381" t="s">
        <v>66</v>
      </c>
      <c r="G2381" t="s">
        <v>72</v>
      </c>
      <c r="H2381" t="s">
        <v>73</v>
      </c>
      <c r="I2381">
        <v>3</v>
      </c>
      <c r="J2381">
        <v>2596</v>
      </c>
      <c r="K2381">
        <v>0</v>
      </c>
      <c r="L2381">
        <v>7788</v>
      </c>
      <c r="M2381">
        <v>5769.32</v>
      </c>
      <c r="N2381">
        <v>2018.68</v>
      </c>
      <c r="O2381" t="s">
        <v>80</v>
      </c>
      <c r="P2381" t="s">
        <v>85</v>
      </c>
    </row>
    <row r="2382" spans="1:16" x14ac:dyDescent="0.25">
      <c r="A2382">
        <v>2381</v>
      </c>
      <c r="B2382" s="2">
        <v>45695</v>
      </c>
      <c r="C2382" t="s">
        <v>18</v>
      </c>
      <c r="D2382" t="s">
        <v>26</v>
      </c>
      <c r="E2382" t="s">
        <v>32</v>
      </c>
      <c r="F2382" t="s">
        <v>49</v>
      </c>
      <c r="G2382" t="s">
        <v>72</v>
      </c>
      <c r="H2382" t="s">
        <v>73</v>
      </c>
      <c r="I2382">
        <v>1</v>
      </c>
      <c r="J2382">
        <v>19573</v>
      </c>
      <c r="K2382">
        <v>0.05</v>
      </c>
      <c r="L2382">
        <v>18594.349999999999</v>
      </c>
      <c r="M2382">
        <v>14136.33</v>
      </c>
      <c r="N2382">
        <v>4458.0200000000004</v>
      </c>
      <c r="O2382" t="s">
        <v>78</v>
      </c>
      <c r="P2382" t="s">
        <v>86</v>
      </c>
    </row>
    <row r="2383" spans="1:16" x14ac:dyDescent="0.25">
      <c r="A2383">
        <v>2382</v>
      </c>
      <c r="B2383" s="2">
        <v>45879</v>
      </c>
      <c r="C2383" t="s">
        <v>19</v>
      </c>
      <c r="D2383" t="s">
        <v>26</v>
      </c>
      <c r="E2383" t="s">
        <v>34</v>
      </c>
      <c r="F2383" t="s">
        <v>55</v>
      </c>
      <c r="G2383" t="s">
        <v>72</v>
      </c>
      <c r="H2383" t="s">
        <v>74</v>
      </c>
      <c r="I2383">
        <v>7</v>
      </c>
      <c r="J2383">
        <v>5892</v>
      </c>
      <c r="K2383">
        <v>0.05</v>
      </c>
      <c r="L2383">
        <v>39181.800000000003</v>
      </c>
      <c r="M2383">
        <v>32342.32</v>
      </c>
      <c r="N2383">
        <v>6839.48</v>
      </c>
      <c r="O2383" t="s">
        <v>79</v>
      </c>
      <c r="P2383" t="s">
        <v>87</v>
      </c>
    </row>
    <row r="2384" spans="1:16" x14ac:dyDescent="0.25">
      <c r="A2384">
        <v>2383</v>
      </c>
      <c r="B2384" s="2">
        <v>46005</v>
      </c>
      <c r="C2384" t="s">
        <v>23</v>
      </c>
      <c r="D2384" t="s">
        <v>27</v>
      </c>
      <c r="E2384" t="s">
        <v>28</v>
      </c>
      <c r="F2384" t="s">
        <v>54</v>
      </c>
      <c r="G2384" t="s">
        <v>72</v>
      </c>
      <c r="H2384" t="s">
        <v>73</v>
      </c>
      <c r="I2384">
        <v>6</v>
      </c>
      <c r="J2384">
        <v>1813</v>
      </c>
      <c r="K2384">
        <v>0.05</v>
      </c>
      <c r="L2384">
        <v>10334.1</v>
      </c>
      <c r="M2384">
        <v>6255.13</v>
      </c>
      <c r="N2384">
        <v>4078.97</v>
      </c>
      <c r="O2384" t="s">
        <v>77</v>
      </c>
      <c r="P2384" t="s">
        <v>85</v>
      </c>
    </row>
    <row r="2385" spans="1:16" x14ac:dyDescent="0.25">
      <c r="A2385">
        <v>2384</v>
      </c>
      <c r="B2385" s="2">
        <v>45776</v>
      </c>
      <c r="C2385" t="s">
        <v>16</v>
      </c>
      <c r="D2385" t="s">
        <v>24</v>
      </c>
      <c r="E2385" t="s">
        <v>29</v>
      </c>
      <c r="F2385" t="s">
        <v>45</v>
      </c>
      <c r="G2385" t="s">
        <v>70</v>
      </c>
      <c r="H2385" t="s">
        <v>74</v>
      </c>
      <c r="I2385">
        <v>2</v>
      </c>
      <c r="J2385">
        <v>8355</v>
      </c>
      <c r="K2385">
        <v>0.05</v>
      </c>
      <c r="L2385">
        <v>15874.5</v>
      </c>
      <c r="M2385">
        <v>12471.6</v>
      </c>
      <c r="N2385">
        <v>3402.9</v>
      </c>
      <c r="O2385" t="s">
        <v>78</v>
      </c>
      <c r="P2385" t="s">
        <v>86</v>
      </c>
    </row>
    <row r="2386" spans="1:16" x14ac:dyDescent="0.25">
      <c r="A2386">
        <v>2385</v>
      </c>
      <c r="B2386" s="2">
        <v>45815</v>
      </c>
      <c r="C2386" t="s">
        <v>17</v>
      </c>
      <c r="D2386" t="s">
        <v>25</v>
      </c>
      <c r="E2386" t="s">
        <v>32</v>
      </c>
      <c r="F2386" t="s">
        <v>49</v>
      </c>
      <c r="G2386" t="s">
        <v>72</v>
      </c>
      <c r="H2386" t="s">
        <v>73</v>
      </c>
      <c r="I2386">
        <v>7</v>
      </c>
      <c r="J2386">
        <v>7217</v>
      </c>
      <c r="K2386">
        <v>0.15</v>
      </c>
      <c r="L2386">
        <v>42941.15</v>
      </c>
      <c r="M2386">
        <v>24552.83</v>
      </c>
      <c r="N2386">
        <v>18388.32</v>
      </c>
      <c r="O2386" t="s">
        <v>79</v>
      </c>
      <c r="P2386" t="s">
        <v>86</v>
      </c>
    </row>
    <row r="2387" spans="1:16" x14ac:dyDescent="0.25">
      <c r="A2387">
        <v>2386</v>
      </c>
      <c r="B2387" s="2">
        <v>45868</v>
      </c>
      <c r="C2387" t="s">
        <v>21</v>
      </c>
      <c r="D2387" t="s">
        <v>24</v>
      </c>
      <c r="E2387" t="s">
        <v>33</v>
      </c>
      <c r="F2387" t="s">
        <v>60</v>
      </c>
      <c r="G2387" t="s">
        <v>72</v>
      </c>
      <c r="H2387" t="s">
        <v>73</v>
      </c>
      <c r="I2387">
        <v>3</v>
      </c>
      <c r="J2387">
        <v>24841</v>
      </c>
      <c r="K2387">
        <v>0</v>
      </c>
      <c r="L2387">
        <v>74523</v>
      </c>
      <c r="M2387">
        <v>62113</v>
      </c>
      <c r="N2387">
        <v>12410</v>
      </c>
      <c r="O2387" t="s">
        <v>77</v>
      </c>
      <c r="P2387" t="s">
        <v>85</v>
      </c>
    </row>
    <row r="2388" spans="1:16" x14ac:dyDescent="0.25">
      <c r="A2388">
        <v>2387</v>
      </c>
      <c r="B2388" s="2">
        <v>45752</v>
      </c>
      <c r="C2388" t="s">
        <v>20</v>
      </c>
      <c r="D2388" t="s">
        <v>26</v>
      </c>
      <c r="E2388" t="s">
        <v>31</v>
      </c>
      <c r="F2388" t="s">
        <v>47</v>
      </c>
      <c r="G2388" t="s">
        <v>72</v>
      </c>
      <c r="H2388" t="s">
        <v>74</v>
      </c>
      <c r="I2388">
        <v>4</v>
      </c>
      <c r="J2388">
        <v>455</v>
      </c>
      <c r="K2388">
        <v>0</v>
      </c>
      <c r="L2388">
        <v>1820</v>
      </c>
      <c r="M2388">
        <v>1457.31</v>
      </c>
      <c r="N2388">
        <v>362.69</v>
      </c>
      <c r="O2388" t="s">
        <v>77</v>
      </c>
      <c r="P2388" t="s">
        <v>83</v>
      </c>
    </row>
    <row r="2389" spans="1:16" x14ac:dyDescent="0.25">
      <c r="A2389">
        <v>2388</v>
      </c>
      <c r="B2389" s="2">
        <v>45756</v>
      </c>
      <c r="C2389" t="s">
        <v>20</v>
      </c>
      <c r="D2389" t="s">
        <v>26</v>
      </c>
      <c r="E2389" t="s">
        <v>33</v>
      </c>
      <c r="F2389" t="s">
        <v>46</v>
      </c>
      <c r="G2389" t="s">
        <v>71</v>
      </c>
      <c r="H2389" t="s">
        <v>73</v>
      </c>
      <c r="I2389">
        <v>6</v>
      </c>
      <c r="J2389">
        <v>46537</v>
      </c>
      <c r="K2389">
        <v>0.1</v>
      </c>
      <c r="L2389">
        <v>251299.8</v>
      </c>
      <c r="M2389">
        <v>201332.8</v>
      </c>
      <c r="N2389">
        <v>49967</v>
      </c>
      <c r="O2389" t="s">
        <v>78</v>
      </c>
      <c r="P2389" t="s">
        <v>86</v>
      </c>
    </row>
    <row r="2390" spans="1:16" x14ac:dyDescent="0.25">
      <c r="A2390">
        <v>2389</v>
      </c>
      <c r="B2390" s="2">
        <v>45885</v>
      </c>
      <c r="C2390" t="s">
        <v>20</v>
      </c>
      <c r="D2390" t="s">
        <v>26</v>
      </c>
      <c r="E2390" t="s">
        <v>34</v>
      </c>
      <c r="F2390" t="s">
        <v>55</v>
      </c>
      <c r="G2390" t="s">
        <v>72</v>
      </c>
      <c r="H2390" t="s">
        <v>73</v>
      </c>
      <c r="I2390">
        <v>8</v>
      </c>
      <c r="J2390">
        <v>3237</v>
      </c>
      <c r="K2390">
        <v>0.15</v>
      </c>
      <c r="L2390">
        <v>22011.599999999999</v>
      </c>
      <c r="M2390">
        <v>12322.91</v>
      </c>
      <c r="N2390">
        <v>9688.69</v>
      </c>
      <c r="O2390" t="s">
        <v>76</v>
      </c>
      <c r="P2390" t="s">
        <v>84</v>
      </c>
    </row>
    <row r="2391" spans="1:16" x14ac:dyDescent="0.25">
      <c r="A2391">
        <v>2390</v>
      </c>
      <c r="B2391" s="2">
        <v>45975</v>
      </c>
      <c r="C2391" t="s">
        <v>17</v>
      </c>
      <c r="D2391" t="s">
        <v>25</v>
      </c>
      <c r="E2391" t="s">
        <v>30</v>
      </c>
      <c r="F2391" t="s">
        <v>44</v>
      </c>
      <c r="G2391" t="s">
        <v>71</v>
      </c>
      <c r="H2391" t="s">
        <v>73</v>
      </c>
      <c r="I2391">
        <v>7</v>
      </c>
      <c r="J2391">
        <v>47083</v>
      </c>
      <c r="K2391">
        <v>0.1</v>
      </c>
      <c r="L2391">
        <v>296622.90000000002</v>
      </c>
      <c r="M2391">
        <v>181626.2</v>
      </c>
      <c r="N2391">
        <v>114996.7</v>
      </c>
      <c r="O2391" t="s">
        <v>79</v>
      </c>
      <c r="P2391" t="s">
        <v>88</v>
      </c>
    </row>
    <row r="2392" spans="1:16" x14ac:dyDescent="0.25">
      <c r="A2392">
        <v>2391</v>
      </c>
      <c r="B2392" s="2">
        <v>45983</v>
      </c>
      <c r="C2392" t="s">
        <v>20</v>
      </c>
      <c r="D2392" t="s">
        <v>26</v>
      </c>
      <c r="E2392" t="s">
        <v>31</v>
      </c>
      <c r="F2392" t="s">
        <v>38</v>
      </c>
      <c r="G2392" t="s">
        <v>70</v>
      </c>
      <c r="H2392" t="s">
        <v>73</v>
      </c>
      <c r="I2392">
        <v>4</v>
      </c>
      <c r="J2392">
        <v>732</v>
      </c>
      <c r="K2392">
        <v>0.15</v>
      </c>
      <c r="L2392">
        <v>2488.8000000000002</v>
      </c>
      <c r="M2392">
        <v>1890.25</v>
      </c>
      <c r="N2392">
        <v>598.54999999999995</v>
      </c>
      <c r="O2392" t="s">
        <v>78</v>
      </c>
      <c r="P2392" t="s">
        <v>88</v>
      </c>
    </row>
    <row r="2393" spans="1:16" x14ac:dyDescent="0.25">
      <c r="A2393">
        <v>2392</v>
      </c>
      <c r="B2393" s="2">
        <v>46006</v>
      </c>
      <c r="C2393" t="s">
        <v>17</v>
      </c>
      <c r="D2393" t="s">
        <v>25</v>
      </c>
      <c r="E2393" t="s">
        <v>32</v>
      </c>
      <c r="F2393" t="s">
        <v>48</v>
      </c>
      <c r="G2393" t="s">
        <v>71</v>
      </c>
      <c r="H2393" t="s">
        <v>74</v>
      </c>
      <c r="I2393">
        <v>8</v>
      </c>
      <c r="J2393">
        <v>3897</v>
      </c>
      <c r="K2393">
        <v>0.1</v>
      </c>
      <c r="L2393">
        <v>28058.400000000001</v>
      </c>
      <c r="M2393">
        <v>23061.13</v>
      </c>
      <c r="N2393">
        <v>4997.2700000000004</v>
      </c>
      <c r="O2393" t="s">
        <v>80</v>
      </c>
      <c r="P2393" t="s">
        <v>87</v>
      </c>
    </row>
    <row r="2394" spans="1:16" x14ac:dyDescent="0.25">
      <c r="A2394">
        <v>2393</v>
      </c>
      <c r="B2394" s="2">
        <v>45797</v>
      </c>
      <c r="C2394" t="s">
        <v>16</v>
      </c>
      <c r="D2394" t="s">
        <v>24</v>
      </c>
      <c r="E2394" t="s">
        <v>31</v>
      </c>
      <c r="F2394" t="s">
        <v>67</v>
      </c>
      <c r="G2394" t="s">
        <v>72</v>
      </c>
      <c r="H2394" t="s">
        <v>75</v>
      </c>
      <c r="I2394">
        <v>2</v>
      </c>
      <c r="J2394">
        <v>1855</v>
      </c>
      <c r="K2394">
        <v>0.15</v>
      </c>
      <c r="L2394">
        <v>3153.5</v>
      </c>
      <c r="M2394">
        <v>1877.46</v>
      </c>
      <c r="N2394">
        <v>1276.04</v>
      </c>
      <c r="O2394" t="s">
        <v>76</v>
      </c>
      <c r="P2394" t="s">
        <v>84</v>
      </c>
    </row>
    <row r="2395" spans="1:16" x14ac:dyDescent="0.25">
      <c r="A2395">
        <v>2394</v>
      </c>
      <c r="B2395" s="2">
        <v>45832</v>
      </c>
      <c r="C2395" t="s">
        <v>17</v>
      </c>
      <c r="D2395" t="s">
        <v>25</v>
      </c>
      <c r="E2395" t="s">
        <v>29</v>
      </c>
      <c r="F2395" t="s">
        <v>53</v>
      </c>
      <c r="G2395" t="s">
        <v>72</v>
      </c>
      <c r="H2395" t="s">
        <v>73</v>
      </c>
      <c r="I2395">
        <v>5</v>
      </c>
      <c r="J2395">
        <v>2450</v>
      </c>
      <c r="K2395">
        <v>0.1</v>
      </c>
      <c r="L2395">
        <v>11025</v>
      </c>
      <c r="M2395">
        <v>6546.16</v>
      </c>
      <c r="N2395">
        <v>4478.84</v>
      </c>
      <c r="O2395" t="s">
        <v>77</v>
      </c>
      <c r="P2395" t="s">
        <v>86</v>
      </c>
    </row>
    <row r="2396" spans="1:16" x14ac:dyDescent="0.25">
      <c r="A2396">
        <v>2395</v>
      </c>
      <c r="B2396" s="2">
        <v>45679</v>
      </c>
      <c r="C2396" t="s">
        <v>18</v>
      </c>
      <c r="D2396" t="s">
        <v>26</v>
      </c>
      <c r="E2396" t="s">
        <v>29</v>
      </c>
      <c r="F2396" t="s">
        <v>42</v>
      </c>
      <c r="G2396" t="s">
        <v>70</v>
      </c>
      <c r="H2396" t="s">
        <v>74</v>
      </c>
      <c r="I2396">
        <v>4</v>
      </c>
      <c r="J2396">
        <v>9477</v>
      </c>
      <c r="K2396">
        <v>0.1</v>
      </c>
      <c r="L2396">
        <v>34117.199999999997</v>
      </c>
      <c r="M2396">
        <v>20545.54</v>
      </c>
      <c r="N2396">
        <v>13571.66</v>
      </c>
      <c r="O2396" t="s">
        <v>77</v>
      </c>
      <c r="P2396" t="s">
        <v>81</v>
      </c>
    </row>
    <row r="2397" spans="1:16" x14ac:dyDescent="0.25">
      <c r="A2397">
        <v>2396</v>
      </c>
      <c r="B2397" s="2">
        <v>45994</v>
      </c>
      <c r="C2397" t="s">
        <v>19</v>
      </c>
      <c r="D2397" t="s">
        <v>26</v>
      </c>
      <c r="E2397" t="s">
        <v>34</v>
      </c>
      <c r="F2397" t="s">
        <v>55</v>
      </c>
      <c r="G2397" t="s">
        <v>70</v>
      </c>
      <c r="H2397" t="s">
        <v>75</v>
      </c>
      <c r="I2397">
        <v>4</v>
      </c>
      <c r="J2397">
        <v>5810</v>
      </c>
      <c r="K2397">
        <v>0</v>
      </c>
      <c r="L2397">
        <v>23240</v>
      </c>
      <c r="M2397">
        <v>19420.36</v>
      </c>
      <c r="N2397">
        <v>3819.64</v>
      </c>
      <c r="O2397" t="s">
        <v>78</v>
      </c>
      <c r="P2397" t="s">
        <v>81</v>
      </c>
    </row>
    <row r="2398" spans="1:16" x14ac:dyDescent="0.25">
      <c r="A2398">
        <v>2397</v>
      </c>
      <c r="B2398" s="2">
        <v>45841</v>
      </c>
      <c r="C2398" t="s">
        <v>22</v>
      </c>
      <c r="D2398" t="s">
        <v>24</v>
      </c>
      <c r="E2398" t="s">
        <v>30</v>
      </c>
      <c r="F2398" t="s">
        <v>37</v>
      </c>
      <c r="G2398" t="s">
        <v>70</v>
      </c>
      <c r="H2398" t="s">
        <v>74</v>
      </c>
      <c r="I2398">
        <v>1</v>
      </c>
      <c r="J2398">
        <v>35050</v>
      </c>
      <c r="K2398">
        <v>0.1</v>
      </c>
      <c r="L2398">
        <v>31545</v>
      </c>
      <c r="M2398">
        <v>19745.400000000001</v>
      </c>
      <c r="N2398">
        <v>11799.6</v>
      </c>
      <c r="O2398" t="s">
        <v>79</v>
      </c>
      <c r="P2398" t="s">
        <v>81</v>
      </c>
    </row>
    <row r="2399" spans="1:16" x14ac:dyDescent="0.25">
      <c r="A2399">
        <v>2398</v>
      </c>
      <c r="B2399" s="2">
        <v>45795</v>
      </c>
      <c r="C2399" t="s">
        <v>21</v>
      </c>
      <c r="D2399" t="s">
        <v>24</v>
      </c>
      <c r="E2399" t="s">
        <v>31</v>
      </c>
      <c r="F2399" t="s">
        <v>69</v>
      </c>
      <c r="G2399" t="s">
        <v>70</v>
      </c>
      <c r="H2399" t="s">
        <v>74</v>
      </c>
      <c r="I2399">
        <v>4</v>
      </c>
      <c r="J2399">
        <v>773</v>
      </c>
      <c r="K2399">
        <v>0.2</v>
      </c>
      <c r="L2399">
        <v>2473.6</v>
      </c>
      <c r="M2399">
        <v>1405.76</v>
      </c>
      <c r="N2399">
        <v>1067.8399999999999</v>
      </c>
      <c r="O2399" t="s">
        <v>76</v>
      </c>
      <c r="P2399" t="s">
        <v>86</v>
      </c>
    </row>
    <row r="2400" spans="1:16" x14ac:dyDescent="0.25">
      <c r="A2400">
        <v>2399</v>
      </c>
      <c r="B2400" s="2">
        <v>45926</v>
      </c>
      <c r="C2400" t="s">
        <v>22</v>
      </c>
      <c r="D2400" t="s">
        <v>24</v>
      </c>
      <c r="E2400" t="s">
        <v>34</v>
      </c>
      <c r="F2400" t="s">
        <v>55</v>
      </c>
      <c r="G2400" t="s">
        <v>70</v>
      </c>
      <c r="H2400" t="s">
        <v>74</v>
      </c>
      <c r="I2400">
        <v>8</v>
      </c>
      <c r="J2400">
        <v>3312</v>
      </c>
      <c r="K2400">
        <v>0.2</v>
      </c>
      <c r="L2400">
        <v>21196.799999999999</v>
      </c>
      <c r="M2400">
        <v>18517.71</v>
      </c>
      <c r="N2400">
        <v>2679.09</v>
      </c>
      <c r="O2400" t="s">
        <v>80</v>
      </c>
      <c r="P2400" t="s">
        <v>87</v>
      </c>
    </row>
    <row r="2401" spans="1:16" x14ac:dyDescent="0.25">
      <c r="A2401">
        <v>2400</v>
      </c>
      <c r="B2401" s="2">
        <v>45829</v>
      </c>
      <c r="C2401" t="s">
        <v>18</v>
      </c>
      <c r="D2401" t="s">
        <v>26</v>
      </c>
      <c r="E2401" t="s">
        <v>34</v>
      </c>
      <c r="F2401" t="s">
        <v>68</v>
      </c>
      <c r="G2401" t="s">
        <v>71</v>
      </c>
      <c r="H2401" t="s">
        <v>74</v>
      </c>
      <c r="I2401">
        <v>8</v>
      </c>
      <c r="J2401">
        <v>3407</v>
      </c>
      <c r="K2401">
        <v>0.15</v>
      </c>
      <c r="L2401">
        <v>23167.599999999999</v>
      </c>
      <c r="M2401">
        <v>17021.599999999999</v>
      </c>
      <c r="N2401">
        <v>6146</v>
      </c>
      <c r="O2401" t="s">
        <v>77</v>
      </c>
      <c r="P2401" t="s">
        <v>81</v>
      </c>
    </row>
    <row r="2402" spans="1:16" x14ac:dyDescent="0.25">
      <c r="A2402">
        <v>2401</v>
      </c>
      <c r="B2402" s="2">
        <v>45878</v>
      </c>
      <c r="C2402" t="s">
        <v>23</v>
      </c>
      <c r="D2402" t="s">
        <v>27</v>
      </c>
      <c r="E2402" t="s">
        <v>32</v>
      </c>
      <c r="F2402" t="s">
        <v>62</v>
      </c>
      <c r="G2402" t="s">
        <v>72</v>
      </c>
      <c r="H2402" t="s">
        <v>74</v>
      </c>
      <c r="I2402">
        <v>8</v>
      </c>
      <c r="J2402">
        <v>12357</v>
      </c>
      <c r="K2402">
        <v>0.05</v>
      </c>
      <c r="L2402">
        <v>93913.2</v>
      </c>
      <c r="M2402">
        <v>64768.99</v>
      </c>
      <c r="N2402">
        <v>29144.21</v>
      </c>
      <c r="O2402" t="s">
        <v>79</v>
      </c>
      <c r="P2402" t="s">
        <v>84</v>
      </c>
    </row>
    <row r="2403" spans="1:16" x14ac:dyDescent="0.25">
      <c r="A2403">
        <v>2402</v>
      </c>
      <c r="B2403" s="2">
        <v>45915</v>
      </c>
      <c r="C2403" t="s">
        <v>16</v>
      </c>
      <c r="D2403" t="s">
        <v>24</v>
      </c>
      <c r="E2403" t="s">
        <v>30</v>
      </c>
      <c r="F2403" t="s">
        <v>64</v>
      </c>
      <c r="G2403" t="s">
        <v>72</v>
      </c>
      <c r="H2403" t="s">
        <v>73</v>
      </c>
      <c r="I2403">
        <v>2</v>
      </c>
      <c r="J2403">
        <v>19173</v>
      </c>
      <c r="K2403">
        <v>0.1</v>
      </c>
      <c r="L2403">
        <v>34511.4</v>
      </c>
      <c r="M2403">
        <v>23659.01</v>
      </c>
      <c r="N2403">
        <v>10852.39</v>
      </c>
      <c r="O2403" t="s">
        <v>77</v>
      </c>
      <c r="P2403" t="s">
        <v>85</v>
      </c>
    </row>
    <row r="2404" spans="1:16" x14ac:dyDescent="0.25">
      <c r="A2404">
        <v>2403</v>
      </c>
      <c r="B2404" s="2">
        <v>45726</v>
      </c>
      <c r="C2404" t="s">
        <v>23</v>
      </c>
      <c r="D2404" t="s">
        <v>27</v>
      </c>
      <c r="E2404" t="s">
        <v>29</v>
      </c>
      <c r="F2404" t="s">
        <v>57</v>
      </c>
      <c r="G2404" t="s">
        <v>72</v>
      </c>
      <c r="H2404" t="s">
        <v>73</v>
      </c>
      <c r="I2404">
        <v>3</v>
      </c>
      <c r="J2404">
        <v>4259</v>
      </c>
      <c r="K2404">
        <v>0</v>
      </c>
      <c r="L2404">
        <v>12777</v>
      </c>
      <c r="M2404">
        <v>10406.91</v>
      </c>
      <c r="N2404">
        <v>2370.09</v>
      </c>
      <c r="O2404" t="s">
        <v>76</v>
      </c>
      <c r="P2404" t="s">
        <v>81</v>
      </c>
    </row>
    <row r="2405" spans="1:16" x14ac:dyDescent="0.25">
      <c r="A2405">
        <v>2404</v>
      </c>
      <c r="B2405" s="2">
        <v>45811</v>
      </c>
      <c r="C2405" t="s">
        <v>16</v>
      </c>
      <c r="D2405" t="s">
        <v>24</v>
      </c>
      <c r="E2405" t="s">
        <v>29</v>
      </c>
      <c r="F2405" t="s">
        <v>42</v>
      </c>
      <c r="G2405" t="s">
        <v>70</v>
      </c>
      <c r="H2405" t="s">
        <v>74</v>
      </c>
      <c r="I2405">
        <v>3</v>
      </c>
      <c r="J2405">
        <v>1238</v>
      </c>
      <c r="K2405">
        <v>0.2</v>
      </c>
      <c r="L2405">
        <v>2971.2</v>
      </c>
      <c r="M2405">
        <v>2126.23</v>
      </c>
      <c r="N2405">
        <v>844.97</v>
      </c>
      <c r="O2405" t="s">
        <v>80</v>
      </c>
      <c r="P2405" t="s">
        <v>81</v>
      </c>
    </row>
    <row r="2406" spans="1:16" x14ac:dyDescent="0.25">
      <c r="A2406">
        <v>2405</v>
      </c>
      <c r="B2406" s="2">
        <v>45788</v>
      </c>
      <c r="C2406" t="s">
        <v>21</v>
      </c>
      <c r="D2406" t="s">
        <v>24</v>
      </c>
      <c r="E2406" t="s">
        <v>31</v>
      </c>
      <c r="F2406" t="s">
        <v>47</v>
      </c>
      <c r="G2406" t="s">
        <v>71</v>
      </c>
      <c r="H2406" t="s">
        <v>75</v>
      </c>
      <c r="I2406">
        <v>5</v>
      </c>
      <c r="J2406">
        <v>2362</v>
      </c>
      <c r="K2406">
        <v>0.1</v>
      </c>
      <c r="L2406">
        <v>10629</v>
      </c>
      <c r="M2406">
        <v>6164.95</v>
      </c>
      <c r="N2406">
        <v>4464.05</v>
      </c>
      <c r="O2406" t="s">
        <v>77</v>
      </c>
      <c r="P2406" t="s">
        <v>83</v>
      </c>
    </row>
    <row r="2407" spans="1:16" x14ac:dyDescent="0.25">
      <c r="A2407">
        <v>2406</v>
      </c>
      <c r="B2407" s="2">
        <v>45698</v>
      </c>
      <c r="C2407" t="s">
        <v>20</v>
      </c>
      <c r="D2407" t="s">
        <v>26</v>
      </c>
      <c r="E2407" t="s">
        <v>28</v>
      </c>
      <c r="F2407" t="s">
        <v>54</v>
      </c>
      <c r="G2407" t="s">
        <v>72</v>
      </c>
      <c r="H2407" t="s">
        <v>73</v>
      </c>
      <c r="I2407">
        <v>7</v>
      </c>
      <c r="J2407">
        <v>2241</v>
      </c>
      <c r="K2407">
        <v>0.15</v>
      </c>
      <c r="L2407">
        <v>13333.95</v>
      </c>
      <c r="M2407">
        <v>10624.38</v>
      </c>
      <c r="N2407">
        <v>2709.57</v>
      </c>
      <c r="O2407" t="s">
        <v>76</v>
      </c>
      <c r="P2407" t="s">
        <v>87</v>
      </c>
    </row>
    <row r="2408" spans="1:16" x14ac:dyDescent="0.25">
      <c r="A2408">
        <v>2407</v>
      </c>
      <c r="B2408" s="2">
        <v>45824</v>
      </c>
      <c r="C2408" t="s">
        <v>20</v>
      </c>
      <c r="D2408" t="s">
        <v>26</v>
      </c>
      <c r="E2408" t="s">
        <v>29</v>
      </c>
      <c r="F2408" t="s">
        <v>45</v>
      </c>
      <c r="G2408" t="s">
        <v>71</v>
      </c>
      <c r="H2408" t="s">
        <v>73</v>
      </c>
      <c r="I2408">
        <v>8</v>
      </c>
      <c r="J2408">
        <v>6180</v>
      </c>
      <c r="K2408">
        <v>0.15</v>
      </c>
      <c r="L2408">
        <v>42024</v>
      </c>
      <c r="M2408">
        <v>28265.55</v>
      </c>
      <c r="N2408">
        <v>13758.45</v>
      </c>
      <c r="O2408" t="s">
        <v>77</v>
      </c>
      <c r="P2408" t="s">
        <v>83</v>
      </c>
    </row>
    <row r="2409" spans="1:16" x14ac:dyDescent="0.25">
      <c r="A2409">
        <v>2408</v>
      </c>
      <c r="B2409" s="2">
        <v>45973</v>
      </c>
      <c r="C2409" t="s">
        <v>20</v>
      </c>
      <c r="D2409" t="s">
        <v>26</v>
      </c>
      <c r="E2409" t="s">
        <v>34</v>
      </c>
      <c r="F2409" t="s">
        <v>55</v>
      </c>
      <c r="G2409" t="s">
        <v>70</v>
      </c>
      <c r="H2409" t="s">
        <v>74</v>
      </c>
      <c r="I2409">
        <v>3</v>
      </c>
      <c r="J2409">
        <v>3126</v>
      </c>
      <c r="K2409">
        <v>0.05</v>
      </c>
      <c r="L2409">
        <v>8909.1</v>
      </c>
      <c r="M2409">
        <v>5129.63</v>
      </c>
      <c r="N2409">
        <v>3779.47</v>
      </c>
      <c r="O2409" t="s">
        <v>77</v>
      </c>
      <c r="P2409" t="s">
        <v>81</v>
      </c>
    </row>
    <row r="2410" spans="1:16" x14ac:dyDescent="0.25">
      <c r="A2410">
        <v>2409</v>
      </c>
      <c r="B2410" s="2">
        <v>45978</v>
      </c>
      <c r="C2410" t="s">
        <v>20</v>
      </c>
      <c r="D2410" t="s">
        <v>26</v>
      </c>
      <c r="E2410" t="s">
        <v>34</v>
      </c>
      <c r="F2410" t="s">
        <v>68</v>
      </c>
      <c r="G2410" t="s">
        <v>71</v>
      </c>
      <c r="H2410" t="s">
        <v>75</v>
      </c>
      <c r="I2410">
        <v>5</v>
      </c>
      <c r="J2410">
        <v>5795</v>
      </c>
      <c r="K2410">
        <v>0.1</v>
      </c>
      <c r="L2410">
        <v>26077.5</v>
      </c>
      <c r="M2410">
        <v>14379.47</v>
      </c>
      <c r="N2410">
        <v>11698.03</v>
      </c>
      <c r="O2410" t="s">
        <v>78</v>
      </c>
      <c r="P2410" t="s">
        <v>81</v>
      </c>
    </row>
    <row r="2411" spans="1:16" x14ac:dyDescent="0.25">
      <c r="A2411">
        <v>2410</v>
      </c>
      <c r="B2411" s="2">
        <v>45980</v>
      </c>
      <c r="C2411" t="s">
        <v>23</v>
      </c>
      <c r="D2411" t="s">
        <v>27</v>
      </c>
      <c r="E2411" t="s">
        <v>29</v>
      </c>
      <c r="F2411" t="s">
        <v>57</v>
      </c>
      <c r="G2411" t="s">
        <v>72</v>
      </c>
      <c r="H2411" t="s">
        <v>74</v>
      </c>
      <c r="I2411">
        <v>1</v>
      </c>
      <c r="J2411">
        <v>1442</v>
      </c>
      <c r="K2411">
        <v>0.15</v>
      </c>
      <c r="L2411">
        <v>1225.7</v>
      </c>
      <c r="M2411">
        <v>1013.51</v>
      </c>
      <c r="N2411">
        <v>212.19</v>
      </c>
      <c r="O2411" t="s">
        <v>76</v>
      </c>
      <c r="P2411" t="s">
        <v>82</v>
      </c>
    </row>
    <row r="2412" spans="1:16" x14ac:dyDescent="0.25">
      <c r="A2412">
        <v>2411</v>
      </c>
      <c r="B2412" s="2">
        <v>45686</v>
      </c>
      <c r="C2412" t="s">
        <v>19</v>
      </c>
      <c r="D2412" t="s">
        <v>26</v>
      </c>
      <c r="E2412" t="s">
        <v>32</v>
      </c>
      <c r="F2412" t="s">
        <v>39</v>
      </c>
      <c r="G2412" t="s">
        <v>70</v>
      </c>
      <c r="H2412" t="s">
        <v>75</v>
      </c>
      <c r="I2412">
        <v>7</v>
      </c>
      <c r="J2412">
        <v>17486</v>
      </c>
      <c r="K2412">
        <v>0.1</v>
      </c>
      <c r="L2412">
        <v>110161.8</v>
      </c>
      <c r="M2412">
        <v>93122.95</v>
      </c>
      <c r="N2412">
        <v>17038.849999999999</v>
      </c>
      <c r="O2412" t="s">
        <v>77</v>
      </c>
      <c r="P2412" t="s">
        <v>83</v>
      </c>
    </row>
    <row r="2413" spans="1:16" x14ac:dyDescent="0.25">
      <c r="A2413">
        <v>2412</v>
      </c>
      <c r="B2413" s="2">
        <v>45909</v>
      </c>
      <c r="C2413" t="s">
        <v>18</v>
      </c>
      <c r="D2413" t="s">
        <v>26</v>
      </c>
      <c r="E2413" t="s">
        <v>29</v>
      </c>
      <c r="F2413" t="s">
        <v>42</v>
      </c>
      <c r="G2413" t="s">
        <v>71</v>
      </c>
      <c r="H2413" t="s">
        <v>73</v>
      </c>
      <c r="I2413">
        <v>1</v>
      </c>
      <c r="J2413">
        <v>9602</v>
      </c>
      <c r="K2413">
        <v>0.05</v>
      </c>
      <c r="L2413">
        <v>9121.9</v>
      </c>
      <c r="M2413">
        <v>6168.96</v>
      </c>
      <c r="N2413">
        <v>2952.94</v>
      </c>
      <c r="O2413" t="s">
        <v>80</v>
      </c>
      <c r="P2413" t="s">
        <v>84</v>
      </c>
    </row>
    <row r="2414" spans="1:16" x14ac:dyDescent="0.25">
      <c r="A2414">
        <v>2413</v>
      </c>
      <c r="B2414" s="2">
        <v>45720</v>
      </c>
      <c r="C2414" t="s">
        <v>23</v>
      </c>
      <c r="D2414" t="s">
        <v>27</v>
      </c>
      <c r="E2414" t="s">
        <v>32</v>
      </c>
      <c r="F2414" t="s">
        <v>49</v>
      </c>
      <c r="G2414" t="s">
        <v>71</v>
      </c>
      <c r="H2414" t="s">
        <v>74</v>
      </c>
      <c r="I2414">
        <v>2</v>
      </c>
      <c r="J2414">
        <v>7243</v>
      </c>
      <c r="K2414">
        <v>0</v>
      </c>
      <c r="L2414">
        <v>14486</v>
      </c>
      <c r="M2414">
        <v>8690.92</v>
      </c>
      <c r="N2414">
        <v>5795.08</v>
      </c>
      <c r="O2414" t="s">
        <v>78</v>
      </c>
      <c r="P2414" t="s">
        <v>84</v>
      </c>
    </row>
    <row r="2415" spans="1:16" x14ac:dyDescent="0.25">
      <c r="A2415">
        <v>2414</v>
      </c>
      <c r="B2415" s="2">
        <v>45713</v>
      </c>
      <c r="C2415" t="s">
        <v>22</v>
      </c>
      <c r="D2415" t="s">
        <v>24</v>
      </c>
      <c r="E2415" t="s">
        <v>31</v>
      </c>
      <c r="F2415" t="s">
        <v>50</v>
      </c>
      <c r="G2415" t="s">
        <v>70</v>
      </c>
      <c r="H2415" t="s">
        <v>74</v>
      </c>
      <c r="I2415">
        <v>6</v>
      </c>
      <c r="J2415">
        <v>1644</v>
      </c>
      <c r="K2415">
        <v>0.15</v>
      </c>
      <c r="L2415">
        <v>8384.4</v>
      </c>
      <c r="M2415">
        <v>5456.05</v>
      </c>
      <c r="N2415">
        <v>2928.35</v>
      </c>
      <c r="O2415" t="s">
        <v>77</v>
      </c>
      <c r="P2415" t="s">
        <v>84</v>
      </c>
    </row>
    <row r="2416" spans="1:16" x14ac:dyDescent="0.25">
      <c r="A2416">
        <v>2415</v>
      </c>
      <c r="B2416" s="2">
        <v>45935</v>
      </c>
      <c r="C2416" t="s">
        <v>18</v>
      </c>
      <c r="D2416" t="s">
        <v>26</v>
      </c>
      <c r="E2416" t="s">
        <v>32</v>
      </c>
      <c r="F2416" t="s">
        <v>62</v>
      </c>
      <c r="G2416" t="s">
        <v>70</v>
      </c>
      <c r="H2416" t="s">
        <v>75</v>
      </c>
      <c r="I2416">
        <v>6</v>
      </c>
      <c r="J2416">
        <v>18904</v>
      </c>
      <c r="K2416">
        <v>0.2</v>
      </c>
      <c r="L2416">
        <v>90739.199999999997</v>
      </c>
      <c r="M2416">
        <v>79192.600000000006</v>
      </c>
      <c r="N2416">
        <v>11546.6</v>
      </c>
      <c r="O2416" t="s">
        <v>77</v>
      </c>
      <c r="P2416" t="s">
        <v>88</v>
      </c>
    </row>
    <row r="2417" spans="1:16" x14ac:dyDescent="0.25">
      <c r="A2417">
        <v>2416</v>
      </c>
      <c r="B2417" s="2">
        <v>45661</v>
      </c>
      <c r="C2417" t="s">
        <v>23</v>
      </c>
      <c r="D2417" t="s">
        <v>27</v>
      </c>
      <c r="E2417" t="s">
        <v>29</v>
      </c>
      <c r="F2417" t="s">
        <v>42</v>
      </c>
      <c r="G2417" t="s">
        <v>71</v>
      </c>
      <c r="H2417" t="s">
        <v>73</v>
      </c>
      <c r="I2417">
        <v>4</v>
      </c>
      <c r="J2417">
        <v>10628</v>
      </c>
      <c r="K2417">
        <v>0.1</v>
      </c>
      <c r="L2417">
        <v>38260.800000000003</v>
      </c>
      <c r="M2417">
        <v>29941.53</v>
      </c>
      <c r="N2417">
        <v>8319.27</v>
      </c>
      <c r="O2417" t="s">
        <v>78</v>
      </c>
      <c r="P2417" t="s">
        <v>81</v>
      </c>
    </row>
    <row r="2418" spans="1:16" x14ac:dyDescent="0.25">
      <c r="A2418">
        <v>2417</v>
      </c>
      <c r="B2418" s="2">
        <v>45988</v>
      </c>
      <c r="C2418" t="s">
        <v>20</v>
      </c>
      <c r="D2418" t="s">
        <v>26</v>
      </c>
      <c r="E2418" t="s">
        <v>34</v>
      </c>
      <c r="F2418" t="s">
        <v>65</v>
      </c>
      <c r="G2418" t="s">
        <v>72</v>
      </c>
      <c r="H2418" t="s">
        <v>73</v>
      </c>
      <c r="I2418">
        <v>8</v>
      </c>
      <c r="J2418">
        <v>3837</v>
      </c>
      <c r="K2418">
        <v>0</v>
      </c>
      <c r="L2418">
        <v>30696</v>
      </c>
      <c r="M2418">
        <v>22871.47</v>
      </c>
      <c r="N2418">
        <v>7824.53</v>
      </c>
      <c r="O2418" t="s">
        <v>78</v>
      </c>
      <c r="P2418" t="s">
        <v>84</v>
      </c>
    </row>
    <row r="2419" spans="1:16" x14ac:dyDescent="0.25">
      <c r="A2419">
        <v>2418</v>
      </c>
      <c r="B2419" s="2">
        <v>45758</v>
      </c>
      <c r="C2419" t="s">
        <v>22</v>
      </c>
      <c r="D2419" t="s">
        <v>24</v>
      </c>
      <c r="E2419" t="s">
        <v>33</v>
      </c>
      <c r="F2419" t="s">
        <v>46</v>
      </c>
      <c r="G2419" t="s">
        <v>71</v>
      </c>
      <c r="H2419" t="s">
        <v>74</v>
      </c>
      <c r="I2419">
        <v>7</v>
      </c>
      <c r="J2419">
        <v>18084</v>
      </c>
      <c r="K2419">
        <v>0.1</v>
      </c>
      <c r="L2419">
        <v>113929.2</v>
      </c>
      <c r="M2419">
        <v>93867.36</v>
      </c>
      <c r="N2419">
        <v>20061.84</v>
      </c>
      <c r="O2419" t="s">
        <v>80</v>
      </c>
      <c r="P2419" t="s">
        <v>86</v>
      </c>
    </row>
    <row r="2420" spans="1:16" x14ac:dyDescent="0.25">
      <c r="A2420">
        <v>2419</v>
      </c>
      <c r="B2420" s="2">
        <v>45855</v>
      </c>
      <c r="C2420" t="s">
        <v>21</v>
      </c>
      <c r="D2420" t="s">
        <v>24</v>
      </c>
      <c r="E2420" t="s">
        <v>32</v>
      </c>
      <c r="F2420" t="s">
        <v>39</v>
      </c>
      <c r="G2420" t="s">
        <v>71</v>
      </c>
      <c r="H2420" t="s">
        <v>73</v>
      </c>
      <c r="I2420">
        <v>8</v>
      </c>
      <c r="J2420">
        <v>1200</v>
      </c>
      <c r="K2420">
        <v>0.2</v>
      </c>
      <c r="L2420">
        <v>7680</v>
      </c>
      <c r="M2420">
        <v>6448.72</v>
      </c>
      <c r="N2420">
        <v>1231.28</v>
      </c>
      <c r="O2420" t="s">
        <v>77</v>
      </c>
      <c r="P2420" t="s">
        <v>81</v>
      </c>
    </row>
    <row r="2421" spans="1:16" x14ac:dyDescent="0.25">
      <c r="A2421">
        <v>2420</v>
      </c>
      <c r="B2421" s="2">
        <v>45947</v>
      </c>
      <c r="C2421" t="s">
        <v>18</v>
      </c>
      <c r="D2421" t="s">
        <v>26</v>
      </c>
      <c r="E2421" t="s">
        <v>31</v>
      </c>
      <c r="F2421" t="s">
        <v>47</v>
      </c>
      <c r="G2421" t="s">
        <v>71</v>
      </c>
      <c r="H2421" t="s">
        <v>75</v>
      </c>
      <c r="I2421">
        <v>8</v>
      </c>
      <c r="J2421">
        <v>1420</v>
      </c>
      <c r="K2421">
        <v>0.1</v>
      </c>
      <c r="L2421">
        <v>10224</v>
      </c>
      <c r="M2421">
        <v>8940.15</v>
      </c>
      <c r="N2421">
        <v>1283.8499999999999</v>
      </c>
      <c r="O2421" t="s">
        <v>77</v>
      </c>
      <c r="P2421" t="s">
        <v>87</v>
      </c>
    </row>
    <row r="2422" spans="1:16" x14ac:dyDescent="0.25">
      <c r="A2422">
        <v>2421</v>
      </c>
      <c r="B2422" s="2">
        <v>45749</v>
      </c>
      <c r="C2422" t="s">
        <v>18</v>
      </c>
      <c r="D2422" t="s">
        <v>26</v>
      </c>
      <c r="E2422" t="s">
        <v>34</v>
      </c>
      <c r="F2422" t="s">
        <v>51</v>
      </c>
      <c r="G2422" t="s">
        <v>70</v>
      </c>
      <c r="H2422" t="s">
        <v>74</v>
      </c>
      <c r="I2422">
        <v>3</v>
      </c>
      <c r="J2422">
        <v>5251</v>
      </c>
      <c r="K2422">
        <v>0.1</v>
      </c>
      <c r="L2422">
        <v>14177.7</v>
      </c>
      <c r="M2422">
        <v>10500.97</v>
      </c>
      <c r="N2422">
        <v>3676.73</v>
      </c>
      <c r="O2422" t="s">
        <v>79</v>
      </c>
      <c r="P2422" t="s">
        <v>87</v>
      </c>
    </row>
    <row r="2423" spans="1:16" x14ac:dyDescent="0.25">
      <c r="A2423">
        <v>2422</v>
      </c>
      <c r="B2423" s="2">
        <v>45684</v>
      </c>
      <c r="C2423" t="s">
        <v>21</v>
      </c>
      <c r="D2423" t="s">
        <v>24</v>
      </c>
      <c r="E2423" t="s">
        <v>31</v>
      </c>
      <c r="F2423" t="s">
        <v>50</v>
      </c>
      <c r="G2423" t="s">
        <v>70</v>
      </c>
      <c r="H2423" t="s">
        <v>74</v>
      </c>
      <c r="I2423">
        <v>3</v>
      </c>
      <c r="J2423">
        <v>1132</v>
      </c>
      <c r="K2423">
        <v>0.05</v>
      </c>
      <c r="L2423">
        <v>3226.2</v>
      </c>
      <c r="M2423">
        <v>1999.96</v>
      </c>
      <c r="N2423">
        <v>1226.24</v>
      </c>
      <c r="O2423" t="s">
        <v>77</v>
      </c>
      <c r="P2423" t="s">
        <v>86</v>
      </c>
    </row>
    <row r="2424" spans="1:16" x14ac:dyDescent="0.25">
      <c r="A2424">
        <v>2423</v>
      </c>
      <c r="B2424" s="2">
        <v>45722</v>
      </c>
      <c r="C2424" t="s">
        <v>20</v>
      </c>
      <c r="D2424" t="s">
        <v>26</v>
      </c>
      <c r="E2424" t="s">
        <v>29</v>
      </c>
      <c r="F2424" t="s">
        <v>45</v>
      </c>
      <c r="G2424" t="s">
        <v>71</v>
      </c>
      <c r="H2424" t="s">
        <v>74</v>
      </c>
      <c r="I2424">
        <v>2</v>
      </c>
      <c r="J2424">
        <v>8899</v>
      </c>
      <c r="K2424">
        <v>0.1</v>
      </c>
      <c r="L2424">
        <v>16018.2</v>
      </c>
      <c r="M2424">
        <v>10428.52</v>
      </c>
      <c r="N2424">
        <v>5589.68</v>
      </c>
      <c r="O2424" t="s">
        <v>80</v>
      </c>
      <c r="P2424" t="s">
        <v>87</v>
      </c>
    </row>
    <row r="2425" spans="1:16" x14ac:dyDescent="0.25">
      <c r="A2425">
        <v>2424</v>
      </c>
      <c r="B2425" s="2">
        <v>45800</v>
      </c>
      <c r="C2425" t="s">
        <v>18</v>
      </c>
      <c r="D2425" t="s">
        <v>26</v>
      </c>
      <c r="E2425" t="s">
        <v>28</v>
      </c>
      <c r="F2425" t="s">
        <v>61</v>
      </c>
      <c r="G2425" t="s">
        <v>70</v>
      </c>
      <c r="H2425" t="s">
        <v>73</v>
      </c>
      <c r="I2425">
        <v>3</v>
      </c>
      <c r="J2425">
        <v>1935</v>
      </c>
      <c r="K2425">
        <v>0.05</v>
      </c>
      <c r="L2425">
        <v>5514.75</v>
      </c>
      <c r="M2425">
        <v>4647.4799999999996</v>
      </c>
      <c r="N2425">
        <v>867.27</v>
      </c>
      <c r="O2425" t="s">
        <v>78</v>
      </c>
      <c r="P2425" t="s">
        <v>87</v>
      </c>
    </row>
    <row r="2426" spans="1:16" x14ac:dyDescent="0.25">
      <c r="A2426">
        <v>2425</v>
      </c>
      <c r="B2426" s="2">
        <v>45950</v>
      </c>
      <c r="C2426" t="s">
        <v>23</v>
      </c>
      <c r="D2426" t="s">
        <v>27</v>
      </c>
      <c r="E2426" t="s">
        <v>34</v>
      </c>
      <c r="F2426" t="s">
        <v>55</v>
      </c>
      <c r="G2426" t="s">
        <v>71</v>
      </c>
      <c r="H2426" t="s">
        <v>73</v>
      </c>
      <c r="I2426">
        <v>8</v>
      </c>
      <c r="J2426">
        <v>2505</v>
      </c>
      <c r="K2426">
        <v>0.1</v>
      </c>
      <c r="L2426">
        <v>18036</v>
      </c>
      <c r="M2426">
        <v>14456.98</v>
      </c>
      <c r="N2426">
        <v>3579.02</v>
      </c>
      <c r="O2426" t="s">
        <v>79</v>
      </c>
      <c r="P2426" t="s">
        <v>86</v>
      </c>
    </row>
    <row r="2427" spans="1:16" x14ac:dyDescent="0.25">
      <c r="A2427">
        <v>2426</v>
      </c>
      <c r="B2427" s="2">
        <v>45784</v>
      </c>
      <c r="C2427" t="s">
        <v>22</v>
      </c>
      <c r="D2427" t="s">
        <v>24</v>
      </c>
      <c r="E2427" t="s">
        <v>29</v>
      </c>
      <c r="F2427" t="s">
        <v>53</v>
      </c>
      <c r="G2427" t="s">
        <v>70</v>
      </c>
      <c r="H2427" t="s">
        <v>74</v>
      </c>
      <c r="I2427">
        <v>1</v>
      </c>
      <c r="J2427">
        <v>4466</v>
      </c>
      <c r="K2427">
        <v>0</v>
      </c>
      <c r="L2427">
        <v>4466</v>
      </c>
      <c r="M2427">
        <v>3487.64</v>
      </c>
      <c r="N2427">
        <v>978.36</v>
      </c>
      <c r="O2427" t="s">
        <v>79</v>
      </c>
      <c r="P2427" t="s">
        <v>86</v>
      </c>
    </row>
    <row r="2428" spans="1:16" x14ac:dyDescent="0.25">
      <c r="A2428">
        <v>2427</v>
      </c>
      <c r="B2428" s="2">
        <v>45833</v>
      </c>
      <c r="C2428" t="s">
        <v>19</v>
      </c>
      <c r="D2428" t="s">
        <v>26</v>
      </c>
      <c r="E2428" t="s">
        <v>29</v>
      </c>
      <c r="F2428" t="s">
        <v>57</v>
      </c>
      <c r="G2428" t="s">
        <v>70</v>
      </c>
      <c r="H2428" t="s">
        <v>73</v>
      </c>
      <c r="I2428">
        <v>1</v>
      </c>
      <c r="J2428">
        <v>5142</v>
      </c>
      <c r="K2428">
        <v>0.05</v>
      </c>
      <c r="L2428">
        <v>4884.8999999999996</v>
      </c>
      <c r="M2428">
        <v>3765.8</v>
      </c>
      <c r="N2428">
        <v>1119.0999999999999</v>
      </c>
      <c r="O2428" t="s">
        <v>78</v>
      </c>
      <c r="P2428" t="s">
        <v>88</v>
      </c>
    </row>
    <row r="2429" spans="1:16" x14ac:dyDescent="0.25">
      <c r="A2429">
        <v>2428</v>
      </c>
      <c r="B2429" s="2">
        <v>45835</v>
      </c>
      <c r="C2429" t="s">
        <v>18</v>
      </c>
      <c r="D2429" t="s">
        <v>26</v>
      </c>
      <c r="E2429" t="s">
        <v>30</v>
      </c>
      <c r="F2429" t="s">
        <v>40</v>
      </c>
      <c r="G2429" t="s">
        <v>70</v>
      </c>
      <c r="H2429" t="s">
        <v>74</v>
      </c>
      <c r="I2429">
        <v>4</v>
      </c>
      <c r="J2429">
        <v>5166</v>
      </c>
      <c r="K2429">
        <v>0.05</v>
      </c>
      <c r="L2429">
        <v>19630.8</v>
      </c>
      <c r="M2429">
        <v>11914.42</v>
      </c>
      <c r="N2429">
        <v>7716.38</v>
      </c>
      <c r="O2429" t="s">
        <v>77</v>
      </c>
      <c r="P2429" t="s">
        <v>83</v>
      </c>
    </row>
    <row r="2430" spans="1:16" x14ac:dyDescent="0.25">
      <c r="A2430">
        <v>2429</v>
      </c>
      <c r="B2430" s="2">
        <v>45851</v>
      </c>
      <c r="C2430" t="s">
        <v>23</v>
      </c>
      <c r="D2430" t="s">
        <v>27</v>
      </c>
      <c r="E2430" t="s">
        <v>30</v>
      </c>
      <c r="F2430" t="s">
        <v>56</v>
      </c>
      <c r="G2430" t="s">
        <v>71</v>
      </c>
      <c r="H2430" t="s">
        <v>73</v>
      </c>
      <c r="I2430">
        <v>5</v>
      </c>
      <c r="J2430">
        <v>69907</v>
      </c>
      <c r="K2430">
        <v>0</v>
      </c>
      <c r="L2430">
        <v>349535</v>
      </c>
      <c r="M2430">
        <v>253634.96</v>
      </c>
      <c r="N2430">
        <v>95900.04</v>
      </c>
      <c r="O2430" t="s">
        <v>79</v>
      </c>
      <c r="P2430" t="s">
        <v>83</v>
      </c>
    </row>
    <row r="2431" spans="1:16" x14ac:dyDescent="0.25">
      <c r="A2431">
        <v>2430</v>
      </c>
      <c r="B2431" s="2">
        <v>45852</v>
      </c>
      <c r="C2431" t="s">
        <v>20</v>
      </c>
      <c r="D2431" t="s">
        <v>26</v>
      </c>
      <c r="E2431" t="s">
        <v>30</v>
      </c>
      <c r="F2431" t="s">
        <v>56</v>
      </c>
      <c r="G2431" t="s">
        <v>72</v>
      </c>
      <c r="H2431" t="s">
        <v>73</v>
      </c>
      <c r="I2431">
        <v>4</v>
      </c>
      <c r="J2431">
        <v>34291</v>
      </c>
      <c r="K2431">
        <v>0.15</v>
      </c>
      <c r="L2431">
        <v>116589.4</v>
      </c>
      <c r="M2431">
        <v>82237.149999999994</v>
      </c>
      <c r="N2431">
        <v>34352.25</v>
      </c>
      <c r="O2431" t="s">
        <v>76</v>
      </c>
      <c r="P2431" t="s">
        <v>81</v>
      </c>
    </row>
    <row r="2432" spans="1:16" x14ac:dyDescent="0.25">
      <c r="A2432">
        <v>2431</v>
      </c>
      <c r="B2432" s="2">
        <v>45814</v>
      </c>
      <c r="C2432" t="s">
        <v>21</v>
      </c>
      <c r="D2432" t="s">
        <v>24</v>
      </c>
      <c r="E2432" t="s">
        <v>28</v>
      </c>
      <c r="F2432" t="s">
        <v>58</v>
      </c>
      <c r="G2432" t="s">
        <v>71</v>
      </c>
      <c r="H2432" t="s">
        <v>74</v>
      </c>
      <c r="I2432">
        <v>5</v>
      </c>
      <c r="J2432">
        <v>2312</v>
      </c>
      <c r="K2432">
        <v>0</v>
      </c>
      <c r="L2432">
        <v>11560</v>
      </c>
      <c r="M2432">
        <v>8081.17</v>
      </c>
      <c r="N2432">
        <v>3478.83</v>
      </c>
      <c r="O2432" t="s">
        <v>79</v>
      </c>
      <c r="P2432" t="s">
        <v>84</v>
      </c>
    </row>
    <row r="2433" spans="1:16" x14ac:dyDescent="0.25">
      <c r="A2433">
        <v>2432</v>
      </c>
      <c r="B2433" s="2">
        <v>45762</v>
      </c>
      <c r="C2433" t="s">
        <v>20</v>
      </c>
      <c r="D2433" t="s">
        <v>26</v>
      </c>
      <c r="E2433" t="s">
        <v>32</v>
      </c>
      <c r="F2433" t="s">
        <v>48</v>
      </c>
      <c r="G2433" t="s">
        <v>71</v>
      </c>
      <c r="H2433" t="s">
        <v>75</v>
      </c>
      <c r="I2433">
        <v>6</v>
      </c>
      <c r="J2433">
        <v>16428</v>
      </c>
      <c r="K2433">
        <v>0</v>
      </c>
      <c r="L2433">
        <v>98568</v>
      </c>
      <c r="M2433">
        <v>83140.639999999999</v>
      </c>
      <c r="N2433">
        <v>15427.36</v>
      </c>
      <c r="O2433" t="s">
        <v>80</v>
      </c>
      <c r="P2433" t="s">
        <v>83</v>
      </c>
    </row>
    <row r="2434" spans="1:16" x14ac:dyDescent="0.25">
      <c r="A2434">
        <v>2433</v>
      </c>
      <c r="B2434" s="2">
        <v>45702</v>
      </c>
      <c r="C2434" t="s">
        <v>19</v>
      </c>
      <c r="D2434" t="s">
        <v>26</v>
      </c>
      <c r="E2434" t="s">
        <v>32</v>
      </c>
      <c r="F2434" t="s">
        <v>48</v>
      </c>
      <c r="G2434" t="s">
        <v>72</v>
      </c>
      <c r="H2434" t="s">
        <v>75</v>
      </c>
      <c r="I2434">
        <v>1</v>
      </c>
      <c r="J2434">
        <v>1414</v>
      </c>
      <c r="K2434">
        <v>0</v>
      </c>
      <c r="L2434">
        <v>1414</v>
      </c>
      <c r="M2434">
        <v>1033.6300000000001</v>
      </c>
      <c r="N2434">
        <v>380.37</v>
      </c>
      <c r="O2434" t="s">
        <v>80</v>
      </c>
      <c r="P2434" t="s">
        <v>85</v>
      </c>
    </row>
    <row r="2435" spans="1:16" x14ac:dyDescent="0.25">
      <c r="A2435">
        <v>2434</v>
      </c>
      <c r="B2435" s="2">
        <v>45957</v>
      </c>
      <c r="C2435" t="s">
        <v>19</v>
      </c>
      <c r="D2435" t="s">
        <v>26</v>
      </c>
      <c r="E2435" t="s">
        <v>28</v>
      </c>
      <c r="F2435" t="s">
        <v>54</v>
      </c>
      <c r="G2435" t="s">
        <v>72</v>
      </c>
      <c r="H2435" t="s">
        <v>73</v>
      </c>
      <c r="I2435">
        <v>5</v>
      </c>
      <c r="J2435">
        <v>1311</v>
      </c>
      <c r="K2435">
        <v>0.1</v>
      </c>
      <c r="L2435">
        <v>5899.5</v>
      </c>
      <c r="M2435">
        <v>4328.1099999999997</v>
      </c>
      <c r="N2435">
        <v>1571.39</v>
      </c>
      <c r="O2435" t="s">
        <v>79</v>
      </c>
      <c r="P2435" t="s">
        <v>81</v>
      </c>
    </row>
    <row r="2436" spans="1:16" x14ac:dyDescent="0.25">
      <c r="A2436">
        <v>2435</v>
      </c>
      <c r="B2436" s="2">
        <v>45791</v>
      </c>
      <c r="C2436" t="s">
        <v>23</v>
      </c>
      <c r="D2436" t="s">
        <v>27</v>
      </c>
      <c r="E2436" t="s">
        <v>32</v>
      </c>
      <c r="F2436" t="s">
        <v>48</v>
      </c>
      <c r="G2436" t="s">
        <v>71</v>
      </c>
      <c r="H2436" t="s">
        <v>74</v>
      </c>
      <c r="I2436">
        <v>8</v>
      </c>
      <c r="J2436">
        <v>9293</v>
      </c>
      <c r="K2436">
        <v>0.2</v>
      </c>
      <c r="L2436">
        <v>59475.199999999997</v>
      </c>
      <c r="M2436">
        <v>36271.4</v>
      </c>
      <c r="N2436">
        <v>23203.8</v>
      </c>
      <c r="O2436" t="s">
        <v>78</v>
      </c>
      <c r="P2436" t="s">
        <v>81</v>
      </c>
    </row>
    <row r="2437" spans="1:16" x14ac:dyDescent="0.25">
      <c r="A2437">
        <v>2436</v>
      </c>
      <c r="B2437" s="2">
        <v>45727</v>
      </c>
      <c r="C2437" t="s">
        <v>23</v>
      </c>
      <c r="D2437" t="s">
        <v>27</v>
      </c>
      <c r="E2437" t="s">
        <v>34</v>
      </c>
      <c r="F2437" t="s">
        <v>68</v>
      </c>
      <c r="G2437" t="s">
        <v>70</v>
      </c>
      <c r="H2437" t="s">
        <v>75</v>
      </c>
      <c r="I2437">
        <v>7</v>
      </c>
      <c r="J2437">
        <v>5525</v>
      </c>
      <c r="K2437">
        <v>0</v>
      </c>
      <c r="L2437">
        <v>38675</v>
      </c>
      <c r="M2437">
        <v>31434.91</v>
      </c>
      <c r="N2437">
        <v>7240.09</v>
      </c>
      <c r="O2437" t="s">
        <v>79</v>
      </c>
      <c r="P2437" t="s">
        <v>81</v>
      </c>
    </row>
    <row r="2438" spans="1:16" x14ac:dyDescent="0.25">
      <c r="A2438">
        <v>2437</v>
      </c>
      <c r="B2438" s="2">
        <v>45772</v>
      </c>
      <c r="C2438" t="s">
        <v>21</v>
      </c>
      <c r="D2438" t="s">
        <v>24</v>
      </c>
      <c r="E2438" t="s">
        <v>32</v>
      </c>
      <c r="F2438" t="s">
        <v>39</v>
      </c>
      <c r="G2438" t="s">
        <v>72</v>
      </c>
      <c r="H2438" t="s">
        <v>75</v>
      </c>
      <c r="I2438">
        <v>2</v>
      </c>
      <c r="J2438">
        <v>9847</v>
      </c>
      <c r="K2438">
        <v>0</v>
      </c>
      <c r="L2438">
        <v>19694</v>
      </c>
      <c r="M2438">
        <v>15787.39</v>
      </c>
      <c r="N2438">
        <v>3906.61</v>
      </c>
      <c r="O2438" t="s">
        <v>78</v>
      </c>
      <c r="P2438" t="s">
        <v>83</v>
      </c>
    </row>
    <row r="2439" spans="1:16" x14ac:dyDescent="0.25">
      <c r="A2439">
        <v>2438</v>
      </c>
      <c r="B2439" s="2">
        <v>45894</v>
      </c>
      <c r="C2439" t="s">
        <v>18</v>
      </c>
      <c r="D2439" t="s">
        <v>26</v>
      </c>
      <c r="E2439" t="s">
        <v>31</v>
      </c>
      <c r="F2439" t="s">
        <v>38</v>
      </c>
      <c r="G2439" t="s">
        <v>72</v>
      </c>
      <c r="H2439" t="s">
        <v>74</v>
      </c>
      <c r="I2439">
        <v>2</v>
      </c>
      <c r="J2439">
        <v>1557</v>
      </c>
      <c r="K2439">
        <v>0</v>
      </c>
      <c r="L2439">
        <v>3114</v>
      </c>
      <c r="M2439">
        <v>2379.6999999999998</v>
      </c>
      <c r="N2439">
        <v>734.3</v>
      </c>
      <c r="O2439" t="s">
        <v>79</v>
      </c>
      <c r="P2439" t="s">
        <v>85</v>
      </c>
    </row>
    <row r="2440" spans="1:16" x14ac:dyDescent="0.25">
      <c r="A2440">
        <v>2439</v>
      </c>
      <c r="B2440" s="2">
        <v>45931</v>
      </c>
      <c r="C2440" t="s">
        <v>22</v>
      </c>
      <c r="D2440" t="s">
        <v>24</v>
      </c>
      <c r="E2440" t="s">
        <v>34</v>
      </c>
      <c r="F2440" t="s">
        <v>43</v>
      </c>
      <c r="G2440" t="s">
        <v>72</v>
      </c>
      <c r="H2440" t="s">
        <v>74</v>
      </c>
      <c r="I2440">
        <v>8</v>
      </c>
      <c r="J2440">
        <v>3943</v>
      </c>
      <c r="K2440">
        <v>0.05</v>
      </c>
      <c r="L2440">
        <v>29966.799999999999</v>
      </c>
      <c r="M2440">
        <v>16906.61</v>
      </c>
      <c r="N2440">
        <v>13060.19</v>
      </c>
      <c r="O2440" t="s">
        <v>78</v>
      </c>
      <c r="P2440" t="s">
        <v>85</v>
      </c>
    </row>
    <row r="2441" spans="1:16" x14ac:dyDescent="0.25">
      <c r="A2441">
        <v>2440</v>
      </c>
      <c r="B2441" s="2">
        <v>45668</v>
      </c>
      <c r="C2441" t="s">
        <v>20</v>
      </c>
      <c r="D2441" t="s">
        <v>26</v>
      </c>
      <c r="E2441" t="s">
        <v>33</v>
      </c>
      <c r="F2441" t="s">
        <v>59</v>
      </c>
      <c r="G2441" t="s">
        <v>72</v>
      </c>
      <c r="H2441" t="s">
        <v>74</v>
      </c>
      <c r="I2441">
        <v>1</v>
      </c>
      <c r="J2441">
        <v>44118</v>
      </c>
      <c r="K2441">
        <v>0.15</v>
      </c>
      <c r="L2441">
        <v>37500.300000000003</v>
      </c>
      <c r="M2441">
        <v>30770.59</v>
      </c>
      <c r="N2441">
        <v>6729.71</v>
      </c>
      <c r="O2441" t="s">
        <v>80</v>
      </c>
      <c r="P2441" t="s">
        <v>83</v>
      </c>
    </row>
    <row r="2442" spans="1:16" x14ac:dyDescent="0.25">
      <c r="A2442">
        <v>2441</v>
      </c>
      <c r="B2442" s="2">
        <v>45810</v>
      </c>
      <c r="C2442" t="s">
        <v>23</v>
      </c>
      <c r="D2442" t="s">
        <v>27</v>
      </c>
      <c r="E2442" t="s">
        <v>29</v>
      </c>
      <c r="F2442" t="s">
        <v>36</v>
      </c>
      <c r="G2442" t="s">
        <v>70</v>
      </c>
      <c r="H2442" t="s">
        <v>74</v>
      </c>
      <c r="I2442">
        <v>8</v>
      </c>
      <c r="J2442">
        <v>6494</v>
      </c>
      <c r="K2442">
        <v>0</v>
      </c>
      <c r="L2442">
        <v>51952</v>
      </c>
      <c r="M2442">
        <v>33499.86</v>
      </c>
      <c r="N2442">
        <v>18452.14</v>
      </c>
      <c r="O2442" t="s">
        <v>77</v>
      </c>
      <c r="P2442" t="s">
        <v>88</v>
      </c>
    </row>
    <row r="2443" spans="1:16" x14ac:dyDescent="0.25">
      <c r="A2443">
        <v>2442</v>
      </c>
      <c r="B2443" s="2">
        <v>45923</v>
      </c>
      <c r="C2443" t="s">
        <v>20</v>
      </c>
      <c r="D2443" t="s">
        <v>26</v>
      </c>
      <c r="E2443" t="s">
        <v>32</v>
      </c>
      <c r="F2443" t="s">
        <v>48</v>
      </c>
      <c r="G2443" t="s">
        <v>72</v>
      </c>
      <c r="H2443" t="s">
        <v>74</v>
      </c>
      <c r="I2443">
        <v>6</v>
      </c>
      <c r="J2443">
        <v>4233</v>
      </c>
      <c r="K2443">
        <v>0.05</v>
      </c>
      <c r="L2443">
        <v>24128.1</v>
      </c>
      <c r="M2443">
        <v>21077.33</v>
      </c>
      <c r="N2443">
        <v>3050.77</v>
      </c>
      <c r="O2443" t="s">
        <v>80</v>
      </c>
      <c r="P2443" t="s">
        <v>83</v>
      </c>
    </row>
    <row r="2444" spans="1:16" x14ac:dyDescent="0.25">
      <c r="A2444">
        <v>2443</v>
      </c>
      <c r="B2444" s="2">
        <v>45784</v>
      </c>
      <c r="C2444" t="s">
        <v>17</v>
      </c>
      <c r="D2444" t="s">
        <v>25</v>
      </c>
      <c r="E2444" t="s">
        <v>29</v>
      </c>
      <c r="F2444" t="s">
        <v>53</v>
      </c>
      <c r="G2444" t="s">
        <v>71</v>
      </c>
      <c r="H2444" t="s">
        <v>74</v>
      </c>
      <c r="I2444">
        <v>1</v>
      </c>
      <c r="J2444">
        <v>3736</v>
      </c>
      <c r="K2444">
        <v>0</v>
      </c>
      <c r="L2444">
        <v>3736</v>
      </c>
      <c r="M2444">
        <v>2550.4699999999998</v>
      </c>
      <c r="N2444">
        <v>1185.53</v>
      </c>
      <c r="O2444" t="s">
        <v>79</v>
      </c>
      <c r="P2444" t="s">
        <v>85</v>
      </c>
    </row>
    <row r="2445" spans="1:16" x14ac:dyDescent="0.25">
      <c r="A2445">
        <v>2444</v>
      </c>
      <c r="B2445" s="2">
        <v>45665</v>
      </c>
      <c r="C2445" t="s">
        <v>20</v>
      </c>
      <c r="D2445" t="s">
        <v>26</v>
      </c>
      <c r="E2445" t="s">
        <v>30</v>
      </c>
      <c r="F2445" t="s">
        <v>64</v>
      </c>
      <c r="G2445" t="s">
        <v>72</v>
      </c>
      <c r="H2445" t="s">
        <v>73</v>
      </c>
      <c r="I2445">
        <v>2</v>
      </c>
      <c r="J2445">
        <v>1846</v>
      </c>
      <c r="K2445">
        <v>0</v>
      </c>
      <c r="L2445">
        <v>3692</v>
      </c>
      <c r="M2445">
        <v>2036.04</v>
      </c>
      <c r="N2445">
        <v>1655.96</v>
      </c>
      <c r="O2445" t="s">
        <v>78</v>
      </c>
      <c r="P2445" t="s">
        <v>88</v>
      </c>
    </row>
    <row r="2446" spans="1:16" x14ac:dyDescent="0.25">
      <c r="A2446">
        <v>2445</v>
      </c>
      <c r="B2446" s="2">
        <v>45952</v>
      </c>
      <c r="C2446" t="s">
        <v>18</v>
      </c>
      <c r="D2446" t="s">
        <v>26</v>
      </c>
      <c r="E2446" t="s">
        <v>30</v>
      </c>
      <c r="F2446" t="s">
        <v>44</v>
      </c>
      <c r="G2446" t="s">
        <v>72</v>
      </c>
      <c r="H2446" t="s">
        <v>73</v>
      </c>
      <c r="I2446">
        <v>4</v>
      </c>
      <c r="J2446">
        <v>42670</v>
      </c>
      <c r="K2446">
        <v>0</v>
      </c>
      <c r="L2446">
        <v>170680</v>
      </c>
      <c r="M2446">
        <v>114815.51</v>
      </c>
      <c r="N2446">
        <v>55864.49</v>
      </c>
      <c r="O2446" t="s">
        <v>78</v>
      </c>
      <c r="P2446" t="s">
        <v>83</v>
      </c>
    </row>
    <row r="2447" spans="1:16" x14ac:dyDescent="0.25">
      <c r="A2447">
        <v>2446</v>
      </c>
      <c r="B2447" s="2">
        <v>45857</v>
      </c>
      <c r="C2447" t="s">
        <v>16</v>
      </c>
      <c r="D2447" t="s">
        <v>24</v>
      </c>
      <c r="E2447" t="s">
        <v>31</v>
      </c>
      <c r="F2447" t="s">
        <v>47</v>
      </c>
      <c r="G2447" t="s">
        <v>70</v>
      </c>
      <c r="H2447" t="s">
        <v>74</v>
      </c>
      <c r="I2447">
        <v>4</v>
      </c>
      <c r="J2447">
        <v>983</v>
      </c>
      <c r="K2447">
        <v>0.1</v>
      </c>
      <c r="L2447">
        <v>3538.8</v>
      </c>
      <c r="M2447">
        <v>2925.29</v>
      </c>
      <c r="N2447">
        <v>613.51</v>
      </c>
      <c r="O2447" t="s">
        <v>77</v>
      </c>
      <c r="P2447" t="s">
        <v>88</v>
      </c>
    </row>
    <row r="2448" spans="1:16" x14ac:dyDescent="0.25">
      <c r="A2448">
        <v>2447</v>
      </c>
      <c r="B2448" s="2">
        <v>45726</v>
      </c>
      <c r="C2448" t="s">
        <v>20</v>
      </c>
      <c r="D2448" t="s">
        <v>26</v>
      </c>
      <c r="E2448" t="s">
        <v>33</v>
      </c>
      <c r="F2448" t="s">
        <v>60</v>
      </c>
      <c r="G2448" t="s">
        <v>72</v>
      </c>
      <c r="H2448" t="s">
        <v>74</v>
      </c>
      <c r="I2448">
        <v>1</v>
      </c>
      <c r="J2448">
        <v>19087</v>
      </c>
      <c r="K2448">
        <v>0.1</v>
      </c>
      <c r="L2448">
        <v>17178.3</v>
      </c>
      <c r="M2448">
        <v>15032.88</v>
      </c>
      <c r="N2448">
        <v>2145.42</v>
      </c>
      <c r="O2448" t="s">
        <v>78</v>
      </c>
      <c r="P2448" t="s">
        <v>87</v>
      </c>
    </row>
    <row r="2449" spans="1:16" x14ac:dyDescent="0.25">
      <c r="A2449">
        <v>2448</v>
      </c>
      <c r="B2449" s="2">
        <v>45816</v>
      </c>
      <c r="C2449" t="s">
        <v>21</v>
      </c>
      <c r="D2449" t="s">
        <v>24</v>
      </c>
      <c r="E2449" t="s">
        <v>28</v>
      </c>
      <c r="F2449" t="s">
        <v>35</v>
      </c>
      <c r="G2449" t="s">
        <v>72</v>
      </c>
      <c r="H2449" t="s">
        <v>73</v>
      </c>
      <c r="I2449">
        <v>3</v>
      </c>
      <c r="J2449">
        <v>281</v>
      </c>
      <c r="K2449">
        <v>0.05</v>
      </c>
      <c r="L2449">
        <v>800.85</v>
      </c>
      <c r="M2449">
        <v>683.49</v>
      </c>
      <c r="N2449">
        <v>117.36</v>
      </c>
      <c r="O2449" t="s">
        <v>78</v>
      </c>
      <c r="P2449" t="s">
        <v>84</v>
      </c>
    </row>
    <row r="2450" spans="1:16" x14ac:dyDescent="0.25">
      <c r="A2450">
        <v>2449</v>
      </c>
      <c r="B2450" s="2">
        <v>45980</v>
      </c>
      <c r="C2450" t="s">
        <v>20</v>
      </c>
      <c r="D2450" t="s">
        <v>26</v>
      </c>
      <c r="E2450" t="s">
        <v>32</v>
      </c>
      <c r="F2450" t="s">
        <v>49</v>
      </c>
      <c r="G2450" t="s">
        <v>70</v>
      </c>
      <c r="H2450" t="s">
        <v>73</v>
      </c>
      <c r="I2450">
        <v>6</v>
      </c>
      <c r="J2450">
        <v>10198</v>
      </c>
      <c r="K2450">
        <v>0</v>
      </c>
      <c r="L2450">
        <v>61188</v>
      </c>
      <c r="M2450">
        <v>47481.03</v>
      </c>
      <c r="N2450">
        <v>13706.97</v>
      </c>
      <c r="O2450" t="s">
        <v>77</v>
      </c>
      <c r="P2450" t="s">
        <v>83</v>
      </c>
    </row>
    <row r="2451" spans="1:16" x14ac:dyDescent="0.25">
      <c r="A2451">
        <v>2450</v>
      </c>
      <c r="B2451" s="2">
        <v>45899</v>
      </c>
      <c r="C2451" t="s">
        <v>21</v>
      </c>
      <c r="D2451" t="s">
        <v>24</v>
      </c>
      <c r="E2451" t="s">
        <v>33</v>
      </c>
      <c r="F2451" t="s">
        <v>59</v>
      </c>
      <c r="G2451" t="s">
        <v>71</v>
      </c>
      <c r="H2451" t="s">
        <v>75</v>
      </c>
      <c r="I2451">
        <v>5</v>
      </c>
      <c r="J2451">
        <v>48472</v>
      </c>
      <c r="K2451">
        <v>0.1</v>
      </c>
      <c r="L2451">
        <v>218124</v>
      </c>
      <c r="M2451">
        <v>180814.4</v>
      </c>
      <c r="N2451">
        <v>37309.599999999999</v>
      </c>
      <c r="O2451" t="s">
        <v>80</v>
      </c>
      <c r="P2451" t="s">
        <v>86</v>
      </c>
    </row>
    <row r="2452" spans="1:16" x14ac:dyDescent="0.25">
      <c r="A2452">
        <v>2451</v>
      </c>
      <c r="B2452" s="2">
        <v>45934</v>
      </c>
      <c r="C2452" t="s">
        <v>19</v>
      </c>
      <c r="D2452" t="s">
        <v>26</v>
      </c>
      <c r="E2452" t="s">
        <v>33</v>
      </c>
      <c r="F2452" t="s">
        <v>41</v>
      </c>
      <c r="G2452" t="s">
        <v>70</v>
      </c>
      <c r="H2452" t="s">
        <v>74</v>
      </c>
      <c r="I2452">
        <v>2</v>
      </c>
      <c r="J2452">
        <v>17918</v>
      </c>
      <c r="K2452">
        <v>0.1</v>
      </c>
      <c r="L2452">
        <v>32252.400000000001</v>
      </c>
      <c r="M2452">
        <v>20494.97</v>
      </c>
      <c r="N2452">
        <v>11757.43</v>
      </c>
      <c r="O2452" t="s">
        <v>76</v>
      </c>
      <c r="P2452" t="s">
        <v>86</v>
      </c>
    </row>
    <row r="2453" spans="1:16" x14ac:dyDescent="0.25">
      <c r="A2453">
        <v>2452</v>
      </c>
      <c r="B2453" s="2">
        <v>45689</v>
      </c>
      <c r="C2453" t="s">
        <v>22</v>
      </c>
      <c r="D2453" t="s">
        <v>24</v>
      </c>
      <c r="E2453" t="s">
        <v>32</v>
      </c>
      <c r="F2453" t="s">
        <v>39</v>
      </c>
      <c r="G2453" t="s">
        <v>71</v>
      </c>
      <c r="H2453" t="s">
        <v>73</v>
      </c>
      <c r="I2453">
        <v>1</v>
      </c>
      <c r="J2453">
        <v>6790</v>
      </c>
      <c r="K2453">
        <v>0.1</v>
      </c>
      <c r="L2453">
        <v>6111</v>
      </c>
      <c r="M2453">
        <v>3436.85</v>
      </c>
      <c r="N2453">
        <v>2674.15</v>
      </c>
      <c r="O2453" t="s">
        <v>78</v>
      </c>
      <c r="P2453" t="s">
        <v>83</v>
      </c>
    </row>
    <row r="2454" spans="1:16" x14ac:dyDescent="0.25">
      <c r="A2454">
        <v>2453</v>
      </c>
      <c r="B2454" s="2">
        <v>45667</v>
      </c>
      <c r="C2454" t="s">
        <v>23</v>
      </c>
      <c r="D2454" t="s">
        <v>27</v>
      </c>
      <c r="E2454" t="s">
        <v>29</v>
      </c>
      <c r="F2454" t="s">
        <v>36</v>
      </c>
      <c r="G2454" t="s">
        <v>70</v>
      </c>
      <c r="H2454" t="s">
        <v>75</v>
      </c>
      <c r="I2454">
        <v>7</v>
      </c>
      <c r="J2454">
        <v>9900</v>
      </c>
      <c r="K2454">
        <v>0.15</v>
      </c>
      <c r="L2454">
        <v>58905</v>
      </c>
      <c r="M2454">
        <v>36641.269999999997</v>
      </c>
      <c r="N2454">
        <v>22263.73</v>
      </c>
      <c r="O2454" t="s">
        <v>76</v>
      </c>
      <c r="P2454" t="s">
        <v>81</v>
      </c>
    </row>
    <row r="2455" spans="1:16" x14ac:dyDescent="0.25">
      <c r="A2455">
        <v>2454</v>
      </c>
      <c r="B2455" s="2">
        <v>45988</v>
      </c>
      <c r="C2455" t="s">
        <v>21</v>
      </c>
      <c r="D2455" t="s">
        <v>24</v>
      </c>
      <c r="E2455" t="s">
        <v>33</v>
      </c>
      <c r="F2455" t="s">
        <v>52</v>
      </c>
      <c r="G2455" t="s">
        <v>70</v>
      </c>
      <c r="H2455" t="s">
        <v>74</v>
      </c>
      <c r="I2455">
        <v>6</v>
      </c>
      <c r="J2455">
        <v>28656</v>
      </c>
      <c r="K2455">
        <v>0.1</v>
      </c>
      <c r="L2455">
        <v>154742.39999999999</v>
      </c>
      <c r="M2455">
        <v>91272.26</v>
      </c>
      <c r="N2455">
        <v>63470.14</v>
      </c>
      <c r="O2455" t="s">
        <v>76</v>
      </c>
      <c r="P2455" t="s">
        <v>83</v>
      </c>
    </row>
    <row r="2456" spans="1:16" x14ac:dyDescent="0.25">
      <c r="A2456">
        <v>2455</v>
      </c>
      <c r="B2456" s="2">
        <v>45939</v>
      </c>
      <c r="C2456" t="s">
        <v>20</v>
      </c>
      <c r="D2456" t="s">
        <v>26</v>
      </c>
      <c r="E2456" t="s">
        <v>31</v>
      </c>
      <c r="F2456" t="s">
        <v>50</v>
      </c>
      <c r="G2456" t="s">
        <v>71</v>
      </c>
      <c r="H2456" t="s">
        <v>73</v>
      </c>
      <c r="I2456">
        <v>4</v>
      </c>
      <c r="J2456">
        <v>1741</v>
      </c>
      <c r="K2456">
        <v>0</v>
      </c>
      <c r="L2456">
        <v>6964</v>
      </c>
      <c r="M2456">
        <v>5454.79</v>
      </c>
      <c r="N2456">
        <v>1509.21</v>
      </c>
      <c r="O2456" t="s">
        <v>78</v>
      </c>
      <c r="P2456" t="s">
        <v>86</v>
      </c>
    </row>
    <row r="2457" spans="1:16" x14ac:dyDescent="0.25">
      <c r="A2457">
        <v>2456</v>
      </c>
      <c r="B2457" s="2">
        <v>45932</v>
      </c>
      <c r="C2457" t="s">
        <v>22</v>
      </c>
      <c r="D2457" t="s">
        <v>24</v>
      </c>
      <c r="E2457" t="s">
        <v>29</v>
      </c>
      <c r="F2457" t="s">
        <v>57</v>
      </c>
      <c r="G2457" t="s">
        <v>71</v>
      </c>
      <c r="H2457" t="s">
        <v>75</v>
      </c>
      <c r="I2457">
        <v>6</v>
      </c>
      <c r="J2457">
        <v>1557</v>
      </c>
      <c r="K2457">
        <v>0</v>
      </c>
      <c r="L2457">
        <v>9342</v>
      </c>
      <c r="M2457">
        <v>7781.95</v>
      </c>
      <c r="N2457">
        <v>1560.05</v>
      </c>
      <c r="O2457" t="s">
        <v>80</v>
      </c>
      <c r="P2457" t="s">
        <v>81</v>
      </c>
    </row>
    <row r="2458" spans="1:16" x14ac:dyDescent="0.25">
      <c r="A2458">
        <v>2457</v>
      </c>
      <c r="B2458" s="2">
        <v>45899</v>
      </c>
      <c r="C2458" t="s">
        <v>17</v>
      </c>
      <c r="D2458" t="s">
        <v>25</v>
      </c>
      <c r="E2458" t="s">
        <v>28</v>
      </c>
      <c r="F2458" t="s">
        <v>54</v>
      </c>
      <c r="G2458" t="s">
        <v>71</v>
      </c>
      <c r="H2458" t="s">
        <v>75</v>
      </c>
      <c r="I2458">
        <v>8</v>
      </c>
      <c r="J2458">
        <v>609</v>
      </c>
      <c r="K2458">
        <v>0.2</v>
      </c>
      <c r="L2458">
        <v>3897.6</v>
      </c>
      <c r="M2458">
        <v>2298.2199999999998</v>
      </c>
      <c r="N2458">
        <v>1599.38</v>
      </c>
      <c r="O2458" t="s">
        <v>77</v>
      </c>
      <c r="P2458" t="s">
        <v>86</v>
      </c>
    </row>
    <row r="2459" spans="1:16" x14ac:dyDescent="0.25">
      <c r="A2459">
        <v>2458</v>
      </c>
      <c r="B2459" s="2">
        <v>45821</v>
      </c>
      <c r="C2459" t="s">
        <v>19</v>
      </c>
      <c r="D2459" t="s">
        <v>26</v>
      </c>
      <c r="E2459" t="s">
        <v>32</v>
      </c>
      <c r="F2459" t="s">
        <v>39</v>
      </c>
      <c r="G2459" t="s">
        <v>72</v>
      </c>
      <c r="H2459" t="s">
        <v>75</v>
      </c>
      <c r="I2459">
        <v>5</v>
      </c>
      <c r="J2459">
        <v>7984</v>
      </c>
      <c r="K2459">
        <v>0.05</v>
      </c>
      <c r="L2459">
        <v>37924</v>
      </c>
      <c r="M2459">
        <v>32735.41</v>
      </c>
      <c r="N2459">
        <v>5188.59</v>
      </c>
      <c r="O2459" t="s">
        <v>79</v>
      </c>
      <c r="P2459" t="s">
        <v>81</v>
      </c>
    </row>
    <row r="2460" spans="1:16" x14ac:dyDescent="0.25">
      <c r="A2460">
        <v>2459</v>
      </c>
      <c r="B2460" s="2">
        <v>45803</v>
      </c>
      <c r="C2460" t="s">
        <v>18</v>
      </c>
      <c r="D2460" t="s">
        <v>26</v>
      </c>
      <c r="E2460" t="s">
        <v>30</v>
      </c>
      <c r="F2460" t="s">
        <v>64</v>
      </c>
      <c r="G2460" t="s">
        <v>71</v>
      </c>
      <c r="H2460" t="s">
        <v>73</v>
      </c>
      <c r="I2460">
        <v>7</v>
      </c>
      <c r="J2460">
        <v>2883</v>
      </c>
      <c r="K2460">
        <v>0.05</v>
      </c>
      <c r="L2460">
        <v>19171.95</v>
      </c>
      <c r="M2460">
        <v>10686.13</v>
      </c>
      <c r="N2460">
        <v>8485.82</v>
      </c>
      <c r="O2460" t="s">
        <v>80</v>
      </c>
      <c r="P2460" t="s">
        <v>85</v>
      </c>
    </row>
    <row r="2461" spans="1:16" x14ac:dyDescent="0.25">
      <c r="A2461">
        <v>2460</v>
      </c>
      <c r="B2461" s="2">
        <v>45977</v>
      </c>
      <c r="C2461" t="s">
        <v>20</v>
      </c>
      <c r="D2461" t="s">
        <v>26</v>
      </c>
      <c r="E2461" t="s">
        <v>33</v>
      </c>
      <c r="F2461" t="s">
        <v>41</v>
      </c>
      <c r="G2461" t="s">
        <v>70</v>
      </c>
      <c r="H2461" t="s">
        <v>74</v>
      </c>
      <c r="I2461">
        <v>7</v>
      </c>
      <c r="J2461">
        <v>37881</v>
      </c>
      <c r="K2461">
        <v>0.1</v>
      </c>
      <c r="L2461">
        <v>238650.3</v>
      </c>
      <c r="M2461">
        <v>140592.44</v>
      </c>
      <c r="N2461">
        <v>98057.86</v>
      </c>
      <c r="O2461" t="s">
        <v>79</v>
      </c>
      <c r="P2461" t="s">
        <v>86</v>
      </c>
    </row>
    <row r="2462" spans="1:16" x14ac:dyDescent="0.25">
      <c r="A2462">
        <v>2461</v>
      </c>
      <c r="B2462" s="2">
        <v>45682</v>
      </c>
      <c r="C2462" t="s">
        <v>20</v>
      </c>
      <c r="D2462" t="s">
        <v>26</v>
      </c>
      <c r="E2462" t="s">
        <v>34</v>
      </c>
      <c r="F2462" t="s">
        <v>68</v>
      </c>
      <c r="G2462" t="s">
        <v>71</v>
      </c>
      <c r="H2462" t="s">
        <v>75</v>
      </c>
      <c r="I2462">
        <v>2</v>
      </c>
      <c r="J2462">
        <v>869</v>
      </c>
      <c r="K2462">
        <v>0.1</v>
      </c>
      <c r="L2462">
        <v>1564.2</v>
      </c>
      <c r="M2462">
        <v>1153.06</v>
      </c>
      <c r="N2462">
        <v>411.14</v>
      </c>
      <c r="O2462" t="s">
        <v>76</v>
      </c>
      <c r="P2462" t="s">
        <v>83</v>
      </c>
    </row>
    <row r="2463" spans="1:16" x14ac:dyDescent="0.25">
      <c r="A2463">
        <v>2462</v>
      </c>
      <c r="B2463" s="2">
        <v>45922</v>
      </c>
      <c r="C2463" t="s">
        <v>18</v>
      </c>
      <c r="D2463" t="s">
        <v>26</v>
      </c>
      <c r="E2463" t="s">
        <v>34</v>
      </c>
      <c r="F2463" t="s">
        <v>65</v>
      </c>
      <c r="G2463" t="s">
        <v>70</v>
      </c>
      <c r="H2463" t="s">
        <v>73</v>
      </c>
      <c r="I2463">
        <v>6</v>
      </c>
      <c r="J2463">
        <v>5175</v>
      </c>
      <c r="K2463">
        <v>0</v>
      </c>
      <c r="L2463">
        <v>31050</v>
      </c>
      <c r="M2463">
        <v>22025.75</v>
      </c>
      <c r="N2463">
        <v>9024.25</v>
      </c>
      <c r="O2463" t="s">
        <v>76</v>
      </c>
      <c r="P2463" t="s">
        <v>84</v>
      </c>
    </row>
    <row r="2464" spans="1:16" x14ac:dyDescent="0.25">
      <c r="A2464">
        <v>2463</v>
      </c>
      <c r="B2464" s="2">
        <v>45915</v>
      </c>
      <c r="C2464" t="s">
        <v>20</v>
      </c>
      <c r="D2464" t="s">
        <v>26</v>
      </c>
      <c r="E2464" t="s">
        <v>30</v>
      </c>
      <c r="F2464" t="s">
        <v>56</v>
      </c>
      <c r="G2464" t="s">
        <v>71</v>
      </c>
      <c r="H2464" t="s">
        <v>74</v>
      </c>
      <c r="I2464">
        <v>2</v>
      </c>
      <c r="J2464">
        <v>41934</v>
      </c>
      <c r="K2464">
        <v>0.1</v>
      </c>
      <c r="L2464">
        <v>75481.2</v>
      </c>
      <c r="M2464">
        <v>43701.16</v>
      </c>
      <c r="N2464">
        <v>31780.04</v>
      </c>
      <c r="O2464" t="s">
        <v>78</v>
      </c>
      <c r="P2464" t="s">
        <v>87</v>
      </c>
    </row>
    <row r="2465" spans="1:16" x14ac:dyDescent="0.25">
      <c r="A2465">
        <v>2464</v>
      </c>
      <c r="B2465" s="2">
        <v>45873</v>
      </c>
      <c r="C2465" t="s">
        <v>23</v>
      </c>
      <c r="D2465" t="s">
        <v>27</v>
      </c>
      <c r="E2465" t="s">
        <v>31</v>
      </c>
      <c r="F2465" t="s">
        <v>38</v>
      </c>
      <c r="G2465" t="s">
        <v>72</v>
      </c>
      <c r="H2465" t="s">
        <v>73</v>
      </c>
      <c r="I2465">
        <v>5</v>
      </c>
      <c r="J2465">
        <v>1498</v>
      </c>
      <c r="K2465">
        <v>0</v>
      </c>
      <c r="L2465">
        <v>7490</v>
      </c>
      <c r="M2465">
        <v>4436.0200000000004</v>
      </c>
      <c r="N2465">
        <v>3053.98</v>
      </c>
      <c r="O2465" t="s">
        <v>79</v>
      </c>
      <c r="P2465" t="s">
        <v>84</v>
      </c>
    </row>
    <row r="2466" spans="1:16" x14ac:dyDescent="0.25">
      <c r="A2466">
        <v>2465</v>
      </c>
      <c r="B2466" s="2">
        <v>45898</v>
      </c>
      <c r="C2466" t="s">
        <v>21</v>
      </c>
      <c r="D2466" t="s">
        <v>24</v>
      </c>
      <c r="E2466" t="s">
        <v>33</v>
      </c>
      <c r="F2466" t="s">
        <v>41</v>
      </c>
      <c r="G2466" t="s">
        <v>71</v>
      </c>
      <c r="H2466" t="s">
        <v>75</v>
      </c>
      <c r="I2466">
        <v>4</v>
      </c>
      <c r="J2466">
        <v>24268</v>
      </c>
      <c r="K2466">
        <v>0.15</v>
      </c>
      <c r="L2466">
        <v>82511.199999999997</v>
      </c>
      <c r="M2466">
        <v>54747.06</v>
      </c>
      <c r="N2466">
        <v>27764.14</v>
      </c>
      <c r="O2466" t="s">
        <v>78</v>
      </c>
      <c r="P2466" t="s">
        <v>86</v>
      </c>
    </row>
    <row r="2467" spans="1:16" x14ac:dyDescent="0.25">
      <c r="A2467">
        <v>2466</v>
      </c>
      <c r="B2467" s="2">
        <v>45691</v>
      </c>
      <c r="C2467" t="s">
        <v>21</v>
      </c>
      <c r="D2467" t="s">
        <v>24</v>
      </c>
      <c r="E2467" t="s">
        <v>28</v>
      </c>
      <c r="F2467" t="s">
        <v>35</v>
      </c>
      <c r="G2467" t="s">
        <v>70</v>
      </c>
      <c r="H2467" t="s">
        <v>74</v>
      </c>
      <c r="I2467">
        <v>4</v>
      </c>
      <c r="J2467">
        <v>823</v>
      </c>
      <c r="K2467">
        <v>0.1</v>
      </c>
      <c r="L2467">
        <v>2962.8</v>
      </c>
      <c r="M2467">
        <v>1667.16</v>
      </c>
      <c r="N2467">
        <v>1295.6400000000001</v>
      </c>
      <c r="O2467" t="s">
        <v>79</v>
      </c>
      <c r="P2467" t="s">
        <v>82</v>
      </c>
    </row>
    <row r="2468" spans="1:16" x14ac:dyDescent="0.25">
      <c r="A2468">
        <v>2467</v>
      </c>
      <c r="B2468" s="2">
        <v>45743</v>
      </c>
      <c r="C2468" t="s">
        <v>21</v>
      </c>
      <c r="D2468" t="s">
        <v>24</v>
      </c>
      <c r="E2468" t="s">
        <v>28</v>
      </c>
      <c r="F2468" t="s">
        <v>54</v>
      </c>
      <c r="G2468" t="s">
        <v>70</v>
      </c>
      <c r="H2468" t="s">
        <v>74</v>
      </c>
      <c r="I2468">
        <v>7</v>
      </c>
      <c r="J2468">
        <v>1009</v>
      </c>
      <c r="K2468">
        <v>0.05</v>
      </c>
      <c r="L2468">
        <v>6709.85</v>
      </c>
      <c r="M2468">
        <v>4487.41</v>
      </c>
      <c r="N2468">
        <v>2222.44</v>
      </c>
      <c r="O2468" t="s">
        <v>77</v>
      </c>
      <c r="P2468" t="s">
        <v>81</v>
      </c>
    </row>
    <row r="2469" spans="1:16" x14ac:dyDescent="0.25">
      <c r="A2469">
        <v>2468</v>
      </c>
      <c r="B2469" s="2">
        <v>45728</v>
      </c>
      <c r="C2469" t="s">
        <v>17</v>
      </c>
      <c r="D2469" t="s">
        <v>25</v>
      </c>
      <c r="E2469" t="s">
        <v>33</v>
      </c>
      <c r="F2469" t="s">
        <v>41</v>
      </c>
      <c r="G2469" t="s">
        <v>72</v>
      </c>
      <c r="H2469" t="s">
        <v>74</v>
      </c>
      <c r="I2469">
        <v>6</v>
      </c>
      <c r="J2469">
        <v>31264</v>
      </c>
      <c r="K2469">
        <v>0.15</v>
      </c>
      <c r="L2469">
        <v>159446.39999999999</v>
      </c>
      <c r="M2469">
        <v>138396.97</v>
      </c>
      <c r="N2469">
        <v>21049.43</v>
      </c>
      <c r="O2469" t="s">
        <v>77</v>
      </c>
      <c r="P2469" t="s">
        <v>82</v>
      </c>
    </row>
    <row r="2470" spans="1:16" x14ac:dyDescent="0.25">
      <c r="A2470">
        <v>2469</v>
      </c>
      <c r="B2470" s="2">
        <v>45879</v>
      </c>
      <c r="C2470" t="s">
        <v>20</v>
      </c>
      <c r="D2470" t="s">
        <v>26</v>
      </c>
      <c r="E2470" t="s">
        <v>33</v>
      </c>
      <c r="F2470" t="s">
        <v>41</v>
      </c>
      <c r="G2470" t="s">
        <v>71</v>
      </c>
      <c r="H2470" t="s">
        <v>75</v>
      </c>
      <c r="I2470">
        <v>6</v>
      </c>
      <c r="J2470">
        <v>5728</v>
      </c>
      <c r="K2470">
        <v>0.05</v>
      </c>
      <c r="L2470">
        <v>32649.599999999999</v>
      </c>
      <c r="M2470">
        <v>20432.96</v>
      </c>
      <c r="N2470">
        <v>12216.64</v>
      </c>
      <c r="O2470" t="s">
        <v>80</v>
      </c>
      <c r="P2470" t="s">
        <v>85</v>
      </c>
    </row>
    <row r="2471" spans="1:16" x14ac:dyDescent="0.25">
      <c r="A2471">
        <v>2470</v>
      </c>
      <c r="B2471" s="2">
        <v>45798</v>
      </c>
      <c r="C2471" t="s">
        <v>19</v>
      </c>
      <c r="D2471" t="s">
        <v>26</v>
      </c>
      <c r="E2471" t="s">
        <v>34</v>
      </c>
      <c r="F2471" t="s">
        <v>55</v>
      </c>
      <c r="G2471" t="s">
        <v>70</v>
      </c>
      <c r="H2471" t="s">
        <v>75</v>
      </c>
      <c r="I2471">
        <v>5</v>
      </c>
      <c r="J2471">
        <v>5850</v>
      </c>
      <c r="K2471">
        <v>0.1</v>
      </c>
      <c r="L2471">
        <v>26325</v>
      </c>
      <c r="M2471">
        <v>15486.91</v>
      </c>
      <c r="N2471">
        <v>10838.09</v>
      </c>
      <c r="O2471" t="s">
        <v>78</v>
      </c>
      <c r="P2471" t="s">
        <v>87</v>
      </c>
    </row>
    <row r="2472" spans="1:16" x14ac:dyDescent="0.25">
      <c r="A2472">
        <v>2471</v>
      </c>
      <c r="B2472" s="2">
        <v>45955</v>
      </c>
      <c r="C2472" t="s">
        <v>22</v>
      </c>
      <c r="D2472" t="s">
        <v>24</v>
      </c>
      <c r="E2472" t="s">
        <v>33</v>
      </c>
      <c r="F2472" t="s">
        <v>59</v>
      </c>
      <c r="G2472" t="s">
        <v>72</v>
      </c>
      <c r="H2472" t="s">
        <v>73</v>
      </c>
      <c r="I2472">
        <v>4</v>
      </c>
      <c r="J2472">
        <v>6349</v>
      </c>
      <c r="K2472">
        <v>0.1</v>
      </c>
      <c r="L2472">
        <v>22856.400000000001</v>
      </c>
      <c r="M2472">
        <v>13644.51</v>
      </c>
      <c r="N2472">
        <v>9211.89</v>
      </c>
      <c r="O2472" t="s">
        <v>80</v>
      </c>
      <c r="P2472" t="s">
        <v>86</v>
      </c>
    </row>
    <row r="2473" spans="1:16" x14ac:dyDescent="0.25">
      <c r="A2473">
        <v>2472</v>
      </c>
      <c r="B2473" s="2">
        <v>45877</v>
      </c>
      <c r="C2473" t="s">
        <v>18</v>
      </c>
      <c r="D2473" t="s">
        <v>26</v>
      </c>
      <c r="E2473" t="s">
        <v>28</v>
      </c>
      <c r="F2473" t="s">
        <v>54</v>
      </c>
      <c r="G2473" t="s">
        <v>72</v>
      </c>
      <c r="H2473" t="s">
        <v>75</v>
      </c>
      <c r="I2473">
        <v>5</v>
      </c>
      <c r="J2473">
        <v>1203</v>
      </c>
      <c r="K2473">
        <v>0.05</v>
      </c>
      <c r="L2473">
        <v>5714.25</v>
      </c>
      <c r="M2473">
        <v>3753.23</v>
      </c>
      <c r="N2473">
        <v>1961.02</v>
      </c>
      <c r="O2473" t="s">
        <v>78</v>
      </c>
      <c r="P2473" t="s">
        <v>87</v>
      </c>
    </row>
    <row r="2474" spans="1:16" x14ac:dyDescent="0.25">
      <c r="A2474">
        <v>2473</v>
      </c>
      <c r="B2474" s="2">
        <v>45795</v>
      </c>
      <c r="C2474" t="s">
        <v>20</v>
      </c>
      <c r="D2474" t="s">
        <v>26</v>
      </c>
      <c r="E2474" t="s">
        <v>33</v>
      </c>
      <c r="F2474" t="s">
        <v>59</v>
      </c>
      <c r="G2474" t="s">
        <v>70</v>
      </c>
      <c r="H2474" t="s">
        <v>74</v>
      </c>
      <c r="I2474">
        <v>8</v>
      </c>
      <c r="J2474">
        <v>47495</v>
      </c>
      <c r="K2474">
        <v>0</v>
      </c>
      <c r="L2474">
        <v>379960</v>
      </c>
      <c r="M2474">
        <v>222223.76</v>
      </c>
      <c r="N2474">
        <v>157736.24</v>
      </c>
      <c r="O2474" t="s">
        <v>76</v>
      </c>
      <c r="P2474" t="s">
        <v>81</v>
      </c>
    </row>
    <row r="2475" spans="1:16" x14ac:dyDescent="0.25">
      <c r="A2475">
        <v>2474</v>
      </c>
      <c r="B2475" s="2">
        <v>45805</v>
      </c>
      <c r="C2475" t="s">
        <v>16</v>
      </c>
      <c r="D2475" t="s">
        <v>24</v>
      </c>
      <c r="E2475" t="s">
        <v>28</v>
      </c>
      <c r="F2475" t="s">
        <v>35</v>
      </c>
      <c r="G2475" t="s">
        <v>71</v>
      </c>
      <c r="H2475" t="s">
        <v>73</v>
      </c>
      <c r="I2475">
        <v>6</v>
      </c>
      <c r="J2475">
        <v>1934</v>
      </c>
      <c r="K2475">
        <v>0.1</v>
      </c>
      <c r="L2475">
        <v>10443.6</v>
      </c>
      <c r="M2475">
        <v>7944.8</v>
      </c>
      <c r="N2475">
        <v>2498.8000000000002</v>
      </c>
      <c r="O2475" t="s">
        <v>77</v>
      </c>
      <c r="P2475" t="s">
        <v>84</v>
      </c>
    </row>
    <row r="2476" spans="1:16" x14ac:dyDescent="0.25">
      <c r="A2476">
        <v>2475</v>
      </c>
      <c r="B2476" s="2">
        <v>45784</v>
      </c>
      <c r="C2476" t="s">
        <v>19</v>
      </c>
      <c r="D2476" t="s">
        <v>26</v>
      </c>
      <c r="E2476" t="s">
        <v>29</v>
      </c>
      <c r="F2476" t="s">
        <v>57</v>
      </c>
      <c r="G2476" t="s">
        <v>70</v>
      </c>
      <c r="H2476" t="s">
        <v>75</v>
      </c>
      <c r="I2476">
        <v>6</v>
      </c>
      <c r="J2476">
        <v>5961</v>
      </c>
      <c r="K2476">
        <v>0</v>
      </c>
      <c r="L2476">
        <v>35766</v>
      </c>
      <c r="M2476">
        <v>30232.61</v>
      </c>
      <c r="N2476">
        <v>5533.39</v>
      </c>
      <c r="O2476" t="s">
        <v>77</v>
      </c>
      <c r="P2476" t="s">
        <v>87</v>
      </c>
    </row>
    <row r="2477" spans="1:16" x14ac:dyDescent="0.25">
      <c r="A2477">
        <v>2476</v>
      </c>
      <c r="B2477" s="2">
        <v>45715</v>
      </c>
      <c r="C2477" t="s">
        <v>19</v>
      </c>
      <c r="D2477" t="s">
        <v>26</v>
      </c>
      <c r="E2477" t="s">
        <v>31</v>
      </c>
      <c r="F2477" t="s">
        <v>67</v>
      </c>
      <c r="G2477" t="s">
        <v>72</v>
      </c>
      <c r="H2477" t="s">
        <v>75</v>
      </c>
      <c r="I2477">
        <v>7</v>
      </c>
      <c r="J2477">
        <v>1910</v>
      </c>
      <c r="K2477">
        <v>0.1</v>
      </c>
      <c r="L2477">
        <v>12033</v>
      </c>
      <c r="M2477">
        <v>8903.92</v>
      </c>
      <c r="N2477">
        <v>3129.08</v>
      </c>
      <c r="O2477" t="s">
        <v>79</v>
      </c>
      <c r="P2477" t="s">
        <v>88</v>
      </c>
    </row>
    <row r="2478" spans="1:16" x14ac:dyDescent="0.25">
      <c r="A2478">
        <v>2477</v>
      </c>
      <c r="B2478" s="2">
        <v>45994</v>
      </c>
      <c r="C2478" t="s">
        <v>16</v>
      </c>
      <c r="D2478" t="s">
        <v>24</v>
      </c>
      <c r="E2478" t="s">
        <v>31</v>
      </c>
      <c r="F2478" t="s">
        <v>47</v>
      </c>
      <c r="G2478" t="s">
        <v>71</v>
      </c>
      <c r="H2478" t="s">
        <v>75</v>
      </c>
      <c r="I2478">
        <v>4</v>
      </c>
      <c r="J2478">
        <v>1407</v>
      </c>
      <c r="K2478">
        <v>0.05</v>
      </c>
      <c r="L2478">
        <v>5346.6</v>
      </c>
      <c r="M2478">
        <v>3523.56</v>
      </c>
      <c r="N2478">
        <v>1823.04</v>
      </c>
      <c r="O2478" t="s">
        <v>78</v>
      </c>
      <c r="P2478" t="s">
        <v>82</v>
      </c>
    </row>
    <row r="2479" spans="1:16" x14ac:dyDescent="0.25">
      <c r="A2479">
        <v>2478</v>
      </c>
      <c r="B2479" s="2">
        <v>45745</v>
      </c>
      <c r="C2479" t="s">
        <v>17</v>
      </c>
      <c r="D2479" t="s">
        <v>25</v>
      </c>
      <c r="E2479" t="s">
        <v>31</v>
      </c>
      <c r="F2479" t="s">
        <v>47</v>
      </c>
      <c r="G2479" t="s">
        <v>71</v>
      </c>
      <c r="H2479" t="s">
        <v>74</v>
      </c>
      <c r="I2479">
        <v>3</v>
      </c>
      <c r="J2479">
        <v>156</v>
      </c>
      <c r="K2479">
        <v>0</v>
      </c>
      <c r="L2479">
        <v>468</v>
      </c>
      <c r="M2479">
        <v>384.19</v>
      </c>
      <c r="N2479">
        <v>83.81</v>
      </c>
      <c r="O2479" t="s">
        <v>76</v>
      </c>
      <c r="P2479" t="s">
        <v>85</v>
      </c>
    </row>
    <row r="2480" spans="1:16" x14ac:dyDescent="0.25">
      <c r="A2480">
        <v>2479</v>
      </c>
      <c r="B2480" s="2">
        <v>45947</v>
      </c>
      <c r="C2480" t="s">
        <v>20</v>
      </c>
      <c r="D2480" t="s">
        <v>26</v>
      </c>
      <c r="E2480" t="s">
        <v>32</v>
      </c>
      <c r="F2480" t="s">
        <v>39</v>
      </c>
      <c r="G2480" t="s">
        <v>72</v>
      </c>
      <c r="H2480" t="s">
        <v>74</v>
      </c>
      <c r="I2480">
        <v>6</v>
      </c>
      <c r="J2480">
        <v>16147</v>
      </c>
      <c r="K2480">
        <v>0.1</v>
      </c>
      <c r="L2480">
        <v>87193.8</v>
      </c>
      <c r="M2480">
        <v>74311.58</v>
      </c>
      <c r="N2480">
        <v>12882.22</v>
      </c>
      <c r="O2480" t="s">
        <v>79</v>
      </c>
      <c r="P2480" t="s">
        <v>87</v>
      </c>
    </row>
    <row r="2481" spans="1:16" x14ac:dyDescent="0.25">
      <c r="A2481">
        <v>2480</v>
      </c>
      <c r="B2481" s="2">
        <v>45778</v>
      </c>
      <c r="C2481" t="s">
        <v>19</v>
      </c>
      <c r="D2481" t="s">
        <v>26</v>
      </c>
      <c r="E2481" t="s">
        <v>31</v>
      </c>
      <c r="F2481" t="s">
        <v>69</v>
      </c>
      <c r="G2481" t="s">
        <v>70</v>
      </c>
      <c r="H2481" t="s">
        <v>74</v>
      </c>
      <c r="I2481">
        <v>8</v>
      </c>
      <c r="J2481">
        <v>2186</v>
      </c>
      <c r="K2481">
        <v>0.1</v>
      </c>
      <c r="L2481">
        <v>15739.2</v>
      </c>
      <c r="M2481">
        <v>11542.93</v>
      </c>
      <c r="N2481">
        <v>4196.2700000000004</v>
      </c>
      <c r="O2481" t="s">
        <v>77</v>
      </c>
      <c r="P2481" t="s">
        <v>82</v>
      </c>
    </row>
    <row r="2482" spans="1:16" x14ac:dyDescent="0.25">
      <c r="A2482">
        <v>2481</v>
      </c>
      <c r="B2482" s="2">
        <v>45894</v>
      </c>
      <c r="C2482" t="s">
        <v>22</v>
      </c>
      <c r="D2482" t="s">
        <v>24</v>
      </c>
      <c r="E2482" t="s">
        <v>32</v>
      </c>
      <c r="F2482" t="s">
        <v>62</v>
      </c>
      <c r="G2482" t="s">
        <v>72</v>
      </c>
      <c r="H2482" t="s">
        <v>74</v>
      </c>
      <c r="I2482">
        <v>1</v>
      </c>
      <c r="J2482">
        <v>21147</v>
      </c>
      <c r="K2482">
        <v>0.2</v>
      </c>
      <c r="L2482">
        <v>16917.599999999999</v>
      </c>
      <c r="M2482">
        <v>13800.47</v>
      </c>
      <c r="N2482">
        <v>3117.13</v>
      </c>
      <c r="O2482" t="s">
        <v>79</v>
      </c>
      <c r="P2482" t="s">
        <v>84</v>
      </c>
    </row>
    <row r="2483" spans="1:16" x14ac:dyDescent="0.25">
      <c r="A2483">
        <v>2482</v>
      </c>
      <c r="B2483" s="2">
        <v>45978</v>
      </c>
      <c r="C2483" t="s">
        <v>19</v>
      </c>
      <c r="D2483" t="s">
        <v>26</v>
      </c>
      <c r="E2483" t="s">
        <v>31</v>
      </c>
      <c r="F2483" t="s">
        <v>67</v>
      </c>
      <c r="G2483" t="s">
        <v>71</v>
      </c>
      <c r="H2483" t="s">
        <v>75</v>
      </c>
      <c r="I2483">
        <v>5</v>
      </c>
      <c r="J2483">
        <v>1651</v>
      </c>
      <c r="K2483">
        <v>0.1</v>
      </c>
      <c r="L2483">
        <v>7429.5</v>
      </c>
      <c r="M2483">
        <v>4805.37</v>
      </c>
      <c r="N2483">
        <v>2624.13</v>
      </c>
      <c r="O2483" t="s">
        <v>80</v>
      </c>
      <c r="P2483" t="s">
        <v>83</v>
      </c>
    </row>
    <row r="2484" spans="1:16" x14ac:dyDescent="0.25">
      <c r="A2484">
        <v>2483</v>
      </c>
      <c r="B2484" s="2">
        <v>46016</v>
      </c>
      <c r="C2484" t="s">
        <v>22</v>
      </c>
      <c r="D2484" t="s">
        <v>24</v>
      </c>
      <c r="E2484" t="s">
        <v>32</v>
      </c>
      <c r="F2484" t="s">
        <v>49</v>
      </c>
      <c r="G2484" t="s">
        <v>72</v>
      </c>
      <c r="H2484" t="s">
        <v>73</v>
      </c>
      <c r="I2484">
        <v>3</v>
      </c>
      <c r="J2484">
        <v>21969</v>
      </c>
      <c r="K2484">
        <v>0.1</v>
      </c>
      <c r="L2484">
        <v>59316.3</v>
      </c>
      <c r="M2484">
        <v>39577.9</v>
      </c>
      <c r="N2484">
        <v>19738.400000000001</v>
      </c>
      <c r="O2484" t="s">
        <v>77</v>
      </c>
      <c r="P2484" t="s">
        <v>88</v>
      </c>
    </row>
    <row r="2485" spans="1:16" x14ac:dyDescent="0.25">
      <c r="A2485">
        <v>2484</v>
      </c>
      <c r="B2485" s="2">
        <v>45752</v>
      </c>
      <c r="C2485" t="s">
        <v>17</v>
      </c>
      <c r="D2485" t="s">
        <v>25</v>
      </c>
      <c r="E2485" t="s">
        <v>30</v>
      </c>
      <c r="F2485" t="s">
        <v>40</v>
      </c>
      <c r="G2485" t="s">
        <v>70</v>
      </c>
      <c r="H2485" t="s">
        <v>75</v>
      </c>
      <c r="I2485">
        <v>3</v>
      </c>
      <c r="J2485">
        <v>66822</v>
      </c>
      <c r="K2485">
        <v>0.1</v>
      </c>
      <c r="L2485">
        <v>180419.4</v>
      </c>
      <c r="M2485">
        <v>115091.53</v>
      </c>
      <c r="N2485">
        <v>65327.87</v>
      </c>
      <c r="O2485" t="s">
        <v>76</v>
      </c>
      <c r="P2485" t="s">
        <v>86</v>
      </c>
    </row>
    <row r="2486" spans="1:16" x14ac:dyDescent="0.25">
      <c r="A2486">
        <v>2485</v>
      </c>
      <c r="B2486" s="2">
        <v>45729</v>
      </c>
      <c r="C2486" t="s">
        <v>22</v>
      </c>
      <c r="D2486" t="s">
        <v>24</v>
      </c>
      <c r="E2486" t="s">
        <v>30</v>
      </c>
      <c r="F2486" t="s">
        <v>56</v>
      </c>
      <c r="G2486" t="s">
        <v>72</v>
      </c>
      <c r="H2486" t="s">
        <v>74</v>
      </c>
      <c r="I2486">
        <v>6</v>
      </c>
      <c r="J2486">
        <v>12157</v>
      </c>
      <c r="K2486">
        <v>0</v>
      </c>
      <c r="L2486">
        <v>72942</v>
      </c>
      <c r="M2486">
        <v>49403.38</v>
      </c>
      <c r="N2486">
        <v>23538.62</v>
      </c>
      <c r="O2486" t="s">
        <v>79</v>
      </c>
      <c r="P2486" t="s">
        <v>81</v>
      </c>
    </row>
    <row r="2487" spans="1:16" x14ac:dyDescent="0.25">
      <c r="A2487">
        <v>2486</v>
      </c>
      <c r="B2487" s="2">
        <v>45715</v>
      </c>
      <c r="C2487" t="s">
        <v>18</v>
      </c>
      <c r="D2487" t="s">
        <v>26</v>
      </c>
      <c r="E2487" t="s">
        <v>33</v>
      </c>
      <c r="F2487" t="s">
        <v>41</v>
      </c>
      <c r="G2487" t="s">
        <v>70</v>
      </c>
      <c r="H2487" t="s">
        <v>73</v>
      </c>
      <c r="I2487">
        <v>7</v>
      </c>
      <c r="J2487">
        <v>3058</v>
      </c>
      <c r="K2487">
        <v>0.05</v>
      </c>
      <c r="L2487">
        <v>20335.7</v>
      </c>
      <c r="M2487">
        <v>13316.57</v>
      </c>
      <c r="N2487">
        <v>7019.13</v>
      </c>
      <c r="O2487" t="s">
        <v>77</v>
      </c>
      <c r="P2487" t="s">
        <v>88</v>
      </c>
    </row>
    <row r="2488" spans="1:16" x14ac:dyDescent="0.25">
      <c r="A2488">
        <v>2487</v>
      </c>
      <c r="B2488" s="2">
        <v>45702</v>
      </c>
      <c r="C2488" t="s">
        <v>20</v>
      </c>
      <c r="D2488" t="s">
        <v>26</v>
      </c>
      <c r="E2488" t="s">
        <v>28</v>
      </c>
      <c r="F2488" t="s">
        <v>58</v>
      </c>
      <c r="G2488" t="s">
        <v>70</v>
      </c>
      <c r="H2488" t="s">
        <v>73</v>
      </c>
      <c r="I2488">
        <v>7</v>
      </c>
      <c r="J2488">
        <v>801</v>
      </c>
      <c r="K2488">
        <v>0.05</v>
      </c>
      <c r="L2488">
        <v>5326.65</v>
      </c>
      <c r="M2488">
        <v>3299.9</v>
      </c>
      <c r="N2488">
        <v>2026.75</v>
      </c>
      <c r="O2488" t="s">
        <v>76</v>
      </c>
      <c r="P2488" t="s">
        <v>81</v>
      </c>
    </row>
    <row r="2489" spans="1:16" x14ac:dyDescent="0.25">
      <c r="A2489">
        <v>2488</v>
      </c>
      <c r="B2489" s="2">
        <v>45802</v>
      </c>
      <c r="C2489" t="s">
        <v>21</v>
      </c>
      <c r="D2489" t="s">
        <v>24</v>
      </c>
      <c r="E2489" t="s">
        <v>32</v>
      </c>
      <c r="F2489" t="s">
        <v>49</v>
      </c>
      <c r="G2489" t="s">
        <v>72</v>
      </c>
      <c r="H2489" t="s">
        <v>75</v>
      </c>
      <c r="I2489">
        <v>8</v>
      </c>
      <c r="J2489">
        <v>18797</v>
      </c>
      <c r="K2489">
        <v>0.05</v>
      </c>
      <c r="L2489">
        <v>142857.20000000001</v>
      </c>
      <c r="M2489">
        <v>97295.25</v>
      </c>
      <c r="N2489">
        <v>45561.95</v>
      </c>
      <c r="O2489" t="s">
        <v>80</v>
      </c>
      <c r="P2489" t="s">
        <v>83</v>
      </c>
    </row>
    <row r="2490" spans="1:16" x14ac:dyDescent="0.25">
      <c r="A2490">
        <v>2489</v>
      </c>
      <c r="B2490" s="2">
        <v>45762</v>
      </c>
      <c r="C2490" t="s">
        <v>20</v>
      </c>
      <c r="D2490" t="s">
        <v>26</v>
      </c>
      <c r="E2490" t="s">
        <v>32</v>
      </c>
      <c r="F2490" t="s">
        <v>48</v>
      </c>
      <c r="G2490" t="s">
        <v>70</v>
      </c>
      <c r="H2490" t="s">
        <v>73</v>
      </c>
      <c r="I2490">
        <v>2</v>
      </c>
      <c r="J2490">
        <v>24194</v>
      </c>
      <c r="K2490">
        <v>0.05</v>
      </c>
      <c r="L2490">
        <v>45968.6</v>
      </c>
      <c r="M2490">
        <v>40198.160000000003</v>
      </c>
      <c r="N2490">
        <v>5770.44</v>
      </c>
      <c r="O2490" t="s">
        <v>76</v>
      </c>
      <c r="P2490" t="s">
        <v>88</v>
      </c>
    </row>
    <row r="2491" spans="1:16" x14ac:dyDescent="0.25">
      <c r="A2491">
        <v>2490</v>
      </c>
      <c r="B2491" s="2">
        <v>45956</v>
      </c>
      <c r="C2491" t="s">
        <v>23</v>
      </c>
      <c r="D2491" t="s">
        <v>27</v>
      </c>
      <c r="E2491" t="s">
        <v>32</v>
      </c>
      <c r="F2491" t="s">
        <v>66</v>
      </c>
      <c r="G2491" t="s">
        <v>71</v>
      </c>
      <c r="H2491" t="s">
        <v>75</v>
      </c>
      <c r="I2491">
        <v>8</v>
      </c>
      <c r="J2491">
        <v>7402</v>
      </c>
      <c r="K2491">
        <v>0.1</v>
      </c>
      <c r="L2491">
        <v>53294.400000000001</v>
      </c>
      <c r="M2491">
        <v>42972.160000000003</v>
      </c>
      <c r="N2491">
        <v>10322.24</v>
      </c>
      <c r="O2491" t="s">
        <v>77</v>
      </c>
      <c r="P2491" t="s">
        <v>87</v>
      </c>
    </row>
    <row r="2492" spans="1:16" x14ac:dyDescent="0.25">
      <c r="A2492">
        <v>2491</v>
      </c>
      <c r="B2492" s="2">
        <v>45940</v>
      </c>
      <c r="C2492" t="s">
        <v>17</v>
      </c>
      <c r="D2492" t="s">
        <v>25</v>
      </c>
      <c r="E2492" t="s">
        <v>30</v>
      </c>
      <c r="F2492" t="s">
        <v>64</v>
      </c>
      <c r="G2492" t="s">
        <v>70</v>
      </c>
      <c r="H2492" t="s">
        <v>75</v>
      </c>
      <c r="I2492">
        <v>1</v>
      </c>
      <c r="J2492">
        <v>33442</v>
      </c>
      <c r="K2492">
        <v>0.1</v>
      </c>
      <c r="L2492">
        <v>30097.8</v>
      </c>
      <c r="M2492">
        <v>25723.1</v>
      </c>
      <c r="N2492">
        <v>4374.7</v>
      </c>
      <c r="O2492" t="s">
        <v>77</v>
      </c>
      <c r="P2492" t="s">
        <v>85</v>
      </c>
    </row>
    <row r="2493" spans="1:16" x14ac:dyDescent="0.25">
      <c r="A2493">
        <v>2492</v>
      </c>
      <c r="B2493" s="2">
        <v>45703</v>
      </c>
      <c r="C2493" t="s">
        <v>19</v>
      </c>
      <c r="D2493" t="s">
        <v>26</v>
      </c>
      <c r="E2493" t="s">
        <v>33</v>
      </c>
      <c r="F2493" t="s">
        <v>41</v>
      </c>
      <c r="G2493" t="s">
        <v>71</v>
      </c>
      <c r="H2493" t="s">
        <v>73</v>
      </c>
      <c r="I2493">
        <v>6</v>
      </c>
      <c r="J2493">
        <v>22252</v>
      </c>
      <c r="K2493">
        <v>0</v>
      </c>
      <c r="L2493">
        <v>133512</v>
      </c>
      <c r="M2493">
        <v>108878.62</v>
      </c>
      <c r="N2493">
        <v>24633.38</v>
      </c>
      <c r="O2493" t="s">
        <v>76</v>
      </c>
      <c r="P2493" t="s">
        <v>83</v>
      </c>
    </row>
    <row r="2494" spans="1:16" x14ac:dyDescent="0.25">
      <c r="A2494">
        <v>2493</v>
      </c>
      <c r="B2494" s="2">
        <v>45935</v>
      </c>
      <c r="C2494" t="s">
        <v>19</v>
      </c>
      <c r="D2494" t="s">
        <v>26</v>
      </c>
      <c r="E2494" t="s">
        <v>34</v>
      </c>
      <c r="F2494" t="s">
        <v>55</v>
      </c>
      <c r="G2494" t="s">
        <v>71</v>
      </c>
      <c r="H2494" t="s">
        <v>74</v>
      </c>
      <c r="I2494">
        <v>3</v>
      </c>
      <c r="J2494">
        <v>2833</v>
      </c>
      <c r="K2494">
        <v>0.05</v>
      </c>
      <c r="L2494">
        <v>8074.05</v>
      </c>
      <c r="M2494">
        <v>5673.4</v>
      </c>
      <c r="N2494">
        <v>2400.65</v>
      </c>
      <c r="O2494" t="s">
        <v>78</v>
      </c>
      <c r="P2494" t="s">
        <v>82</v>
      </c>
    </row>
    <row r="2495" spans="1:16" x14ac:dyDescent="0.25">
      <c r="A2495">
        <v>2494</v>
      </c>
      <c r="B2495" s="2">
        <v>45704</v>
      </c>
      <c r="C2495" t="s">
        <v>20</v>
      </c>
      <c r="D2495" t="s">
        <v>26</v>
      </c>
      <c r="E2495" t="s">
        <v>33</v>
      </c>
      <c r="F2495" t="s">
        <v>59</v>
      </c>
      <c r="G2495" t="s">
        <v>72</v>
      </c>
      <c r="H2495" t="s">
        <v>75</v>
      </c>
      <c r="I2495">
        <v>6</v>
      </c>
      <c r="J2495">
        <v>9734</v>
      </c>
      <c r="K2495">
        <v>0.1</v>
      </c>
      <c r="L2495">
        <v>52563.6</v>
      </c>
      <c r="M2495">
        <v>31236.2</v>
      </c>
      <c r="N2495">
        <v>21327.4</v>
      </c>
      <c r="O2495" t="s">
        <v>76</v>
      </c>
      <c r="P2495" t="s">
        <v>88</v>
      </c>
    </row>
    <row r="2496" spans="1:16" x14ac:dyDescent="0.25">
      <c r="A2496">
        <v>2495</v>
      </c>
      <c r="B2496" s="2">
        <v>45850</v>
      </c>
      <c r="C2496" t="s">
        <v>20</v>
      </c>
      <c r="D2496" t="s">
        <v>26</v>
      </c>
      <c r="E2496" t="s">
        <v>34</v>
      </c>
      <c r="F2496" t="s">
        <v>68</v>
      </c>
      <c r="G2496" t="s">
        <v>70</v>
      </c>
      <c r="H2496" t="s">
        <v>74</v>
      </c>
      <c r="I2496">
        <v>2</v>
      </c>
      <c r="J2496">
        <v>3093</v>
      </c>
      <c r="K2496">
        <v>0.1</v>
      </c>
      <c r="L2496">
        <v>5567.4</v>
      </c>
      <c r="M2496">
        <v>4315.92</v>
      </c>
      <c r="N2496">
        <v>1251.48</v>
      </c>
      <c r="O2496" t="s">
        <v>79</v>
      </c>
      <c r="P2496" t="s">
        <v>83</v>
      </c>
    </row>
    <row r="2497" spans="1:16" x14ac:dyDescent="0.25">
      <c r="A2497">
        <v>2496</v>
      </c>
      <c r="B2497" s="2">
        <v>45958</v>
      </c>
      <c r="C2497" t="s">
        <v>23</v>
      </c>
      <c r="D2497" t="s">
        <v>27</v>
      </c>
      <c r="E2497" t="s">
        <v>32</v>
      </c>
      <c r="F2497" t="s">
        <v>39</v>
      </c>
      <c r="G2497" t="s">
        <v>71</v>
      </c>
      <c r="H2497" t="s">
        <v>73</v>
      </c>
      <c r="I2497">
        <v>4</v>
      </c>
      <c r="J2497">
        <v>4762</v>
      </c>
      <c r="K2497">
        <v>0.1</v>
      </c>
      <c r="L2497">
        <v>17143.2</v>
      </c>
      <c r="M2497">
        <v>12465.33</v>
      </c>
      <c r="N2497">
        <v>4677.87</v>
      </c>
      <c r="O2497" t="s">
        <v>78</v>
      </c>
      <c r="P2497" t="s">
        <v>82</v>
      </c>
    </row>
    <row r="2498" spans="1:16" x14ac:dyDescent="0.25">
      <c r="A2498">
        <v>2497</v>
      </c>
      <c r="B2498" s="2">
        <v>45833</v>
      </c>
      <c r="C2498" t="s">
        <v>16</v>
      </c>
      <c r="D2498" t="s">
        <v>24</v>
      </c>
      <c r="E2498" t="s">
        <v>33</v>
      </c>
      <c r="F2498" t="s">
        <v>60</v>
      </c>
      <c r="G2498" t="s">
        <v>71</v>
      </c>
      <c r="H2498" t="s">
        <v>73</v>
      </c>
      <c r="I2498">
        <v>5</v>
      </c>
      <c r="J2498">
        <v>6860</v>
      </c>
      <c r="K2498">
        <v>0.1</v>
      </c>
      <c r="L2498">
        <v>30870</v>
      </c>
      <c r="M2498">
        <v>27025.73</v>
      </c>
      <c r="N2498">
        <v>3844.27</v>
      </c>
      <c r="O2498" t="s">
        <v>77</v>
      </c>
      <c r="P2498" t="s">
        <v>82</v>
      </c>
    </row>
    <row r="2499" spans="1:16" x14ac:dyDescent="0.25">
      <c r="A2499">
        <v>2498</v>
      </c>
      <c r="B2499" s="2">
        <v>45888</v>
      </c>
      <c r="C2499" t="s">
        <v>16</v>
      </c>
      <c r="D2499" t="s">
        <v>24</v>
      </c>
      <c r="E2499" t="s">
        <v>34</v>
      </c>
      <c r="F2499" t="s">
        <v>43</v>
      </c>
      <c r="G2499" t="s">
        <v>71</v>
      </c>
      <c r="H2499" t="s">
        <v>75</v>
      </c>
      <c r="I2499">
        <v>6</v>
      </c>
      <c r="J2499">
        <v>2467</v>
      </c>
      <c r="K2499">
        <v>0.1</v>
      </c>
      <c r="L2499">
        <v>13321.8</v>
      </c>
      <c r="M2499">
        <v>11175.33</v>
      </c>
      <c r="N2499">
        <v>2146.4699999999998</v>
      </c>
      <c r="O2499" t="s">
        <v>78</v>
      </c>
      <c r="P2499" t="s">
        <v>88</v>
      </c>
    </row>
    <row r="2500" spans="1:16" x14ac:dyDescent="0.25">
      <c r="A2500">
        <v>2499</v>
      </c>
      <c r="B2500" s="2">
        <v>45742</v>
      </c>
      <c r="C2500" t="s">
        <v>22</v>
      </c>
      <c r="D2500" t="s">
        <v>24</v>
      </c>
      <c r="E2500" t="s">
        <v>33</v>
      </c>
      <c r="F2500" t="s">
        <v>59</v>
      </c>
      <c r="G2500" t="s">
        <v>72</v>
      </c>
      <c r="H2500" t="s">
        <v>75</v>
      </c>
      <c r="I2500">
        <v>5</v>
      </c>
      <c r="J2500">
        <v>28047</v>
      </c>
      <c r="K2500">
        <v>0.05</v>
      </c>
      <c r="L2500">
        <v>133223.25</v>
      </c>
      <c r="M2500">
        <v>80141.63</v>
      </c>
      <c r="N2500">
        <v>53081.62</v>
      </c>
      <c r="O2500" t="s">
        <v>77</v>
      </c>
      <c r="P2500" t="s">
        <v>87</v>
      </c>
    </row>
    <row r="2501" spans="1:16" x14ac:dyDescent="0.25">
      <c r="A2501">
        <v>2500</v>
      </c>
      <c r="B2501" s="2">
        <v>46000</v>
      </c>
      <c r="C2501" t="s">
        <v>23</v>
      </c>
      <c r="D2501" t="s">
        <v>27</v>
      </c>
      <c r="E2501" t="s">
        <v>34</v>
      </c>
      <c r="F2501" t="s">
        <v>43</v>
      </c>
      <c r="G2501" t="s">
        <v>72</v>
      </c>
      <c r="H2501" t="s">
        <v>74</v>
      </c>
      <c r="I2501">
        <v>1</v>
      </c>
      <c r="J2501">
        <v>4540</v>
      </c>
      <c r="K2501">
        <v>0.1</v>
      </c>
      <c r="L2501">
        <v>4086</v>
      </c>
      <c r="M2501">
        <v>2746.97</v>
      </c>
      <c r="N2501">
        <v>1339.03</v>
      </c>
      <c r="O2501" t="s">
        <v>77</v>
      </c>
      <c r="P2501" t="s">
        <v>88</v>
      </c>
    </row>
    <row r="2502" spans="1:16" x14ac:dyDescent="0.25">
      <c r="A2502">
        <v>2501</v>
      </c>
      <c r="B2502" s="2">
        <v>45794</v>
      </c>
      <c r="C2502" t="s">
        <v>18</v>
      </c>
      <c r="D2502" t="s">
        <v>26</v>
      </c>
      <c r="E2502" t="s">
        <v>30</v>
      </c>
      <c r="F2502" t="s">
        <v>56</v>
      </c>
      <c r="G2502" t="s">
        <v>70</v>
      </c>
      <c r="H2502" t="s">
        <v>75</v>
      </c>
      <c r="I2502">
        <v>1</v>
      </c>
      <c r="J2502">
        <v>65163</v>
      </c>
      <c r="K2502">
        <v>0.1</v>
      </c>
      <c r="L2502">
        <v>58646.7</v>
      </c>
      <c r="M2502">
        <v>32903</v>
      </c>
      <c r="N2502">
        <v>25743.7</v>
      </c>
      <c r="O2502" t="s">
        <v>79</v>
      </c>
      <c r="P2502" t="s">
        <v>86</v>
      </c>
    </row>
    <row r="2503" spans="1:16" x14ac:dyDescent="0.25">
      <c r="A2503">
        <v>2502</v>
      </c>
      <c r="B2503" s="2">
        <v>45851</v>
      </c>
      <c r="C2503" t="s">
        <v>22</v>
      </c>
      <c r="D2503" t="s">
        <v>24</v>
      </c>
      <c r="E2503" t="s">
        <v>31</v>
      </c>
      <c r="F2503" t="s">
        <v>50</v>
      </c>
      <c r="G2503" t="s">
        <v>72</v>
      </c>
      <c r="H2503" t="s">
        <v>74</v>
      </c>
      <c r="I2503">
        <v>3</v>
      </c>
      <c r="J2503">
        <v>1061</v>
      </c>
      <c r="K2503">
        <v>0.15</v>
      </c>
      <c r="L2503">
        <v>2705.55</v>
      </c>
      <c r="M2503">
        <v>1856.36</v>
      </c>
      <c r="N2503">
        <v>849.19</v>
      </c>
      <c r="O2503" t="s">
        <v>80</v>
      </c>
      <c r="P2503" t="s">
        <v>81</v>
      </c>
    </row>
    <row r="2504" spans="1:16" x14ac:dyDescent="0.25">
      <c r="A2504">
        <v>2503</v>
      </c>
      <c r="B2504" s="2">
        <v>45931</v>
      </c>
      <c r="C2504" t="s">
        <v>17</v>
      </c>
      <c r="D2504" t="s">
        <v>25</v>
      </c>
      <c r="E2504" t="s">
        <v>33</v>
      </c>
      <c r="F2504" t="s">
        <v>60</v>
      </c>
      <c r="G2504" t="s">
        <v>70</v>
      </c>
      <c r="H2504" t="s">
        <v>73</v>
      </c>
      <c r="I2504">
        <v>6</v>
      </c>
      <c r="J2504">
        <v>29282</v>
      </c>
      <c r="K2504">
        <v>0.1</v>
      </c>
      <c r="L2504">
        <v>158122.79999999999</v>
      </c>
      <c r="M2504">
        <v>101497.8</v>
      </c>
      <c r="N2504">
        <v>56625</v>
      </c>
      <c r="O2504" t="s">
        <v>78</v>
      </c>
      <c r="P2504" t="s">
        <v>84</v>
      </c>
    </row>
    <row r="2505" spans="1:16" x14ac:dyDescent="0.25">
      <c r="A2505">
        <v>2504</v>
      </c>
      <c r="B2505" s="2">
        <v>45913</v>
      </c>
      <c r="C2505" t="s">
        <v>17</v>
      </c>
      <c r="D2505" t="s">
        <v>25</v>
      </c>
      <c r="E2505" t="s">
        <v>30</v>
      </c>
      <c r="F2505" t="s">
        <v>44</v>
      </c>
      <c r="G2505" t="s">
        <v>70</v>
      </c>
      <c r="H2505" t="s">
        <v>73</v>
      </c>
      <c r="I2505">
        <v>3</v>
      </c>
      <c r="J2505">
        <v>21942</v>
      </c>
      <c r="K2505">
        <v>0.1</v>
      </c>
      <c r="L2505">
        <v>59243.4</v>
      </c>
      <c r="M2505">
        <v>39868.03</v>
      </c>
      <c r="N2505">
        <v>19375.37</v>
      </c>
      <c r="O2505" t="s">
        <v>78</v>
      </c>
      <c r="P2505" t="s">
        <v>84</v>
      </c>
    </row>
    <row r="2506" spans="1:16" x14ac:dyDescent="0.25">
      <c r="A2506">
        <v>2505</v>
      </c>
      <c r="B2506" s="2">
        <v>45958</v>
      </c>
      <c r="C2506" t="s">
        <v>16</v>
      </c>
      <c r="D2506" t="s">
        <v>24</v>
      </c>
      <c r="E2506" t="s">
        <v>31</v>
      </c>
      <c r="F2506" t="s">
        <v>50</v>
      </c>
      <c r="G2506" t="s">
        <v>72</v>
      </c>
      <c r="H2506" t="s">
        <v>74</v>
      </c>
      <c r="I2506">
        <v>4</v>
      </c>
      <c r="J2506">
        <v>2459</v>
      </c>
      <c r="K2506">
        <v>0.1</v>
      </c>
      <c r="L2506">
        <v>8852.4</v>
      </c>
      <c r="M2506">
        <v>5328.38</v>
      </c>
      <c r="N2506">
        <v>3524.02</v>
      </c>
      <c r="O2506" t="s">
        <v>76</v>
      </c>
      <c r="P2506" t="s">
        <v>83</v>
      </c>
    </row>
    <row r="2507" spans="1:16" x14ac:dyDescent="0.25">
      <c r="A2507">
        <v>2506</v>
      </c>
      <c r="B2507" s="2">
        <v>45986</v>
      </c>
      <c r="C2507" t="s">
        <v>18</v>
      </c>
      <c r="D2507" t="s">
        <v>26</v>
      </c>
      <c r="E2507" t="s">
        <v>32</v>
      </c>
      <c r="F2507" t="s">
        <v>49</v>
      </c>
      <c r="G2507" t="s">
        <v>71</v>
      </c>
      <c r="H2507" t="s">
        <v>73</v>
      </c>
      <c r="I2507">
        <v>2</v>
      </c>
      <c r="J2507">
        <v>11627</v>
      </c>
      <c r="K2507">
        <v>0</v>
      </c>
      <c r="L2507">
        <v>23254</v>
      </c>
      <c r="M2507">
        <v>13929.86</v>
      </c>
      <c r="N2507">
        <v>9324.14</v>
      </c>
      <c r="O2507" t="s">
        <v>78</v>
      </c>
      <c r="P2507" t="s">
        <v>85</v>
      </c>
    </row>
    <row r="2508" spans="1:16" x14ac:dyDescent="0.25">
      <c r="A2508">
        <v>2507</v>
      </c>
      <c r="B2508" s="2">
        <v>45914</v>
      </c>
      <c r="C2508" t="s">
        <v>16</v>
      </c>
      <c r="D2508" t="s">
        <v>24</v>
      </c>
      <c r="E2508" t="s">
        <v>32</v>
      </c>
      <c r="F2508" t="s">
        <v>66</v>
      </c>
      <c r="G2508" t="s">
        <v>71</v>
      </c>
      <c r="H2508" t="s">
        <v>73</v>
      </c>
      <c r="I2508">
        <v>5</v>
      </c>
      <c r="J2508">
        <v>15006</v>
      </c>
      <c r="K2508">
        <v>0.15</v>
      </c>
      <c r="L2508">
        <v>63775.5</v>
      </c>
      <c r="M2508">
        <v>38472.660000000003</v>
      </c>
      <c r="N2508">
        <v>25302.84</v>
      </c>
      <c r="O2508" t="s">
        <v>80</v>
      </c>
      <c r="P2508" t="s">
        <v>82</v>
      </c>
    </row>
    <row r="2509" spans="1:16" x14ac:dyDescent="0.25">
      <c r="A2509">
        <v>2508</v>
      </c>
      <c r="B2509" s="2">
        <v>45697</v>
      </c>
      <c r="C2509" t="s">
        <v>16</v>
      </c>
      <c r="D2509" t="s">
        <v>24</v>
      </c>
      <c r="E2509" t="s">
        <v>33</v>
      </c>
      <c r="F2509" t="s">
        <v>60</v>
      </c>
      <c r="G2509" t="s">
        <v>70</v>
      </c>
      <c r="H2509" t="s">
        <v>75</v>
      </c>
      <c r="I2509">
        <v>2</v>
      </c>
      <c r="J2509">
        <v>38132</v>
      </c>
      <c r="K2509">
        <v>0.1</v>
      </c>
      <c r="L2509">
        <v>68637.600000000006</v>
      </c>
      <c r="M2509">
        <v>43522.61</v>
      </c>
      <c r="N2509">
        <v>25114.99</v>
      </c>
      <c r="O2509" t="s">
        <v>80</v>
      </c>
      <c r="P2509" t="s">
        <v>82</v>
      </c>
    </row>
    <row r="2510" spans="1:16" x14ac:dyDescent="0.25">
      <c r="A2510">
        <v>2509</v>
      </c>
      <c r="B2510" s="2">
        <v>45753</v>
      </c>
      <c r="C2510" t="s">
        <v>20</v>
      </c>
      <c r="D2510" t="s">
        <v>26</v>
      </c>
      <c r="E2510" t="s">
        <v>29</v>
      </c>
      <c r="F2510" t="s">
        <v>42</v>
      </c>
      <c r="G2510" t="s">
        <v>70</v>
      </c>
      <c r="H2510" t="s">
        <v>74</v>
      </c>
      <c r="I2510">
        <v>1</v>
      </c>
      <c r="J2510">
        <v>10896</v>
      </c>
      <c r="K2510">
        <v>0.15</v>
      </c>
      <c r="L2510">
        <v>9261.6</v>
      </c>
      <c r="M2510">
        <v>6154.76</v>
      </c>
      <c r="N2510">
        <v>3106.84</v>
      </c>
      <c r="O2510" t="s">
        <v>77</v>
      </c>
      <c r="P2510" t="s">
        <v>86</v>
      </c>
    </row>
    <row r="2511" spans="1:16" x14ac:dyDescent="0.25">
      <c r="A2511">
        <v>2510</v>
      </c>
      <c r="B2511" s="2">
        <v>45972</v>
      </c>
      <c r="C2511" t="s">
        <v>23</v>
      </c>
      <c r="D2511" t="s">
        <v>27</v>
      </c>
      <c r="E2511" t="s">
        <v>34</v>
      </c>
      <c r="F2511" t="s">
        <v>65</v>
      </c>
      <c r="G2511" t="s">
        <v>72</v>
      </c>
      <c r="H2511" t="s">
        <v>73</v>
      </c>
      <c r="I2511">
        <v>2</v>
      </c>
      <c r="J2511">
        <v>4619</v>
      </c>
      <c r="K2511">
        <v>0.05</v>
      </c>
      <c r="L2511">
        <v>8776.1</v>
      </c>
      <c r="M2511">
        <v>7602.57</v>
      </c>
      <c r="N2511">
        <v>1173.53</v>
      </c>
      <c r="O2511" t="s">
        <v>76</v>
      </c>
      <c r="P2511" t="s">
        <v>88</v>
      </c>
    </row>
    <row r="2512" spans="1:16" x14ac:dyDescent="0.25">
      <c r="A2512">
        <v>2511</v>
      </c>
      <c r="B2512" s="2">
        <v>45784</v>
      </c>
      <c r="C2512" t="s">
        <v>19</v>
      </c>
      <c r="D2512" t="s">
        <v>26</v>
      </c>
      <c r="E2512" t="s">
        <v>33</v>
      </c>
      <c r="F2512" t="s">
        <v>46</v>
      </c>
      <c r="G2512" t="s">
        <v>72</v>
      </c>
      <c r="H2512" t="s">
        <v>74</v>
      </c>
      <c r="I2512">
        <v>8</v>
      </c>
      <c r="J2512">
        <v>4396</v>
      </c>
      <c r="K2512">
        <v>0.05</v>
      </c>
      <c r="L2512">
        <v>33409.599999999999</v>
      </c>
      <c r="M2512">
        <v>24866.93</v>
      </c>
      <c r="N2512">
        <v>8542.67</v>
      </c>
      <c r="O2512" t="s">
        <v>79</v>
      </c>
      <c r="P2512" t="s">
        <v>86</v>
      </c>
    </row>
    <row r="2513" spans="1:16" x14ac:dyDescent="0.25">
      <c r="A2513">
        <v>2512</v>
      </c>
      <c r="B2513" s="2">
        <v>45754</v>
      </c>
      <c r="C2513" t="s">
        <v>17</v>
      </c>
      <c r="D2513" t="s">
        <v>25</v>
      </c>
      <c r="E2513" t="s">
        <v>31</v>
      </c>
      <c r="F2513" t="s">
        <v>69</v>
      </c>
      <c r="G2513" t="s">
        <v>70</v>
      </c>
      <c r="H2513" t="s">
        <v>74</v>
      </c>
      <c r="I2513">
        <v>6</v>
      </c>
      <c r="J2513">
        <v>1193</v>
      </c>
      <c r="K2513">
        <v>0.15</v>
      </c>
      <c r="L2513">
        <v>6084.3</v>
      </c>
      <c r="M2513">
        <v>4469.0600000000004</v>
      </c>
      <c r="N2513">
        <v>1615.24</v>
      </c>
      <c r="O2513" t="s">
        <v>76</v>
      </c>
      <c r="P2513" t="s">
        <v>88</v>
      </c>
    </row>
    <row r="2514" spans="1:16" x14ac:dyDescent="0.25">
      <c r="A2514">
        <v>2513</v>
      </c>
      <c r="B2514" s="2">
        <v>45980</v>
      </c>
      <c r="C2514" t="s">
        <v>17</v>
      </c>
      <c r="D2514" t="s">
        <v>25</v>
      </c>
      <c r="E2514" t="s">
        <v>34</v>
      </c>
      <c r="F2514" t="s">
        <v>65</v>
      </c>
      <c r="G2514" t="s">
        <v>71</v>
      </c>
      <c r="H2514" t="s">
        <v>74</v>
      </c>
      <c r="I2514">
        <v>5</v>
      </c>
      <c r="J2514">
        <v>5153</v>
      </c>
      <c r="K2514">
        <v>0.2</v>
      </c>
      <c r="L2514">
        <v>20612</v>
      </c>
      <c r="M2514">
        <v>17548.990000000002</v>
      </c>
      <c r="N2514">
        <v>3063.01</v>
      </c>
      <c r="O2514" t="s">
        <v>80</v>
      </c>
      <c r="P2514" t="s">
        <v>81</v>
      </c>
    </row>
    <row r="2515" spans="1:16" x14ac:dyDescent="0.25">
      <c r="A2515">
        <v>2514</v>
      </c>
      <c r="B2515" s="2">
        <v>45806</v>
      </c>
      <c r="C2515" t="s">
        <v>23</v>
      </c>
      <c r="D2515" t="s">
        <v>27</v>
      </c>
      <c r="E2515" t="s">
        <v>33</v>
      </c>
      <c r="F2515" t="s">
        <v>46</v>
      </c>
      <c r="G2515" t="s">
        <v>72</v>
      </c>
      <c r="H2515" t="s">
        <v>75</v>
      </c>
      <c r="I2515">
        <v>2</v>
      </c>
      <c r="J2515">
        <v>12967</v>
      </c>
      <c r="K2515">
        <v>0.05</v>
      </c>
      <c r="L2515">
        <v>24637.3</v>
      </c>
      <c r="M2515">
        <v>17582.310000000001</v>
      </c>
      <c r="N2515">
        <v>7054.99</v>
      </c>
      <c r="O2515" t="s">
        <v>79</v>
      </c>
      <c r="P2515" t="s">
        <v>84</v>
      </c>
    </row>
    <row r="2516" spans="1:16" x14ac:dyDescent="0.25">
      <c r="A2516">
        <v>2515</v>
      </c>
      <c r="B2516" s="2">
        <v>45693</v>
      </c>
      <c r="C2516" t="s">
        <v>23</v>
      </c>
      <c r="D2516" t="s">
        <v>27</v>
      </c>
      <c r="E2516" t="s">
        <v>33</v>
      </c>
      <c r="F2516" t="s">
        <v>52</v>
      </c>
      <c r="G2516" t="s">
        <v>72</v>
      </c>
      <c r="H2516" t="s">
        <v>75</v>
      </c>
      <c r="I2516">
        <v>3</v>
      </c>
      <c r="J2516">
        <v>6817</v>
      </c>
      <c r="K2516">
        <v>0</v>
      </c>
      <c r="L2516">
        <v>20451</v>
      </c>
      <c r="M2516">
        <v>17059.45</v>
      </c>
      <c r="N2516">
        <v>3391.55</v>
      </c>
      <c r="O2516" t="s">
        <v>76</v>
      </c>
      <c r="P2516" t="s">
        <v>83</v>
      </c>
    </row>
    <row r="2517" spans="1:16" x14ac:dyDescent="0.25">
      <c r="A2517">
        <v>2516</v>
      </c>
      <c r="B2517" s="2">
        <v>45969</v>
      </c>
      <c r="C2517" t="s">
        <v>20</v>
      </c>
      <c r="D2517" t="s">
        <v>26</v>
      </c>
      <c r="E2517" t="s">
        <v>33</v>
      </c>
      <c r="F2517" t="s">
        <v>60</v>
      </c>
      <c r="G2517" t="s">
        <v>71</v>
      </c>
      <c r="H2517" t="s">
        <v>73</v>
      </c>
      <c r="I2517">
        <v>1</v>
      </c>
      <c r="J2517">
        <v>18003</v>
      </c>
      <c r="K2517">
        <v>0</v>
      </c>
      <c r="L2517">
        <v>18003</v>
      </c>
      <c r="M2517">
        <v>12560.62</v>
      </c>
      <c r="N2517">
        <v>5442.38</v>
      </c>
      <c r="O2517" t="s">
        <v>76</v>
      </c>
      <c r="P2517" t="s">
        <v>83</v>
      </c>
    </row>
    <row r="2518" spans="1:16" x14ac:dyDescent="0.25">
      <c r="A2518">
        <v>2517</v>
      </c>
      <c r="B2518" s="2">
        <v>45728</v>
      </c>
      <c r="C2518" t="s">
        <v>20</v>
      </c>
      <c r="D2518" t="s">
        <v>26</v>
      </c>
      <c r="E2518" t="s">
        <v>32</v>
      </c>
      <c r="F2518" t="s">
        <v>49</v>
      </c>
      <c r="G2518" t="s">
        <v>71</v>
      </c>
      <c r="H2518" t="s">
        <v>75</v>
      </c>
      <c r="I2518">
        <v>7</v>
      </c>
      <c r="J2518">
        <v>4490</v>
      </c>
      <c r="K2518">
        <v>0.15</v>
      </c>
      <c r="L2518">
        <v>26715.5</v>
      </c>
      <c r="M2518">
        <v>22038.45</v>
      </c>
      <c r="N2518">
        <v>4677.05</v>
      </c>
      <c r="O2518" t="s">
        <v>79</v>
      </c>
      <c r="P2518" t="s">
        <v>82</v>
      </c>
    </row>
    <row r="2519" spans="1:16" x14ac:dyDescent="0.25">
      <c r="A2519">
        <v>2518</v>
      </c>
      <c r="B2519" s="2">
        <v>45667</v>
      </c>
      <c r="C2519" t="s">
        <v>22</v>
      </c>
      <c r="D2519" t="s">
        <v>24</v>
      </c>
      <c r="E2519" t="s">
        <v>33</v>
      </c>
      <c r="F2519" t="s">
        <v>41</v>
      </c>
      <c r="G2519" t="s">
        <v>70</v>
      </c>
      <c r="H2519" t="s">
        <v>74</v>
      </c>
      <c r="I2519">
        <v>1</v>
      </c>
      <c r="J2519">
        <v>10750</v>
      </c>
      <c r="K2519">
        <v>0.05</v>
      </c>
      <c r="L2519">
        <v>10212.5</v>
      </c>
      <c r="M2519">
        <v>7994.01</v>
      </c>
      <c r="N2519">
        <v>2218.4899999999998</v>
      </c>
      <c r="O2519" t="s">
        <v>80</v>
      </c>
      <c r="P2519" t="s">
        <v>86</v>
      </c>
    </row>
    <row r="2520" spans="1:16" x14ac:dyDescent="0.25">
      <c r="A2520">
        <v>2519</v>
      </c>
      <c r="B2520" s="2">
        <v>45778</v>
      </c>
      <c r="C2520" t="s">
        <v>20</v>
      </c>
      <c r="D2520" t="s">
        <v>26</v>
      </c>
      <c r="E2520" t="s">
        <v>34</v>
      </c>
      <c r="F2520" t="s">
        <v>43</v>
      </c>
      <c r="G2520" t="s">
        <v>72</v>
      </c>
      <c r="H2520" t="s">
        <v>75</v>
      </c>
      <c r="I2520">
        <v>2</v>
      </c>
      <c r="J2520">
        <v>2180</v>
      </c>
      <c r="K2520">
        <v>0.1</v>
      </c>
      <c r="L2520">
        <v>3924</v>
      </c>
      <c r="M2520">
        <v>3087.83</v>
      </c>
      <c r="N2520">
        <v>836.17</v>
      </c>
      <c r="O2520" t="s">
        <v>77</v>
      </c>
      <c r="P2520" t="s">
        <v>82</v>
      </c>
    </row>
    <row r="2521" spans="1:16" x14ac:dyDescent="0.25">
      <c r="A2521">
        <v>2520</v>
      </c>
      <c r="B2521" s="2">
        <v>45978</v>
      </c>
      <c r="C2521" t="s">
        <v>21</v>
      </c>
      <c r="D2521" t="s">
        <v>24</v>
      </c>
      <c r="E2521" t="s">
        <v>33</v>
      </c>
      <c r="F2521" t="s">
        <v>46</v>
      </c>
      <c r="G2521" t="s">
        <v>72</v>
      </c>
      <c r="H2521" t="s">
        <v>74</v>
      </c>
      <c r="I2521">
        <v>5</v>
      </c>
      <c r="J2521">
        <v>17084</v>
      </c>
      <c r="K2521">
        <v>0.1</v>
      </c>
      <c r="L2521">
        <v>76878</v>
      </c>
      <c r="M2521">
        <v>48583.34</v>
      </c>
      <c r="N2521">
        <v>28294.66</v>
      </c>
      <c r="O2521" t="s">
        <v>80</v>
      </c>
      <c r="P2521" t="s">
        <v>82</v>
      </c>
    </row>
    <row r="2522" spans="1:16" x14ac:dyDescent="0.25">
      <c r="A2522">
        <v>2521</v>
      </c>
      <c r="B2522" s="2">
        <v>45925</v>
      </c>
      <c r="C2522" t="s">
        <v>18</v>
      </c>
      <c r="D2522" t="s">
        <v>26</v>
      </c>
      <c r="E2522" t="s">
        <v>31</v>
      </c>
      <c r="F2522" t="s">
        <v>69</v>
      </c>
      <c r="G2522" t="s">
        <v>70</v>
      </c>
      <c r="H2522" t="s">
        <v>74</v>
      </c>
      <c r="I2522">
        <v>8</v>
      </c>
      <c r="J2522">
        <v>298</v>
      </c>
      <c r="K2522">
        <v>0</v>
      </c>
      <c r="L2522">
        <v>2384</v>
      </c>
      <c r="M2522">
        <v>1806.82</v>
      </c>
      <c r="N2522">
        <v>577.17999999999995</v>
      </c>
      <c r="O2522" t="s">
        <v>78</v>
      </c>
      <c r="P2522" t="s">
        <v>85</v>
      </c>
    </row>
    <row r="2523" spans="1:16" x14ac:dyDescent="0.25">
      <c r="A2523">
        <v>2522</v>
      </c>
      <c r="B2523" s="2">
        <v>45684</v>
      </c>
      <c r="C2523" t="s">
        <v>20</v>
      </c>
      <c r="D2523" t="s">
        <v>26</v>
      </c>
      <c r="E2523" t="s">
        <v>32</v>
      </c>
      <c r="F2523" t="s">
        <v>49</v>
      </c>
      <c r="G2523" t="s">
        <v>72</v>
      </c>
      <c r="H2523" t="s">
        <v>73</v>
      </c>
      <c r="I2523">
        <v>4</v>
      </c>
      <c r="J2523">
        <v>20141</v>
      </c>
      <c r="K2523">
        <v>0.1</v>
      </c>
      <c r="L2523">
        <v>72507.600000000006</v>
      </c>
      <c r="M2523">
        <v>57717.38</v>
      </c>
      <c r="N2523">
        <v>14790.22</v>
      </c>
      <c r="O2523" t="s">
        <v>80</v>
      </c>
      <c r="P2523" t="s">
        <v>82</v>
      </c>
    </row>
    <row r="2524" spans="1:16" x14ac:dyDescent="0.25">
      <c r="A2524">
        <v>2523</v>
      </c>
      <c r="B2524" s="2">
        <v>45916</v>
      </c>
      <c r="C2524" t="s">
        <v>21</v>
      </c>
      <c r="D2524" t="s">
        <v>24</v>
      </c>
      <c r="E2524" t="s">
        <v>32</v>
      </c>
      <c r="F2524" t="s">
        <v>48</v>
      </c>
      <c r="G2524" t="s">
        <v>71</v>
      </c>
      <c r="H2524" t="s">
        <v>74</v>
      </c>
      <c r="I2524">
        <v>3</v>
      </c>
      <c r="J2524">
        <v>1942</v>
      </c>
      <c r="K2524">
        <v>0.1</v>
      </c>
      <c r="L2524">
        <v>5243.4</v>
      </c>
      <c r="M2524">
        <v>2988.11</v>
      </c>
      <c r="N2524">
        <v>2255.29</v>
      </c>
      <c r="O2524" t="s">
        <v>77</v>
      </c>
      <c r="P2524" t="s">
        <v>84</v>
      </c>
    </row>
    <row r="2525" spans="1:16" x14ac:dyDescent="0.25">
      <c r="A2525">
        <v>2524</v>
      </c>
      <c r="B2525" s="2">
        <v>45943</v>
      </c>
      <c r="C2525" t="s">
        <v>20</v>
      </c>
      <c r="D2525" t="s">
        <v>26</v>
      </c>
      <c r="E2525" t="s">
        <v>28</v>
      </c>
      <c r="F2525" t="s">
        <v>58</v>
      </c>
      <c r="G2525" t="s">
        <v>71</v>
      </c>
      <c r="H2525" t="s">
        <v>73</v>
      </c>
      <c r="I2525">
        <v>1</v>
      </c>
      <c r="J2525">
        <v>726</v>
      </c>
      <c r="K2525">
        <v>0.1</v>
      </c>
      <c r="L2525">
        <v>653.4</v>
      </c>
      <c r="M2525">
        <v>574.11</v>
      </c>
      <c r="N2525">
        <v>79.290000000000006</v>
      </c>
      <c r="O2525" t="s">
        <v>80</v>
      </c>
      <c r="P2525" t="s">
        <v>87</v>
      </c>
    </row>
    <row r="2526" spans="1:16" x14ac:dyDescent="0.25">
      <c r="A2526">
        <v>2525</v>
      </c>
      <c r="B2526" s="2">
        <v>46014</v>
      </c>
      <c r="C2526" t="s">
        <v>20</v>
      </c>
      <c r="D2526" t="s">
        <v>26</v>
      </c>
      <c r="E2526" t="s">
        <v>28</v>
      </c>
      <c r="F2526" t="s">
        <v>35</v>
      </c>
      <c r="G2526" t="s">
        <v>70</v>
      </c>
      <c r="H2526" t="s">
        <v>75</v>
      </c>
      <c r="I2526">
        <v>5</v>
      </c>
      <c r="J2526">
        <v>712</v>
      </c>
      <c r="K2526">
        <v>0</v>
      </c>
      <c r="L2526">
        <v>3560</v>
      </c>
      <c r="M2526">
        <v>2805.28</v>
      </c>
      <c r="N2526">
        <v>754.72</v>
      </c>
      <c r="O2526" t="s">
        <v>80</v>
      </c>
      <c r="P2526" t="s">
        <v>82</v>
      </c>
    </row>
    <row r="2527" spans="1:16" x14ac:dyDescent="0.25">
      <c r="A2527">
        <v>2526</v>
      </c>
      <c r="B2527" s="2">
        <v>45689</v>
      </c>
      <c r="C2527" t="s">
        <v>16</v>
      </c>
      <c r="D2527" t="s">
        <v>24</v>
      </c>
      <c r="E2527" t="s">
        <v>31</v>
      </c>
      <c r="F2527" t="s">
        <v>38</v>
      </c>
      <c r="G2527" t="s">
        <v>70</v>
      </c>
      <c r="H2527" t="s">
        <v>73</v>
      </c>
      <c r="I2527">
        <v>5</v>
      </c>
      <c r="J2527">
        <v>1193</v>
      </c>
      <c r="K2527">
        <v>0</v>
      </c>
      <c r="L2527">
        <v>5965</v>
      </c>
      <c r="M2527">
        <v>3411.79</v>
      </c>
      <c r="N2527">
        <v>2553.21</v>
      </c>
      <c r="O2527" t="s">
        <v>77</v>
      </c>
      <c r="P2527" t="s">
        <v>82</v>
      </c>
    </row>
    <row r="2528" spans="1:16" x14ac:dyDescent="0.25">
      <c r="A2528">
        <v>2527</v>
      </c>
      <c r="B2528" s="2">
        <v>45769</v>
      </c>
      <c r="C2528" t="s">
        <v>20</v>
      </c>
      <c r="D2528" t="s">
        <v>26</v>
      </c>
      <c r="E2528" t="s">
        <v>28</v>
      </c>
      <c r="F2528" t="s">
        <v>61</v>
      </c>
      <c r="G2528" t="s">
        <v>72</v>
      </c>
      <c r="H2528" t="s">
        <v>75</v>
      </c>
      <c r="I2528">
        <v>2</v>
      </c>
      <c r="J2528">
        <v>183</v>
      </c>
      <c r="K2528">
        <v>0.05</v>
      </c>
      <c r="L2528">
        <v>347.7</v>
      </c>
      <c r="M2528">
        <v>280.42</v>
      </c>
      <c r="N2528">
        <v>67.28</v>
      </c>
      <c r="O2528" t="s">
        <v>77</v>
      </c>
      <c r="P2528" t="s">
        <v>86</v>
      </c>
    </row>
    <row r="2529" spans="1:16" x14ac:dyDescent="0.25">
      <c r="A2529">
        <v>2528</v>
      </c>
      <c r="B2529" s="2">
        <v>45993</v>
      </c>
      <c r="C2529" t="s">
        <v>19</v>
      </c>
      <c r="D2529" t="s">
        <v>26</v>
      </c>
      <c r="E2529" t="s">
        <v>34</v>
      </c>
      <c r="F2529" t="s">
        <v>51</v>
      </c>
      <c r="G2529" t="s">
        <v>72</v>
      </c>
      <c r="H2529" t="s">
        <v>75</v>
      </c>
      <c r="I2529">
        <v>5</v>
      </c>
      <c r="J2529">
        <v>3123</v>
      </c>
      <c r="K2529">
        <v>0.15</v>
      </c>
      <c r="L2529">
        <v>13272.75</v>
      </c>
      <c r="M2529">
        <v>7983.97</v>
      </c>
      <c r="N2529">
        <v>5288.78</v>
      </c>
      <c r="O2529" t="s">
        <v>80</v>
      </c>
      <c r="P2529" t="s">
        <v>88</v>
      </c>
    </row>
    <row r="2530" spans="1:16" x14ac:dyDescent="0.25">
      <c r="A2530">
        <v>2529</v>
      </c>
      <c r="B2530" s="2">
        <v>45935</v>
      </c>
      <c r="C2530" t="s">
        <v>19</v>
      </c>
      <c r="D2530" t="s">
        <v>26</v>
      </c>
      <c r="E2530" t="s">
        <v>34</v>
      </c>
      <c r="F2530" t="s">
        <v>68</v>
      </c>
      <c r="G2530" t="s">
        <v>72</v>
      </c>
      <c r="H2530" t="s">
        <v>74</v>
      </c>
      <c r="I2530">
        <v>4</v>
      </c>
      <c r="J2530">
        <v>3545</v>
      </c>
      <c r="K2530">
        <v>0</v>
      </c>
      <c r="L2530">
        <v>14180</v>
      </c>
      <c r="M2530">
        <v>9109.18</v>
      </c>
      <c r="N2530">
        <v>5070.82</v>
      </c>
      <c r="O2530" t="s">
        <v>79</v>
      </c>
      <c r="P2530" t="s">
        <v>87</v>
      </c>
    </row>
    <row r="2531" spans="1:16" x14ac:dyDescent="0.25">
      <c r="A2531">
        <v>2530</v>
      </c>
      <c r="B2531" s="2">
        <v>45741</v>
      </c>
      <c r="C2531" t="s">
        <v>22</v>
      </c>
      <c r="D2531" t="s">
        <v>24</v>
      </c>
      <c r="E2531" t="s">
        <v>34</v>
      </c>
      <c r="F2531" t="s">
        <v>65</v>
      </c>
      <c r="G2531" t="s">
        <v>70</v>
      </c>
      <c r="H2531" t="s">
        <v>75</v>
      </c>
      <c r="I2531">
        <v>2</v>
      </c>
      <c r="J2531">
        <v>5831</v>
      </c>
      <c r="K2531">
        <v>0.1</v>
      </c>
      <c r="L2531">
        <v>10495.8</v>
      </c>
      <c r="M2531">
        <v>8870.56</v>
      </c>
      <c r="N2531">
        <v>1625.24</v>
      </c>
      <c r="O2531" t="s">
        <v>76</v>
      </c>
      <c r="P2531" t="s">
        <v>84</v>
      </c>
    </row>
    <row r="2532" spans="1:16" x14ac:dyDescent="0.25">
      <c r="A2532">
        <v>2531</v>
      </c>
      <c r="B2532" s="2">
        <v>45817</v>
      </c>
      <c r="C2532" t="s">
        <v>22</v>
      </c>
      <c r="D2532" t="s">
        <v>24</v>
      </c>
      <c r="E2532" t="s">
        <v>28</v>
      </c>
      <c r="F2532" t="s">
        <v>54</v>
      </c>
      <c r="G2532" t="s">
        <v>71</v>
      </c>
      <c r="H2532" t="s">
        <v>73</v>
      </c>
      <c r="I2532">
        <v>4</v>
      </c>
      <c r="J2532">
        <v>683</v>
      </c>
      <c r="K2532">
        <v>0</v>
      </c>
      <c r="L2532">
        <v>2732</v>
      </c>
      <c r="M2532">
        <v>2394.64</v>
      </c>
      <c r="N2532">
        <v>337.36</v>
      </c>
      <c r="O2532" t="s">
        <v>78</v>
      </c>
      <c r="P2532" t="s">
        <v>81</v>
      </c>
    </row>
    <row r="2533" spans="1:16" x14ac:dyDescent="0.25">
      <c r="A2533">
        <v>2532</v>
      </c>
      <c r="B2533" s="2">
        <v>45681</v>
      </c>
      <c r="C2533" t="s">
        <v>20</v>
      </c>
      <c r="D2533" t="s">
        <v>26</v>
      </c>
      <c r="E2533" t="s">
        <v>33</v>
      </c>
      <c r="F2533" t="s">
        <v>41</v>
      </c>
      <c r="G2533" t="s">
        <v>71</v>
      </c>
      <c r="H2533" t="s">
        <v>75</v>
      </c>
      <c r="I2533">
        <v>2</v>
      </c>
      <c r="J2533">
        <v>43813</v>
      </c>
      <c r="K2533">
        <v>0.05</v>
      </c>
      <c r="L2533">
        <v>83244.7</v>
      </c>
      <c r="M2533">
        <v>57019.42</v>
      </c>
      <c r="N2533">
        <v>26225.279999999999</v>
      </c>
      <c r="O2533" t="s">
        <v>76</v>
      </c>
      <c r="P2533" t="s">
        <v>81</v>
      </c>
    </row>
    <row r="2534" spans="1:16" x14ac:dyDescent="0.25">
      <c r="A2534">
        <v>2533</v>
      </c>
      <c r="B2534" s="2">
        <v>45933</v>
      </c>
      <c r="C2534" t="s">
        <v>18</v>
      </c>
      <c r="D2534" t="s">
        <v>26</v>
      </c>
      <c r="E2534" t="s">
        <v>32</v>
      </c>
      <c r="F2534" t="s">
        <v>39</v>
      </c>
      <c r="G2534" t="s">
        <v>72</v>
      </c>
      <c r="H2534" t="s">
        <v>75</v>
      </c>
      <c r="I2534">
        <v>3</v>
      </c>
      <c r="J2534">
        <v>22107</v>
      </c>
      <c r="K2534">
        <v>0.1</v>
      </c>
      <c r="L2534">
        <v>59688.9</v>
      </c>
      <c r="M2534">
        <v>51019.56</v>
      </c>
      <c r="N2534">
        <v>8669.34</v>
      </c>
      <c r="O2534" t="s">
        <v>76</v>
      </c>
      <c r="P2534" t="s">
        <v>81</v>
      </c>
    </row>
    <row r="2535" spans="1:16" x14ac:dyDescent="0.25">
      <c r="A2535">
        <v>2534</v>
      </c>
      <c r="B2535" s="2">
        <v>45887</v>
      </c>
      <c r="C2535" t="s">
        <v>22</v>
      </c>
      <c r="D2535" t="s">
        <v>24</v>
      </c>
      <c r="E2535" t="s">
        <v>28</v>
      </c>
      <c r="F2535" t="s">
        <v>63</v>
      </c>
      <c r="G2535" t="s">
        <v>70</v>
      </c>
      <c r="H2535" t="s">
        <v>73</v>
      </c>
      <c r="I2535">
        <v>3</v>
      </c>
      <c r="J2535">
        <v>541</v>
      </c>
      <c r="K2535">
        <v>0.05</v>
      </c>
      <c r="L2535">
        <v>1541.85</v>
      </c>
      <c r="M2535">
        <v>1276.8900000000001</v>
      </c>
      <c r="N2535">
        <v>264.95999999999998</v>
      </c>
      <c r="O2535" t="s">
        <v>80</v>
      </c>
      <c r="P2535" t="s">
        <v>85</v>
      </c>
    </row>
    <row r="2536" spans="1:16" x14ac:dyDescent="0.25">
      <c r="A2536">
        <v>2535</v>
      </c>
      <c r="B2536" s="2">
        <v>45960</v>
      </c>
      <c r="C2536" t="s">
        <v>23</v>
      </c>
      <c r="D2536" t="s">
        <v>27</v>
      </c>
      <c r="E2536" t="s">
        <v>32</v>
      </c>
      <c r="F2536" t="s">
        <v>62</v>
      </c>
      <c r="G2536" t="s">
        <v>72</v>
      </c>
      <c r="H2536" t="s">
        <v>75</v>
      </c>
      <c r="I2536">
        <v>7</v>
      </c>
      <c r="J2536">
        <v>17184</v>
      </c>
      <c r="K2536">
        <v>0.2</v>
      </c>
      <c r="L2536">
        <v>96230.399999999994</v>
      </c>
      <c r="M2536">
        <v>65084.43</v>
      </c>
      <c r="N2536">
        <v>31145.97</v>
      </c>
      <c r="O2536" t="s">
        <v>80</v>
      </c>
      <c r="P2536" t="s">
        <v>82</v>
      </c>
    </row>
    <row r="2537" spans="1:16" x14ac:dyDescent="0.25">
      <c r="A2537">
        <v>2536</v>
      </c>
      <c r="B2537" s="2">
        <v>45846</v>
      </c>
      <c r="C2537" t="s">
        <v>21</v>
      </c>
      <c r="D2537" t="s">
        <v>24</v>
      </c>
      <c r="E2537" t="s">
        <v>33</v>
      </c>
      <c r="F2537" t="s">
        <v>60</v>
      </c>
      <c r="G2537" t="s">
        <v>72</v>
      </c>
      <c r="H2537" t="s">
        <v>74</v>
      </c>
      <c r="I2537">
        <v>4</v>
      </c>
      <c r="J2537">
        <v>11845</v>
      </c>
      <c r="K2537">
        <v>0.1</v>
      </c>
      <c r="L2537">
        <v>42642</v>
      </c>
      <c r="M2537">
        <v>37378.17</v>
      </c>
      <c r="N2537">
        <v>5263.83</v>
      </c>
      <c r="O2537" t="s">
        <v>76</v>
      </c>
      <c r="P2537" t="s">
        <v>86</v>
      </c>
    </row>
    <row r="2538" spans="1:16" x14ac:dyDescent="0.25">
      <c r="A2538">
        <v>2537</v>
      </c>
      <c r="B2538" s="2">
        <v>45971</v>
      </c>
      <c r="C2538" t="s">
        <v>20</v>
      </c>
      <c r="D2538" t="s">
        <v>26</v>
      </c>
      <c r="E2538" t="s">
        <v>31</v>
      </c>
      <c r="F2538" t="s">
        <v>38</v>
      </c>
      <c r="G2538" t="s">
        <v>71</v>
      </c>
      <c r="H2538" t="s">
        <v>75</v>
      </c>
      <c r="I2538">
        <v>3</v>
      </c>
      <c r="J2538">
        <v>1734</v>
      </c>
      <c r="K2538">
        <v>0</v>
      </c>
      <c r="L2538">
        <v>5202</v>
      </c>
      <c r="M2538">
        <v>3337.68</v>
      </c>
      <c r="N2538">
        <v>1864.32</v>
      </c>
      <c r="O2538" t="s">
        <v>76</v>
      </c>
      <c r="P2538" t="s">
        <v>87</v>
      </c>
    </row>
    <row r="2539" spans="1:16" x14ac:dyDescent="0.25">
      <c r="A2539">
        <v>2538</v>
      </c>
      <c r="B2539" s="2">
        <v>45871</v>
      </c>
      <c r="C2539" t="s">
        <v>19</v>
      </c>
      <c r="D2539" t="s">
        <v>26</v>
      </c>
      <c r="E2539" t="s">
        <v>32</v>
      </c>
      <c r="F2539" t="s">
        <v>49</v>
      </c>
      <c r="G2539" t="s">
        <v>71</v>
      </c>
      <c r="H2539" t="s">
        <v>75</v>
      </c>
      <c r="I2539">
        <v>8</v>
      </c>
      <c r="J2539">
        <v>16054</v>
      </c>
      <c r="K2539">
        <v>0.05</v>
      </c>
      <c r="L2539">
        <v>122010.4</v>
      </c>
      <c r="M2539">
        <v>79619.72</v>
      </c>
      <c r="N2539">
        <v>42390.68</v>
      </c>
      <c r="O2539" t="s">
        <v>77</v>
      </c>
      <c r="P2539" t="s">
        <v>81</v>
      </c>
    </row>
    <row r="2540" spans="1:16" x14ac:dyDescent="0.25">
      <c r="A2540">
        <v>2539</v>
      </c>
      <c r="B2540" s="2">
        <v>45701</v>
      </c>
      <c r="C2540" t="s">
        <v>17</v>
      </c>
      <c r="D2540" t="s">
        <v>25</v>
      </c>
      <c r="E2540" t="s">
        <v>28</v>
      </c>
      <c r="F2540" t="s">
        <v>58</v>
      </c>
      <c r="G2540" t="s">
        <v>72</v>
      </c>
      <c r="H2540" t="s">
        <v>73</v>
      </c>
      <c r="I2540">
        <v>4</v>
      </c>
      <c r="J2540">
        <v>1006</v>
      </c>
      <c r="K2540">
        <v>0.15</v>
      </c>
      <c r="L2540">
        <v>3420.4</v>
      </c>
      <c r="M2540">
        <v>2825.9</v>
      </c>
      <c r="N2540">
        <v>594.5</v>
      </c>
      <c r="O2540" t="s">
        <v>80</v>
      </c>
      <c r="P2540" t="s">
        <v>85</v>
      </c>
    </row>
    <row r="2541" spans="1:16" x14ac:dyDescent="0.25">
      <c r="A2541">
        <v>2540</v>
      </c>
      <c r="B2541" s="2">
        <v>45714</v>
      </c>
      <c r="C2541" t="s">
        <v>22</v>
      </c>
      <c r="D2541" t="s">
        <v>24</v>
      </c>
      <c r="E2541" t="s">
        <v>33</v>
      </c>
      <c r="F2541" t="s">
        <v>60</v>
      </c>
      <c r="G2541" t="s">
        <v>70</v>
      </c>
      <c r="H2541" t="s">
        <v>73</v>
      </c>
      <c r="I2541">
        <v>1</v>
      </c>
      <c r="J2541">
        <v>9074</v>
      </c>
      <c r="K2541">
        <v>0.1</v>
      </c>
      <c r="L2541">
        <v>8166.6</v>
      </c>
      <c r="M2541">
        <v>7123.42</v>
      </c>
      <c r="N2541">
        <v>1043.18</v>
      </c>
      <c r="O2541" t="s">
        <v>78</v>
      </c>
      <c r="P2541" t="s">
        <v>84</v>
      </c>
    </row>
    <row r="2542" spans="1:16" x14ac:dyDescent="0.25">
      <c r="A2542">
        <v>2541</v>
      </c>
      <c r="B2542" s="2">
        <v>45794</v>
      </c>
      <c r="C2542" t="s">
        <v>22</v>
      </c>
      <c r="D2542" t="s">
        <v>24</v>
      </c>
      <c r="E2542" t="s">
        <v>29</v>
      </c>
      <c r="F2542" t="s">
        <v>53</v>
      </c>
      <c r="G2542" t="s">
        <v>71</v>
      </c>
      <c r="H2542" t="s">
        <v>75</v>
      </c>
      <c r="I2542">
        <v>5</v>
      </c>
      <c r="J2542">
        <v>1265</v>
      </c>
      <c r="K2542">
        <v>0.15</v>
      </c>
      <c r="L2542">
        <v>5376.25</v>
      </c>
      <c r="M2542">
        <v>3653.21</v>
      </c>
      <c r="N2542">
        <v>1723.04</v>
      </c>
      <c r="O2542" t="s">
        <v>80</v>
      </c>
      <c r="P2542" t="s">
        <v>82</v>
      </c>
    </row>
    <row r="2543" spans="1:16" x14ac:dyDescent="0.25">
      <c r="A2543">
        <v>2542</v>
      </c>
      <c r="B2543" s="2">
        <v>45669</v>
      </c>
      <c r="C2543" t="s">
        <v>18</v>
      </c>
      <c r="D2543" t="s">
        <v>26</v>
      </c>
      <c r="E2543" t="s">
        <v>33</v>
      </c>
      <c r="F2543" t="s">
        <v>60</v>
      </c>
      <c r="G2543" t="s">
        <v>71</v>
      </c>
      <c r="H2543" t="s">
        <v>75</v>
      </c>
      <c r="I2543">
        <v>7</v>
      </c>
      <c r="J2543">
        <v>35960</v>
      </c>
      <c r="K2543">
        <v>0.2</v>
      </c>
      <c r="L2543">
        <v>201376</v>
      </c>
      <c r="M2543">
        <v>163580.04999999999</v>
      </c>
      <c r="N2543">
        <v>37795.949999999997</v>
      </c>
      <c r="O2543" t="s">
        <v>80</v>
      </c>
      <c r="P2543" t="s">
        <v>86</v>
      </c>
    </row>
    <row r="2544" spans="1:16" x14ac:dyDescent="0.25">
      <c r="A2544">
        <v>2543</v>
      </c>
      <c r="B2544" s="2">
        <v>45709</v>
      </c>
      <c r="C2544" t="s">
        <v>18</v>
      </c>
      <c r="D2544" t="s">
        <v>26</v>
      </c>
      <c r="E2544" t="s">
        <v>29</v>
      </c>
      <c r="F2544" t="s">
        <v>36</v>
      </c>
      <c r="G2544" t="s">
        <v>71</v>
      </c>
      <c r="H2544" t="s">
        <v>73</v>
      </c>
      <c r="I2544">
        <v>7</v>
      </c>
      <c r="J2544">
        <v>8069</v>
      </c>
      <c r="K2544">
        <v>0</v>
      </c>
      <c r="L2544">
        <v>56483</v>
      </c>
      <c r="M2544">
        <v>44731.05</v>
      </c>
      <c r="N2544">
        <v>11751.95</v>
      </c>
      <c r="O2544" t="s">
        <v>78</v>
      </c>
      <c r="P2544" t="s">
        <v>81</v>
      </c>
    </row>
    <row r="2545" spans="1:16" x14ac:dyDescent="0.25">
      <c r="A2545">
        <v>2544</v>
      </c>
      <c r="B2545" s="2">
        <v>45950</v>
      </c>
      <c r="C2545" t="s">
        <v>17</v>
      </c>
      <c r="D2545" t="s">
        <v>25</v>
      </c>
      <c r="E2545" t="s">
        <v>29</v>
      </c>
      <c r="F2545" t="s">
        <v>57</v>
      </c>
      <c r="G2545" t="s">
        <v>70</v>
      </c>
      <c r="H2545" t="s">
        <v>74</v>
      </c>
      <c r="I2545">
        <v>8</v>
      </c>
      <c r="J2545">
        <v>5467</v>
      </c>
      <c r="K2545">
        <v>0.15</v>
      </c>
      <c r="L2545">
        <v>37175.599999999999</v>
      </c>
      <c r="M2545">
        <v>23740.12</v>
      </c>
      <c r="N2545">
        <v>13435.48</v>
      </c>
      <c r="O2545" t="s">
        <v>79</v>
      </c>
      <c r="P2545" t="s">
        <v>84</v>
      </c>
    </row>
    <row r="2546" spans="1:16" x14ac:dyDescent="0.25">
      <c r="A2546">
        <v>2545</v>
      </c>
      <c r="B2546" s="2">
        <v>45805</v>
      </c>
      <c r="C2546" t="s">
        <v>20</v>
      </c>
      <c r="D2546" t="s">
        <v>26</v>
      </c>
      <c r="E2546" t="s">
        <v>31</v>
      </c>
      <c r="F2546" t="s">
        <v>50</v>
      </c>
      <c r="G2546" t="s">
        <v>71</v>
      </c>
      <c r="H2546" t="s">
        <v>75</v>
      </c>
      <c r="I2546">
        <v>3</v>
      </c>
      <c r="J2546">
        <v>1756</v>
      </c>
      <c r="K2546">
        <v>0</v>
      </c>
      <c r="L2546">
        <v>5268</v>
      </c>
      <c r="M2546">
        <v>4266.8</v>
      </c>
      <c r="N2546">
        <v>1001.2</v>
      </c>
      <c r="O2546" t="s">
        <v>76</v>
      </c>
      <c r="P2546" t="s">
        <v>84</v>
      </c>
    </row>
    <row r="2547" spans="1:16" x14ac:dyDescent="0.25">
      <c r="A2547">
        <v>2546</v>
      </c>
      <c r="B2547" s="2">
        <v>45782</v>
      </c>
      <c r="C2547" t="s">
        <v>23</v>
      </c>
      <c r="D2547" t="s">
        <v>27</v>
      </c>
      <c r="E2547" t="s">
        <v>34</v>
      </c>
      <c r="F2547" t="s">
        <v>43</v>
      </c>
      <c r="G2547" t="s">
        <v>70</v>
      </c>
      <c r="H2547" t="s">
        <v>73</v>
      </c>
      <c r="I2547">
        <v>4</v>
      </c>
      <c r="J2547">
        <v>2471</v>
      </c>
      <c r="K2547">
        <v>0.15</v>
      </c>
      <c r="L2547">
        <v>8401.4</v>
      </c>
      <c r="M2547">
        <v>6999.01</v>
      </c>
      <c r="N2547">
        <v>1402.39</v>
      </c>
      <c r="O2547" t="s">
        <v>77</v>
      </c>
      <c r="P2547" t="s">
        <v>82</v>
      </c>
    </row>
    <row r="2548" spans="1:16" x14ac:dyDescent="0.25">
      <c r="A2548">
        <v>2547</v>
      </c>
      <c r="B2548" s="2">
        <v>45882</v>
      </c>
      <c r="C2548" t="s">
        <v>21</v>
      </c>
      <c r="D2548" t="s">
        <v>24</v>
      </c>
      <c r="E2548" t="s">
        <v>28</v>
      </c>
      <c r="F2548" t="s">
        <v>63</v>
      </c>
      <c r="G2548" t="s">
        <v>72</v>
      </c>
      <c r="H2548" t="s">
        <v>74</v>
      </c>
      <c r="I2548">
        <v>1</v>
      </c>
      <c r="J2548">
        <v>1795</v>
      </c>
      <c r="K2548">
        <v>0.15</v>
      </c>
      <c r="L2548">
        <v>1525.75</v>
      </c>
      <c r="M2548">
        <v>1094.67</v>
      </c>
      <c r="N2548">
        <v>431.08</v>
      </c>
      <c r="O2548" t="s">
        <v>79</v>
      </c>
      <c r="P2548" t="s">
        <v>84</v>
      </c>
    </row>
    <row r="2549" spans="1:16" x14ac:dyDescent="0.25">
      <c r="A2549">
        <v>2548</v>
      </c>
      <c r="B2549" s="2">
        <v>45878</v>
      </c>
      <c r="C2549" t="s">
        <v>23</v>
      </c>
      <c r="D2549" t="s">
        <v>27</v>
      </c>
      <c r="E2549" t="s">
        <v>31</v>
      </c>
      <c r="F2549" t="s">
        <v>50</v>
      </c>
      <c r="G2549" t="s">
        <v>70</v>
      </c>
      <c r="H2549" t="s">
        <v>74</v>
      </c>
      <c r="I2549">
        <v>5</v>
      </c>
      <c r="J2549">
        <v>1383</v>
      </c>
      <c r="K2549">
        <v>0</v>
      </c>
      <c r="L2549">
        <v>6915</v>
      </c>
      <c r="M2549">
        <v>5502.02</v>
      </c>
      <c r="N2549">
        <v>1412.98</v>
      </c>
      <c r="O2549" t="s">
        <v>76</v>
      </c>
      <c r="P2549" t="s">
        <v>82</v>
      </c>
    </row>
    <row r="2550" spans="1:16" x14ac:dyDescent="0.25">
      <c r="A2550">
        <v>2549</v>
      </c>
      <c r="B2550" s="2">
        <v>45965</v>
      </c>
      <c r="C2550" t="s">
        <v>23</v>
      </c>
      <c r="D2550" t="s">
        <v>27</v>
      </c>
      <c r="E2550" t="s">
        <v>30</v>
      </c>
      <c r="F2550" t="s">
        <v>64</v>
      </c>
      <c r="G2550" t="s">
        <v>72</v>
      </c>
      <c r="H2550" t="s">
        <v>74</v>
      </c>
      <c r="I2550">
        <v>1</v>
      </c>
      <c r="J2550">
        <v>64779</v>
      </c>
      <c r="K2550">
        <v>0.05</v>
      </c>
      <c r="L2550">
        <v>61540.05</v>
      </c>
      <c r="M2550">
        <v>48113.440000000002</v>
      </c>
      <c r="N2550">
        <v>13426.61</v>
      </c>
      <c r="O2550" t="s">
        <v>79</v>
      </c>
      <c r="P2550" t="s">
        <v>85</v>
      </c>
    </row>
    <row r="2551" spans="1:16" x14ac:dyDescent="0.25">
      <c r="A2551">
        <v>2550</v>
      </c>
      <c r="B2551" s="2">
        <v>45787</v>
      </c>
      <c r="C2551" t="s">
        <v>21</v>
      </c>
      <c r="D2551" t="s">
        <v>24</v>
      </c>
      <c r="E2551" t="s">
        <v>33</v>
      </c>
      <c r="F2551" t="s">
        <v>41</v>
      </c>
      <c r="G2551" t="s">
        <v>71</v>
      </c>
      <c r="H2551" t="s">
        <v>73</v>
      </c>
      <c r="I2551">
        <v>7</v>
      </c>
      <c r="J2551">
        <v>23209</v>
      </c>
      <c r="K2551">
        <v>0.15</v>
      </c>
      <c r="L2551">
        <v>138093.54999999999</v>
      </c>
      <c r="M2551">
        <v>91102.97</v>
      </c>
      <c r="N2551">
        <v>46990.58</v>
      </c>
      <c r="O2551" t="s">
        <v>80</v>
      </c>
      <c r="P2551" t="s">
        <v>84</v>
      </c>
    </row>
    <row r="2552" spans="1:16" x14ac:dyDescent="0.25">
      <c r="A2552">
        <v>2551</v>
      </c>
      <c r="B2552" s="2">
        <v>45905</v>
      </c>
      <c r="C2552" t="s">
        <v>23</v>
      </c>
      <c r="D2552" t="s">
        <v>27</v>
      </c>
      <c r="E2552" t="s">
        <v>29</v>
      </c>
      <c r="F2552" t="s">
        <v>42</v>
      </c>
      <c r="G2552" t="s">
        <v>72</v>
      </c>
      <c r="H2552" t="s">
        <v>73</v>
      </c>
      <c r="I2552">
        <v>5</v>
      </c>
      <c r="J2552">
        <v>8257</v>
      </c>
      <c r="K2552">
        <v>0.1</v>
      </c>
      <c r="L2552">
        <v>37156.5</v>
      </c>
      <c r="M2552">
        <v>31153.97</v>
      </c>
      <c r="N2552">
        <v>6002.53</v>
      </c>
      <c r="O2552" t="s">
        <v>77</v>
      </c>
      <c r="P2552" t="s">
        <v>83</v>
      </c>
    </row>
    <row r="2553" spans="1:16" x14ac:dyDescent="0.25">
      <c r="A2553">
        <v>2552</v>
      </c>
      <c r="B2553" s="2">
        <v>45799</v>
      </c>
      <c r="C2553" t="s">
        <v>20</v>
      </c>
      <c r="D2553" t="s">
        <v>26</v>
      </c>
      <c r="E2553" t="s">
        <v>29</v>
      </c>
      <c r="F2553" t="s">
        <v>53</v>
      </c>
      <c r="G2553" t="s">
        <v>72</v>
      </c>
      <c r="H2553" t="s">
        <v>73</v>
      </c>
      <c r="I2553">
        <v>7</v>
      </c>
      <c r="J2553">
        <v>9073</v>
      </c>
      <c r="K2553">
        <v>0</v>
      </c>
      <c r="L2553">
        <v>63511</v>
      </c>
      <c r="M2553">
        <v>50701.919999999998</v>
      </c>
      <c r="N2553">
        <v>12809.08</v>
      </c>
      <c r="O2553" t="s">
        <v>77</v>
      </c>
      <c r="P2553" t="s">
        <v>87</v>
      </c>
    </row>
    <row r="2554" spans="1:16" x14ac:dyDescent="0.25">
      <c r="A2554">
        <v>2553</v>
      </c>
      <c r="B2554" s="2">
        <v>45742</v>
      </c>
      <c r="C2554" t="s">
        <v>23</v>
      </c>
      <c r="D2554" t="s">
        <v>27</v>
      </c>
      <c r="E2554" t="s">
        <v>32</v>
      </c>
      <c r="F2554" t="s">
        <v>66</v>
      </c>
      <c r="G2554" t="s">
        <v>72</v>
      </c>
      <c r="H2554" t="s">
        <v>74</v>
      </c>
      <c r="I2554">
        <v>7</v>
      </c>
      <c r="J2554">
        <v>12330</v>
      </c>
      <c r="K2554">
        <v>0.05</v>
      </c>
      <c r="L2554">
        <v>81994.5</v>
      </c>
      <c r="M2554">
        <v>45330.86</v>
      </c>
      <c r="N2554">
        <v>36663.64</v>
      </c>
      <c r="O2554" t="s">
        <v>76</v>
      </c>
      <c r="P2554" t="s">
        <v>85</v>
      </c>
    </row>
    <row r="2555" spans="1:16" x14ac:dyDescent="0.25">
      <c r="A2555">
        <v>2554</v>
      </c>
      <c r="B2555" s="2">
        <v>45811</v>
      </c>
      <c r="C2555" t="s">
        <v>18</v>
      </c>
      <c r="D2555" t="s">
        <v>26</v>
      </c>
      <c r="E2555" t="s">
        <v>31</v>
      </c>
      <c r="F2555" t="s">
        <v>38</v>
      </c>
      <c r="G2555" t="s">
        <v>70</v>
      </c>
      <c r="H2555" t="s">
        <v>73</v>
      </c>
      <c r="I2555">
        <v>3</v>
      </c>
      <c r="J2555">
        <v>2255</v>
      </c>
      <c r="K2555">
        <v>0.15</v>
      </c>
      <c r="L2555">
        <v>5750.25</v>
      </c>
      <c r="M2555">
        <v>3402.85</v>
      </c>
      <c r="N2555">
        <v>2347.4</v>
      </c>
      <c r="O2555" t="s">
        <v>77</v>
      </c>
      <c r="P2555" t="s">
        <v>86</v>
      </c>
    </row>
    <row r="2556" spans="1:16" x14ac:dyDescent="0.25">
      <c r="A2556">
        <v>2555</v>
      </c>
      <c r="B2556" s="2">
        <v>45894</v>
      </c>
      <c r="C2556" t="s">
        <v>18</v>
      </c>
      <c r="D2556" t="s">
        <v>26</v>
      </c>
      <c r="E2556" t="s">
        <v>28</v>
      </c>
      <c r="F2556" t="s">
        <v>35</v>
      </c>
      <c r="G2556" t="s">
        <v>71</v>
      </c>
      <c r="H2556" t="s">
        <v>73</v>
      </c>
      <c r="I2556">
        <v>3</v>
      </c>
      <c r="J2556">
        <v>2306</v>
      </c>
      <c r="K2556">
        <v>0.1</v>
      </c>
      <c r="L2556">
        <v>6226.2</v>
      </c>
      <c r="M2556">
        <v>4223.1499999999996</v>
      </c>
      <c r="N2556">
        <v>2003.05</v>
      </c>
      <c r="O2556" t="s">
        <v>76</v>
      </c>
      <c r="P2556" t="s">
        <v>85</v>
      </c>
    </row>
    <row r="2557" spans="1:16" x14ac:dyDescent="0.25">
      <c r="A2557">
        <v>2556</v>
      </c>
      <c r="B2557" s="2">
        <v>45698</v>
      </c>
      <c r="C2557" t="s">
        <v>22</v>
      </c>
      <c r="D2557" t="s">
        <v>24</v>
      </c>
      <c r="E2557" t="s">
        <v>29</v>
      </c>
      <c r="F2557" t="s">
        <v>36</v>
      </c>
      <c r="G2557" t="s">
        <v>72</v>
      </c>
      <c r="H2557" t="s">
        <v>73</v>
      </c>
      <c r="I2557">
        <v>3</v>
      </c>
      <c r="J2557">
        <v>2884</v>
      </c>
      <c r="K2557">
        <v>0.2</v>
      </c>
      <c r="L2557">
        <v>6921.6</v>
      </c>
      <c r="M2557">
        <v>4393.8100000000004</v>
      </c>
      <c r="N2557">
        <v>2527.79</v>
      </c>
      <c r="O2557" t="s">
        <v>77</v>
      </c>
      <c r="P2557" t="s">
        <v>82</v>
      </c>
    </row>
    <row r="2558" spans="1:16" x14ac:dyDescent="0.25">
      <c r="A2558">
        <v>2557</v>
      </c>
      <c r="B2558" s="2">
        <v>45877</v>
      </c>
      <c r="C2558" t="s">
        <v>17</v>
      </c>
      <c r="D2558" t="s">
        <v>25</v>
      </c>
      <c r="E2558" t="s">
        <v>34</v>
      </c>
      <c r="F2558" t="s">
        <v>43</v>
      </c>
      <c r="G2558" t="s">
        <v>72</v>
      </c>
      <c r="H2558" t="s">
        <v>73</v>
      </c>
      <c r="I2558">
        <v>6</v>
      </c>
      <c r="J2558">
        <v>2077</v>
      </c>
      <c r="K2558">
        <v>0</v>
      </c>
      <c r="L2558">
        <v>12462</v>
      </c>
      <c r="M2558">
        <v>10286.780000000001</v>
      </c>
      <c r="N2558">
        <v>2175.2199999999998</v>
      </c>
      <c r="O2558" t="s">
        <v>76</v>
      </c>
      <c r="P2558" t="s">
        <v>84</v>
      </c>
    </row>
    <row r="2559" spans="1:16" x14ac:dyDescent="0.25">
      <c r="A2559">
        <v>2558</v>
      </c>
      <c r="B2559" s="2">
        <v>45697</v>
      </c>
      <c r="C2559" t="s">
        <v>19</v>
      </c>
      <c r="D2559" t="s">
        <v>26</v>
      </c>
      <c r="E2559" t="s">
        <v>28</v>
      </c>
      <c r="F2559" t="s">
        <v>35</v>
      </c>
      <c r="G2559" t="s">
        <v>71</v>
      </c>
      <c r="H2559" t="s">
        <v>74</v>
      </c>
      <c r="I2559">
        <v>3</v>
      </c>
      <c r="J2559">
        <v>1568</v>
      </c>
      <c r="K2559">
        <v>0.1</v>
      </c>
      <c r="L2559">
        <v>4233.6000000000004</v>
      </c>
      <c r="M2559">
        <v>3108.8</v>
      </c>
      <c r="N2559">
        <v>1124.8</v>
      </c>
      <c r="O2559" t="s">
        <v>77</v>
      </c>
      <c r="P2559" t="s">
        <v>85</v>
      </c>
    </row>
    <row r="2560" spans="1:16" x14ac:dyDescent="0.25">
      <c r="A2560">
        <v>2559</v>
      </c>
      <c r="B2560" s="2">
        <v>45692</v>
      </c>
      <c r="C2560" t="s">
        <v>23</v>
      </c>
      <c r="D2560" t="s">
        <v>27</v>
      </c>
      <c r="E2560" t="s">
        <v>34</v>
      </c>
      <c r="F2560" t="s">
        <v>65</v>
      </c>
      <c r="G2560" t="s">
        <v>71</v>
      </c>
      <c r="H2560" t="s">
        <v>73</v>
      </c>
      <c r="I2560">
        <v>5</v>
      </c>
      <c r="J2560">
        <v>4423</v>
      </c>
      <c r="K2560">
        <v>0</v>
      </c>
      <c r="L2560">
        <v>22115</v>
      </c>
      <c r="M2560">
        <v>16773.45</v>
      </c>
      <c r="N2560">
        <v>5341.55</v>
      </c>
      <c r="O2560" t="s">
        <v>76</v>
      </c>
      <c r="P2560" t="s">
        <v>87</v>
      </c>
    </row>
    <row r="2561" spans="1:16" x14ac:dyDescent="0.25">
      <c r="A2561">
        <v>2560</v>
      </c>
      <c r="B2561" s="2">
        <v>45867</v>
      </c>
      <c r="C2561" t="s">
        <v>20</v>
      </c>
      <c r="D2561" t="s">
        <v>26</v>
      </c>
      <c r="E2561" t="s">
        <v>34</v>
      </c>
      <c r="F2561" t="s">
        <v>68</v>
      </c>
      <c r="G2561" t="s">
        <v>70</v>
      </c>
      <c r="H2561" t="s">
        <v>75</v>
      </c>
      <c r="I2561">
        <v>4</v>
      </c>
      <c r="J2561">
        <v>1787</v>
      </c>
      <c r="K2561">
        <v>0.1</v>
      </c>
      <c r="L2561">
        <v>6433.2</v>
      </c>
      <c r="M2561">
        <v>5039.1899999999996</v>
      </c>
      <c r="N2561">
        <v>1394.01</v>
      </c>
      <c r="O2561" t="s">
        <v>78</v>
      </c>
      <c r="P2561" t="s">
        <v>85</v>
      </c>
    </row>
    <row r="2562" spans="1:16" x14ac:dyDescent="0.25">
      <c r="A2562">
        <v>2561</v>
      </c>
      <c r="B2562" s="2">
        <v>45765</v>
      </c>
      <c r="C2562" t="s">
        <v>20</v>
      </c>
      <c r="D2562" t="s">
        <v>26</v>
      </c>
      <c r="E2562" t="s">
        <v>31</v>
      </c>
      <c r="F2562" t="s">
        <v>47</v>
      </c>
      <c r="G2562" t="s">
        <v>70</v>
      </c>
      <c r="H2562" t="s">
        <v>73</v>
      </c>
      <c r="I2562">
        <v>3</v>
      </c>
      <c r="J2562">
        <v>1983</v>
      </c>
      <c r="K2562">
        <v>0.1</v>
      </c>
      <c r="L2562">
        <v>5354.1</v>
      </c>
      <c r="M2562">
        <v>3620.82</v>
      </c>
      <c r="N2562">
        <v>1733.28</v>
      </c>
      <c r="O2562" t="s">
        <v>79</v>
      </c>
      <c r="P2562" t="s">
        <v>84</v>
      </c>
    </row>
    <row r="2563" spans="1:16" x14ac:dyDescent="0.25">
      <c r="A2563">
        <v>2562</v>
      </c>
      <c r="B2563" s="2">
        <v>45772</v>
      </c>
      <c r="C2563" t="s">
        <v>23</v>
      </c>
      <c r="D2563" t="s">
        <v>27</v>
      </c>
      <c r="E2563" t="s">
        <v>28</v>
      </c>
      <c r="F2563" t="s">
        <v>63</v>
      </c>
      <c r="G2563" t="s">
        <v>72</v>
      </c>
      <c r="H2563" t="s">
        <v>74</v>
      </c>
      <c r="I2563">
        <v>2</v>
      </c>
      <c r="J2563">
        <v>130</v>
      </c>
      <c r="K2563">
        <v>0.05</v>
      </c>
      <c r="L2563">
        <v>247</v>
      </c>
      <c r="M2563">
        <v>170.98</v>
      </c>
      <c r="N2563">
        <v>76.02</v>
      </c>
      <c r="O2563" t="s">
        <v>77</v>
      </c>
      <c r="P2563" t="s">
        <v>87</v>
      </c>
    </row>
    <row r="2564" spans="1:16" x14ac:dyDescent="0.25">
      <c r="A2564">
        <v>2563</v>
      </c>
      <c r="B2564" s="2">
        <v>45827</v>
      </c>
      <c r="C2564" t="s">
        <v>19</v>
      </c>
      <c r="D2564" t="s">
        <v>26</v>
      </c>
      <c r="E2564" t="s">
        <v>34</v>
      </c>
      <c r="F2564" t="s">
        <v>43</v>
      </c>
      <c r="G2564" t="s">
        <v>72</v>
      </c>
      <c r="H2564" t="s">
        <v>75</v>
      </c>
      <c r="I2564">
        <v>3</v>
      </c>
      <c r="J2564">
        <v>1024</v>
      </c>
      <c r="K2564">
        <v>0.1</v>
      </c>
      <c r="L2564">
        <v>2764.8</v>
      </c>
      <c r="M2564">
        <v>1707.66</v>
      </c>
      <c r="N2564">
        <v>1057.1400000000001</v>
      </c>
      <c r="O2564" t="s">
        <v>77</v>
      </c>
      <c r="P2564" t="s">
        <v>88</v>
      </c>
    </row>
    <row r="2565" spans="1:16" x14ac:dyDescent="0.25">
      <c r="A2565">
        <v>2564</v>
      </c>
      <c r="B2565" s="2">
        <v>45940</v>
      </c>
      <c r="C2565" t="s">
        <v>20</v>
      </c>
      <c r="D2565" t="s">
        <v>26</v>
      </c>
      <c r="E2565" t="s">
        <v>30</v>
      </c>
      <c r="F2565" t="s">
        <v>40</v>
      </c>
      <c r="G2565" t="s">
        <v>71</v>
      </c>
      <c r="H2565" t="s">
        <v>74</v>
      </c>
      <c r="I2565">
        <v>8</v>
      </c>
      <c r="J2565">
        <v>8429</v>
      </c>
      <c r="K2565">
        <v>0.05</v>
      </c>
      <c r="L2565">
        <v>64060.4</v>
      </c>
      <c r="M2565">
        <v>55700.01</v>
      </c>
      <c r="N2565">
        <v>8360.39</v>
      </c>
      <c r="O2565" t="s">
        <v>76</v>
      </c>
      <c r="P2565" t="s">
        <v>86</v>
      </c>
    </row>
    <row r="2566" spans="1:16" x14ac:dyDescent="0.25">
      <c r="A2566">
        <v>2565</v>
      </c>
      <c r="B2566" s="2">
        <v>45735</v>
      </c>
      <c r="C2566" t="s">
        <v>19</v>
      </c>
      <c r="D2566" t="s">
        <v>26</v>
      </c>
      <c r="E2566" t="s">
        <v>32</v>
      </c>
      <c r="F2566" t="s">
        <v>66</v>
      </c>
      <c r="G2566" t="s">
        <v>70</v>
      </c>
      <c r="H2566" t="s">
        <v>75</v>
      </c>
      <c r="I2566">
        <v>4</v>
      </c>
      <c r="J2566">
        <v>1428</v>
      </c>
      <c r="K2566">
        <v>0</v>
      </c>
      <c r="L2566">
        <v>5712</v>
      </c>
      <c r="M2566">
        <v>3721.6</v>
      </c>
      <c r="N2566">
        <v>1990.4</v>
      </c>
      <c r="O2566" t="s">
        <v>78</v>
      </c>
      <c r="P2566" t="s">
        <v>87</v>
      </c>
    </row>
    <row r="2567" spans="1:16" x14ac:dyDescent="0.25">
      <c r="A2567">
        <v>2566</v>
      </c>
      <c r="B2567" s="2">
        <v>45707</v>
      </c>
      <c r="C2567" t="s">
        <v>21</v>
      </c>
      <c r="D2567" t="s">
        <v>24</v>
      </c>
      <c r="E2567" t="s">
        <v>30</v>
      </c>
      <c r="F2567" t="s">
        <v>40</v>
      </c>
      <c r="G2567" t="s">
        <v>72</v>
      </c>
      <c r="H2567" t="s">
        <v>75</v>
      </c>
      <c r="I2567">
        <v>4</v>
      </c>
      <c r="J2567">
        <v>65656</v>
      </c>
      <c r="K2567">
        <v>0.1</v>
      </c>
      <c r="L2567">
        <v>236361.60000000001</v>
      </c>
      <c r="M2567">
        <v>205251.55</v>
      </c>
      <c r="N2567">
        <v>31110.05</v>
      </c>
      <c r="O2567" t="s">
        <v>80</v>
      </c>
      <c r="P2567" t="s">
        <v>87</v>
      </c>
    </row>
    <row r="2568" spans="1:16" x14ac:dyDescent="0.25">
      <c r="A2568">
        <v>2567</v>
      </c>
      <c r="B2568" s="2">
        <v>45933</v>
      </c>
      <c r="C2568" t="s">
        <v>22</v>
      </c>
      <c r="D2568" t="s">
        <v>24</v>
      </c>
      <c r="E2568" t="s">
        <v>30</v>
      </c>
      <c r="F2568" t="s">
        <v>64</v>
      </c>
      <c r="G2568" t="s">
        <v>71</v>
      </c>
      <c r="H2568" t="s">
        <v>75</v>
      </c>
      <c r="I2568">
        <v>3</v>
      </c>
      <c r="J2568">
        <v>15393</v>
      </c>
      <c r="K2568">
        <v>0.05</v>
      </c>
      <c r="L2568">
        <v>43870.05</v>
      </c>
      <c r="M2568">
        <v>28036.19</v>
      </c>
      <c r="N2568">
        <v>15833.86</v>
      </c>
      <c r="O2568" t="s">
        <v>77</v>
      </c>
      <c r="P2568" t="s">
        <v>81</v>
      </c>
    </row>
    <row r="2569" spans="1:16" x14ac:dyDescent="0.25">
      <c r="A2569">
        <v>2568</v>
      </c>
      <c r="B2569" s="2">
        <v>45936</v>
      </c>
      <c r="C2569" t="s">
        <v>21</v>
      </c>
      <c r="D2569" t="s">
        <v>24</v>
      </c>
      <c r="E2569" t="s">
        <v>33</v>
      </c>
      <c r="F2569" t="s">
        <v>52</v>
      </c>
      <c r="G2569" t="s">
        <v>70</v>
      </c>
      <c r="H2569" t="s">
        <v>73</v>
      </c>
      <c r="I2569">
        <v>5</v>
      </c>
      <c r="J2569">
        <v>47964</v>
      </c>
      <c r="K2569">
        <v>0.1</v>
      </c>
      <c r="L2569">
        <v>215838</v>
      </c>
      <c r="M2569">
        <v>165807.85</v>
      </c>
      <c r="N2569">
        <v>50030.15</v>
      </c>
      <c r="O2569" t="s">
        <v>78</v>
      </c>
      <c r="P2569" t="s">
        <v>84</v>
      </c>
    </row>
    <row r="2570" spans="1:16" x14ac:dyDescent="0.25">
      <c r="A2570">
        <v>2569</v>
      </c>
      <c r="B2570" s="2">
        <v>45834</v>
      </c>
      <c r="C2570" t="s">
        <v>23</v>
      </c>
      <c r="D2570" t="s">
        <v>27</v>
      </c>
      <c r="E2570" t="s">
        <v>31</v>
      </c>
      <c r="F2570" t="s">
        <v>67</v>
      </c>
      <c r="G2570" t="s">
        <v>72</v>
      </c>
      <c r="H2570" t="s">
        <v>73</v>
      </c>
      <c r="I2570">
        <v>4</v>
      </c>
      <c r="J2570">
        <v>2123</v>
      </c>
      <c r="K2570">
        <v>0.1</v>
      </c>
      <c r="L2570">
        <v>7642.8</v>
      </c>
      <c r="M2570">
        <v>5187.3599999999997</v>
      </c>
      <c r="N2570">
        <v>2455.44</v>
      </c>
      <c r="O2570" t="s">
        <v>77</v>
      </c>
      <c r="P2570" t="s">
        <v>88</v>
      </c>
    </row>
    <row r="2571" spans="1:16" x14ac:dyDescent="0.25">
      <c r="A2571">
        <v>2570</v>
      </c>
      <c r="B2571" s="2">
        <v>45738</v>
      </c>
      <c r="C2571" t="s">
        <v>23</v>
      </c>
      <c r="D2571" t="s">
        <v>27</v>
      </c>
      <c r="E2571" t="s">
        <v>28</v>
      </c>
      <c r="F2571" t="s">
        <v>35</v>
      </c>
      <c r="G2571" t="s">
        <v>70</v>
      </c>
      <c r="H2571" t="s">
        <v>73</v>
      </c>
      <c r="I2571">
        <v>3</v>
      </c>
      <c r="J2571">
        <v>749</v>
      </c>
      <c r="K2571">
        <v>0</v>
      </c>
      <c r="L2571">
        <v>2247</v>
      </c>
      <c r="M2571">
        <v>1342.28</v>
      </c>
      <c r="N2571">
        <v>904.72</v>
      </c>
      <c r="O2571" t="s">
        <v>77</v>
      </c>
      <c r="P2571" t="s">
        <v>87</v>
      </c>
    </row>
    <row r="2572" spans="1:16" x14ac:dyDescent="0.25">
      <c r="A2572">
        <v>2571</v>
      </c>
      <c r="B2572" s="2">
        <v>45893</v>
      </c>
      <c r="C2572" t="s">
        <v>22</v>
      </c>
      <c r="D2572" t="s">
        <v>24</v>
      </c>
      <c r="E2572" t="s">
        <v>34</v>
      </c>
      <c r="F2572" t="s">
        <v>55</v>
      </c>
      <c r="G2572" t="s">
        <v>72</v>
      </c>
      <c r="H2572" t="s">
        <v>75</v>
      </c>
      <c r="I2572">
        <v>1</v>
      </c>
      <c r="J2572">
        <v>516</v>
      </c>
      <c r="K2572">
        <v>0.15</v>
      </c>
      <c r="L2572">
        <v>438.6</v>
      </c>
      <c r="M2572">
        <v>252.23</v>
      </c>
      <c r="N2572">
        <v>186.37</v>
      </c>
      <c r="O2572" t="s">
        <v>80</v>
      </c>
      <c r="P2572" t="s">
        <v>87</v>
      </c>
    </row>
    <row r="2573" spans="1:16" x14ac:dyDescent="0.25">
      <c r="A2573">
        <v>2572</v>
      </c>
      <c r="B2573" s="2">
        <v>45997</v>
      </c>
      <c r="C2573" t="s">
        <v>23</v>
      </c>
      <c r="D2573" t="s">
        <v>27</v>
      </c>
      <c r="E2573" t="s">
        <v>32</v>
      </c>
      <c r="F2573" t="s">
        <v>66</v>
      </c>
      <c r="G2573" t="s">
        <v>71</v>
      </c>
      <c r="H2573" t="s">
        <v>73</v>
      </c>
      <c r="I2573">
        <v>1</v>
      </c>
      <c r="J2573">
        <v>23309</v>
      </c>
      <c r="K2573">
        <v>0.05</v>
      </c>
      <c r="L2573">
        <v>22143.55</v>
      </c>
      <c r="M2573">
        <v>12627.18</v>
      </c>
      <c r="N2573">
        <v>9516.3700000000008</v>
      </c>
      <c r="O2573" t="s">
        <v>76</v>
      </c>
      <c r="P2573" t="s">
        <v>81</v>
      </c>
    </row>
    <row r="2574" spans="1:16" x14ac:dyDescent="0.25">
      <c r="A2574">
        <v>2573</v>
      </c>
      <c r="B2574" s="2">
        <v>45838</v>
      </c>
      <c r="C2574" t="s">
        <v>18</v>
      </c>
      <c r="D2574" t="s">
        <v>26</v>
      </c>
      <c r="E2574" t="s">
        <v>31</v>
      </c>
      <c r="F2574" t="s">
        <v>50</v>
      </c>
      <c r="G2574" t="s">
        <v>71</v>
      </c>
      <c r="H2574" t="s">
        <v>73</v>
      </c>
      <c r="I2574">
        <v>7</v>
      </c>
      <c r="J2574">
        <v>989</v>
      </c>
      <c r="K2574">
        <v>0</v>
      </c>
      <c r="L2574">
        <v>6923</v>
      </c>
      <c r="M2574">
        <v>3875.24</v>
      </c>
      <c r="N2574">
        <v>3047.76</v>
      </c>
      <c r="O2574" t="s">
        <v>77</v>
      </c>
      <c r="P2574" t="s">
        <v>86</v>
      </c>
    </row>
    <row r="2575" spans="1:16" x14ac:dyDescent="0.25">
      <c r="A2575">
        <v>2574</v>
      </c>
      <c r="B2575" s="2">
        <v>45876</v>
      </c>
      <c r="C2575" t="s">
        <v>20</v>
      </c>
      <c r="D2575" t="s">
        <v>26</v>
      </c>
      <c r="E2575" t="s">
        <v>28</v>
      </c>
      <c r="F2575" t="s">
        <v>61</v>
      </c>
      <c r="G2575" t="s">
        <v>70</v>
      </c>
      <c r="H2575" t="s">
        <v>74</v>
      </c>
      <c r="I2575">
        <v>6</v>
      </c>
      <c r="J2575">
        <v>1003</v>
      </c>
      <c r="K2575">
        <v>0.05</v>
      </c>
      <c r="L2575">
        <v>5717.1</v>
      </c>
      <c r="M2575">
        <v>4060.32</v>
      </c>
      <c r="N2575">
        <v>1656.78</v>
      </c>
      <c r="O2575" t="s">
        <v>78</v>
      </c>
      <c r="P2575" t="s">
        <v>83</v>
      </c>
    </row>
    <row r="2576" spans="1:16" x14ac:dyDescent="0.25">
      <c r="A2576">
        <v>2575</v>
      </c>
      <c r="B2576" s="2">
        <v>45660</v>
      </c>
      <c r="C2576" t="s">
        <v>20</v>
      </c>
      <c r="D2576" t="s">
        <v>26</v>
      </c>
      <c r="E2576" t="s">
        <v>29</v>
      </c>
      <c r="F2576" t="s">
        <v>53</v>
      </c>
      <c r="G2576" t="s">
        <v>71</v>
      </c>
      <c r="H2576" t="s">
        <v>73</v>
      </c>
      <c r="I2576">
        <v>6</v>
      </c>
      <c r="J2576">
        <v>9601</v>
      </c>
      <c r="K2576">
        <v>0.1</v>
      </c>
      <c r="L2576">
        <v>51845.4</v>
      </c>
      <c r="M2576">
        <v>44964.160000000003</v>
      </c>
      <c r="N2576">
        <v>6881.24</v>
      </c>
      <c r="O2576" t="s">
        <v>79</v>
      </c>
      <c r="P2576" t="s">
        <v>85</v>
      </c>
    </row>
    <row r="2577" spans="1:16" x14ac:dyDescent="0.25">
      <c r="A2577">
        <v>2576</v>
      </c>
      <c r="B2577" s="2">
        <v>46016</v>
      </c>
      <c r="C2577" t="s">
        <v>21</v>
      </c>
      <c r="D2577" t="s">
        <v>24</v>
      </c>
      <c r="E2577" t="s">
        <v>29</v>
      </c>
      <c r="F2577" t="s">
        <v>36</v>
      </c>
      <c r="G2577" t="s">
        <v>71</v>
      </c>
      <c r="H2577" t="s">
        <v>73</v>
      </c>
      <c r="I2577">
        <v>1</v>
      </c>
      <c r="J2577">
        <v>841</v>
      </c>
      <c r="K2577">
        <v>0.1</v>
      </c>
      <c r="L2577">
        <v>756.9</v>
      </c>
      <c r="M2577">
        <v>451.77</v>
      </c>
      <c r="N2577">
        <v>305.13</v>
      </c>
      <c r="O2577" t="s">
        <v>79</v>
      </c>
      <c r="P2577" t="s">
        <v>81</v>
      </c>
    </row>
    <row r="2578" spans="1:16" x14ac:dyDescent="0.25">
      <c r="A2578">
        <v>2577</v>
      </c>
      <c r="B2578" s="2">
        <v>45975</v>
      </c>
      <c r="C2578" t="s">
        <v>23</v>
      </c>
      <c r="D2578" t="s">
        <v>27</v>
      </c>
      <c r="E2578" t="s">
        <v>28</v>
      </c>
      <c r="F2578" t="s">
        <v>35</v>
      </c>
      <c r="G2578" t="s">
        <v>71</v>
      </c>
      <c r="H2578" t="s">
        <v>75</v>
      </c>
      <c r="I2578">
        <v>7</v>
      </c>
      <c r="J2578">
        <v>1590</v>
      </c>
      <c r="K2578">
        <v>0.05</v>
      </c>
      <c r="L2578">
        <v>10573.5</v>
      </c>
      <c r="M2578">
        <v>8095.06</v>
      </c>
      <c r="N2578">
        <v>2478.44</v>
      </c>
      <c r="O2578" t="s">
        <v>78</v>
      </c>
      <c r="P2578" t="s">
        <v>88</v>
      </c>
    </row>
    <row r="2579" spans="1:16" x14ac:dyDescent="0.25">
      <c r="A2579">
        <v>2578</v>
      </c>
      <c r="B2579" s="2">
        <v>45681</v>
      </c>
      <c r="C2579" t="s">
        <v>20</v>
      </c>
      <c r="D2579" t="s">
        <v>26</v>
      </c>
      <c r="E2579" t="s">
        <v>30</v>
      </c>
      <c r="F2579" t="s">
        <v>64</v>
      </c>
      <c r="G2579" t="s">
        <v>70</v>
      </c>
      <c r="H2579" t="s">
        <v>74</v>
      </c>
      <c r="I2579">
        <v>7</v>
      </c>
      <c r="J2579">
        <v>29681</v>
      </c>
      <c r="K2579">
        <v>0.05</v>
      </c>
      <c r="L2579">
        <v>197378.65</v>
      </c>
      <c r="M2579">
        <v>126705.05</v>
      </c>
      <c r="N2579">
        <v>70673.600000000006</v>
      </c>
      <c r="O2579" t="s">
        <v>77</v>
      </c>
      <c r="P2579" t="s">
        <v>88</v>
      </c>
    </row>
    <row r="2580" spans="1:16" x14ac:dyDescent="0.25">
      <c r="A2580">
        <v>2579</v>
      </c>
      <c r="B2580" s="2">
        <v>45896</v>
      </c>
      <c r="C2580" t="s">
        <v>19</v>
      </c>
      <c r="D2580" t="s">
        <v>26</v>
      </c>
      <c r="E2580" t="s">
        <v>29</v>
      </c>
      <c r="F2580" t="s">
        <v>42</v>
      </c>
      <c r="G2580" t="s">
        <v>72</v>
      </c>
      <c r="H2580" t="s">
        <v>73</v>
      </c>
      <c r="I2580">
        <v>8</v>
      </c>
      <c r="J2580">
        <v>10777</v>
      </c>
      <c r="K2580">
        <v>0.1</v>
      </c>
      <c r="L2580">
        <v>77594.399999999994</v>
      </c>
      <c r="M2580">
        <v>63103.26</v>
      </c>
      <c r="N2580">
        <v>14491.14</v>
      </c>
      <c r="O2580" t="s">
        <v>76</v>
      </c>
      <c r="P2580" t="s">
        <v>83</v>
      </c>
    </row>
    <row r="2581" spans="1:16" x14ac:dyDescent="0.25">
      <c r="A2581">
        <v>2580</v>
      </c>
      <c r="B2581" s="2">
        <v>45660</v>
      </c>
      <c r="C2581" t="s">
        <v>21</v>
      </c>
      <c r="D2581" t="s">
        <v>24</v>
      </c>
      <c r="E2581" t="s">
        <v>29</v>
      </c>
      <c r="F2581" t="s">
        <v>45</v>
      </c>
      <c r="G2581" t="s">
        <v>70</v>
      </c>
      <c r="H2581" t="s">
        <v>73</v>
      </c>
      <c r="I2581">
        <v>6</v>
      </c>
      <c r="J2581">
        <v>3717</v>
      </c>
      <c r="K2581">
        <v>0</v>
      </c>
      <c r="L2581">
        <v>22302</v>
      </c>
      <c r="M2581">
        <v>19075.71</v>
      </c>
      <c r="N2581">
        <v>3226.29</v>
      </c>
      <c r="O2581" t="s">
        <v>78</v>
      </c>
      <c r="P2581" t="s">
        <v>88</v>
      </c>
    </row>
    <row r="2582" spans="1:16" x14ac:dyDescent="0.25">
      <c r="A2582">
        <v>2581</v>
      </c>
      <c r="B2582" s="2">
        <v>45872</v>
      </c>
      <c r="C2582" t="s">
        <v>19</v>
      </c>
      <c r="D2582" t="s">
        <v>26</v>
      </c>
      <c r="E2582" t="s">
        <v>29</v>
      </c>
      <c r="F2582" t="s">
        <v>53</v>
      </c>
      <c r="G2582" t="s">
        <v>72</v>
      </c>
      <c r="H2582" t="s">
        <v>73</v>
      </c>
      <c r="I2582">
        <v>1</v>
      </c>
      <c r="J2582">
        <v>9478</v>
      </c>
      <c r="K2582">
        <v>0.1</v>
      </c>
      <c r="L2582">
        <v>8530.2000000000007</v>
      </c>
      <c r="M2582">
        <v>7184.6</v>
      </c>
      <c r="N2582">
        <v>1345.6</v>
      </c>
      <c r="O2582" t="s">
        <v>77</v>
      </c>
      <c r="P2582" t="s">
        <v>83</v>
      </c>
    </row>
    <row r="2583" spans="1:16" x14ac:dyDescent="0.25">
      <c r="A2583">
        <v>2582</v>
      </c>
      <c r="B2583" s="2">
        <v>45832</v>
      </c>
      <c r="C2583" t="s">
        <v>16</v>
      </c>
      <c r="D2583" t="s">
        <v>24</v>
      </c>
      <c r="E2583" t="s">
        <v>33</v>
      </c>
      <c r="F2583" t="s">
        <v>41</v>
      </c>
      <c r="G2583" t="s">
        <v>71</v>
      </c>
      <c r="H2583" t="s">
        <v>75</v>
      </c>
      <c r="I2583">
        <v>6</v>
      </c>
      <c r="J2583">
        <v>34172</v>
      </c>
      <c r="K2583">
        <v>0.05</v>
      </c>
      <c r="L2583">
        <v>194780.4</v>
      </c>
      <c r="M2583">
        <v>107599.29</v>
      </c>
      <c r="N2583">
        <v>87181.11</v>
      </c>
      <c r="O2583" t="s">
        <v>78</v>
      </c>
      <c r="P2583" t="s">
        <v>84</v>
      </c>
    </row>
    <row r="2584" spans="1:16" x14ac:dyDescent="0.25">
      <c r="A2584">
        <v>2583</v>
      </c>
      <c r="B2584" s="2">
        <v>45681</v>
      </c>
      <c r="C2584" t="s">
        <v>20</v>
      </c>
      <c r="D2584" t="s">
        <v>26</v>
      </c>
      <c r="E2584" t="s">
        <v>28</v>
      </c>
      <c r="F2584" t="s">
        <v>61</v>
      </c>
      <c r="G2584" t="s">
        <v>71</v>
      </c>
      <c r="H2584" t="s">
        <v>74</v>
      </c>
      <c r="I2584">
        <v>8</v>
      </c>
      <c r="J2584">
        <v>983</v>
      </c>
      <c r="K2584">
        <v>0.1</v>
      </c>
      <c r="L2584">
        <v>7077.6</v>
      </c>
      <c r="M2584">
        <v>5377.93</v>
      </c>
      <c r="N2584">
        <v>1699.67</v>
      </c>
      <c r="O2584" t="s">
        <v>78</v>
      </c>
      <c r="P2584" t="s">
        <v>82</v>
      </c>
    </row>
    <row r="2585" spans="1:16" x14ac:dyDescent="0.25">
      <c r="A2585">
        <v>2584</v>
      </c>
      <c r="B2585" s="2">
        <v>45952</v>
      </c>
      <c r="C2585" t="s">
        <v>16</v>
      </c>
      <c r="D2585" t="s">
        <v>24</v>
      </c>
      <c r="E2585" t="s">
        <v>30</v>
      </c>
      <c r="F2585" t="s">
        <v>40</v>
      </c>
      <c r="G2585" t="s">
        <v>71</v>
      </c>
      <c r="H2585" t="s">
        <v>75</v>
      </c>
      <c r="I2585">
        <v>8</v>
      </c>
      <c r="J2585">
        <v>22145</v>
      </c>
      <c r="K2585">
        <v>0.2</v>
      </c>
      <c r="L2585">
        <v>141728</v>
      </c>
      <c r="M2585">
        <v>81644.84</v>
      </c>
      <c r="N2585">
        <v>60083.16</v>
      </c>
      <c r="O2585" t="s">
        <v>77</v>
      </c>
      <c r="P2585" t="s">
        <v>83</v>
      </c>
    </row>
    <row r="2586" spans="1:16" x14ac:dyDescent="0.25">
      <c r="A2586">
        <v>2585</v>
      </c>
      <c r="B2586" s="2">
        <v>45721</v>
      </c>
      <c r="C2586" t="s">
        <v>18</v>
      </c>
      <c r="D2586" t="s">
        <v>26</v>
      </c>
      <c r="E2586" t="s">
        <v>30</v>
      </c>
      <c r="F2586" t="s">
        <v>37</v>
      </c>
      <c r="G2586" t="s">
        <v>72</v>
      </c>
      <c r="H2586" t="s">
        <v>74</v>
      </c>
      <c r="I2586">
        <v>2</v>
      </c>
      <c r="J2586">
        <v>9168</v>
      </c>
      <c r="K2586">
        <v>0.1</v>
      </c>
      <c r="L2586">
        <v>16502.400000000001</v>
      </c>
      <c r="M2586">
        <v>13203.31</v>
      </c>
      <c r="N2586">
        <v>3299.09</v>
      </c>
      <c r="O2586" t="s">
        <v>77</v>
      </c>
      <c r="P2586" t="s">
        <v>85</v>
      </c>
    </row>
    <row r="2587" spans="1:16" x14ac:dyDescent="0.25">
      <c r="A2587">
        <v>2586</v>
      </c>
      <c r="B2587" s="2">
        <v>45876</v>
      </c>
      <c r="C2587" t="s">
        <v>20</v>
      </c>
      <c r="D2587" t="s">
        <v>26</v>
      </c>
      <c r="E2587" t="s">
        <v>29</v>
      </c>
      <c r="F2587" t="s">
        <v>36</v>
      </c>
      <c r="G2587" t="s">
        <v>71</v>
      </c>
      <c r="H2587" t="s">
        <v>74</v>
      </c>
      <c r="I2587">
        <v>7</v>
      </c>
      <c r="J2587">
        <v>776</v>
      </c>
      <c r="K2587">
        <v>0.1</v>
      </c>
      <c r="L2587">
        <v>4888.8</v>
      </c>
      <c r="M2587">
        <v>2973.72</v>
      </c>
      <c r="N2587">
        <v>1915.08</v>
      </c>
      <c r="O2587" t="s">
        <v>79</v>
      </c>
      <c r="P2587" t="s">
        <v>85</v>
      </c>
    </row>
    <row r="2588" spans="1:16" x14ac:dyDescent="0.25">
      <c r="A2588">
        <v>2587</v>
      </c>
      <c r="B2588" s="2">
        <v>45974</v>
      </c>
      <c r="C2588" t="s">
        <v>19</v>
      </c>
      <c r="D2588" t="s">
        <v>26</v>
      </c>
      <c r="E2588" t="s">
        <v>34</v>
      </c>
      <c r="F2588" t="s">
        <v>68</v>
      </c>
      <c r="G2588" t="s">
        <v>71</v>
      </c>
      <c r="H2588" t="s">
        <v>74</v>
      </c>
      <c r="I2588">
        <v>1</v>
      </c>
      <c r="J2588">
        <v>4176</v>
      </c>
      <c r="K2588">
        <v>0</v>
      </c>
      <c r="L2588">
        <v>4176</v>
      </c>
      <c r="M2588">
        <v>3203.79</v>
      </c>
      <c r="N2588">
        <v>972.21</v>
      </c>
      <c r="O2588" t="s">
        <v>80</v>
      </c>
      <c r="P2588" t="s">
        <v>84</v>
      </c>
    </row>
    <row r="2589" spans="1:16" x14ac:dyDescent="0.25">
      <c r="A2589">
        <v>2588</v>
      </c>
      <c r="B2589" s="2">
        <v>45661</v>
      </c>
      <c r="C2589" t="s">
        <v>18</v>
      </c>
      <c r="D2589" t="s">
        <v>26</v>
      </c>
      <c r="E2589" t="s">
        <v>32</v>
      </c>
      <c r="F2589" t="s">
        <v>39</v>
      </c>
      <c r="G2589" t="s">
        <v>72</v>
      </c>
      <c r="H2589" t="s">
        <v>75</v>
      </c>
      <c r="I2589">
        <v>3</v>
      </c>
      <c r="J2589">
        <v>10553</v>
      </c>
      <c r="K2589">
        <v>0.05</v>
      </c>
      <c r="L2589">
        <v>30076.05</v>
      </c>
      <c r="M2589">
        <v>24163.43</v>
      </c>
      <c r="N2589">
        <v>5912.62</v>
      </c>
      <c r="O2589" t="s">
        <v>78</v>
      </c>
      <c r="P2589" t="s">
        <v>88</v>
      </c>
    </row>
    <row r="2590" spans="1:16" x14ac:dyDescent="0.25">
      <c r="A2590">
        <v>2589</v>
      </c>
      <c r="B2590" s="2">
        <v>45829</v>
      </c>
      <c r="C2590" t="s">
        <v>21</v>
      </c>
      <c r="D2590" t="s">
        <v>24</v>
      </c>
      <c r="E2590" t="s">
        <v>28</v>
      </c>
      <c r="F2590" t="s">
        <v>63</v>
      </c>
      <c r="G2590" t="s">
        <v>71</v>
      </c>
      <c r="H2590" t="s">
        <v>73</v>
      </c>
      <c r="I2590">
        <v>1</v>
      </c>
      <c r="J2590">
        <v>1291</v>
      </c>
      <c r="K2590">
        <v>0.15</v>
      </c>
      <c r="L2590">
        <v>1097.3499999999999</v>
      </c>
      <c r="M2590">
        <v>829.71</v>
      </c>
      <c r="N2590">
        <v>267.64</v>
      </c>
      <c r="O2590" t="s">
        <v>77</v>
      </c>
      <c r="P2590" t="s">
        <v>87</v>
      </c>
    </row>
    <row r="2591" spans="1:16" x14ac:dyDescent="0.25">
      <c r="A2591">
        <v>2590</v>
      </c>
      <c r="B2591" s="2">
        <v>45713</v>
      </c>
      <c r="C2591" t="s">
        <v>20</v>
      </c>
      <c r="D2591" t="s">
        <v>26</v>
      </c>
      <c r="E2591" t="s">
        <v>33</v>
      </c>
      <c r="F2591" t="s">
        <v>46</v>
      </c>
      <c r="G2591" t="s">
        <v>71</v>
      </c>
      <c r="H2591" t="s">
        <v>73</v>
      </c>
      <c r="I2591">
        <v>1</v>
      </c>
      <c r="J2591">
        <v>34100</v>
      </c>
      <c r="K2591">
        <v>0.05</v>
      </c>
      <c r="L2591">
        <v>32395</v>
      </c>
      <c r="M2591">
        <v>24484.240000000002</v>
      </c>
      <c r="N2591">
        <v>7910.76</v>
      </c>
      <c r="O2591" t="s">
        <v>80</v>
      </c>
      <c r="P2591" t="s">
        <v>83</v>
      </c>
    </row>
    <row r="2592" spans="1:16" x14ac:dyDescent="0.25">
      <c r="A2592">
        <v>2591</v>
      </c>
      <c r="B2592" s="2">
        <v>46015</v>
      </c>
      <c r="C2592" t="s">
        <v>16</v>
      </c>
      <c r="D2592" t="s">
        <v>24</v>
      </c>
      <c r="E2592" t="s">
        <v>29</v>
      </c>
      <c r="F2592" t="s">
        <v>45</v>
      </c>
      <c r="G2592" t="s">
        <v>71</v>
      </c>
      <c r="H2592" t="s">
        <v>74</v>
      </c>
      <c r="I2592">
        <v>1</v>
      </c>
      <c r="J2592">
        <v>5435</v>
      </c>
      <c r="K2592">
        <v>0.1</v>
      </c>
      <c r="L2592">
        <v>4891.5</v>
      </c>
      <c r="M2592">
        <v>2980.63</v>
      </c>
      <c r="N2592">
        <v>1910.87</v>
      </c>
      <c r="O2592" t="s">
        <v>80</v>
      </c>
      <c r="P2592" t="s">
        <v>82</v>
      </c>
    </row>
    <row r="2593" spans="1:16" x14ac:dyDescent="0.25">
      <c r="A2593">
        <v>2592</v>
      </c>
      <c r="B2593" s="2">
        <v>45902</v>
      </c>
      <c r="C2593" t="s">
        <v>23</v>
      </c>
      <c r="D2593" t="s">
        <v>27</v>
      </c>
      <c r="E2593" t="s">
        <v>31</v>
      </c>
      <c r="F2593" t="s">
        <v>47</v>
      </c>
      <c r="G2593" t="s">
        <v>72</v>
      </c>
      <c r="H2593" t="s">
        <v>75</v>
      </c>
      <c r="I2593">
        <v>8</v>
      </c>
      <c r="J2593">
        <v>587</v>
      </c>
      <c r="K2593">
        <v>0.15</v>
      </c>
      <c r="L2593">
        <v>3991.6</v>
      </c>
      <c r="M2593">
        <v>2205.8000000000002</v>
      </c>
      <c r="N2593">
        <v>1785.8</v>
      </c>
      <c r="O2593" t="s">
        <v>80</v>
      </c>
      <c r="P2593" t="s">
        <v>85</v>
      </c>
    </row>
    <row r="2594" spans="1:16" x14ac:dyDescent="0.25">
      <c r="A2594">
        <v>2593</v>
      </c>
      <c r="B2594" s="2">
        <v>45818</v>
      </c>
      <c r="C2594" t="s">
        <v>20</v>
      </c>
      <c r="D2594" t="s">
        <v>26</v>
      </c>
      <c r="E2594" t="s">
        <v>31</v>
      </c>
      <c r="F2594" t="s">
        <v>67</v>
      </c>
      <c r="G2594" t="s">
        <v>70</v>
      </c>
      <c r="H2594" t="s">
        <v>73</v>
      </c>
      <c r="I2594">
        <v>8</v>
      </c>
      <c r="J2594">
        <v>2012</v>
      </c>
      <c r="K2594">
        <v>0</v>
      </c>
      <c r="L2594">
        <v>16096</v>
      </c>
      <c r="M2594">
        <v>12227.02</v>
      </c>
      <c r="N2594">
        <v>3868.98</v>
      </c>
      <c r="O2594" t="s">
        <v>78</v>
      </c>
      <c r="P2594" t="s">
        <v>84</v>
      </c>
    </row>
    <row r="2595" spans="1:16" x14ac:dyDescent="0.25">
      <c r="A2595">
        <v>2594</v>
      </c>
      <c r="B2595" s="2">
        <v>45746</v>
      </c>
      <c r="C2595" t="s">
        <v>20</v>
      </c>
      <c r="D2595" t="s">
        <v>26</v>
      </c>
      <c r="E2595" t="s">
        <v>32</v>
      </c>
      <c r="F2595" t="s">
        <v>49</v>
      </c>
      <c r="G2595" t="s">
        <v>72</v>
      </c>
      <c r="H2595" t="s">
        <v>74</v>
      </c>
      <c r="I2595">
        <v>3</v>
      </c>
      <c r="J2595">
        <v>16488</v>
      </c>
      <c r="K2595">
        <v>0</v>
      </c>
      <c r="L2595">
        <v>49464</v>
      </c>
      <c r="M2595">
        <v>38537.599999999999</v>
      </c>
      <c r="N2595">
        <v>10926.4</v>
      </c>
      <c r="O2595" t="s">
        <v>77</v>
      </c>
      <c r="P2595" t="s">
        <v>85</v>
      </c>
    </row>
    <row r="2596" spans="1:16" x14ac:dyDescent="0.25">
      <c r="A2596">
        <v>2595</v>
      </c>
      <c r="B2596" s="2">
        <v>45772</v>
      </c>
      <c r="C2596" t="s">
        <v>20</v>
      </c>
      <c r="D2596" t="s">
        <v>26</v>
      </c>
      <c r="E2596" t="s">
        <v>32</v>
      </c>
      <c r="F2596" t="s">
        <v>62</v>
      </c>
      <c r="G2596" t="s">
        <v>72</v>
      </c>
      <c r="H2596" t="s">
        <v>73</v>
      </c>
      <c r="I2596">
        <v>8</v>
      </c>
      <c r="J2596">
        <v>8765</v>
      </c>
      <c r="K2596">
        <v>0.15</v>
      </c>
      <c r="L2596">
        <v>59602</v>
      </c>
      <c r="M2596">
        <v>46568.71</v>
      </c>
      <c r="N2596">
        <v>13033.29</v>
      </c>
      <c r="O2596" t="s">
        <v>78</v>
      </c>
      <c r="P2596" t="s">
        <v>85</v>
      </c>
    </row>
    <row r="2597" spans="1:16" x14ac:dyDescent="0.25">
      <c r="A2597">
        <v>2596</v>
      </c>
      <c r="B2597" s="2">
        <v>45897</v>
      </c>
      <c r="C2597" t="s">
        <v>17</v>
      </c>
      <c r="D2597" t="s">
        <v>25</v>
      </c>
      <c r="E2597" t="s">
        <v>29</v>
      </c>
      <c r="F2597" t="s">
        <v>36</v>
      </c>
      <c r="G2597" t="s">
        <v>70</v>
      </c>
      <c r="H2597" t="s">
        <v>75</v>
      </c>
      <c r="I2597">
        <v>7</v>
      </c>
      <c r="J2597">
        <v>5851</v>
      </c>
      <c r="K2597">
        <v>0.1</v>
      </c>
      <c r="L2597">
        <v>36861.300000000003</v>
      </c>
      <c r="M2597">
        <v>32399.01</v>
      </c>
      <c r="N2597">
        <v>4462.29</v>
      </c>
      <c r="O2597" t="s">
        <v>77</v>
      </c>
      <c r="P2597" t="s">
        <v>83</v>
      </c>
    </row>
    <row r="2598" spans="1:16" x14ac:dyDescent="0.25">
      <c r="A2598">
        <v>2597</v>
      </c>
      <c r="B2598" s="2">
        <v>45967</v>
      </c>
      <c r="C2598" t="s">
        <v>19</v>
      </c>
      <c r="D2598" t="s">
        <v>26</v>
      </c>
      <c r="E2598" t="s">
        <v>29</v>
      </c>
      <c r="F2598" t="s">
        <v>45</v>
      </c>
      <c r="G2598" t="s">
        <v>70</v>
      </c>
      <c r="H2598" t="s">
        <v>74</v>
      </c>
      <c r="I2598">
        <v>1</v>
      </c>
      <c r="J2598">
        <v>9093</v>
      </c>
      <c r="K2598">
        <v>0.1</v>
      </c>
      <c r="L2598">
        <v>8183.7</v>
      </c>
      <c r="M2598">
        <v>6596.96</v>
      </c>
      <c r="N2598">
        <v>1586.74</v>
      </c>
      <c r="O2598" t="s">
        <v>76</v>
      </c>
      <c r="P2598" t="s">
        <v>86</v>
      </c>
    </row>
    <row r="2599" spans="1:16" x14ac:dyDescent="0.25">
      <c r="A2599">
        <v>2598</v>
      </c>
      <c r="B2599" s="2">
        <v>45880</v>
      </c>
      <c r="C2599" t="s">
        <v>20</v>
      </c>
      <c r="D2599" t="s">
        <v>26</v>
      </c>
      <c r="E2599" t="s">
        <v>30</v>
      </c>
      <c r="F2599" t="s">
        <v>64</v>
      </c>
      <c r="G2599" t="s">
        <v>71</v>
      </c>
      <c r="H2599" t="s">
        <v>75</v>
      </c>
      <c r="I2599">
        <v>1</v>
      </c>
      <c r="J2599">
        <v>2387</v>
      </c>
      <c r="K2599">
        <v>0.05</v>
      </c>
      <c r="L2599">
        <v>2267.65</v>
      </c>
      <c r="M2599">
        <v>1530.76</v>
      </c>
      <c r="N2599">
        <v>736.89</v>
      </c>
      <c r="O2599" t="s">
        <v>76</v>
      </c>
      <c r="P2599" t="s">
        <v>85</v>
      </c>
    </row>
    <row r="2600" spans="1:16" x14ac:dyDescent="0.25">
      <c r="A2600">
        <v>2599</v>
      </c>
      <c r="B2600" s="2">
        <v>45766</v>
      </c>
      <c r="C2600" t="s">
        <v>21</v>
      </c>
      <c r="D2600" t="s">
        <v>24</v>
      </c>
      <c r="E2600" t="s">
        <v>33</v>
      </c>
      <c r="F2600" t="s">
        <v>52</v>
      </c>
      <c r="G2600" t="s">
        <v>70</v>
      </c>
      <c r="H2600" t="s">
        <v>75</v>
      </c>
      <c r="I2600">
        <v>1</v>
      </c>
      <c r="J2600">
        <v>41805</v>
      </c>
      <c r="K2600">
        <v>0.1</v>
      </c>
      <c r="L2600">
        <v>37624.5</v>
      </c>
      <c r="M2600">
        <v>23261.51</v>
      </c>
      <c r="N2600">
        <v>14362.99</v>
      </c>
      <c r="O2600" t="s">
        <v>78</v>
      </c>
      <c r="P2600" t="s">
        <v>82</v>
      </c>
    </row>
    <row r="2601" spans="1:16" x14ac:dyDescent="0.25">
      <c r="A2601">
        <v>2600</v>
      </c>
      <c r="B2601" s="2">
        <v>45914</v>
      </c>
      <c r="C2601" t="s">
        <v>17</v>
      </c>
      <c r="D2601" t="s">
        <v>25</v>
      </c>
      <c r="E2601" t="s">
        <v>34</v>
      </c>
      <c r="F2601" t="s">
        <v>68</v>
      </c>
      <c r="G2601" t="s">
        <v>70</v>
      </c>
      <c r="H2601" t="s">
        <v>73</v>
      </c>
      <c r="I2601">
        <v>5</v>
      </c>
      <c r="J2601">
        <v>2798</v>
      </c>
      <c r="K2601">
        <v>0.2</v>
      </c>
      <c r="L2601">
        <v>11192</v>
      </c>
      <c r="M2601">
        <v>7657.94</v>
      </c>
      <c r="N2601">
        <v>3534.06</v>
      </c>
      <c r="O2601" t="s">
        <v>79</v>
      </c>
      <c r="P2601" t="s">
        <v>83</v>
      </c>
    </row>
    <row r="2602" spans="1:16" x14ac:dyDescent="0.25">
      <c r="A2602">
        <v>2601</v>
      </c>
      <c r="B2602" s="2">
        <v>45853</v>
      </c>
      <c r="C2602" t="s">
        <v>21</v>
      </c>
      <c r="D2602" t="s">
        <v>24</v>
      </c>
      <c r="E2602" t="s">
        <v>32</v>
      </c>
      <c r="F2602" t="s">
        <v>39</v>
      </c>
      <c r="G2602" t="s">
        <v>70</v>
      </c>
      <c r="H2602" t="s">
        <v>75</v>
      </c>
      <c r="I2602">
        <v>4</v>
      </c>
      <c r="J2602">
        <v>2432</v>
      </c>
      <c r="K2602">
        <v>0.1</v>
      </c>
      <c r="L2602">
        <v>8755.2000000000007</v>
      </c>
      <c r="M2602">
        <v>7642.12</v>
      </c>
      <c r="N2602">
        <v>1113.08</v>
      </c>
      <c r="O2602" t="s">
        <v>78</v>
      </c>
      <c r="P2602" t="s">
        <v>84</v>
      </c>
    </row>
    <row r="2603" spans="1:16" x14ac:dyDescent="0.25">
      <c r="A2603">
        <v>2602</v>
      </c>
      <c r="B2603" s="2">
        <v>45757</v>
      </c>
      <c r="C2603" t="s">
        <v>22</v>
      </c>
      <c r="D2603" t="s">
        <v>24</v>
      </c>
      <c r="E2603" t="s">
        <v>33</v>
      </c>
      <c r="F2603" t="s">
        <v>41</v>
      </c>
      <c r="G2603" t="s">
        <v>71</v>
      </c>
      <c r="H2603" t="s">
        <v>74</v>
      </c>
      <c r="I2603">
        <v>6</v>
      </c>
      <c r="J2603">
        <v>30480</v>
      </c>
      <c r="K2603">
        <v>0.1</v>
      </c>
      <c r="L2603">
        <v>164592</v>
      </c>
      <c r="M2603">
        <v>108884.85</v>
      </c>
      <c r="N2603">
        <v>55707.15</v>
      </c>
      <c r="O2603" t="s">
        <v>78</v>
      </c>
      <c r="P2603" t="s">
        <v>87</v>
      </c>
    </row>
    <row r="2604" spans="1:16" x14ac:dyDescent="0.25">
      <c r="A2604">
        <v>2603</v>
      </c>
      <c r="B2604" s="2">
        <v>45792</v>
      </c>
      <c r="C2604" t="s">
        <v>22</v>
      </c>
      <c r="D2604" t="s">
        <v>24</v>
      </c>
      <c r="E2604" t="s">
        <v>34</v>
      </c>
      <c r="F2604" t="s">
        <v>43</v>
      </c>
      <c r="G2604" t="s">
        <v>71</v>
      </c>
      <c r="H2604" t="s">
        <v>73</v>
      </c>
      <c r="I2604">
        <v>4</v>
      </c>
      <c r="J2604">
        <v>5708</v>
      </c>
      <c r="K2604">
        <v>0.1</v>
      </c>
      <c r="L2604">
        <v>20548.8</v>
      </c>
      <c r="M2604">
        <v>14075.69</v>
      </c>
      <c r="N2604">
        <v>6473.11</v>
      </c>
      <c r="O2604" t="s">
        <v>77</v>
      </c>
      <c r="P2604" t="s">
        <v>84</v>
      </c>
    </row>
    <row r="2605" spans="1:16" x14ac:dyDescent="0.25">
      <c r="A2605">
        <v>2604</v>
      </c>
      <c r="B2605" s="2">
        <v>45669</v>
      </c>
      <c r="C2605" t="s">
        <v>19</v>
      </c>
      <c r="D2605" t="s">
        <v>26</v>
      </c>
      <c r="E2605" t="s">
        <v>28</v>
      </c>
      <c r="F2605" t="s">
        <v>35</v>
      </c>
      <c r="G2605" t="s">
        <v>72</v>
      </c>
      <c r="H2605" t="s">
        <v>73</v>
      </c>
      <c r="I2605">
        <v>3</v>
      </c>
      <c r="J2605">
        <v>1641</v>
      </c>
      <c r="K2605">
        <v>0.2</v>
      </c>
      <c r="L2605">
        <v>3938.4</v>
      </c>
      <c r="M2605">
        <v>2378.13</v>
      </c>
      <c r="N2605">
        <v>1560.27</v>
      </c>
      <c r="O2605" t="s">
        <v>76</v>
      </c>
      <c r="P2605" t="s">
        <v>82</v>
      </c>
    </row>
    <row r="2606" spans="1:16" x14ac:dyDescent="0.25">
      <c r="A2606">
        <v>2605</v>
      </c>
      <c r="B2606" s="2">
        <v>45787</v>
      </c>
      <c r="C2606" t="s">
        <v>20</v>
      </c>
      <c r="D2606" t="s">
        <v>26</v>
      </c>
      <c r="E2606" t="s">
        <v>28</v>
      </c>
      <c r="F2606" t="s">
        <v>35</v>
      </c>
      <c r="G2606" t="s">
        <v>71</v>
      </c>
      <c r="H2606" t="s">
        <v>75</v>
      </c>
      <c r="I2606">
        <v>2</v>
      </c>
      <c r="J2606">
        <v>782</v>
      </c>
      <c r="K2606">
        <v>0.1</v>
      </c>
      <c r="L2606">
        <v>1407.6</v>
      </c>
      <c r="M2606">
        <v>969.59</v>
      </c>
      <c r="N2606">
        <v>438.01</v>
      </c>
      <c r="O2606" t="s">
        <v>79</v>
      </c>
      <c r="P2606" t="s">
        <v>81</v>
      </c>
    </row>
    <row r="2607" spans="1:16" x14ac:dyDescent="0.25">
      <c r="A2607">
        <v>2606</v>
      </c>
      <c r="B2607" s="2">
        <v>45690</v>
      </c>
      <c r="C2607" t="s">
        <v>16</v>
      </c>
      <c r="D2607" t="s">
        <v>24</v>
      </c>
      <c r="E2607" t="s">
        <v>31</v>
      </c>
      <c r="F2607" t="s">
        <v>69</v>
      </c>
      <c r="G2607" t="s">
        <v>72</v>
      </c>
      <c r="H2607" t="s">
        <v>75</v>
      </c>
      <c r="I2607">
        <v>4</v>
      </c>
      <c r="J2607">
        <v>1113</v>
      </c>
      <c r="K2607">
        <v>0.1</v>
      </c>
      <c r="L2607">
        <v>4006.8</v>
      </c>
      <c r="M2607">
        <v>2926.68</v>
      </c>
      <c r="N2607">
        <v>1080.1199999999999</v>
      </c>
      <c r="O2607" t="s">
        <v>78</v>
      </c>
      <c r="P2607" t="s">
        <v>86</v>
      </c>
    </row>
    <row r="2608" spans="1:16" x14ac:dyDescent="0.25">
      <c r="A2608">
        <v>2607</v>
      </c>
      <c r="B2608" s="2">
        <v>45670</v>
      </c>
      <c r="C2608" t="s">
        <v>21</v>
      </c>
      <c r="D2608" t="s">
        <v>24</v>
      </c>
      <c r="E2608" t="s">
        <v>30</v>
      </c>
      <c r="F2608" t="s">
        <v>37</v>
      </c>
      <c r="G2608" t="s">
        <v>71</v>
      </c>
      <c r="H2608" t="s">
        <v>74</v>
      </c>
      <c r="I2608">
        <v>7</v>
      </c>
      <c r="J2608">
        <v>56107</v>
      </c>
      <c r="K2608">
        <v>0.05</v>
      </c>
      <c r="L2608">
        <v>373111.55</v>
      </c>
      <c r="M2608">
        <v>237320.66</v>
      </c>
      <c r="N2608">
        <v>135790.89000000001</v>
      </c>
      <c r="O2608" t="s">
        <v>80</v>
      </c>
      <c r="P2608" t="s">
        <v>83</v>
      </c>
    </row>
    <row r="2609" spans="1:16" x14ac:dyDescent="0.25">
      <c r="A2609">
        <v>2608</v>
      </c>
      <c r="B2609" s="2">
        <v>45852</v>
      </c>
      <c r="C2609" t="s">
        <v>16</v>
      </c>
      <c r="D2609" t="s">
        <v>24</v>
      </c>
      <c r="E2609" t="s">
        <v>30</v>
      </c>
      <c r="F2609" t="s">
        <v>64</v>
      </c>
      <c r="G2609" t="s">
        <v>71</v>
      </c>
      <c r="H2609" t="s">
        <v>75</v>
      </c>
      <c r="I2609">
        <v>6</v>
      </c>
      <c r="J2609">
        <v>19701</v>
      </c>
      <c r="K2609">
        <v>0.1</v>
      </c>
      <c r="L2609">
        <v>106385.4</v>
      </c>
      <c r="M2609">
        <v>85794.16</v>
      </c>
      <c r="N2609">
        <v>20591.240000000002</v>
      </c>
      <c r="O2609" t="s">
        <v>77</v>
      </c>
      <c r="P2609" t="s">
        <v>84</v>
      </c>
    </row>
    <row r="2610" spans="1:16" x14ac:dyDescent="0.25">
      <c r="A2610">
        <v>2609</v>
      </c>
      <c r="B2610" s="2">
        <v>45678</v>
      </c>
      <c r="C2610" t="s">
        <v>23</v>
      </c>
      <c r="D2610" t="s">
        <v>27</v>
      </c>
      <c r="E2610" t="s">
        <v>28</v>
      </c>
      <c r="F2610" t="s">
        <v>35</v>
      </c>
      <c r="G2610" t="s">
        <v>72</v>
      </c>
      <c r="H2610" t="s">
        <v>73</v>
      </c>
      <c r="I2610">
        <v>4</v>
      </c>
      <c r="J2610">
        <v>945</v>
      </c>
      <c r="K2610">
        <v>0.1</v>
      </c>
      <c r="L2610">
        <v>3402</v>
      </c>
      <c r="M2610">
        <v>2075.61</v>
      </c>
      <c r="N2610">
        <v>1326.39</v>
      </c>
      <c r="O2610" t="s">
        <v>78</v>
      </c>
      <c r="P2610" t="s">
        <v>81</v>
      </c>
    </row>
    <row r="2611" spans="1:16" x14ac:dyDescent="0.25">
      <c r="A2611">
        <v>2610</v>
      </c>
      <c r="B2611" s="2">
        <v>45947</v>
      </c>
      <c r="C2611" t="s">
        <v>21</v>
      </c>
      <c r="D2611" t="s">
        <v>24</v>
      </c>
      <c r="E2611" t="s">
        <v>34</v>
      </c>
      <c r="F2611" t="s">
        <v>51</v>
      </c>
      <c r="G2611" t="s">
        <v>72</v>
      </c>
      <c r="H2611" t="s">
        <v>74</v>
      </c>
      <c r="I2611">
        <v>1</v>
      </c>
      <c r="J2611">
        <v>3851</v>
      </c>
      <c r="K2611">
        <v>0.15</v>
      </c>
      <c r="L2611">
        <v>3273.35</v>
      </c>
      <c r="M2611">
        <v>2188.4299999999998</v>
      </c>
      <c r="N2611">
        <v>1084.92</v>
      </c>
      <c r="O2611" t="s">
        <v>80</v>
      </c>
      <c r="P2611" t="s">
        <v>81</v>
      </c>
    </row>
    <row r="2612" spans="1:16" x14ac:dyDescent="0.25">
      <c r="A2612">
        <v>2611</v>
      </c>
      <c r="B2612" s="2">
        <v>45894</v>
      </c>
      <c r="C2612" t="s">
        <v>16</v>
      </c>
      <c r="D2612" t="s">
        <v>24</v>
      </c>
      <c r="E2612" t="s">
        <v>34</v>
      </c>
      <c r="F2612" t="s">
        <v>43</v>
      </c>
      <c r="G2612" t="s">
        <v>70</v>
      </c>
      <c r="H2612" t="s">
        <v>73</v>
      </c>
      <c r="I2612">
        <v>5</v>
      </c>
      <c r="J2612">
        <v>4694</v>
      </c>
      <c r="K2612">
        <v>0.05</v>
      </c>
      <c r="L2612">
        <v>22296.5</v>
      </c>
      <c r="M2612">
        <v>15860.42</v>
      </c>
      <c r="N2612">
        <v>6436.08</v>
      </c>
      <c r="O2612" t="s">
        <v>77</v>
      </c>
      <c r="P2612" t="s">
        <v>88</v>
      </c>
    </row>
    <row r="2613" spans="1:16" x14ac:dyDescent="0.25">
      <c r="A2613">
        <v>2612</v>
      </c>
      <c r="B2613" s="2">
        <v>45736</v>
      </c>
      <c r="C2613" t="s">
        <v>20</v>
      </c>
      <c r="D2613" t="s">
        <v>26</v>
      </c>
      <c r="E2613" t="s">
        <v>33</v>
      </c>
      <c r="F2613" t="s">
        <v>59</v>
      </c>
      <c r="G2613" t="s">
        <v>72</v>
      </c>
      <c r="H2613" t="s">
        <v>75</v>
      </c>
      <c r="I2613">
        <v>1</v>
      </c>
      <c r="J2613">
        <v>38100</v>
      </c>
      <c r="K2613">
        <v>0.05</v>
      </c>
      <c r="L2613">
        <v>36195</v>
      </c>
      <c r="M2613">
        <v>30961.14</v>
      </c>
      <c r="N2613">
        <v>5233.8599999999997</v>
      </c>
      <c r="O2613" t="s">
        <v>76</v>
      </c>
      <c r="P2613" t="s">
        <v>85</v>
      </c>
    </row>
    <row r="2614" spans="1:16" x14ac:dyDescent="0.25">
      <c r="A2614">
        <v>2613</v>
      </c>
      <c r="B2614" s="2">
        <v>45939</v>
      </c>
      <c r="C2614" t="s">
        <v>23</v>
      </c>
      <c r="D2614" t="s">
        <v>27</v>
      </c>
      <c r="E2614" t="s">
        <v>33</v>
      </c>
      <c r="F2614" t="s">
        <v>52</v>
      </c>
      <c r="G2614" t="s">
        <v>70</v>
      </c>
      <c r="H2614" t="s">
        <v>73</v>
      </c>
      <c r="I2614">
        <v>6</v>
      </c>
      <c r="J2614">
        <v>31562</v>
      </c>
      <c r="K2614">
        <v>0</v>
      </c>
      <c r="L2614">
        <v>189372</v>
      </c>
      <c r="M2614">
        <v>127290.48</v>
      </c>
      <c r="N2614">
        <v>62081.52</v>
      </c>
      <c r="O2614" t="s">
        <v>80</v>
      </c>
      <c r="P2614" t="s">
        <v>82</v>
      </c>
    </row>
    <row r="2615" spans="1:16" x14ac:dyDescent="0.25">
      <c r="A2615">
        <v>2614</v>
      </c>
      <c r="B2615" s="2">
        <v>45830</v>
      </c>
      <c r="C2615" t="s">
        <v>16</v>
      </c>
      <c r="D2615" t="s">
        <v>24</v>
      </c>
      <c r="E2615" t="s">
        <v>33</v>
      </c>
      <c r="F2615" t="s">
        <v>52</v>
      </c>
      <c r="G2615" t="s">
        <v>70</v>
      </c>
      <c r="H2615" t="s">
        <v>74</v>
      </c>
      <c r="I2615">
        <v>2</v>
      </c>
      <c r="J2615">
        <v>28308</v>
      </c>
      <c r="K2615">
        <v>0.05</v>
      </c>
      <c r="L2615">
        <v>53785.2</v>
      </c>
      <c r="M2615">
        <v>31043.55</v>
      </c>
      <c r="N2615">
        <v>22741.65</v>
      </c>
      <c r="O2615" t="s">
        <v>78</v>
      </c>
      <c r="P2615" t="s">
        <v>87</v>
      </c>
    </row>
    <row r="2616" spans="1:16" x14ac:dyDescent="0.25">
      <c r="A2616">
        <v>2615</v>
      </c>
      <c r="B2616" s="2">
        <v>45993</v>
      </c>
      <c r="C2616" t="s">
        <v>18</v>
      </c>
      <c r="D2616" t="s">
        <v>26</v>
      </c>
      <c r="E2616" t="s">
        <v>31</v>
      </c>
      <c r="F2616" t="s">
        <v>50</v>
      </c>
      <c r="G2616" t="s">
        <v>72</v>
      </c>
      <c r="H2616" t="s">
        <v>73</v>
      </c>
      <c r="I2616">
        <v>5</v>
      </c>
      <c r="J2616">
        <v>542</v>
      </c>
      <c r="K2616">
        <v>0.1</v>
      </c>
      <c r="L2616">
        <v>2439</v>
      </c>
      <c r="M2616">
        <v>1553.76</v>
      </c>
      <c r="N2616">
        <v>885.24</v>
      </c>
      <c r="O2616" t="s">
        <v>77</v>
      </c>
      <c r="P2616" t="s">
        <v>86</v>
      </c>
    </row>
    <row r="2617" spans="1:16" x14ac:dyDescent="0.25">
      <c r="A2617">
        <v>2616</v>
      </c>
      <c r="B2617" s="2">
        <v>45939</v>
      </c>
      <c r="C2617" t="s">
        <v>19</v>
      </c>
      <c r="D2617" t="s">
        <v>26</v>
      </c>
      <c r="E2617" t="s">
        <v>31</v>
      </c>
      <c r="F2617" t="s">
        <v>69</v>
      </c>
      <c r="G2617" t="s">
        <v>72</v>
      </c>
      <c r="H2617" t="s">
        <v>75</v>
      </c>
      <c r="I2617">
        <v>5</v>
      </c>
      <c r="J2617">
        <v>868</v>
      </c>
      <c r="K2617">
        <v>0.1</v>
      </c>
      <c r="L2617">
        <v>3906</v>
      </c>
      <c r="M2617">
        <v>2220.6999999999998</v>
      </c>
      <c r="N2617">
        <v>1685.3</v>
      </c>
      <c r="O2617" t="s">
        <v>77</v>
      </c>
      <c r="P2617" t="s">
        <v>85</v>
      </c>
    </row>
    <row r="2618" spans="1:16" x14ac:dyDescent="0.25">
      <c r="A2618">
        <v>2617</v>
      </c>
      <c r="B2618" s="2">
        <v>46019</v>
      </c>
      <c r="C2618" t="s">
        <v>20</v>
      </c>
      <c r="D2618" t="s">
        <v>26</v>
      </c>
      <c r="E2618" t="s">
        <v>32</v>
      </c>
      <c r="F2618" t="s">
        <v>39</v>
      </c>
      <c r="G2618" t="s">
        <v>72</v>
      </c>
      <c r="H2618" t="s">
        <v>74</v>
      </c>
      <c r="I2618">
        <v>6</v>
      </c>
      <c r="J2618">
        <v>4012</v>
      </c>
      <c r="K2618">
        <v>0.1</v>
      </c>
      <c r="L2618">
        <v>21664.799999999999</v>
      </c>
      <c r="M2618">
        <v>14922.2</v>
      </c>
      <c r="N2618">
        <v>6742.6</v>
      </c>
      <c r="O2618" t="s">
        <v>76</v>
      </c>
      <c r="P2618" t="s">
        <v>83</v>
      </c>
    </row>
    <row r="2619" spans="1:16" x14ac:dyDescent="0.25">
      <c r="A2619">
        <v>2618</v>
      </c>
      <c r="B2619" s="2">
        <v>45890</v>
      </c>
      <c r="C2619" t="s">
        <v>19</v>
      </c>
      <c r="D2619" t="s">
        <v>26</v>
      </c>
      <c r="E2619" t="s">
        <v>28</v>
      </c>
      <c r="F2619" t="s">
        <v>63</v>
      </c>
      <c r="G2619" t="s">
        <v>70</v>
      </c>
      <c r="H2619" t="s">
        <v>74</v>
      </c>
      <c r="I2619">
        <v>2</v>
      </c>
      <c r="J2619">
        <v>1926</v>
      </c>
      <c r="K2619">
        <v>0.05</v>
      </c>
      <c r="L2619">
        <v>3659.4</v>
      </c>
      <c r="M2619">
        <v>2239.15</v>
      </c>
      <c r="N2619">
        <v>1420.25</v>
      </c>
      <c r="O2619" t="s">
        <v>78</v>
      </c>
      <c r="P2619" t="s">
        <v>86</v>
      </c>
    </row>
    <row r="2620" spans="1:16" x14ac:dyDescent="0.25">
      <c r="A2620">
        <v>2619</v>
      </c>
      <c r="B2620" s="2">
        <v>45985</v>
      </c>
      <c r="C2620" t="s">
        <v>22</v>
      </c>
      <c r="D2620" t="s">
        <v>24</v>
      </c>
      <c r="E2620" t="s">
        <v>34</v>
      </c>
      <c r="F2620" t="s">
        <v>68</v>
      </c>
      <c r="G2620" t="s">
        <v>71</v>
      </c>
      <c r="H2620" t="s">
        <v>73</v>
      </c>
      <c r="I2620">
        <v>2</v>
      </c>
      <c r="J2620">
        <v>2426</v>
      </c>
      <c r="K2620">
        <v>0.05</v>
      </c>
      <c r="L2620">
        <v>4609.3999999999996</v>
      </c>
      <c r="M2620">
        <v>3194.6</v>
      </c>
      <c r="N2620">
        <v>1414.8</v>
      </c>
      <c r="O2620" t="s">
        <v>77</v>
      </c>
      <c r="P2620" t="s">
        <v>84</v>
      </c>
    </row>
    <row r="2621" spans="1:16" x14ac:dyDescent="0.25">
      <c r="A2621">
        <v>2620</v>
      </c>
      <c r="B2621" s="2">
        <v>45874</v>
      </c>
      <c r="C2621" t="s">
        <v>21</v>
      </c>
      <c r="D2621" t="s">
        <v>24</v>
      </c>
      <c r="E2621" t="s">
        <v>33</v>
      </c>
      <c r="F2621" t="s">
        <v>60</v>
      </c>
      <c r="G2621" t="s">
        <v>71</v>
      </c>
      <c r="H2621" t="s">
        <v>75</v>
      </c>
      <c r="I2621">
        <v>4</v>
      </c>
      <c r="J2621">
        <v>21060</v>
      </c>
      <c r="K2621">
        <v>0</v>
      </c>
      <c r="L2621">
        <v>84240</v>
      </c>
      <c r="M2621">
        <v>47292.46</v>
      </c>
      <c r="N2621">
        <v>36947.54</v>
      </c>
      <c r="O2621" t="s">
        <v>78</v>
      </c>
      <c r="P2621" t="s">
        <v>84</v>
      </c>
    </row>
    <row r="2622" spans="1:16" x14ac:dyDescent="0.25">
      <c r="A2622">
        <v>2621</v>
      </c>
      <c r="B2622" s="2">
        <v>45848</v>
      </c>
      <c r="C2622" t="s">
        <v>23</v>
      </c>
      <c r="D2622" t="s">
        <v>27</v>
      </c>
      <c r="E2622" t="s">
        <v>28</v>
      </c>
      <c r="F2622" t="s">
        <v>35</v>
      </c>
      <c r="G2622" t="s">
        <v>72</v>
      </c>
      <c r="H2622" t="s">
        <v>73</v>
      </c>
      <c r="I2622">
        <v>7</v>
      </c>
      <c r="J2622">
        <v>714</v>
      </c>
      <c r="K2622">
        <v>0</v>
      </c>
      <c r="L2622">
        <v>4998</v>
      </c>
      <c r="M2622">
        <v>3981.52</v>
      </c>
      <c r="N2622">
        <v>1016.48</v>
      </c>
      <c r="O2622" t="s">
        <v>76</v>
      </c>
      <c r="P2622" t="s">
        <v>88</v>
      </c>
    </row>
    <row r="2623" spans="1:16" x14ac:dyDescent="0.25">
      <c r="A2623">
        <v>2622</v>
      </c>
      <c r="B2623" s="2">
        <v>45847</v>
      </c>
      <c r="C2623" t="s">
        <v>20</v>
      </c>
      <c r="D2623" t="s">
        <v>26</v>
      </c>
      <c r="E2623" t="s">
        <v>31</v>
      </c>
      <c r="F2623" t="s">
        <v>69</v>
      </c>
      <c r="G2623" t="s">
        <v>71</v>
      </c>
      <c r="H2623" t="s">
        <v>74</v>
      </c>
      <c r="I2623">
        <v>8</v>
      </c>
      <c r="J2623">
        <v>1229</v>
      </c>
      <c r="K2623">
        <v>0.15</v>
      </c>
      <c r="L2623">
        <v>8357.2000000000007</v>
      </c>
      <c r="M2623">
        <v>5536.12</v>
      </c>
      <c r="N2623">
        <v>2821.08</v>
      </c>
      <c r="O2623" t="s">
        <v>79</v>
      </c>
      <c r="P2623" t="s">
        <v>84</v>
      </c>
    </row>
    <row r="2624" spans="1:16" x14ac:dyDescent="0.25">
      <c r="A2624">
        <v>2623</v>
      </c>
      <c r="B2624" s="2">
        <v>45976</v>
      </c>
      <c r="C2624" t="s">
        <v>20</v>
      </c>
      <c r="D2624" t="s">
        <v>26</v>
      </c>
      <c r="E2624" t="s">
        <v>31</v>
      </c>
      <c r="F2624" t="s">
        <v>47</v>
      </c>
      <c r="G2624" t="s">
        <v>72</v>
      </c>
      <c r="H2624" t="s">
        <v>74</v>
      </c>
      <c r="I2624">
        <v>5</v>
      </c>
      <c r="J2624">
        <v>644</v>
      </c>
      <c r="K2624">
        <v>0.15</v>
      </c>
      <c r="L2624">
        <v>2737</v>
      </c>
      <c r="M2624">
        <v>1762.54</v>
      </c>
      <c r="N2624">
        <v>974.46</v>
      </c>
      <c r="O2624" t="s">
        <v>76</v>
      </c>
      <c r="P2624" t="s">
        <v>83</v>
      </c>
    </row>
    <row r="2625" spans="1:16" x14ac:dyDescent="0.25">
      <c r="A2625">
        <v>2624</v>
      </c>
      <c r="B2625" s="2">
        <v>45672</v>
      </c>
      <c r="C2625" t="s">
        <v>23</v>
      </c>
      <c r="D2625" t="s">
        <v>27</v>
      </c>
      <c r="E2625" t="s">
        <v>28</v>
      </c>
      <c r="F2625" t="s">
        <v>63</v>
      </c>
      <c r="G2625" t="s">
        <v>70</v>
      </c>
      <c r="H2625" t="s">
        <v>75</v>
      </c>
      <c r="I2625">
        <v>8</v>
      </c>
      <c r="J2625">
        <v>83</v>
      </c>
      <c r="K2625">
        <v>0.05</v>
      </c>
      <c r="L2625">
        <v>630.79999999999995</v>
      </c>
      <c r="M2625">
        <v>431.77</v>
      </c>
      <c r="N2625">
        <v>199.03</v>
      </c>
      <c r="O2625" t="s">
        <v>77</v>
      </c>
      <c r="P2625" t="s">
        <v>84</v>
      </c>
    </row>
    <row r="2626" spans="1:16" x14ac:dyDescent="0.25">
      <c r="A2626">
        <v>2625</v>
      </c>
      <c r="B2626" s="2">
        <v>45879</v>
      </c>
      <c r="C2626" t="s">
        <v>20</v>
      </c>
      <c r="D2626" t="s">
        <v>26</v>
      </c>
      <c r="E2626" t="s">
        <v>34</v>
      </c>
      <c r="F2626" t="s">
        <v>51</v>
      </c>
      <c r="G2626" t="s">
        <v>70</v>
      </c>
      <c r="H2626" t="s">
        <v>73</v>
      </c>
      <c r="I2626">
        <v>6</v>
      </c>
      <c r="J2626">
        <v>3383</v>
      </c>
      <c r="K2626">
        <v>0.2</v>
      </c>
      <c r="L2626">
        <v>16238.4</v>
      </c>
      <c r="M2626">
        <v>13084.73</v>
      </c>
      <c r="N2626">
        <v>3153.67</v>
      </c>
      <c r="O2626" t="s">
        <v>78</v>
      </c>
      <c r="P2626" t="s">
        <v>87</v>
      </c>
    </row>
    <row r="2627" spans="1:16" x14ac:dyDescent="0.25">
      <c r="A2627">
        <v>2626</v>
      </c>
      <c r="B2627" s="2">
        <v>45889</v>
      </c>
      <c r="C2627" t="s">
        <v>21</v>
      </c>
      <c r="D2627" t="s">
        <v>24</v>
      </c>
      <c r="E2627" t="s">
        <v>32</v>
      </c>
      <c r="F2627" t="s">
        <v>39</v>
      </c>
      <c r="G2627" t="s">
        <v>70</v>
      </c>
      <c r="H2627" t="s">
        <v>73</v>
      </c>
      <c r="I2627">
        <v>5</v>
      </c>
      <c r="J2627">
        <v>14747</v>
      </c>
      <c r="K2627">
        <v>0.15</v>
      </c>
      <c r="L2627">
        <v>62674.75</v>
      </c>
      <c r="M2627">
        <v>47036.25</v>
      </c>
      <c r="N2627">
        <v>15638.5</v>
      </c>
      <c r="O2627" t="s">
        <v>77</v>
      </c>
      <c r="P2627" t="s">
        <v>86</v>
      </c>
    </row>
    <row r="2628" spans="1:16" x14ac:dyDescent="0.25">
      <c r="A2628">
        <v>2627</v>
      </c>
      <c r="B2628" s="2">
        <v>45883</v>
      </c>
      <c r="C2628" t="s">
        <v>20</v>
      </c>
      <c r="D2628" t="s">
        <v>26</v>
      </c>
      <c r="E2628" t="s">
        <v>31</v>
      </c>
      <c r="F2628" t="s">
        <v>67</v>
      </c>
      <c r="G2628" t="s">
        <v>71</v>
      </c>
      <c r="H2628" t="s">
        <v>75</v>
      </c>
      <c r="I2628">
        <v>1</v>
      </c>
      <c r="J2628">
        <v>1643</v>
      </c>
      <c r="K2628">
        <v>0</v>
      </c>
      <c r="L2628">
        <v>1643</v>
      </c>
      <c r="M2628">
        <v>1249.9100000000001</v>
      </c>
      <c r="N2628">
        <v>393.09</v>
      </c>
      <c r="O2628" t="s">
        <v>76</v>
      </c>
      <c r="P2628" t="s">
        <v>86</v>
      </c>
    </row>
    <row r="2629" spans="1:16" x14ac:dyDescent="0.25">
      <c r="A2629">
        <v>2628</v>
      </c>
      <c r="B2629" s="2">
        <v>45939</v>
      </c>
      <c r="C2629" t="s">
        <v>21</v>
      </c>
      <c r="D2629" t="s">
        <v>24</v>
      </c>
      <c r="E2629" t="s">
        <v>28</v>
      </c>
      <c r="F2629" t="s">
        <v>35</v>
      </c>
      <c r="G2629" t="s">
        <v>70</v>
      </c>
      <c r="H2629" t="s">
        <v>75</v>
      </c>
      <c r="I2629">
        <v>2</v>
      </c>
      <c r="J2629">
        <v>616</v>
      </c>
      <c r="K2629">
        <v>0.1</v>
      </c>
      <c r="L2629">
        <v>1108.8</v>
      </c>
      <c r="M2629">
        <v>794.59</v>
      </c>
      <c r="N2629">
        <v>314.20999999999998</v>
      </c>
      <c r="O2629" t="s">
        <v>76</v>
      </c>
      <c r="P2629" t="s">
        <v>82</v>
      </c>
    </row>
    <row r="2630" spans="1:16" x14ac:dyDescent="0.25">
      <c r="A2630">
        <v>2629</v>
      </c>
      <c r="B2630" s="2">
        <v>45697</v>
      </c>
      <c r="C2630" t="s">
        <v>17</v>
      </c>
      <c r="D2630" t="s">
        <v>25</v>
      </c>
      <c r="E2630" t="s">
        <v>30</v>
      </c>
      <c r="F2630" t="s">
        <v>37</v>
      </c>
      <c r="G2630" t="s">
        <v>70</v>
      </c>
      <c r="H2630" t="s">
        <v>73</v>
      </c>
      <c r="I2630">
        <v>7</v>
      </c>
      <c r="J2630">
        <v>22631</v>
      </c>
      <c r="K2630">
        <v>0.1</v>
      </c>
      <c r="L2630">
        <v>142575.29999999999</v>
      </c>
      <c r="M2630">
        <v>102491.1</v>
      </c>
      <c r="N2630">
        <v>40084.199999999997</v>
      </c>
      <c r="O2630" t="s">
        <v>79</v>
      </c>
      <c r="P2630" t="s">
        <v>88</v>
      </c>
    </row>
    <row r="2631" spans="1:16" x14ac:dyDescent="0.25">
      <c r="A2631">
        <v>2630</v>
      </c>
      <c r="B2631" s="2">
        <v>45991</v>
      </c>
      <c r="C2631" t="s">
        <v>16</v>
      </c>
      <c r="D2631" t="s">
        <v>24</v>
      </c>
      <c r="E2631" t="s">
        <v>34</v>
      </c>
      <c r="F2631" t="s">
        <v>51</v>
      </c>
      <c r="G2631" t="s">
        <v>70</v>
      </c>
      <c r="H2631" t="s">
        <v>75</v>
      </c>
      <c r="I2631">
        <v>4</v>
      </c>
      <c r="J2631">
        <v>2019</v>
      </c>
      <c r="K2631">
        <v>0.05</v>
      </c>
      <c r="L2631">
        <v>7672.2</v>
      </c>
      <c r="M2631">
        <v>4420.08</v>
      </c>
      <c r="N2631">
        <v>3252.12</v>
      </c>
      <c r="O2631" t="s">
        <v>78</v>
      </c>
      <c r="P2631" t="s">
        <v>83</v>
      </c>
    </row>
    <row r="2632" spans="1:16" x14ac:dyDescent="0.25">
      <c r="A2632">
        <v>2631</v>
      </c>
      <c r="B2632" s="2">
        <v>45681</v>
      </c>
      <c r="C2632" t="s">
        <v>23</v>
      </c>
      <c r="D2632" t="s">
        <v>27</v>
      </c>
      <c r="E2632" t="s">
        <v>28</v>
      </c>
      <c r="F2632" t="s">
        <v>54</v>
      </c>
      <c r="G2632" t="s">
        <v>70</v>
      </c>
      <c r="H2632" t="s">
        <v>75</v>
      </c>
      <c r="I2632">
        <v>7</v>
      </c>
      <c r="J2632">
        <v>2154</v>
      </c>
      <c r="K2632">
        <v>0</v>
      </c>
      <c r="L2632">
        <v>15078</v>
      </c>
      <c r="M2632">
        <v>11955.08</v>
      </c>
      <c r="N2632">
        <v>3122.92</v>
      </c>
      <c r="O2632" t="s">
        <v>76</v>
      </c>
      <c r="P2632" t="s">
        <v>88</v>
      </c>
    </row>
    <row r="2633" spans="1:16" x14ac:dyDescent="0.25">
      <c r="A2633">
        <v>2632</v>
      </c>
      <c r="B2633" s="2">
        <v>45730</v>
      </c>
      <c r="C2633" t="s">
        <v>19</v>
      </c>
      <c r="D2633" t="s">
        <v>26</v>
      </c>
      <c r="E2633" t="s">
        <v>32</v>
      </c>
      <c r="F2633" t="s">
        <v>66</v>
      </c>
      <c r="G2633" t="s">
        <v>72</v>
      </c>
      <c r="H2633" t="s">
        <v>73</v>
      </c>
      <c r="I2633">
        <v>7</v>
      </c>
      <c r="J2633">
        <v>14081</v>
      </c>
      <c r="K2633">
        <v>0</v>
      </c>
      <c r="L2633">
        <v>98567</v>
      </c>
      <c r="M2633">
        <v>85880.29</v>
      </c>
      <c r="N2633">
        <v>12686.71</v>
      </c>
      <c r="O2633" t="s">
        <v>76</v>
      </c>
      <c r="P2633" t="s">
        <v>88</v>
      </c>
    </row>
    <row r="2634" spans="1:16" x14ac:dyDescent="0.25">
      <c r="A2634">
        <v>2633</v>
      </c>
      <c r="B2634" s="2">
        <v>45954</v>
      </c>
      <c r="C2634" t="s">
        <v>20</v>
      </c>
      <c r="D2634" t="s">
        <v>26</v>
      </c>
      <c r="E2634" t="s">
        <v>28</v>
      </c>
      <c r="F2634" t="s">
        <v>58</v>
      </c>
      <c r="G2634" t="s">
        <v>70</v>
      </c>
      <c r="H2634" t="s">
        <v>73</v>
      </c>
      <c r="I2634">
        <v>2</v>
      </c>
      <c r="J2634">
        <v>1720</v>
      </c>
      <c r="K2634">
        <v>0.05</v>
      </c>
      <c r="L2634">
        <v>3268</v>
      </c>
      <c r="M2634">
        <v>2775.84</v>
      </c>
      <c r="N2634">
        <v>492.16</v>
      </c>
      <c r="O2634" t="s">
        <v>76</v>
      </c>
      <c r="P2634" t="s">
        <v>86</v>
      </c>
    </row>
    <row r="2635" spans="1:16" x14ac:dyDescent="0.25">
      <c r="A2635">
        <v>2634</v>
      </c>
      <c r="B2635" s="2">
        <v>45762</v>
      </c>
      <c r="C2635" t="s">
        <v>23</v>
      </c>
      <c r="D2635" t="s">
        <v>27</v>
      </c>
      <c r="E2635" t="s">
        <v>32</v>
      </c>
      <c r="F2635" t="s">
        <v>62</v>
      </c>
      <c r="G2635" t="s">
        <v>70</v>
      </c>
      <c r="H2635" t="s">
        <v>74</v>
      </c>
      <c r="I2635">
        <v>8</v>
      </c>
      <c r="J2635">
        <v>1551</v>
      </c>
      <c r="K2635">
        <v>0</v>
      </c>
      <c r="L2635">
        <v>12408</v>
      </c>
      <c r="M2635">
        <v>9450.34</v>
      </c>
      <c r="N2635">
        <v>2957.66</v>
      </c>
      <c r="O2635" t="s">
        <v>80</v>
      </c>
      <c r="P2635" t="s">
        <v>83</v>
      </c>
    </row>
    <row r="2636" spans="1:16" x14ac:dyDescent="0.25">
      <c r="A2636">
        <v>2635</v>
      </c>
      <c r="B2636" s="2">
        <v>45910</v>
      </c>
      <c r="C2636" t="s">
        <v>20</v>
      </c>
      <c r="D2636" t="s">
        <v>26</v>
      </c>
      <c r="E2636" t="s">
        <v>29</v>
      </c>
      <c r="F2636" t="s">
        <v>57</v>
      </c>
      <c r="G2636" t="s">
        <v>71</v>
      </c>
      <c r="H2636" t="s">
        <v>75</v>
      </c>
      <c r="I2636">
        <v>1</v>
      </c>
      <c r="J2636">
        <v>9008</v>
      </c>
      <c r="K2636">
        <v>0.05</v>
      </c>
      <c r="L2636">
        <v>8557.6</v>
      </c>
      <c r="M2636">
        <v>6159.28</v>
      </c>
      <c r="N2636">
        <v>2398.3200000000002</v>
      </c>
      <c r="O2636" t="s">
        <v>80</v>
      </c>
      <c r="P2636" t="s">
        <v>82</v>
      </c>
    </row>
    <row r="2637" spans="1:16" x14ac:dyDescent="0.25">
      <c r="A2637">
        <v>2636</v>
      </c>
      <c r="B2637" s="2">
        <v>45881</v>
      </c>
      <c r="C2637" t="s">
        <v>16</v>
      </c>
      <c r="D2637" t="s">
        <v>24</v>
      </c>
      <c r="E2637" t="s">
        <v>29</v>
      </c>
      <c r="F2637" t="s">
        <v>53</v>
      </c>
      <c r="G2637" t="s">
        <v>71</v>
      </c>
      <c r="H2637" t="s">
        <v>74</v>
      </c>
      <c r="I2637">
        <v>3</v>
      </c>
      <c r="J2637">
        <v>6880</v>
      </c>
      <c r="K2637">
        <v>0</v>
      </c>
      <c r="L2637">
        <v>20640</v>
      </c>
      <c r="M2637">
        <v>11619.44</v>
      </c>
      <c r="N2637">
        <v>9020.56</v>
      </c>
      <c r="O2637" t="s">
        <v>77</v>
      </c>
      <c r="P2637" t="s">
        <v>86</v>
      </c>
    </row>
    <row r="2638" spans="1:16" x14ac:dyDescent="0.25">
      <c r="A2638">
        <v>2637</v>
      </c>
      <c r="B2638" s="2">
        <v>45938</v>
      </c>
      <c r="C2638" t="s">
        <v>23</v>
      </c>
      <c r="D2638" t="s">
        <v>27</v>
      </c>
      <c r="E2638" t="s">
        <v>33</v>
      </c>
      <c r="F2638" t="s">
        <v>46</v>
      </c>
      <c r="G2638" t="s">
        <v>70</v>
      </c>
      <c r="H2638" t="s">
        <v>75</v>
      </c>
      <c r="I2638">
        <v>8</v>
      </c>
      <c r="J2638">
        <v>23002</v>
      </c>
      <c r="K2638">
        <v>0.1</v>
      </c>
      <c r="L2638">
        <v>165614.39999999999</v>
      </c>
      <c r="M2638">
        <v>121269.05</v>
      </c>
      <c r="N2638">
        <v>44345.35</v>
      </c>
      <c r="O2638" t="s">
        <v>78</v>
      </c>
      <c r="P2638" t="s">
        <v>81</v>
      </c>
    </row>
    <row r="2639" spans="1:16" x14ac:dyDescent="0.25">
      <c r="A2639">
        <v>2638</v>
      </c>
      <c r="B2639" s="2">
        <v>45884</v>
      </c>
      <c r="C2639" t="s">
        <v>21</v>
      </c>
      <c r="D2639" t="s">
        <v>24</v>
      </c>
      <c r="E2639" t="s">
        <v>28</v>
      </c>
      <c r="F2639" t="s">
        <v>35</v>
      </c>
      <c r="G2639" t="s">
        <v>72</v>
      </c>
      <c r="H2639" t="s">
        <v>73</v>
      </c>
      <c r="I2639">
        <v>3</v>
      </c>
      <c r="J2639">
        <v>1660</v>
      </c>
      <c r="K2639">
        <v>0</v>
      </c>
      <c r="L2639">
        <v>4980</v>
      </c>
      <c r="M2639">
        <v>3932.05</v>
      </c>
      <c r="N2639">
        <v>1047.95</v>
      </c>
      <c r="O2639" t="s">
        <v>80</v>
      </c>
      <c r="P2639" t="s">
        <v>81</v>
      </c>
    </row>
    <row r="2640" spans="1:16" x14ac:dyDescent="0.25">
      <c r="A2640">
        <v>2639</v>
      </c>
      <c r="B2640" s="2">
        <v>45957</v>
      </c>
      <c r="C2640" t="s">
        <v>20</v>
      </c>
      <c r="D2640" t="s">
        <v>26</v>
      </c>
      <c r="E2640" t="s">
        <v>33</v>
      </c>
      <c r="F2640" t="s">
        <v>60</v>
      </c>
      <c r="G2640" t="s">
        <v>71</v>
      </c>
      <c r="H2640" t="s">
        <v>73</v>
      </c>
      <c r="I2640">
        <v>3</v>
      </c>
      <c r="J2640">
        <v>11623</v>
      </c>
      <c r="K2640">
        <v>0.15</v>
      </c>
      <c r="L2640">
        <v>29638.65</v>
      </c>
      <c r="M2640">
        <v>26071.91</v>
      </c>
      <c r="N2640">
        <v>3566.74</v>
      </c>
      <c r="O2640" t="s">
        <v>78</v>
      </c>
      <c r="P2640" t="s">
        <v>82</v>
      </c>
    </row>
    <row r="2641" spans="1:16" x14ac:dyDescent="0.25">
      <c r="A2641">
        <v>2640</v>
      </c>
      <c r="B2641" s="2">
        <v>45779</v>
      </c>
      <c r="C2641" t="s">
        <v>20</v>
      </c>
      <c r="D2641" t="s">
        <v>26</v>
      </c>
      <c r="E2641" t="s">
        <v>30</v>
      </c>
      <c r="F2641" t="s">
        <v>56</v>
      </c>
      <c r="G2641" t="s">
        <v>71</v>
      </c>
      <c r="H2641" t="s">
        <v>75</v>
      </c>
      <c r="I2641">
        <v>7</v>
      </c>
      <c r="J2641">
        <v>36778</v>
      </c>
      <c r="K2641">
        <v>0.05</v>
      </c>
      <c r="L2641">
        <v>244573.7</v>
      </c>
      <c r="M2641">
        <v>153294.70000000001</v>
      </c>
      <c r="N2641">
        <v>91279</v>
      </c>
      <c r="O2641" t="s">
        <v>78</v>
      </c>
      <c r="P2641" t="s">
        <v>83</v>
      </c>
    </row>
    <row r="2642" spans="1:16" x14ac:dyDescent="0.25">
      <c r="A2642">
        <v>2641</v>
      </c>
      <c r="B2642" s="2">
        <v>45789</v>
      </c>
      <c r="C2642" t="s">
        <v>20</v>
      </c>
      <c r="D2642" t="s">
        <v>26</v>
      </c>
      <c r="E2642" t="s">
        <v>30</v>
      </c>
      <c r="F2642" t="s">
        <v>40</v>
      </c>
      <c r="G2642" t="s">
        <v>71</v>
      </c>
      <c r="H2642" t="s">
        <v>73</v>
      </c>
      <c r="I2642">
        <v>1</v>
      </c>
      <c r="J2642">
        <v>29077</v>
      </c>
      <c r="K2642">
        <v>0.1</v>
      </c>
      <c r="L2642">
        <v>26169.3</v>
      </c>
      <c r="M2642">
        <v>17343.72</v>
      </c>
      <c r="N2642">
        <v>8825.58</v>
      </c>
      <c r="O2642" t="s">
        <v>79</v>
      </c>
      <c r="P2642" t="s">
        <v>83</v>
      </c>
    </row>
    <row r="2643" spans="1:16" x14ac:dyDescent="0.25">
      <c r="A2643">
        <v>2642</v>
      </c>
      <c r="B2643" s="2">
        <v>46006</v>
      </c>
      <c r="C2643" t="s">
        <v>16</v>
      </c>
      <c r="D2643" t="s">
        <v>24</v>
      </c>
      <c r="E2643" t="s">
        <v>30</v>
      </c>
      <c r="F2643" t="s">
        <v>56</v>
      </c>
      <c r="G2643" t="s">
        <v>72</v>
      </c>
      <c r="H2643" t="s">
        <v>75</v>
      </c>
      <c r="I2643">
        <v>1</v>
      </c>
      <c r="J2643">
        <v>27034</v>
      </c>
      <c r="K2643">
        <v>0.15</v>
      </c>
      <c r="L2643">
        <v>22978.9</v>
      </c>
      <c r="M2643">
        <v>17043.419999999998</v>
      </c>
      <c r="N2643">
        <v>5935.48</v>
      </c>
      <c r="O2643" t="s">
        <v>80</v>
      </c>
      <c r="P2643" t="s">
        <v>88</v>
      </c>
    </row>
    <row r="2644" spans="1:16" x14ac:dyDescent="0.25">
      <c r="A2644">
        <v>2643</v>
      </c>
      <c r="B2644" s="2">
        <v>45742</v>
      </c>
      <c r="C2644" t="s">
        <v>19</v>
      </c>
      <c r="D2644" t="s">
        <v>26</v>
      </c>
      <c r="E2644" t="s">
        <v>32</v>
      </c>
      <c r="F2644" t="s">
        <v>49</v>
      </c>
      <c r="G2644" t="s">
        <v>72</v>
      </c>
      <c r="H2644" t="s">
        <v>74</v>
      </c>
      <c r="I2644">
        <v>4</v>
      </c>
      <c r="J2644">
        <v>12529</v>
      </c>
      <c r="K2644">
        <v>0.05</v>
      </c>
      <c r="L2644">
        <v>47610.2</v>
      </c>
      <c r="M2644">
        <v>31458.67</v>
      </c>
      <c r="N2644">
        <v>16151.53</v>
      </c>
      <c r="O2644" t="s">
        <v>80</v>
      </c>
      <c r="P2644" t="s">
        <v>88</v>
      </c>
    </row>
    <row r="2645" spans="1:16" x14ac:dyDescent="0.25">
      <c r="A2645">
        <v>2644</v>
      </c>
      <c r="B2645" s="2">
        <v>45715</v>
      </c>
      <c r="C2645" t="s">
        <v>20</v>
      </c>
      <c r="D2645" t="s">
        <v>26</v>
      </c>
      <c r="E2645" t="s">
        <v>33</v>
      </c>
      <c r="F2645" t="s">
        <v>52</v>
      </c>
      <c r="G2645" t="s">
        <v>72</v>
      </c>
      <c r="H2645" t="s">
        <v>74</v>
      </c>
      <c r="I2645">
        <v>4</v>
      </c>
      <c r="J2645">
        <v>12513</v>
      </c>
      <c r="K2645">
        <v>0.15</v>
      </c>
      <c r="L2645">
        <v>42544.2</v>
      </c>
      <c r="M2645">
        <v>29314.98</v>
      </c>
      <c r="N2645">
        <v>13229.22</v>
      </c>
      <c r="O2645" t="s">
        <v>80</v>
      </c>
      <c r="P2645" t="s">
        <v>81</v>
      </c>
    </row>
    <row r="2646" spans="1:16" x14ac:dyDescent="0.25">
      <c r="A2646">
        <v>2645</v>
      </c>
      <c r="B2646" s="2">
        <v>45952</v>
      </c>
      <c r="C2646" t="s">
        <v>21</v>
      </c>
      <c r="D2646" t="s">
        <v>24</v>
      </c>
      <c r="E2646" t="s">
        <v>31</v>
      </c>
      <c r="F2646" t="s">
        <v>47</v>
      </c>
      <c r="G2646" t="s">
        <v>72</v>
      </c>
      <c r="H2646" t="s">
        <v>73</v>
      </c>
      <c r="I2646">
        <v>3</v>
      </c>
      <c r="J2646">
        <v>1377</v>
      </c>
      <c r="K2646">
        <v>0.05</v>
      </c>
      <c r="L2646">
        <v>3924.45</v>
      </c>
      <c r="M2646">
        <v>3079.04</v>
      </c>
      <c r="N2646">
        <v>845.41</v>
      </c>
      <c r="O2646" t="s">
        <v>77</v>
      </c>
      <c r="P2646" t="s">
        <v>83</v>
      </c>
    </row>
    <row r="2647" spans="1:16" x14ac:dyDescent="0.25">
      <c r="A2647">
        <v>2646</v>
      </c>
      <c r="B2647" s="2">
        <v>45763</v>
      </c>
      <c r="C2647" t="s">
        <v>20</v>
      </c>
      <c r="D2647" t="s">
        <v>26</v>
      </c>
      <c r="E2647" t="s">
        <v>32</v>
      </c>
      <c r="F2647" t="s">
        <v>39</v>
      </c>
      <c r="G2647" t="s">
        <v>70</v>
      </c>
      <c r="H2647" t="s">
        <v>74</v>
      </c>
      <c r="I2647">
        <v>6</v>
      </c>
      <c r="J2647">
        <v>6853</v>
      </c>
      <c r="K2647">
        <v>0.1</v>
      </c>
      <c r="L2647">
        <v>37006.199999999997</v>
      </c>
      <c r="M2647">
        <v>30687.64</v>
      </c>
      <c r="N2647">
        <v>6318.56</v>
      </c>
      <c r="O2647" t="s">
        <v>80</v>
      </c>
      <c r="P2647" t="s">
        <v>84</v>
      </c>
    </row>
    <row r="2648" spans="1:16" x14ac:dyDescent="0.25">
      <c r="A2648">
        <v>2647</v>
      </c>
      <c r="B2648" s="2">
        <v>46007</v>
      </c>
      <c r="C2648" t="s">
        <v>18</v>
      </c>
      <c r="D2648" t="s">
        <v>26</v>
      </c>
      <c r="E2648" t="s">
        <v>34</v>
      </c>
      <c r="F2648" t="s">
        <v>68</v>
      </c>
      <c r="G2648" t="s">
        <v>71</v>
      </c>
      <c r="H2648" t="s">
        <v>75</v>
      </c>
      <c r="I2648">
        <v>3</v>
      </c>
      <c r="J2648">
        <v>3108</v>
      </c>
      <c r="K2648">
        <v>0.05</v>
      </c>
      <c r="L2648">
        <v>8857.7999999999993</v>
      </c>
      <c r="M2648">
        <v>5733.88</v>
      </c>
      <c r="N2648">
        <v>3123.92</v>
      </c>
      <c r="O2648" t="s">
        <v>76</v>
      </c>
      <c r="P2648" t="s">
        <v>88</v>
      </c>
    </row>
    <row r="2649" spans="1:16" x14ac:dyDescent="0.25">
      <c r="A2649">
        <v>2648</v>
      </c>
      <c r="B2649" s="2">
        <v>45875</v>
      </c>
      <c r="C2649" t="s">
        <v>20</v>
      </c>
      <c r="D2649" t="s">
        <v>26</v>
      </c>
      <c r="E2649" t="s">
        <v>31</v>
      </c>
      <c r="F2649" t="s">
        <v>47</v>
      </c>
      <c r="G2649" t="s">
        <v>72</v>
      </c>
      <c r="H2649" t="s">
        <v>75</v>
      </c>
      <c r="I2649">
        <v>4</v>
      </c>
      <c r="J2649">
        <v>524</v>
      </c>
      <c r="K2649">
        <v>0</v>
      </c>
      <c r="L2649">
        <v>2096</v>
      </c>
      <c r="M2649">
        <v>1694.27</v>
      </c>
      <c r="N2649">
        <v>401.73</v>
      </c>
      <c r="O2649" t="s">
        <v>77</v>
      </c>
      <c r="P2649" t="s">
        <v>84</v>
      </c>
    </row>
    <row r="2650" spans="1:16" x14ac:dyDescent="0.25">
      <c r="A2650">
        <v>2649</v>
      </c>
      <c r="B2650" s="2">
        <v>45793</v>
      </c>
      <c r="C2650" t="s">
        <v>23</v>
      </c>
      <c r="D2650" t="s">
        <v>27</v>
      </c>
      <c r="E2650" t="s">
        <v>30</v>
      </c>
      <c r="F2650" t="s">
        <v>64</v>
      </c>
      <c r="G2650" t="s">
        <v>72</v>
      </c>
      <c r="H2650" t="s">
        <v>74</v>
      </c>
      <c r="I2650">
        <v>2</v>
      </c>
      <c r="J2650">
        <v>41130</v>
      </c>
      <c r="K2650">
        <v>0.05</v>
      </c>
      <c r="L2650">
        <v>78147</v>
      </c>
      <c r="M2650">
        <v>66740.42</v>
      </c>
      <c r="N2650">
        <v>11406.58</v>
      </c>
      <c r="O2650" t="s">
        <v>78</v>
      </c>
      <c r="P2650" t="s">
        <v>83</v>
      </c>
    </row>
    <row r="2651" spans="1:16" x14ac:dyDescent="0.25">
      <c r="A2651">
        <v>2650</v>
      </c>
      <c r="B2651" s="2">
        <v>45747</v>
      </c>
      <c r="C2651" t="s">
        <v>23</v>
      </c>
      <c r="D2651" t="s">
        <v>27</v>
      </c>
      <c r="E2651" t="s">
        <v>29</v>
      </c>
      <c r="F2651" t="s">
        <v>53</v>
      </c>
      <c r="G2651" t="s">
        <v>72</v>
      </c>
      <c r="H2651" t="s">
        <v>75</v>
      </c>
      <c r="I2651">
        <v>5</v>
      </c>
      <c r="J2651">
        <v>10133</v>
      </c>
      <c r="K2651">
        <v>0.1</v>
      </c>
      <c r="L2651">
        <v>45598.5</v>
      </c>
      <c r="M2651">
        <v>32640.97</v>
      </c>
      <c r="N2651">
        <v>12957.53</v>
      </c>
      <c r="O2651" t="s">
        <v>77</v>
      </c>
      <c r="P2651" t="s">
        <v>86</v>
      </c>
    </row>
    <row r="2652" spans="1:16" x14ac:dyDescent="0.25">
      <c r="A2652">
        <v>2651</v>
      </c>
      <c r="B2652" s="2">
        <v>45845</v>
      </c>
      <c r="C2652" t="s">
        <v>23</v>
      </c>
      <c r="D2652" t="s">
        <v>27</v>
      </c>
      <c r="E2652" t="s">
        <v>33</v>
      </c>
      <c r="F2652" t="s">
        <v>59</v>
      </c>
      <c r="G2652" t="s">
        <v>70</v>
      </c>
      <c r="H2652" t="s">
        <v>73</v>
      </c>
      <c r="I2652">
        <v>6</v>
      </c>
      <c r="J2652">
        <v>33537</v>
      </c>
      <c r="K2652">
        <v>0.05</v>
      </c>
      <c r="L2652">
        <v>191160.9</v>
      </c>
      <c r="M2652">
        <v>164861.74</v>
      </c>
      <c r="N2652">
        <v>26299.16</v>
      </c>
      <c r="O2652" t="s">
        <v>78</v>
      </c>
      <c r="P2652" t="s">
        <v>87</v>
      </c>
    </row>
    <row r="2653" spans="1:16" x14ac:dyDescent="0.25">
      <c r="A2653">
        <v>2652</v>
      </c>
      <c r="B2653" s="2">
        <v>45937</v>
      </c>
      <c r="C2653" t="s">
        <v>20</v>
      </c>
      <c r="D2653" t="s">
        <v>26</v>
      </c>
      <c r="E2653" t="s">
        <v>33</v>
      </c>
      <c r="F2653" t="s">
        <v>41</v>
      </c>
      <c r="G2653" t="s">
        <v>72</v>
      </c>
      <c r="H2653" t="s">
        <v>74</v>
      </c>
      <c r="I2653">
        <v>6</v>
      </c>
      <c r="J2653">
        <v>44626</v>
      </c>
      <c r="K2653">
        <v>0.15</v>
      </c>
      <c r="L2653">
        <v>227592.6</v>
      </c>
      <c r="M2653">
        <v>148185.81</v>
      </c>
      <c r="N2653">
        <v>79406.789999999994</v>
      </c>
      <c r="O2653" t="s">
        <v>78</v>
      </c>
      <c r="P2653" t="s">
        <v>87</v>
      </c>
    </row>
    <row r="2654" spans="1:16" x14ac:dyDescent="0.25">
      <c r="A2654">
        <v>2653</v>
      </c>
      <c r="B2654" s="2">
        <v>45789</v>
      </c>
      <c r="C2654" t="s">
        <v>17</v>
      </c>
      <c r="D2654" t="s">
        <v>25</v>
      </c>
      <c r="E2654" t="s">
        <v>28</v>
      </c>
      <c r="F2654" t="s">
        <v>58</v>
      </c>
      <c r="G2654" t="s">
        <v>72</v>
      </c>
      <c r="H2654" t="s">
        <v>73</v>
      </c>
      <c r="I2654">
        <v>8</v>
      </c>
      <c r="J2654">
        <v>97</v>
      </c>
      <c r="K2654">
        <v>0</v>
      </c>
      <c r="L2654">
        <v>776</v>
      </c>
      <c r="M2654">
        <v>474.24</v>
      </c>
      <c r="N2654">
        <v>301.76</v>
      </c>
      <c r="O2654" t="s">
        <v>79</v>
      </c>
      <c r="P2654" t="s">
        <v>83</v>
      </c>
    </row>
    <row r="2655" spans="1:16" x14ac:dyDescent="0.25">
      <c r="A2655">
        <v>2654</v>
      </c>
      <c r="B2655" s="2">
        <v>45800</v>
      </c>
      <c r="C2655" t="s">
        <v>22</v>
      </c>
      <c r="D2655" t="s">
        <v>24</v>
      </c>
      <c r="E2655" t="s">
        <v>31</v>
      </c>
      <c r="F2655" t="s">
        <v>38</v>
      </c>
      <c r="G2655" t="s">
        <v>71</v>
      </c>
      <c r="H2655" t="s">
        <v>73</v>
      </c>
      <c r="I2655">
        <v>7</v>
      </c>
      <c r="J2655">
        <v>182</v>
      </c>
      <c r="K2655">
        <v>0.2</v>
      </c>
      <c r="L2655">
        <v>1019.2</v>
      </c>
      <c r="M2655">
        <v>851.68</v>
      </c>
      <c r="N2655">
        <v>167.52</v>
      </c>
      <c r="O2655" t="s">
        <v>80</v>
      </c>
      <c r="P2655" t="s">
        <v>84</v>
      </c>
    </row>
    <row r="2656" spans="1:16" x14ac:dyDescent="0.25">
      <c r="A2656">
        <v>2655</v>
      </c>
      <c r="B2656" s="2">
        <v>45763</v>
      </c>
      <c r="C2656" t="s">
        <v>21</v>
      </c>
      <c r="D2656" t="s">
        <v>24</v>
      </c>
      <c r="E2656" t="s">
        <v>30</v>
      </c>
      <c r="F2656" t="s">
        <v>40</v>
      </c>
      <c r="G2656" t="s">
        <v>70</v>
      </c>
      <c r="H2656" t="s">
        <v>73</v>
      </c>
      <c r="I2656">
        <v>7</v>
      </c>
      <c r="J2656">
        <v>66525</v>
      </c>
      <c r="K2656">
        <v>0</v>
      </c>
      <c r="L2656">
        <v>465675</v>
      </c>
      <c r="M2656">
        <v>349991.31</v>
      </c>
      <c r="N2656">
        <v>115683.69</v>
      </c>
      <c r="O2656" t="s">
        <v>77</v>
      </c>
      <c r="P2656" t="s">
        <v>84</v>
      </c>
    </row>
    <row r="2657" spans="1:16" x14ac:dyDescent="0.25">
      <c r="A2657">
        <v>2656</v>
      </c>
      <c r="B2657" s="2">
        <v>45692</v>
      </c>
      <c r="C2657" t="s">
        <v>21</v>
      </c>
      <c r="D2657" t="s">
        <v>24</v>
      </c>
      <c r="E2657" t="s">
        <v>34</v>
      </c>
      <c r="F2657" t="s">
        <v>43</v>
      </c>
      <c r="G2657" t="s">
        <v>70</v>
      </c>
      <c r="H2657" t="s">
        <v>74</v>
      </c>
      <c r="I2657">
        <v>4</v>
      </c>
      <c r="J2657">
        <v>5833</v>
      </c>
      <c r="K2657">
        <v>0.05</v>
      </c>
      <c r="L2657">
        <v>22165.4</v>
      </c>
      <c r="M2657">
        <v>13066.25</v>
      </c>
      <c r="N2657">
        <v>9099.15</v>
      </c>
      <c r="O2657" t="s">
        <v>79</v>
      </c>
      <c r="P2657" t="s">
        <v>82</v>
      </c>
    </row>
    <row r="2658" spans="1:16" x14ac:dyDescent="0.25">
      <c r="A2658">
        <v>2657</v>
      </c>
      <c r="B2658" s="2">
        <v>45945</v>
      </c>
      <c r="C2658" t="s">
        <v>22</v>
      </c>
      <c r="D2658" t="s">
        <v>24</v>
      </c>
      <c r="E2658" t="s">
        <v>28</v>
      </c>
      <c r="F2658" t="s">
        <v>63</v>
      </c>
      <c r="G2658" t="s">
        <v>72</v>
      </c>
      <c r="H2658" t="s">
        <v>75</v>
      </c>
      <c r="I2658">
        <v>8</v>
      </c>
      <c r="J2658">
        <v>1199</v>
      </c>
      <c r="K2658">
        <v>0.1</v>
      </c>
      <c r="L2658">
        <v>8632.7999999999993</v>
      </c>
      <c r="M2658">
        <v>5602.76</v>
      </c>
      <c r="N2658">
        <v>3030.04</v>
      </c>
      <c r="O2658" t="s">
        <v>76</v>
      </c>
      <c r="P2658" t="s">
        <v>84</v>
      </c>
    </row>
    <row r="2659" spans="1:16" x14ac:dyDescent="0.25">
      <c r="A2659">
        <v>2658</v>
      </c>
      <c r="B2659" s="2">
        <v>45795</v>
      </c>
      <c r="C2659" t="s">
        <v>20</v>
      </c>
      <c r="D2659" t="s">
        <v>26</v>
      </c>
      <c r="E2659" t="s">
        <v>30</v>
      </c>
      <c r="F2659" t="s">
        <v>56</v>
      </c>
      <c r="G2659" t="s">
        <v>71</v>
      </c>
      <c r="H2659" t="s">
        <v>73</v>
      </c>
      <c r="I2659">
        <v>1</v>
      </c>
      <c r="J2659">
        <v>28735</v>
      </c>
      <c r="K2659">
        <v>0.15</v>
      </c>
      <c r="L2659">
        <v>24424.75</v>
      </c>
      <c r="M2659">
        <v>15003.82</v>
      </c>
      <c r="N2659">
        <v>9420.93</v>
      </c>
      <c r="O2659" t="s">
        <v>80</v>
      </c>
      <c r="P2659" t="s">
        <v>81</v>
      </c>
    </row>
    <row r="2660" spans="1:16" x14ac:dyDescent="0.25">
      <c r="A2660">
        <v>2659</v>
      </c>
      <c r="B2660" s="2">
        <v>45950</v>
      </c>
      <c r="C2660" t="s">
        <v>20</v>
      </c>
      <c r="D2660" t="s">
        <v>26</v>
      </c>
      <c r="E2660" t="s">
        <v>31</v>
      </c>
      <c r="F2660" t="s">
        <v>50</v>
      </c>
      <c r="G2660" t="s">
        <v>71</v>
      </c>
      <c r="H2660" t="s">
        <v>75</v>
      </c>
      <c r="I2660">
        <v>8</v>
      </c>
      <c r="J2660">
        <v>415</v>
      </c>
      <c r="K2660">
        <v>0</v>
      </c>
      <c r="L2660">
        <v>3320</v>
      </c>
      <c r="M2660">
        <v>2677.43</v>
      </c>
      <c r="N2660">
        <v>642.57000000000005</v>
      </c>
      <c r="O2660" t="s">
        <v>78</v>
      </c>
      <c r="P2660" t="s">
        <v>85</v>
      </c>
    </row>
    <row r="2661" spans="1:16" x14ac:dyDescent="0.25">
      <c r="A2661">
        <v>2660</v>
      </c>
      <c r="B2661" s="2">
        <v>45993</v>
      </c>
      <c r="C2661" t="s">
        <v>18</v>
      </c>
      <c r="D2661" t="s">
        <v>26</v>
      </c>
      <c r="E2661" t="s">
        <v>28</v>
      </c>
      <c r="F2661" t="s">
        <v>58</v>
      </c>
      <c r="G2661" t="s">
        <v>71</v>
      </c>
      <c r="H2661" t="s">
        <v>74</v>
      </c>
      <c r="I2661">
        <v>7</v>
      </c>
      <c r="J2661">
        <v>2010</v>
      </c>
      <c r="K2661">
        <v>0.1</v>
      </c>
      <c r="L2661">
        <v>12663</v>
      </c>
      <c r="M2661">
        <v>8263.24</v>
      </c>
      <c r="N2661">
        <v>4399.76</v>
      </c>
      <c r="O2661" t="s">
        <v>78</v>
      </c>
      <c r="P2661" t="s">
        <v>83</v>
      </c>
    </row>
    <row r="2662" spans="1:16" x14ac:dyDescent="0.25">
      <c r="A2662">
        <v>2661</v>
      </c>
      <c r="B2662" s="2">
        <v>45881</v>
      </c>
      <c r="C2662" t="s">
        <v>16</v>
      </c>
      <c r="D2662" t="s">
        <v>24</v>
      </c>
      <c r="E2662" t="s">
        <v>28</v>
      </c>
      <c r="F2662" t="s">
        <v>63</v>
      </c>
      <c r="G2662" t="s">
        <v>71</v>
      </c>
      <c r="H2662" t="s">
        <v>75</v>
      </c>
      <c r="I2662">
        <v>7</v>
      </c>
      <c r="J2662">
        <v>1993</v>
      </c>
      <c r="K2662">
        <v>0.1</v>
      </c>
      <c r="L2662">
        <v>12555.9</v>
      </c>
      <c r="M2662">
        <v>7824.22</v>
      </c>
      <c r="N2662">
        <v>4731.68</v>
      </c>
      <c r="O2662" t="s">
        <v>80</v>
      </c>
      <c r="P2662" t="s">
        <v>81</v>
      </c>
    </row>
    <row r="2663" spans="1:16" x14ac:dyDescent="0.25">
      <c r="A2663">
        <v>2662</v>
      </c>
      <c r="B2663" s="2">
        <v>45917</v>
      </c>
      <c r="C2663" t="s">
        <v>23</v>
      </c>
      <c r="D2663" t="s">
        <v>27</v>
      </c>
      <c r="E2663" t="s">
        <v>31</v>
      </c>
      <c r="F2663" t="s">
        <v>50</v>
      </c>
      <c r="G2663" t="s">
        <v>70</v>
      </c>
      <c r="H2663" t="s">
        <v>74</v>
      </c>
      <c r="I2663">
        <v>6</v>
      </c>
      <c r="J2663">
        <v>1045</v>
      </c>
      <c r="K2663">
        <v>0.2</v>
      </c>
      <c r="L2663">
        <v>5016</v>
      </c>
      <c r="M2663">
        <v>3331.1</v>
      </c>
      <c r="N2663">
        <v>1684.9</v>
      </c>
      <c r="O2663" t="s">
        <v>80</v>
      </c>
      <c r="P2663" t="s">
        <v>85</v>
      </c>
    </row>
    <row r="2664" spans="1:16" x14ac:dyDescent="0.25">
      <c r="A2664">
        <v>2663</v>
      </c>
      <c r="B2664" s="2">
        <v>45984</v>
      </c>
      <c r="C2664" t="s">
        <v>19</v>
      </c>
      <c r="D2664" t="s">
        <v>26</v>
      </c>
      <c r="E2664" t="s">
        <v>29</v>
      </c>
      <c r="F2664" t="s">
        <v>42</v>
      </c>
      <c r="G2664" t="s">
        <v>70</v>
      </c>
      <c r="H2664" t="s">
        <v>73</v>
      </c>
      <c r="I2664">
        <v>7</v>
      </c>
      <c r="J2664">
        <v>10369</v>
      </c>
      <c r="K2664">
        <v>0</v>
      </c>
      <c r="L2664">
        <v>72583</v>
      </c>
      <c r="M2664">
        <v>41142.57</v>
      </c>
      <c r="N2664">
        <v>31440.43</v>
      </c>
      <c r="O2664" t="s">
        <v>80</v>
      </c>
      <c r="P2664" t="s">
        <v>88</v>
      </c>
    </row>
    <row r="2665" spans="1:16" x14ac:dyDescent="0.25">
      <c r="A2665">
        <v>2664</v>
      </c>
      <c r="B2665" s="2">
        <v>45670</v>
      </c>
      <c r="C2665" t="s">
        <v>20</v>
      </c>
      <c r="D2665" t="s">
        <v>26</v>
      </c>
      <c r="E2665" t="s">
        <v>34</v>
      </c>
      <c r="F2665" t="s">
        <v>68</v>
      </c>
      <c r="G2665" t="s">
        <v>71</v>
      </c>
      <c r="H2665" t="s">
        <v>74</v>
      </c>
      <c r="I2665">
        <v>2</v>
      </c>
      <c r="J2665">
        <v>3427</v>
      </c>
      <c r="K2665">
        <v>0.05</v>
      </c>
      <c r="L2665">
        <v>6511.3</v>
      </c>
      <c r="M2665">
        <v>5612.41</v>
      </c>
      <c r="N2665">
        <v>898.89</v>
      </c>
      <c r="O2665" t="s">
        <v>79</v>
      </c>
      <c r="P2665" t="s">
        <v>83</v>
      </c>
    </row>
    <row r="2666" spans="1:16" x14ac:dyDescent="0.25">
      <c r="A2666">
        <v>2665</v>
      </c>
      <c r="B2666" s="2">
        <v>45951</v>
      </c>
      <c r="C2666" t="s">
        <v>19</v>
      </c>
      <c r="D2666" t="s">
        <v>26</v>
      </c>
      <c r="E2666" t="s">
        <v>34</v>
      </c>
      <c r="F2666" t="s">
        <v>55</v>
      </c>
      <c r="G2666" t="s">
        <v>70</v>
      </c>
      <c r="H2666" t="s">
        <v>74</v>
      </c>
      <c r="I2666">
        <v>1</v>
      </c>
      <c r="J2666">
        <v>4715</v>
      </c>
      <c r="K2666">
        <v>0</v>
      </c>
      <c r="L2666">
        <v>4715</v>
      </c>
      <c r="M2666">
        <v>2778.39</v>
      </c>
      <c r="N2666">
        <v>1936.61</v>
      </c>
      <c r="O2666" t="s">
        <v>76</v>
      </c>
      <c r="P2666" t="s">
        <v>81</v>
      </c>
    </row>
    <row r="2667" spans="1:16" x14ac:dyDescent="0.25">
      <c r="A2667">
        <v>2666</v>
      </c>
      <c r="B2667" s="2">
        <v>45812</v>
      </c>
      <c r="C2667" t="s">
        <v>18</v>
      </c>
      <c r="D2667" t="s">
        <v>26</v>
      </c>
      <c r="E2667" t="s">
        <v>28</v>
      </c>
      <c r="F2667" t="s">
        <v>61</v>
      </c>
      <c r="G2667" t="s">
        <v>70</v>
      </c>
      <c r="H2667" t="s">
        <v>74</v>
      </c>
      <c r="I2667">
        <v>1</v>
      </c>
      <c r="J2667">
        <v>850</v>
      </c>
      <c r="K2667">
        <v>0.2</v>
      </c>
      <c r="L2667">
        <v>680</v>
      </c>
      <c r="M2667">
        <v>403.02</v>
      </c>
      <c r="N2667">
        <v>276.98</v>
      </c>
      <c r="O2667" t="s">
        <v>76</v>
      </c>
      <c r="P2667" t="s">
        <v>87</v>
      </c>
    </row>
    <row r="2668" spans="1:16" x14ac:dyDescent="0.25">
      <c r="A2668">
        <v>2667</v>
      </c>
      <c r="B2668" s="2">
        <v>45720</v>
      </c>
      <c r="C2668" t="s">
        <v>23</v>
      </c>
      <c r="D2668" t="s">
        <v>27</v>
      </c>
      <c r="E2668" t="s">
        <v>28</v>
      </c>
      <c r="F2668" t="s">
        <v>63</v>
      </c>
      <c r="G2668" t="s">
        <v>71</v>
      </c>
      <c r="H2668" t="s">
        <v>73</v>
      </c>
      <c r="I2668">
        <v>4</v>
      </c>
      <c r="J2668">
        <v>1165</v>
      </c>
      <c r="K2668">
        <v>0.05</v>
      </c>
      <c r="L2668">
        <v>4427</v>
      </c>
      <c r="M2668">
        <v>2469.5700000000002</v>
      </c>
      <c r="N2668">
        <v>1957.43</v>
      </c>
      <c r="O2668" t="s">
        <v>80</v>
      </c>
      <c r="P2668" t="s">
        <v>85</v>
      </c>
    </row>
    <row r="2669" spans="1:16" x14ac:dyDescent="0.25">
      <c r="A2669">
        <v>2668</v>
      </c>
      <c r="B2669" s="2">
        <v>45827</v>
      </c>
      <c r="C2669" t="s">
        <v>23</v>
      </c>
      <c r="D2669" t="s">
        <v>27</v>
      </c>
      <c r="E2669" t="s">
        <v>31</v>
      </c>
      <c r="F2669" t="s">
        <v>47</v>
      </c>
      <c r="G2669" t="s">
        <v>70</v>
      </c>
      <c r="H2669" t="s">
        <v>74</v>
      </c>
      <c r="I2669">
        <v>7</v>
      </c>
      <c r="J2669">
        <v>456</v>
      </c>
      <c r="K2669">
        <v>0.05</v>
      </c>
      <c r="L2669">
        <v>3032.4</v>
      </c>
      <c r="M2669">
        <v>1831.14</v>
      </c>
      <c r="N2669">
        <v>1201.26</v>
      </c>
      <c r="O2669" t="s">
        <v>79</v>
      </c>
      <c r="P2669" t="s">
        <v>84</v>
      </c>
    </row>
    <row r="2670" spans="1:16" x14ac:dyDescent="0.25">
      <c r="A2670">
        <v>2669</v>
      </c>
      <c r="B2670" s="2">
        <v>45883</v>
      </c>
      <c r="C2670" t="s">
        <v>16</v>
      </c>
      <c r="D2670" t="s">
        <v>24</v>
      </c>
      <c r="E2670" t="s">
        <v>28</v>
      </c>
      <c r="F2670" t="s">
        <v>54</v>
      </c>
      <c r="G2670" t="s">
        <v>70</v>
      </c>
      <c r="H2670" t="s">
        <v>75</v>
      </c>
      <c r="I2670">
        <v>3</v>
      </c>
      <c r="J2670">
        <v>1285</v>
      </c>
      <c r="K2670">
        <v>0.1</v>
      </c>
      <c r="L2670">
        <v>3469.5</v>
      </c>
      <c r="M2670">
        <v>2290.6</v>
      </c>
      <c r="N2670">
        <v>1178.9000000000001</v>
      </c>
      <c r="O2670" t="s">
        <v>80</v>
      </c>
      <c r="P2670" t="s">
        <v>87</v>
      </c>
    </row>
    <row r="2671" spans="1:16" x14ac:dyDescent="0.25">
      <c r="A2671">
        <v>2670</v>
      </c>
      <c r="B2671" s="2">
        <v>45802</v>
      </c>
      <c r="C2671" t="s">
        <v>16</v>
      </c>
      <c r="D2671" t="s">
        <v>24</v>
      </c>
      <c r="E2671" t="s">
        <v>34</v>
      </c>
      <c r="F2671" t="s">
        <v>65</v>
      </c>
      <c r="G2671" t="s">
        <v>71</v>
      </c>
      <c r="H2671" t="s">
        <v>74</v>
      </c>
      <c r="I2671">
        <v>2</v>
      </c>
      <c r="J2671">
        <v>3776</v>
      </c>
      <c r="K2671">
        <v>0.05</v>
      </c>
      <c r="L2671">
        <v>7174.4</v>
      </c>
      <c r="M2671">
        <v>5504.64</v>
      </c>
      <c r="N2671">
        <v>1669.76</v>
      </c>
      <c r="O2671" t="s">
        <v>78</v>
      </c>
      <c r="P2671" t="s">
        <v>82</v>
      </c>
    </row>
    <row r="2672" spans="1:16" x14ac:dyDescent="0.25">
      <c r="A2672">
        <v>2671</v>
      </c>
      <c r="B2672" s="2">
        <v>45689</v>
      </c>
      <c r="C2672" t="s">
        <v>20</v>
      </c>
      <c r="D2672" t="s">
        <v>26</v>
      </c>
      <c r="E2672" t="s">
        <v>29</v>
      </c>
      <c r="F2672" t="s">
        <v>45</v>
      </c>
      <c r="G2672" t="s">
        <v>72</v>
      </c>
      <c r="H2672" t="s">
        <v>74</v>
      </c>
      <c r="I2672">
        <v>2</v>
      </c>
      <c r="J2672">
        <v>1634</v>
      </c>
      <c r="K2672">
        <v>0.05</v>
      </c>
      <c r="L2672">
        <v>3104.6</v>
      </c>
      <c r="M2672">
        <v>1949.52</v>
      </c>
      <c r="N2672">
        <v>1155.08</v>
      </c>
      <c r="O2672" t="s">
        <v>78</v>
      </c>
      <c r="P2672" t="s">
        <v>87</v>
      </c>
    </row>
    <row r="2673" spans="1:16" x14ac:dyDescent="0.25">
      <c r="A2673">
        <v>2672</v>
      </c>
      <c r="B2673" s="2">
        <v>45769</v>
      </c>
      <c r="C2673" t="s">
        <v>19</v>
      </c>
      <c r="D2673" t="s">
        <v>26</v>
      </c>
      <c r="E2673" t="s">
        <v>33</v>
      </c>
      <c r="F2673" t="s">
        <v>46</v>
      </c>
      <c r="G2673" t="s">
        <v>71</v>
      </c>
      <c r="H2673" t="s">
        <v>75</v>
      </c>
      <c r="I2673">
        <v>5</v>
      </c>
      <c r="J2673">
        <v>6013</v>
      </c>
      <c r="K2673">
        <v>0.15</v>
      </c>
      <c r="L2673">
        <v>25555.25</v>
      </c>
      <c r="M2673">
        <v>15538.23</v>
      </c>
      <c r="N2673">
        <v>10017.02</v>
      </c>
      <c r="O2673" t="s">
        <v>78</v>
      </c>
      <c r="P2673" t="s">
        <v>82</v>
      </c>
    </row>
    <row r="2674" spans="1:16" x14ac:dyDescent="0.25">
      <c r="A2674">
        <v>2673</v>
      </c>
      <c r="B2674" s="2">
        <v>45982</v>
      </c>
      <c r="C2674" t="s">
        <v>21</v>
      </c>
      <c r="D2674" t="s">
        <v>24</v>
      </c>
      <c r="E2674" t="s">
        <v>28</v>
      </c>
      <c r="F2674" t="s">
        <v>35</v>
      </c>
      <c r="G2674" t="s">
        <v>71</v>
      </c>
      <c r="H2674" t="s">
        <v>75</v>
      </c>
      <c r="I2674">
        <v>5</v>
      </c>
      <c r="J2674">
        <v>1181</v>
      </c>
      <c r="K2674">
        <v>0.15</v>
      </c>
      <c r="L2674">
        <v>5019.25</v>
      </c>
      <c r="M2674">
        <v>2809.87</v>
      </c>
      <c r="N2674">
        <v>2209.38</v>
      </c>
      <c r="O2674" t="s">
        <v>80</v>
      </c>
      <c r="P2674" t="s">
        <v>82</v>
      </c>
    </row>
    <row r="2675" spans="1:16" x14ac:dyDescent="0.25">
      <c r="A2675">
        <v>2674</v>
      </c>
      <c r="B2675" s="2">
        <v>46002</v>
      </c>
      <c r="C2675" t="s">
        <v>20</v>
      </c>
      <c r="D2675" t="s">
        <v>26</v>
      </c>
      <c r="E2675" t="s">
        <v>32</v>
      </c>
      <c r="F2675" t="s">
        <v>62</v>
      </c>
      <c r="G2675" t="s">
        <v>71</v>
      </c>
      <c r="H2675" t="s">
        <v>74</v>
      </c>
      <c r="I2675">
        <v>7</v>
      </c>
      <c r="J2675">
        <v>3333</v>
      </c>
      <c r="K2675">
        <v>0.2</v>
      </c>
      <c r="L2675">
        <v>18664.8</v>
      </c>
      <c r="M2675">
        <v>15588.74</v>
      </c>
      <c r="N2675">
        <v>3076.06</v>
      </c>
      <c r="O2675" t="s">
        <v>78</v>
      </c>
      <c r="P2675" t="s">
        <v>81</v>
      </c>
    </row>
    <row r="2676" spans="1:16" x14ac:dyDescent="0.25">
      <c r="A2676">
        <v>2675</v>
      </c>
      <c r="B2676" s="2">
        <v>45883</v>
      </c>
      <c r="C2676" t="s">
        <v>22</v>
      </c>
      <c r="D2676" t="s">
        <v>24</v>
      </c>
      <c r="E2676" t="s">
        <v>31</v>
      </c>
      <c r="F2676" t="s">
        <v>47</v>
      </c>
      <c r="G2676" t="s">
        <v>71</v>
      </c>
      <c r="H2676" t="s">
        <v>75</v>
      </c>
      <c r="I2676">
        <v>7</v>
      </c>
      <c r="J2676">
        <v>1042</v>
      </c>
      <c r="K2676">
        <v>0.05</v>
      </c>
      <c r="L2676">
        <v>6929.3</v>
      </c>
      <c r="M2676">
        <v>4219.63</v>
      </c>
      <c r="N2676">
        <v>2709.67</v>
      </c>
      <c r="O2676" t="s">
        <v>80</v>
      </c>
      <c r="P2676" t="s">
        <v>83</v>
      </c>
    </row>
    <row r="2677" spans="1:16" x14ac:dyDescent="0.25">
      <c r="A2677">
        <v>2676</v>
      </c>
      <c r="B2677" s="2">
        <v>45714</v>
      </c>
      <c r="C2677" t="s">
        <v>18</v>
      </c>
      <c r="D2677" t="s">
        <v>26</v>
      </c>
      <c r="E2677" t="s">
        <v>29</v>
      </c>
      <c r="F2677" t="s">
        <v>57</v>
      </c>
      <c r="G2677" t="s">
        <v>70</v>
      </c>
      <c r="H2677" t="s">
        <v>74</v>
      </c>
      <c r="I2677">
        <v>2</v>
      </c>
      <c r="J2677">
        <v>7991</v>
      </c>
      <c r="K2677">
        <v>0.15</v>
      </c>
      <c r="L2677">
        <v>13584.7</v>
      </c>
      <c r="M2677">
        <v>10056.540000000001</v>
      </c>
      <c r="N2677">
        <v>3528.16</v>
      </c>
      <c r="O2677" t="s">
        <v>77</v>
      </c>
      <c r="P2677" t="s">
        <v>81</v>
      </c>
    </row>
    <row r="2678" spans="1:16" x14ac:dyDescent="0.25">
      <c r="A2678">
        <v>2677</v>
      </c>
      <c r="B2678" s="2">
        <v>45807</v>
      </c>
      <c r="C2678" t="s">
        <v>23</v>
      </c>
      <c r="D2678" t="s">
        <v>27</v>
      </c>
      <c r="E2678" t="s">
        <v>32</v>
      </c>
      <c r="F2678" t="s">
        <v>49</v>
      </c>
      <c r="G2678" t="s">
        <v>70</v>
      </c>
      <c r="H2678" t="s">
        <v>75</v>
      </c>
      <c r="I2678">
        <v>2</v>
      </c>
      <c r="J2678">
        <v>10973</v>
      </c>
      <c r="K2678">
        <v>0</v>
      </c>
      <c r="L2678">
        <v>21946</v>
      </c>
      <c r="M2678">
        <v>17396.36</v>
      </c>
      <c r="N2678">
        <v>4549.6400000000003</v>
      </c>
      <c r="O2678" t="s">
        <v>78</v>
      </c>
      <c r="P2678" t="s">
        <v>87</v>
      </c>
    </row>
    <row r="2679" spans="1:16" x14ac:dyDescent="0.25">
      <c r="A2679">
        <v>2678</v>
      </c>
      <c r="B2679" s="2">
        <v>45757</v>
      </c>
      <c r="C2679" t="s">
        <v>17</v>
      </c>
      <c r="D2679" t="s">
        <v>25</v>
      </c>
      <c r="E2679" t="s">
        <v>28</v>
      </c>
      <c r="F2679" t="s">
        <v>35</v>
      </c>
      <c r="G2679" t="s">
        <v>70</v>
      </c>
      <c r="H2679" t="s">
        <v>73</v>
      </c>
      <c r="I2679">
        <v>1</v>
      </c>
      <c r="J2679">
        <v>1039</v>
      </c>
      <c r="K2679">
        <v>0.1</v>
      </c>
      <c r="L2679">
        <v>935.1</v>
      </c>
      <c r="M2679">
        <v>675.7</v>
      </c>
      <c r="N2679">
        <v>259.39999999999998</v>
      </c>
      <c r="O2679" t="s">
        <v>78</v>
      </c>
      <c r="P2679" t="s">
        <v>88</v>
      </c>
    </row>
    <row r="2680" spans="1:16" x14ac:dyDescent="0.25">
      <c r="A2680">
        <v>2679</v>
      </c>
      <c r="B2680" s="2">
        <v>45734</v>
      </c>
      <c r="C2680" t="s">
        <v>17</v>
      </c>
      <c r="D2680" t="s">
        <v>25</v>
      </c>
      <c r="E2680" t="s">
        <v>29</v>
      </c>
      <c r="F2680" t="s">
        <v>57</v>
      </c>
      <c r="G2680" t="s">
        <v>70</v>
      </c>
      <c r="H2680" t="s">
        <v>74</v>
      </c>
      <c r="I2680">
        <v>2</v>
      </c>
      <c r="J2680">
        <v>1124</v>
      </c>
      <c r="K2680">
        <v>0.1</v>
      </c>
      <c r="L2680">
        <v>2023.2</v>
      </c>
      <c r="M2680">
        <v>1420.8</v>
      </c>
      <c r="N2680">
        <v>602.4</v>
      </c>
      <c r="O2680" t="s">
        <v>80</v>
      </c>
      <c r="P2680" t="s">
        <v>83</v>
      </c>
    </row>
    <row r="2681" spans="1:16" x14ac:dyDescent="0.25">
      <c r="A2681">
        <v>2680</v>
      </c>
      <c r="B2681" s="2">
        <v>45679</v>
      </c>
      <c r="C2681" t="s">
        <v>16</v>
      </c>
      <c r="D2681" t="s">
        <v>24</v>
      </c>
      <c r="E2681" t="s">
        <v>33</v>
      </c>
      <c r="F2681" t="s">
        <v>59</v>
      </c>
      <c r="G2681" t="s">
        <v>70</v>
      </c>
      <c r="H2681" t="s">
        <v>75</v>
      </c>
      <c r="I2681">
        <v>7</v>
      </c>
      <c r="J2681">
        <v>41727</v>
      </c>
      <c r="K2681">
        <v>0.1</v>
      </c>
      <c r="L2681">
        <v>262880.09999999998</v>
      </c>
      <c r="M2681">
        <v>187906.64</v>
      </c>
      <c r="N2681">
        <v>74973.460000000006</v>
      </c>
      <c r="O2681" t="s">
        <v>78</v>
      </c>
      <c r="P2681" t="s">
        <v>83</v>
      </c>
    </row>
    <row r="2682" spans="1:16" x14ac:dyDescent="0.25">
      <c r="A2682">
        <v>2681</v>
      </c>
      <c r="B2682" s="2">
        <v>45847</v>
      </c>
      <c r="C2682" t="s">
        <v>16</v>
      </c>
      <c r="D2682" t="s">
        <v>24</v>
      </c>
      <c r="E2682" t="s">
        <v>31</v>
      </c>
      <c r="F2682" t="s">
        <v>50</v>
      </c>
      <c r="G2682" t="s">
        <v>72</v>
      </c>
      <c r="H2682" t="s">
        <v>73</v>
      </c>
      <c r="I2682">
        <v>1</v>
      </c>
      <c r="J2682">
        <v>550</v>
      </c>
      <c r="K2682">
        <v>0.2</v>
      </c>
      <c r="L2682">
        <v>440</v>
      </c>
      <c r="M2682">
        <v>302.72000000000003</v>
      </c>
      <c r="N2682">
        <v>137.28</v>
      </c>
      <c r="O2682" t="s">
        <v>80</v>
      </c>
      <c r="P2682" t="s">
        <v>84</v>
      </c>
    </row>
    <row r="2683" spans="1:16" x14ac:dyDescent="0.25">
      <c r="A2683">
        <v>2682</v>
      </c>
      <c r="B2683" s="2">
        <v>45665</v>
      </c>
      <c r="C2683" t="s">
        <v>16</v>
      </c>
      <c r="D2683" t="s">
        <v>24</v>
      </c>
      <c r="E2683" t="s">
        <v>29</v>
      </c>
      <c r="F2683" t="s">
        <v>53</v>
      </c>
      <c r="G2683" t="s">
        <v>71</v>
      </c>
      <c r="H2683" t="s">
        <v>75</v>
      </c>
      <c r="I2683">
        <v>6</v>
      </c>
      <c r="J2683">
        <v>1766</v>
      </c>
      <c r="K2683">
        <v>0</v>
      </c>
      <c r="L2683">
        <v>10596</v>
      </c>
      <c r="M2683">
        <v>7312.53</v>
      </c>
      <c r="N2683">
        <v>3283.47</v>
      </c>
      <c r="O2683" t="s">
        <v>80</v>
      </c>
      <c r="P2683" t="s">
        <v>87</v>
      </c>
    </row>
    <row r="2684" spans="1:16" x14ac:dyDescent="0.25">
      <c r="A2684">
        <v>2683</v>
      </c>
      <c r="B2684" s="2">
        <v>45806</v>
      </c>
      <c r="C2684" t="s">
        <v>22</v>
      </c>
      <c r="D2684" t="s">
        <v>24</v>
      </c>
      <c r="E2684" t="s">
        <v>28</v>
      </c>
      <c r="F2684" t="s">
        <v>63</v>
      </c>
      <c r="G2684" t="s">
        <v>71</v>
      </c>
      <c r="H2684" t="s">
        <v>73</v>
      </c>
      <c r="I2684">
        <v>4</v>
      </c>
      <c r="J2684">
        <v>1582</v>
      </c>
      <c r="K2684">
        <v>0.2</v>
      </c>
      <c r="L2684">
        <v>5062.3999999999996</v>
      </c>
      <c r="M2684">
        <v>4400.32</v>
      </c>
      <c r="N2684">
        <v>662.08</v>
      </c>
      <c r="O2684" t="s">
        <v>77</v>
      </c>
      <c r="P2684" t="s">
        <v>82</v>
      </c>
    </row>
    <row r="2685" spans="1:16" x14ac:dyDescent="0.25">
      <c r="A2685">
        <v>2684</v>
      </c>
      <c r="B2685" s="2">
        <v>45954</v>
      </c>
      <c r="C2685" t="s">
        <v>23</v>
      </c>
      <c r="D2685" t="s">
        <v>27</v>
      </c>
      <c r="E2685" t="s">
        <v>28</v>
      </c>
      <c r="F2685" t="s">
        <v>63</v>
      </c>
      <c r="G2685" t="s">
        <v>70</v>
      </c>
      <c r="H2685" t="s">
        <v>73</v>
      </c>
      <c r="I2685">
        <v>7</v>
      </c>
      <c r="J2685">
        <v>2075</v>
      </c>
      <c r="K2685">
        <v>0.2</v>
      </c>
      <c r="L2685">
        <v>11620</v>
      </c>
      <c r="M2685">
        <v>8729.69</v>
      </c>
      <c r="N2685">
        <v>2890.31</v>
      </c>
      <c r="O2685" t="s">
        <v>77</v>
      </c>
      <c r="P2685" t="s">
        <v>83</v>
      </c>
    </row>
    <row r="2686" spans="1:16" x14ac:dyDescent="0.25">
      <c r="A2686">
        <v>2685</v>
      </c>
      <c r="B2686" s="2">
        <v>45948</v>
      </c>
      <c r="C2686" t="s">
        <v>18</v>
      </c>
      <c r="D2686" t="s">
        <v>26</v>
      </c>
      <c r="E2686" t="s">
        <v>32</v>
      </c>
      <c r="F2686" t="s">
        <v>62</v>
      </c>
      <c r="G2686" t="s">
        <v>70</v>
      </c>
      <c r="H2686" t="s">
        <v>73</v>
      </c>
      <c r="I2686">
        <v>4</v>
      </c>
      <c r="J2686">
        <v>1612</v>
      </c>
      <c r="K2686">
        <v>0.15</v>
      </c>
      <c r="L2686">
        <v>5480.8</v>
      </c>
      <c r="M2686">
        <v>3120.73</v>
      </c>
      <c r="N2686">
        <v>2360.0700000000002</v>
      </c>
      <c r="O2686" t="s">
        <v>80</v>
      </c>
      <c r="P2686" t="s">
        <v>88</v>
      </c>
    </row>
    <row r="2687" spans="1:16" x14ac:dyDescent="0.25">
      <c r="A2687">
        <v>2686</v>
      </c>
      <c r="B2687" s="2">
        <v>45890</v>
      </c>
      <c r="C2687" t="s">
        <v>20</v>
      </c>
      <c r="D2687" t="s">
        <v>26</v>
      </c>
      <c r="E2687" t="s">
        <v>32</v>
      </c>
      <c r="F2687" t="s">
        <v>48</v>
      </c>
      <c r="G2687" t="s">
        <v>70</v>
      </c>
      <c r="H2687" t="s">
        <v>73</v>
      </c>
      <c r="I2687">
        <v>5</v>
      </c>
      <c r="J2687">
        <v>3948</v>
      </c>
      <c r="K2687">
        <v>0.1</v>
      </c>
      <c r="L2687">
        <v>17766</v>
      </c>
      <c r="M2687">
        <v>10991.85</v>
      </c>
      <c r="N2687">
        <v>6774.15</v>
      </c>
      <c r="O2687" t="s">
        <v>80</v>
      </c>
      <c r="P2687" t="s">
        <v>86</v>
      </c>
    </row>
    <row r="2688" spans="1:16" x14ac:dyDescent="0.25">
      <c r="A2688">
        <v>2687</v>
      </c>
      <c r="B2688" s="2">
        <v>46022</v>
      </c>
      <c r="C2688" t="s">
        <v>18</v>
      </c>
      <c r="D2688" t="s">
        <v>26</v>
      </c>
      <c r="E2688" t="s">
        <v>34</v>
      </c>
      <c r="F2688" t="s">
        <v>51</v>
      </c>
      <c r="G2688" t="s">
        <v>71</v>
      </c>
      <c r="H2688" t="s">
        <v>75</v>
      </c>
      <c r="I2688">
        <v>4</v>
      </c>
      <c r="J2688">
        <v>5740</v>
      </c>
      <c r="K2688">
        <v>0.1</v>
      </c>
      <c r="L2688">
        <v>20664</v>
      </c>
      <c r="M2688">
        <v>13514.47</v>
      </c>
      <c r="N2688">
        <v>7149.53</v>
      </c>
      <c r="O2688" t="s">
        <v>76</v>
      </c>
      <c r="P2688" t="s">
        <v>88</v>
      </c>
    </row>
    <row r="2689" spans="1:16" x14ac:dyDescent="0.25">
      <c r="A2689">
        <v>2688</v>
      </c>
      <c r="B2689" s="2">
        <v>45727</v>
      </c>
      <c r="C2689" t="s">
        <v>19</v>
      </c>
      <c r="D2689" t="s">
        <v>26</v>
      </c>
      <c r="E2689" t="s">
        <v>29</v>
      </c>
      <c r="F2689" t="s">
        <v>42</v>
      </c>
      <c r="G2689" t="s">
        <v>70</v>
      </c>
      <c r="H2689" t="s">
        <v>75</v>
      </c>
      <c r="I2689">
        <v>3</v>
      </c>
      <c r="J2689">
        <v>460</v>
      </c>
      <c r="K2689">
        <v>0.05</v>
      </c>
      <c r="L2689">
        <v>1311</v>
      </c>
      <c r="M2689">
        <v>963.88</v>
      </c>
      <c r="N2689">
        <v>347.12</v>
      </c>
      <c r="O2689" t="s">
        <v>77</v>
      </c>
      <c r="P2689" t="s">
        <v>86</v>
      </c>
    </row>
    <row r="2690" spans="1:16" x14ac:dyDescent="0.25">
      <c r="A2690">
        <v>2689</v>
      </c>
      <c r="B2690" s="2">
        <v>45837</v>
      </c>
      <c r="C2690" t="s">
        <v>21</v>
      </c>
      <c r="D2690" t="s">
        <v>24</v>
      </c>
      <c r="E2690" t="s">
        <v>34</v>
      </c>
      <c r="F2690" t="s">
        <v>51</v>
      </c>
      <c r="G2690" t="s">
        <v>71</v>
      </c>
      <c r="H2690" t="s">
        <v>75</v>
      </c>
      <c r="I2690">
        <v>6</v>
      </c>
      <c r="J2690">
        <v>1404</v>
      </c>
      <c r="K2690">
        <v>0.15</v>
      </c>
      <c r="L2690">
        <v>7160.4</v>
      </c>
      <c r="M2690">
        <v>4670.76</v>
      </c>
      <c r="N2690">
        <v>2489.64</v>
      </c>
      <c r="O2690" t="s">
        <v>76</v>
      </c>
      <c r="P2690" t="s">
        <v>83</v>
      </c>
    </row>
    <row r="2691" spans="1:16" x14ac:dyDescent="0.25">
      <c r="A2691">
        <v>2690</v>
      </c>
      <c r="B2691" s="2">
        <v>45758</v>
      </c>
      <c r="C2691" t="s">
        <v>20</v>
      </c>
      <c r="D2691" t="s">
        <v>26</v>
      </c>
      <c r="E2691" t="s">
        <v>28</v>
      </c>
      <c r="F2691" t="s">
        <v>35</v>
      </c>
      <c r="G2691" t="s">
        <v>71</v>
      </c>
      <c r="H2691" t="s">
        <v>73</v>
      </c>
      <c r="I2691">
        <v>1</v>
      </c>
      <c r="J2691">
        <v>500</v>
      </c>
      <c r="K2691">
        <v>0</v>
      </c>
      <c r="L2691">
        <v>500</v>
      </c>
      <c r="M2691">
        <v>338.87</v>
      </c>
      <c r="N2691">
        <v>161.13</v>
      </c>
      <c r="O2691" t="s">
        <v>80</v>
      </c>
      <c r="P2691" t="s">
        <v>81</v>
      </c>
    </row>
    <row r="2692" spans="1:16" x14ac:dyDescent="0.25">
      <c r="A2692">
        <v>2691</v>
      </c>
      <c r="B2692" s="2">
        <v>46010</v>
      </c>
      <c r="C2692" t="s">
        <v>22</v>
      </c>
      <c r="D2692" t="s">
        <v>24</v>
      </c>
      <c r="E2692" t="s">
        <v>31</v>
      </c>
      <c r="F2692" t="s">
        <v>38</v>
      </c>
      <c r="G2692" t="s">
        <v>72</v>
      </c>
      <c r="H2692" t="s">
        <v>75</v>
      </c>
      <c r="I2692">
        <v>4</v>
      </c>
      <c r="J2692">
        <v>521</v>
      </c>
      <c r="K2692">
        <v>0.1</v>
      </c>
      <c r="L2692">
        <v>1875.6</v>
      </c>
      <c r="M2692">
        <v>1461.8</v>
      </c>
      <c r="N2692">
        <v>413.8</v>
      </c>
      <c r="O2692" t="s">
        <v>77</v>
      </c>
      <c r="P2692" t="s">
        <v>85</v>
      </c>
    </row>
    <row r="2693" spans="1:16" x14ac:dyDescent="0.25">
      <c r="A2693">
        <v>2692</v>
      </c>
      <c r="B2693" s="2">
        <v>45937</v>
      </c>
      <c r="C2693" t="s">
        <v>20</v>
      </c>
      <c r="D2693" t="s">
        <v>26</v>
      </c>
      <c r="E2693" t="s">
        <v>31</v>
      </c>
      <c r="F2693" t="s">
        <v>67</v>
      </c>
      <c r="G2693" t="s">
        <v>72</v>
      </c>
      <c r="H2693" t="s">
        <v>74</v>
      </c>
      <c r="I2693">
        <v>8</v>
      </c>
      <c r="J2693">
        <v>1676</v>
      </c>
      <c r="K2693">
        <v>0.1</v>
      </c>
      <c r="L2693">
        <v>12067.2</v>
      </c>
      <c r="M2693">
        <v>7795.12</v>
      </c>
      <c r="N2693">
        <v>4272.08</v>
      </c>
      <c r="O2693" t="s">
        <v>76</v>
      </c>
      <c r="P2693" t="s">
        <v>87</v>
      </c>
    </row>
    <row r="2694" spans="1:16" x14ac:dyDescent="0.25">
      <c r="A2694">
        <v>2693</v>
      </c>
      <c r="B2694" s="2">
        <v>45773</v>
      </c>
      <c r="C2694" t="s">
        <v>21</v>
      </c>
      <c r="D2694" t="s">
        <v>24</v>
      </c>
      <c r="E2694" t="s">
        <v>33</v>
      </c>
      <c r="F2694" t="s">
        <v>41</v>
      </c>
      <c r="G2694" t="s">
        <v>70</v>
      </c>
      <c r="H2694" t="s">
        <v>74</v>
      </c>
      <c r="I2694">
        <v>8</v>
      </c>
      <c r="J2694">
        <v>14418</v>
      </c>
      <c r="K2694">
        <v>0.1</v>
      </c>
      <c r="L2694">
        <v>103809.60000000001</v>
      </c>
      <c r="M2694">
        <v>63368.53</v>
      </c>
      <c r="N2694">
        <v>40441.07</v>
      </c>
      <c r="O2694" t="s">
        <v>79</v>
      </c>
      <c r="P2694" t="s">
        <v>87</v>
      </c>
    </row>
    <row r="2695" spans="1:16" x14ac:dyDescent="0.25">
      <c r="A2695">
        <v>2694</v>
      </c>
      <c r="B2695" s="2">
        <v>45996</v>
      </c>
      <c r="C2695" t="s">
        <v>23</v>
      </c>
      <c r="D2695" t="s">
        <v>27</v>
      </c>
      <c r="E2695" t="s">
        <v>30</v>
      </c>
      <c r="F2695" t="s">
        <v>64</v>
      </c>
      <c r="G2695" t="s">
        <v>72</v>
      </c>
      <c r="H2695" t="s">
        <v>73</v>
      </c>
      <c r="I2695">
        <v>3</v>
      </c>
      <c r="J2695">
        <v>64384</v>
      </c>
      <c r="K2695">
        <v>0</v>
      </c>
      <c r="L2695">
        <v>193152</v>
      </c>
      <c r="M2695">
        <v>140876.9</v>
      </c>
      <c r="N2695">
        <v>52275.1</v>
      </c>
      <c r="O2695" t="s">
        <v>76</v>
      </c>
      <c r="P2695" t="s">
        <v>87</v>
      </c>
    </row>
    <row r="2696" spans="1:16" x14ac:dyDescent="0.25">
      <c r="A2696">
        <v>2695</v>
      </c>
      <c r="B2696" s="2">
        <v>45770</v>
      </c>
      <c r="C2696" t="s">
        <v>20</v>
      </c>
      <c r="D2696" t="s">
        <v>26</v>
      </c>
      <c r="E2696" t="s">
        <v>33</v>
      </c>
      <c r="F2696" t="s">
        <v>52</v>
      </c>
      <c r="G2696" t="s">
        <v>71</v>
      </c>
      <c r="H2696" t="s">
        <v>75</v>
      </c>
      <c r="I2696">
        <v>2</v>
      </c>
      <c r="J2696">
        <v>29307</v>
      </c>
      <c r="K2696">
        <v>0.15</v>
      </c>
      <c r="L2696">
        <v>49821.9</v>
      </c>
      <c r="M2696">
        <v>43321.34</v>
      </c>
      <c r="N2696">
        <v>6500.56</v>
      </c>
      <c r="O2696" t="s">
        <v>80</v>
      </c>
      <c r="P2696" t="s">
        <v>84</v>
      </c>
    </row>
    <row r="2697" spans="1:16" x14ac:dyDescent="0.25">
      <c r="A2697">
        <v>2696</v>
      </c>
      <c r="B2697" s="2">
        <v>45949</v>
      </c>
      <c r="C2697" t="s">
        <v>17</v>
      </c>
      <c r="D2697" t="s">
        <v>25</v>
      </c>
      <c r="E2697" t="s">
        <v>30</v>
      </c>
      <c r="F2697" t="s">
        <v>44</v>
      </c>
      <c r="G2697" t="s">
        <v>71</v>
      </c>
      <c r="H2697" t="s">
        <v>73</v>
      </c>
      <c r="I2697">
        <v>2</v>
      </c>
      <c r="J2697">
        <v>8684</v>
      </c>
      <c r="K2697">
        <v>0</v>
      </c>
      <c r="L2697">
        <v>17368</v>
      </c>
      <c r="M2697">
        <v>10359.549999999999</v>
      </c>
      <c r="N2697">
        <v>7008.45</v>
      </c>
      <c r="O2697" t="s">
        <v>78</v>
      </c>
      <c r="P2697" t="s">
        <v>82</v>
      </c>
    </row>
    <row r="2698" spans="1:16" x14ac:dyDescent="0.25">
      <c r="A2698">
        <v>2697</v>
      </c>
      <c r="B2698" s="2">
        <v>45714</v>
      </c>
      <c r="C2698" t="s">
        <v>19</v>
      </c>
      <c r="D2698" t="s">
        <v>26</v>
      </c>
      <c r="E2698" t="s">
        <v>28</v>
      </c>
      <c r="F2698" t="s">
        <v>35</v>
      </c>
      <c r="G2698" t="s">
        <v>70</v>
      </c>
      <c r="H2698" t="s">
        <v>73</v>
      </c>
      <c r="I2698">
        <v>6</v>
      </c>
      <c r="J2698">
        <v>2391</v>
      </c>
      <c r="K2698">
        <v>0.05</v>
      </c>
      <c r="L2698">
        <v>13628.7</v>
      </c>
      <c r="M2698">
        <v>9319.8700000000008</v>
      </c>
      <c r="N2698">
        <v>4308.83</v>
      </c>
      <c r="O2698" t="s">
        <v>80</v>
      </c>
      <c r="P2698" t="s">
        <v>81</v>
      </c>
    </row>
    <row r="2699" spans="1:16" x14ac:dyDescent="0.25">
      <c r="A2699">
        <v>2698</v>
      </c>
      <c r="B2699" s="2">
        <v>46006</v>
      </c>
      <c r="C2699" t="s">
        <v>16</v>
      </c>
      <c r="D2699" t="s">
        <v>24</v>
      </c>
      <c r="E2699" t="s">
        <v>32</v>
      </c>
      <c r="F2699" t="s">
        <v>48</v>
      </c>
      <c r="G2699" t="s">
        <v>72</v>
      </c>
      <c r="H2699" t="s">
        <v>73</v>
      </c>
      <c r="I2699">
        <v>3</v>
      </c>
      <c r="J2699">
        <v>16338</v>
      </c>
      <c r="K2699">
        <v>0</v>
      </c>
      <c r="L2699">
        <v>49014</v>
      </c>
      <c r="M2699">
        <v>39499.519999999997</v>
      </c>
      <c r="N2699">
        <v>9514.48</v>
      </c>
      <c r="O2699" t="s">
        <v>78</v>
      </c>
      <c r="P2699" t="s">
        <v>88</v>
      </c>
    </row>
    <row r="2700" spans="1:16" x14ac:dyDescent="0.25">
      <c r="A2700">
        <v>2699</v>
      </c>
      <c r="B2700" s="2">
        <v>45823</v>
      </c>
      <c r="C2700" t="s">
        <v>20</v>
      </c>
      <c r="D2700" t="s">
        <v>26</v>
      </c>
      <c r="E2700" t="s">
        <v>34</v>
      </c>
      <c r="F2700" t="s">
        <v>51</v>
      </c>
      <c r="G2700" t="s">
        <v>71</v>
      </c>
      <c r="H2700" t="s">
        <v>74</v>
      </c>
      <c r="I2700">
        <v>3</v>
      </c>
      <c r="J2700">
        <v>1399</v>
      </c>
      <c r="K2700">
        <v>0.15</v>
      </c>
      <c r="L2700">
        <v>3567.45</v>
      </c>
      <c r="M2700">
        <v>3012.27</v>
      </c>
      <c r="N2700">
        <v>555.17999999999995</v>
      </c>
      <c r="O2700" t="s">
        <v>79</v>
      </c>
      <c r="P2700" t="s">
        <v>81</v>
      </c>
    </row>
    <row r="2701" spans="1:16" x14ac:dyDescent="0.25">
      <c r="A2701">
        <v>2700</v>
      </c>
      <c r="B2701" s="2">
        <v>45675</v>
      </c>
      <c r="C2701" t="s">
        <v>22</v>
      </c>
      <c r="D2701" t="s">
        <v>24</v>
      </c>
      <c r="E2701" t="s">
        <v>29</v>
      </c>
      <c r="F2701" t="s">
        <v>45</v>
      </c>
      <c r="G2701" t="s">
        <v>70</v>
      </c>
      <c r="H2701" t="s">
        <v>75</v>
      </c>
      <c r="I2701">
        <v>5</v>
      </c>
      <c r="J2701">
        <v>995</v>
      </c>
      <c r="K2701">
        <v>0</v>
      </c>
      <c r="L2701">
        <v>4975</v>
      </c>
      <c r="M2701">
        <v>4276.7</v>
      </c>
      <c r="N2701">
        <v>698.3</v>
      </c>
      <c r="O2701" t="s">
        <v>79</v>
      </c>
      <c r="P2701" t="s">
        <v>87</v>
      </c>
    </row>
    <row r="2702" spans="1:16" x14ac:dyDescent="0.25">
      <c r="A2702">
        <v>2701</v>
      </c>
      <c r="B2702" s="2">
        <v>45967</v>
      </c>
      <c r="C2702" t="s">
        <v>21</v>
      </c>
      <c r="D2702" t="s">
        <v>24</v>
      </c>
      <c r="E2702" t="s">
        <v>30</v>
      </c>
      <c r="F2702" t="s">
        <v>40</v>
      </c>
      <c r="G2702" t="s">
        <v>72</v>
      </c>
      <c r="H2702" t="s">
        <v>73</v>
      </c>
      <c r="I2702">
        <v>8</v>
      </c>
      <c r="J2702">
        <v>58115</v>
      </c>
      <c r="K2702">
        <v>0.15</v>
      </c>
      <c r="L2702">
        <v>395182</v>
      </c>
      <c r="M2702">
        <v>225574.95</v>
      </c>
      <c r="N2702">
        <v>169607.05</v>
      </c>
      <c r="O2702" t="s">
        <v>77</v>
      </c>
      <c r="P2702" t="s">
        <v>87</v>
      </c>
    </row>
    <row r="2703" spans="1:16" x14ac:dyDescent="0.25">
      <c r="A2703">
        <v>2702</v>
      </c>
      <c r="B2703" s="2">
        <v>45961</v>
      </c>
      <c r="C2703" t="s">
        <v>21</v>
      </c>
      <c r="D2703" t="s">
        <v>24</v>
      </c>
      <c r="E2703" t="s">
        <v>28</v>
      </c>
      <c r="F2703" t="s">
        <v>63</v>
      </c>
      <c r="G2703" t="s">
        <v>72</v>
      </c>
      <c r="H2703" t="s">
        <v>75</v>
      </c>
      <c r="I2703">
        <v>4</v>
      </c>
      <c r="J2703">
        <v>2406</v>
      </c>
      <c r="K2703">
        <v>0</v>
      </c>
      <c r="L2703">
        <v>9624</v>
      </c>
      <c r="M2703">
        <v>7696.51</v>
      </c>
      <c r="N2703">
        <v>1927.49</v>
      </c>
      <c r="O2703" t="s">
        <v>78</v>
      </c>
      <c r="P2703" t="s">
        <v>85</v>
      </c>
    </row>
    <row r="2704" spans="1:16" x14ac:dyDescent="0.25">
      <c r="A2704">
        <v>2703</v>
      </c>
      <c r="B2704" s="2">
        <v>46022</v>
      </c>
      <c r="C2704" t="s">
        <v>23</v>
      </c>
      <c r="D2704" t="s">
        <v>27</v>
      </c>
      <c r="E2704" t="s">
        <v>29</v>
      </c>
      <c r="F2704" t="s">
        <v>45</v>
      </c>
      <c r="G2704" t="s">
        <v>70</v>
      </c>
      <c r="H2704" t="s">
        <v>73</v>
      </c>
      <c r="I2704">
        <v>4</v>
      </c>
      <c r="J2704">
        <v>2819</v>
      </c>
      <c r="K2704">
        <v>0.15</v>
      </c>
      <c r="L2704">
        <v>9584.6</v>
      </c>
      <c r="M2704">
        <v>8344.4599999999991</v>
      </c>
      <c r="N2704">
        <v>1240.1400000000001</v>
      </c>
      <c r="O2704" t="s">
        <v>76</v>
      </c>
      <c r="P2704" t="s">
        <v>88</v>
      </c>
    </row>
    <row r="2705" spans="1:16" x14ac:dyDescent="0.25">
      <c r="A2705">
        <v>2704</v>
      </c>
      <c r="B2705" s="2">
        <v>45838</v>
      </c>
      <c r="C2705" t="s">
        <v>22</v>
      </c>
      <c r="D2705" t="s">
        <v>24</v>
      </c>
      <c r="E2705" t="s">
        <v>28</v>
      </c>
      <c r="F2705" t="s">
        <v>63</v>
      </c>
      <c r="G2705" t="s">
        <v>72</v>
      </c>
      <c r="H2705" t="s">
        <v>73</v>
      </c>
      <c r="I2705">
        <v>1</v>
      </c>
      <c r="J2705">
        <v>877</v>
      </c>
      <c r="K2705">
        <v>0.1</v>
      </c>
      <c r="L2705">
        <v>789.3</v>
      </c>
      <c r="M2705">
        <v>670.85</v>
      </c>
      <c r="N2705">
        <v>118.45</v>
      </c>
      <c r="O2705" t="s">
        <v>76</v>
      </c>
      <c r="P2705" t="s">
        <v>83</v>
      </c>
    </row>
    <row r="2706" spans="1:16" x14ac:dyDescent="0.25">
      <c r="A2706">
        <v>2705</v>
      </c>
      <c r="B2706" s="2">
        <v>45869</v>
      </c>
      <c r="C2706" t="s">
        <v>23</v>
      </c>
      <c r="D2706" t="s">
        <v>27</v>
      </c>
      <c r="E2706" t="s">
        <v>31</v>
      </c>
      <c r="F2706" t="s">
        <v>50</v>
      </c>
      <c r="G2706" t="s">
        <v>71</v>
      </c>
      <c r="H2706" t="s">
        <v>74</v>
      </c>
      <c r="I2706">
        <v>8</v>
      </c>
      <c r="J2706">
        <v>1698</v>
      </c>
      <c r="K2706">
        <v>0.2</v>
      </c>
      <c r="L2706">
        <v>10867.2</v>
      </c>
      <c r="M2706">
        <v>7382.62</v>
      </c>
      <c r="N2706">
        <v>3484.58</v>
      </c>
      <c r="O2706" t="s">
        <v>78</v>
      </c>
      <c r="P2706" t="s">
        <v>87</v>
      </c>
    </row>
    <row r="2707" spans="1:16" x14ac:dyDescent="0.25">
      <c r="A2707">
        <v>2706</v>
      </c>
      <c r="B2707" s="2">
        <v>45923</v>
      </c>
      <c r="C2707" t="s">
        <v>21</v>
      </c>
      <c r="D2707" t="s">
        <v>24</v>
      </c>
      <c r="E2707" t="s">
        <v>34</v>
      </c>
      <c r="F2707" t="s">
        <v>65</v>
      </c>
      <c r="G2707" t="s">
        <v>70</v>
      </c>
      <c r="H2707" t="s">
        <v>74</v>
      </c>
      <c r="I2707">
        <v>3</v>
      </c>
      <c r="J2707">
        <v>828</v>
      </c>
      <c r="K2707">
        <v>0.05</v>
      </c>
      <c r="L2707">
        <v>2359.8000000000002</v>
      </c>
      <c r="M2707">
        <v>1385.97</v>
      </c>
      <c r="N2707">
        <v>973.83</v>
      </c>
      <c r="O2707" t="s">
        <v>80</v>
      </c>
      <c r="P2707" t="s">
        <v>85</v>
      </c>
    </row>
    <row r="2708" spans="1:16" x14ac:dyDescent="0.25">
      <c r="A2708">
        <v>2707</v>
      </c>
      <c r="B2708" s="2">
        <v>45727</v>
      </c>
      <c r="C2708" t="s">
        <v>19</v>
      </c>
      <c r="D2708" t="s">
        <v>26</v>
      </c>
      <c r="E2708" t="s">
        <v>29</v>
      </c>
      <c r="F2708" t="s">
        <v>36</v>
      </c>
      <c r="G2708" t="s">
        <v>72</v>
      </c>
      <c r="H2708" t="s">
        <v>74</v>
      </c>
      <c r="I2708">
        <v>6</v>
      </c>
      <c r="J2708">
        <v>9496</v>
      </c>
      <c r="K2708">
        <v>0.15</v>
      </c>
      <c r="L2708">
        <v>48429.599999999999</v>
      </c>
      <c r="M2708">
        <v>26705.53</v>
      </c>
      <c r="N2708">
        <v>21724.07</v>
      </c>
      <c r="O2708" t="s">
        <v>77</v>
      </c>
      <c r="P2708" t="s">
        <v>87</v>
      </c>
    </row>
    <row r="2709" spans="1:16" x14ac:dyDescent="0.25">
      <c r="A2709">
        <v>2708</v>
      </c>
      <c r="B2709" s="2">
        <v>45876</v>
      </c>
      <c r="C2709" t="s">
        <v>16</v>
      </c>
      <c r="D2709" t="s">
        <v>24</v>
      </c>
      <c r="E2709" t="s">
        <v>30</v>
      </c>
      <c r="F2709" t="s">
        <v>37</v>
      </c>
      <c r="G2709" t="s">
        <v>72</v>
      </c>
      <c r="H2709" t="s">
        <v>74</v>
      </c>
      <c r="I2709">
        <v>3</v>
      </c>
      <c r="J2709">
        <v>13341</v>
      </c>
      <c r="K2709">
        <v>0.1</v>
      </c>
      <c r="L2709">
        <v>36020.699999999997</v>
      </c>
      <c r="M2709">
        <v>30211.15</v>
      </c>
      <c r="N2709">
        <v>5809.55</v>
      </c>
      <c r="O2709" t="s">
        <v>80</v>
      </c>
      <c r="P2709" t="s">
        <v>83</v>
      </c>
    </row>
    <row r="2710" spans="1:16" x14ac:dyDescent="0.25">
      <c r="A2710">
        <v>2709</v>
      </c>
      <c r="B2710" s="2">
        <v>45916</v>
      </c>
      <c r="C2710" t="s">
        <v>23</v>
      </c>
      <c r="D2710" t="s">
        <v>27</v>
      </c>
      <c r="E2710" t="s">
        <v>32</v>
      </c>
      <c r="F2710" t="s">
        <v>39</v>
      </c>
      <c r="G2710" t="s">
        <v>70</v>
      </c>
      <c r="H2710" t="s">
        <v>75</v>
      </c>
      <c r="I2710">
        <v>8</v>
      </c>
      <c r="J2710">
        <v>3274</v>
      </c>
      <c r="K2710">
        <v>0.1</v>
      </c>
      <c r="L2710">
        <v>23572.799999999999</v>
      </c>
      <c r="M2710">
        <v>19595.36</v>
      </c>
      <c r="N2710">
        <v>3977.44</v>
      </c>
      <c r="O2710" t="s">
        <v>78</v>
      </c>
      <c r="P2710" t="s">
        <v>87</v>
      </c>
    </row>
    <row r="2711" spans="1:16" x14ac:dyDescent="0.25">
      <c r="A2711">
        <v>2710</v>
      </c>
      <c r="B2711" s="2">
        <v>45824</v>
      </c>
      <c r="C2711" t="s">
        <v>18</v>
      </c>
      <c r="D2711" t="s">
        <v>26</v>
      </c>
      <c r="E2711" t="s">
        <v>32</v>
      </c>
      <c r="F2711" t="s">
        <v>49</v>
      </c>
      <c r="G2711" t="s">
        <v>71</v>
      </c>
      <c r="H2711" t="s">
        <v>74</v>
      </c>
      <c r="I2711">
        <v>8</v>
      </c>
      <c r="J2711">
        <v>20884</v>
      </c>
      <c r="K2711">
        <v>0.1</v>
      </c>
      <c r="L2711">
        <v>150364.79999999999</v>
      </c>
      <c r="M2711">
        <v>83064.73</v>
      </c>
      <c r="N2711">
        <v>67300.070000000007</v>
      </c>
      <c r="O2711" t="s">
        <v>79</v>
      </c>
      <c r="P2711" t="s">
        <v>83</v>
      </c>
    </row>
    <row r="2712" spans="1:16" x14ac:dyDescent="0.25">
      <c r="A2712">
        <v>2711</v>
      </c>
      <c r="B2712" s="2">
        <v>45668</v>
      </c>
      <c r="C2712" t="s">
        <v>20</v>
      </c>
      <c r="D2712" t="s">
        <v>26</v>
      </c>
      <c r="E2712" t="s">
        <v>34</v>
      </c>
      <c r="F2712" t="s">
        <v>43</v>
      </c>
      <c r="G2712" t="s">
        <v>71</v>
      </c>
      <c r="H2712" t="s">
        <v>75</v>
      </c>
      <c r="I2712">
        <v>2</v>
      </c>
      <c r="J2712">
        <v>800</v>
      </c>
      <c r="K2712">
        <v>0.15</v>
      </c>
      <c r="L2712">
        <v>1360</v>
      </c>
      <c r="M2712">
        <v>1088.6199999999999</v>
      </c>
      <c r="N2712">
        <v>271.38</v>
      </c>
      <c r="O2712" t="s">
        <v>78</v>
      </c>
      <c r="P2712" t="s">
        <v>86</v>
      </c>
    </row>
    <row r="2713" spans="1:16" x14ac:dyDescent="0.25">
      <c r="A2713">
        <v>2712</v>
      </c>
      <c r="B2713" s="2">
        <v>45814</v>
      </c>
      <c r="C2713" t="s">
        <v>21</v>
      </c>
      <c r="D2713" t="s">
        <v>24</v>
      </c>
      <c r="E2713" t="s">
        <v>30</v>
      </c>
      <c r="F2713" t="s">
        <v>40</v>
      </c>
      <c r="G2713" t="s">
        <v>70</v>
      </c>
      <c r="H2713" t="s">
        <v>75</v>
      </c>
      <c r="I2713">
        <v>7</v>
      </c>
      <c r="J2713">
        <v>63324</v>
      </c>
      <c r="K2713">
        <v>0.05</v>
      </c>
      <c r="L2713">
        <v>421104.6</v>
      </c>
      <c r="M2713">
        <v>331280.67</v>
      </c>
      <c r="N2713">
        <v>89823.93</v>
      </c>
      <c r="O2713" t="s">
        <v>76</v>
      </c>
      <c r="P2713" t="s">
        <v>85</v>
      </c>
    </row>
    <row r="2714" spans="1:16" x14ac:dyDescent="0.25">
      <c r="A2714">
        <v>2713</v>
      </c>
      <c r="B2714" s="2">
        <v>45806</v>
      </c>
      <c r="C2714" t="s">
        <v>16</v>
      </c>
      <c r="D2714" t="s">
        <v>24</v>
      </c>
      <c r="E2714" t="s">
        <v>34</v>
      </c>
      <c r="F2714" t="s">
        <v>65</v>
      </c>
      <c r="G2714" t="s">
        <v>71</v>
      </c>
      <c r="H2714" t="s">
        <v>73</v>
      </c>
      <c r="I2714">
        <v>5</v>
      </c>
      <c r="J2714">
        <v>3104</v>
      </c>
      <c r="K2714">
        <v>0.1</v>
      </c>
      <c r="L2714">
        <v>13968</v>
      </c>
      <c r="M2714">
        <v>10378.92</v>
      </c>
      <c r="N2714">
        <v>3589.08</v>
      </c>
      <c r="O2714" t="s">
        <v>78</v>
      </c>
      <c r="P2714" t="s">
        <v>88</v>
      </c>
    </row>
    <row r="2715" spans="1:16" x14ac:dyDescent="0.25">
      <c r="A2715">
        <v>2714</v>
      </c>
      <c r="B2715" s="2">
        <v>45780</v>
      </c>
      <c r="C2715" t="s">
        <v>20</v>
      </c>
      <c r="D2715" t="s">
        <v>26</v>
      </c>
      <c r="E2715" t="s">
        <v>30</v>
      </c>
      <c r="F2715" t="s">
        <v>40</v>
      </c>
      <c r="G2715" t="s">
        <v>71</v>
      </c>
      <c r="H2715" t="s">
        <v>75</v>
      </c>
      <c r="I2715">
        <v>2</v>
      </c>
      <c r="J2715">
        <v>67078</v>
      </c>
      <c r="K2715">
        <v>0.1</v>
      </c>
      <c r="L2715">
        <v>120740.4</v>
      </c>
      <c r="M2715">
        <v>94501.83</v>
      </c>
      <c r="N2715">
        <v>26238.57</v>
      </c>
      <c r="O2715" t="s">
        <v>78</v>
      </c>
      <c r="P2715" t="s">
        <v>83</v>
      </c>
    </row>
    <row r="2716" spans="1:16" x14ac:dyDescent="0.25">
      <c r="A2716">
        <v>2715</v>
      </c>
      <c r="B2716" s="2">
        <v>45659</v>
      </c>
      <c r="C2716" t="s">
        <v>19</v>
      </c>
      <c r="D2716" t="s">
        <v>26</v>
      </c>
      <c r="E2716" t="s">
        <v>33</v>
      </c>
      <c r="F2716" t="s">
        <v>60</v>
      </c>
      <c r="G2716" t="s">
        <v>71</v>
      </c>
      <c r="H2716" t="s">
        <v>73</v>
      </c>
      <c r="I2716">
        <v>2</v>
      </c>
      <c r="J2716">
        <v>32707</v>
      </c>
      <c r="K2716">
        <v>0.1</v>
      </c>
      <c r="L2716">
        <v>58872.6</v>
      </c>
      <c r="M2716">
        <v>42394.06</v>
      </c>
      <c r="N2716">
        <v>16478.54</v>
      </c>
      <c r="O2716" t="s">
        <v>78</v>
      </c>
      <c r="P2716" t="s">
        <v>87</v>
      </c>
    </row>
    <row r="2717" spans="1:16" x14ac:dyDescent="0.25">
      <c r="A2717">
        <v>2716</v>
      </c>
      <c r="B2717" s="2">
        <v>45754</v>
      </c>
      <c r="C2717" t="s">
        <v>23</v>
      </c>
      <c r="D2717" t="s">
        <v>27</v>
      </c>
      <c r="E2717" t="s">
        <v>28</v>
      </c>
      <c r="F2717" t="s">
        <v>63</v>
      </c>
      <c r="G2717" t="s">
        <v>72</v>
      </c>
      <c r="H2717" t="s">
        <v>74</v>
      </c>
      <c r="I2717">
        <v>5</v>
      </c>
      <c r="J2717">
        <v>1842</v>
      </c>
      <c r="K2717">
        <v>0</v>
      </c>
      <c r="L2717">
        <v>9210</v>
      </c>
      <c r="M2717">
        <v>7559.81</v>
      </c>
      <c r="N2717">
        <v>1650.19</v>
      </c>
      <c r="O2717" t="s">
        <v>77</v>
      </c>
      <c r="P2717" t="s">
        <v>82</v>
      </c>
    </row>
    <row r="2718" spans="1:16" x14ac:dyDescent="0.25">
      <c r="A2718">
        <v>2717</v>
      </c>
      <c r="B2718" s="2">
        <v>45795</v>
      </c>
      <c r="C2718" t="s">
        <v>21</v>
      </c>
      <c r="D2718" t="s">
        <v>24</v>
      </c>
      <c r="E2718" t="s">
        <v>30</v>
      </c>
      <c r="F2718" t="s">
        <v>64</v>
      </c>
      <c r="G2718" t="s">
        <v>72</v>
      </c>
      <c r="H2718" t="s">
        <v>73</v>
      </c>
      <c r="I2718">
        <v>4</v>
      </c>
      <c r="J2718">
        <v>5937</v>
      </c>
      <c r="K2718">
        <v>0.1</v>
      </c>
      <c r="L2718">
        <v>21373.200000000001</v>
      </c>
      <c r="M2718">
        <v>14180.7</v>
      </c>
      <c r="N2718">
        <v>7192.5</v>
      </c>
      <c r="O2718" t="s">
        <v>78</v>
      </c>
      <c r="P2718" t="s">
        <v>85</v>
      </c>
    </row>
    <row r="2719" spans="1:16" x14ac:dyDescent="0.25">
      <c r="A2719">
        <v>2718</v>
      </c>
      <c r="B2719" s="2">
        <v>45685</v>
      </c>
      <c r="C2719" t="s">
        <v>21</v>
      </c>
      <c r="D2719" t="s">
        <v>24</v>
      </c>
      <c r="E2719" t="s">
        <v>34</v>
      </c>
      <c r="F2719" t="s">
        <v>55</v>
      </c>
      <c r="G2719" t="s">
        <v>70</v>
      </c>
      <c r="H2719" t="s">
        <v>74</v>
      </c>
      <c r="I2719">
        <v>2</v>
      </c>
      <c r="J2719">
        <v>255</v>
      </c>
      <c r="K2719">
        <v>0.1</v>
      </c>
      <c r="L2719">
        <v>459</v>
      </c>
      <c r="M2719">
        <v>289.63</v>
      </c>
      <c r="N2719">
        <v>169.37</v>
      </c>
      <c r="O2719" t="s">
        <v>79</v>
      </c>
      <c r="P2719" t="s">
        <v>86</v>
      </c>
    </row>
    <row r="2720" spans="1:16" x14ac:dyDescent="0.25">
      <c r="A2720">
        <v>2719</v>
      </c>
      <c r="B2720" s="2">
        <v>45978</v>
      </c>
      <c r="C2720" t="s">
        <v>18</v>
      </c>
      <c r="D2720" t="s">
        <v>26</v>
      </c>
      <c r="E2720" t="s">
        <v>30</v>
      </c>
      <c r="F2720" t="s">
        <v>64</v>
      </c>
      <c r="G2720" t="s">
        <v>71</v>
      </c>
      <c r="H2720" t="s">
        <v>74</v>
      </c>
      <c r="I2720">
        <v>8</v>
      </c>
      <c r="J2720">
        <v>18973</v>
      </c>
      <c r="K2720">
        <v>0.05</v>
      </c>
      <c r="L2720">
        <v>144194.79999999999</v>
      </c>
      <c r="M2720">
        <v>97940.61</v>
      </c>
      <c r="N2720">
        <v>46254.19</v>
      </c>
      <c r="O2720" t="s">
        <v>78</v>
      </c>
      <c r="P2720" t="s">
        <v>88</v>
      </c>
    </row>
    <row r="2721" spans="1:16" x14ac:dyDescent="0.25">
      <c r="A2721">
        <v>2720</v>
      </c>
      <c r="B2721" s="2">
        <v>45678</v>
      </c>
      <c r="C2721" t="s">
        <v>16</v>
      </c>
      <c r="D2721" t="s">
        <v>24</v>
      </c>
      <c r="E2721" t="s">
        <v>28</v>
      </c>
      <c r="F2721" t="s">
        <v>63</v>
      </c>
      <c r="G2721" t="s">
        <v>72</v>
      </c>
      <c r="H2721" t="s">
        <v>75</v>
      </c>
      <c r="I2721">
        <v>6</v>
      </c>
      <c r="J2721">
        <v>2276</v>
      </c>
      <c r="K2721">
        <v>0</v>
      </c>
      <c r="L2721">
        <v>13656</v>
      </c>
      <c r="M2721">
        <v>11005.34</v>
      </c>
      <c r="N2721">
        <v>2650.66</v>
      </c>
      <c r="O2721" t="s">
        <v>80</v>
      </c>
      <c r="P2721" t="s">
        <v>85</v>
      </c>
    </row>
    <row r="2722" spans="1:16" x14ac:dyDescent="0.25">
      <c r="A2722">
        <v>2721</v>
      </c>
      <c r="B2722" s="2">
        <v>45678</v>
      </c>
      <c r="C2722" t="s">
        <v>21</v>
      </c>
      <c r="D2722" t="s">
        <v>24</v>
      </c>
      <c r="E2722" t="s">
        <v>33</v>
      </c>
      <c r="F2722" t="s">
        <v>52</v>
      </c>
      <c r="G2722" t="s">
        <v>70</v>
      </c>
      <c r="H2722" t="s">
        <v>73</v>
      </c>
      <c r="I2722">
        <v>1</v>
      </c>
      <c r="J2722">
        <v>16974</v>
      </c>
      <c r="K2722">
        <v>0</v>
      </c>
      <c r="L2722">
        <v>16974</v>
      </c>
      <c r="M2722">
        <v>9426.26</v>
      </c>
      <c r="N2722">
        <v>7547.74</v>
      </c>
      <c r="O2722" t="s">
        <v>76</v>
      </c>
      <c r="P2722" t="s">
        <v>82</v>
      </c>
    </row>
    <row r="2723" spans="1:16" x14ac:dyDescent="0.25">
      <c r="A2723">
        <v>2722</v>
      </c>
      <c r="B2723" s="2">
        <v>45813</v>
      </c>
      <c r="C2723" t="s">
        <v>23</v>
      </c>
      <c r="D2723" t="s">
        <v>27</v>
      </c>
      <c r="E2723" t="s">
        <v>31</v>
      </c>
      <c r="F2723" t="s">
        <v>50</v>
      </c>
      <c r="G2723" t="s">
        <v>70</v>
      </c>
      <c r="H2723" t="s">
        <v>74</v>
      </c>
      <c r="I2723">
        <v>1</v>
      </c>
      <c r="J2723">
        <v>1658</v>
      </c>
      <c r="K2723">
        <v>0.05</v>
      </c>
      <c r="L2723">
        <v>1575.1</v>
      </c>
      <c r="M2723">
        <v>1037.0899999999999</v>
      </c>
      <c r="N2723">
        <v>538.01</v>
      </c>
      <c r="O2723" t="s">
        <v>77</v>
      </c>
      <c r="P2723" t="s">
        <v>85</v>
      </c>
    </row>
    <row r="2724" spans="1:16" x14ac:dyDescent="0.25">
      <c r="A2724">
        <v>2723</v>
      </c>
      <c r="B2724" s="2">
        <v>45959</v>
      </c>
      <c r="C2724" t="s">
        <v>23</v>
      </c>
      <c r="D2724" t="s">
        <v>27</v>
      </c>
      <c r="E2724" t="s">
        <v>29</v>
      </c>
      <c r="F2724" t="s">
        <v>57</v>
      </c>
      <c r="G2724" t="s">
        <v>71</v>
      </c>
      <c r="H2724" t="s">
        <v>73</v>
      </c>
      <c r="I2724">
        <v>7</v>
      </c>
      <c r="J2724">
        <v>5159</v>
      </c>
      <c r="K2724">
        <v>0.05</v>
      </c>
      <c r="L2724">
        <v>34307.35</v>
      </c>
      <c r="M2724">
        <v>25594.73</v>
      </c>
      <c r="N2724">
        <v>8712.6200000000008</v>
      </c>
      <c r="O2724" t="s">
        <v>80</v>
      </c>
      <c r="P2724" t="s">
        <v>81</v>
      </c>
    </row>
    <row r="2725" spans="1:16" x14ac:dyDescent="0.25">
      <c r="A2725">
        <v>2724</v>
      </c>
      <c r="B2725" s="2">
        <v>45725</v>
      </c>
      <c r="C2725" t="s">
        <v>16</v>
      </c>
      <c r="D2725" t="s">
        <v>24</v>
      </c>
      <c r="E2725" t="s">
        <v>29</v>
      </c>
      <c r="F2725" t="s">
        <v>45</v>
      </c>
      <c r="G2725" t="s">
        <v>70</v>
      </c>
      <c r="H2725" t="s">
        <v>75</v>
      </c>
      <c r="I2725">
        <v>8</v>
      </c>
      <c r="J2725">
        <v>5969</v>
      </c>
      <c r="K2725">
        <v>0.15</v>
      </c>
      <c r="L2725">
        <v>40589.199999999997</v>
      </c>
      <c r="M2725">
        <v>26361.99</v>
      </c>
      <c r="N2725">
        <v>14227.21</v>
      </c>
      <c r="O2725" t="s">
        <v>76</v>
      </c>
      <c r="P2725" t="s">
        <v>82</v>
      </c>
    </row>
    <row r="2726" spans="1:16" x14ac:dyDescent="0.25">
      <c r="A2726">
        <v>2725</v>
      </c>
      <c r="B2726" s="2">
        <v>45820</v>
      </c>
      <c r="C2726" t="s">
        <v>23</v>
      </c>
      <c r="D2726" t="s">
        <v>27</v>
      </c>
      <c r="E2726" t="s">
        <v>31</v>
      </c>
      <c r="F2726" t="s">
        <v>50</v>
      </c>
      <c r="G2726" t="s">
        <v>72</v>
      </c>
      <c r="H2726" t="s">
        <v>73</v>
      </c>
      <c r="I2726">
        <v>1</v>
      </c>
      <c r="J2726">
        <v>667</v>
      </c>
      <c r="K2726">
        <v>0.1</v>
      </c>
      <c r="L2726">
        <v>600.29999999999995</v>
      </c>
      <c r="M2726">
        <v>504.74</v>
      </c>
      <c r="N2726">
        <v>95.56</v>
      </c>
      <c r="O2726" t="s">
        <v>77</v>
      </c>
      <c r="P2726" t="s">
        <v>88</v>
      </c>
    </row>
    <row r="2727" spans="1:16" x14ac:dyDescent="0.25">
      <c r="A2727">
        <v>2726</v>
      </c>
      <c r="B2727" s="2">
        <v>45699</v>
      </c>
      <c r="C2727" t="s">
        <v>22</v>
      </c>
      <c r="D2727" t="s">
        <v>24</v>
      </c>
      <c r="E2727" t="s">
        <v>29</v>
      </c>
      <c r="F2727" t="s">
        <v>42</v>
      </c>
      <c r="G2727" t="s">
        <v>70</v>
      </c>
      <c r="H2727" t="s">
        <v>74</v>
      </c>
      <c r="I2727">
        <v>5</v>
      </c>
      <c r="J2727">
        <v>710</v>
      </c>
      <c r="K2727">
        <v>0</v>
      </c>
      <c r="L2727">
        <v>3550</v>
      </c>
      <c r="M2727">
        <v>2969.09</v>
      </c>
      <c r="N2727">
        <v>580.91</v>
      </c>
      <c r="O2727" t="s">
        <v>76</v>
      </c>
      <c r="P2727" t="s">
        <v>86</v>
      </c>
    </row>
    <row r="2728" spans="1:16" x14ac:dyDescent="0.25">
      <c r="A2728">
        <v>2727</v>
      </c>
      <c r="B2728" s="2">
        <v>45715</v>
      </c>
      <c r="C2728" t="s">
        <v>16</v>
      </c>
      <c r="D2728" t="s">
        <v>24</v>
      </c>
      <c r="E2728" t="s">
        <v>34</v>
      </c>
      <c r="F2728" t="s">
        <v>43</v>
      </c>
      <c r="G2728" t="s">
        <v>71</v>
      </c>
      <c r="H2728" t="s">
        <v>75</v>
      </c>
      <c r="I2728">
        <v>5</v>
      </c>
      <c r="J2728">
        <v>2661</v>
      </c>
      <c r="K2728">
        <v>0.15</v>
      </c>
      <c r="L2728">
        <v>11309.25</v>
      </c>
      <c r="M2728">
        <v>8400.59</v>
      </c>
      <c r="N2728">
        <v>2908.66</v>
      </c>
      <c r="O2728" t="s">
        <v>77</v>
      </c>
      <c r="P2728" t="s">
        <v>82</v>
      </c>
    </row>
    <row r="2729" spans="1:16" x14ac:dyDescent="0.25">
      <c r="A2729">
        <v>2728</v>
      </c>
      <c r="B2729" s="2">
        <v>45725</v>
      </c>
      <c r="C2729" t="s">
        <v>23</v>
      </c>
      <c r="D2729" t="s">
        <v>27</v>
      </c>
      <c r="E2729" t="s">
        <v>32</v>
      </c>
      <c r="F2729" t="s">
        <v>66</v>
      </c>
      <c r="G2729" t="s">
        <v>72</v>
      </c>
      <c r="H2729" t="s">
        <v>73</v>
      </c>
      <c r="I2729">
        <v>8</v>
      </c>
      <c r="J2729">
        <v>2127</v>
      </c>
      <c r="K2729">
        <v>0</v>
      </c>
      <c r="L2729">
        <v>17016</v>
      </c>
      <c r="M2729">
        <v>12073.01</v>
      </c>
      <c r="N2729">
        <v>4942.99</v>
      </c>
      <c r="O2729" t="s">
        <v>77</v>
      </c>
      <c r="P2729" t="s">
        <v>81</v>
      </c>
    </row>
    <row r="2730" spans="1:16" x14ac:dyDescent="0.25">
      <c r="A2730">
        <v>2729</v>
      </c>
      <c r="B2730" s="2">
        <v>45821</v>
      </c>
      <c r="C2730" t="s">
        <v>21</v>
      </c>
      <c r="D2730" t="s">
        <v>24</v>
      </c>
      <c r="E2730" t="s">
        <v>29</v>
      </c>
      <c r="F2730" t="s">
        <v>45</v>
      </c>
      <c r="G2730" t="s">
        <v>70</v>
      </c>
      <c r="H2730" t="s">
        <v>73</v>
      </c>
      <c r="I2730">
        <v>6</v>
      </c>
      <c r="J2730">
        <v>9721</v>
      </c>
      <c r="K2730">
        <v>0.1</v>
      </c>
      <c r="L2730">
        <v>52493.4</v>
      </c>
      <c r="M2730">
        <v>43795.59</v>
      </c>
      <c r="N2730">
        <v>8697.81</v>
      </c>
      <c r="O2730" t="s">
        <v>79</v>
      </c>
      <c r="P2730" t="s">
        <v>87</v>
      </c>
    </row>
    <row r="2731" spans="1:16" x14ac:dyDescent="0.25">
      <c r="A2731">
        <v>2730</v>
      </c>
      <c r="B2731" s="2">
        <v>45831</v>
      </c>
      <c r="C2731" t="s">
        <v>23</v>
      </c>
      <c r="D2731" t="s">
        <v>27</v>
      </c>
      <c r="E2731" t="s">
        <v>30</v>
      </c>
      <c r="F2731" t="s">
        <v>40</v>
      </c>
      <c r="G2731" t="s">
        <v>71</v>
      </c>
      <c r="H2731" t="s">
        <v>75</v>
      </c>
      <c r="I2731">
        <v>7</v>
      </c>
      <c r="J2731">
        <v>8046</v>
      </c>
      <c r="K2731">
        <v>0.1</v>
      </c>
      <c r="L2731">
        <v>50689.8</v>
      </c>
      <c r="M2731">
        <v>28655.64</v>
      </c>
      <c r="N2731">
        <v>22034.16</v>
      </c>
      <c r="O2731" t="s">
        <v>80</v>
      </c>
      <c r="P2731" t="s">
        <v>88</v>
      </c>
    </row>
    <row r="2732" spans="1:16" x14ac:dyDescent="0.25">
      <c r="A2732">
        <v>2731</v>
      </c>
      <c r="B2732" s="2">
        <v>46014</v>
      </c>
      <c r="C2732" t="s">
        <v>20</v>
      </c>
      <c r="D2732" t="s">
        <v>26</v>
      </c>
      <c r="E2732" t="s">
        <v>30</v>
      </c>
      <c r="F2732" t="s">
        <v>44</v>
      </c>
      <c r="G2732" t="s">
        <v>72</v>
      </c>
      <c r="H2732" t="s">
        <v>75</v>
      </c>
      <c r="I2732">
        <v>5</v>
      </c>
      <c r="J2732">
        <v>43648</v>
      </c>
      <c r="K2732">
        <v>0.05</v>
      </c>
      <c r="L2732">
        <v>207328</v>
      </c>
      <c r="M2732">
        <v>117468.99</v>
      </c>
      <c r="N2732">
        <v>89859.01</v>
      </c>
      <c r="O2732" t="s">
        <v>80</v>
      </c>
      <c r="P2732" t="s">
        <v>87</v>
      </c>
    </row>
    <row r="2733" spans="1:16" x14ac:dyDescent="0.25">
      <c r="A2733">
        <v>2732</v>
      </c>
      <c r="B2733" s="2">
        <v>45877</v>
      </c>
      <c r="C2733" t="s">
        <v>20</v>
      </c>
      <c r="D2733" t="s">
        <v>26</v>
      </c>
      <c r="E2733" t="s">
        <v>30</v>
      </c>
      <c r="F2733" t="s">
        <v>40</v>
      </c>
      <c r="G2733" t="s">
        <v>70</v>
      </c>
      <c r="H2733" t="s">
        <v>74</v>
      </c>
      <c r="I2733">
        <v>2</v>
      </c>
      <c r="J2733">
        <v>5005</v>
      </c>
      <c r="K2733">
        <v>0.05</v>
      </c>
      <c r="L2733">
        <v>9509.5</v>
      </c>
      <c r="M2733">
        <v>8141.94</v>
      </c>
      <c r="N2733">
        <v>1367.56</v>
      </c>
      <c r="O2733" t="s">
        <v>76</v>
      </c>
      <c r="P2733" t="s">
        <v>86</v>
      </c>
    </row>
    <row r="2734" spans="1:16" x14ac:dyDescent="0.25">
      <c r="A2734">
        <v>2733</v>
      </c>
      <c r="B2734" s="2">
        <v>45743</v>
      </c>
      <c r="C2734" t="s">
        <v>23</v>
      </c>
      <c r="D2734" t="s">
        <v>27</v>
      </c>
      <c r="E2734" t="s">
        <v>29</v>
      </c>
      <c r="F2734" t="s">
        <v>53</v>
      </c>
      <c r="G2734" t="s">
        <v>71</v>
      </c>
      <c r="H2734" t="s">
        <v>74</v>
      </c>
      <c r="I2734">
        <v>4</v>
      </c>
      <c r="J2734">
        <v>10727</v>
      </c>
      <c r="K2734">
        <v>0</v>
      </c>
      <c r="L2734">
        <v>42908</v>
      </c>
      <c r="M2734">
        <v>31587.51</v>
      </c>
      <c r="N2734">
        <v>11320.49</v>
      </c>
      <c r="O2734" t="s">
        <v>78</v>
      </c>
      <c r="P2734" t="s">
        <v>85</v>
      </c>
    </row>
    <row r="2735" spans="1:16" x14ac:dyDescent="0.25">
      <c r="A2735">
        <v>2734</v>
      </c>
      <c r="B2735" s="2">
        <v>45913</v>
      </c>
      <c r="C2735" t="s">
        <v>18</v>
      </c>
      <c r="D2735" t="s">
        <v>26</v>
      </c>
      <c r="E2735" t="s">
        <v>34</v>
      </c>
      <c r="F2735" t="s">
        <v>55</v>
      </c>
      <c r="G2735" t="s">
        <v>70</v>
      </c>
      <c r="H2735" t="s">
        <v>75</v>
      </c>
      <c r="I2735">
        <v>5</v>
      </c>
      <c r="J2735">
        <v>3065</v>
      </c>
      <c r="K2735">
        <v>0.05</v>
      </c>
      <c r="L2735">
        <v>14558.75</v>
      </c>
      <c r="M2735">
        <v>10049.86</v>
      </c>
      <c r="N2735">
        <v>4508.8900000000003</v>
      </c>
      <c r="O2735" t="s">
        <v>80</v>
      </c>
      <c r="P2735" t="s">
        <v>87</v>
      </c>
    </row>
    <row r="2736" spans="1:16" x14ac:dyDescent="0.25">
      <c r="A2736">
        <v>2735</v>
      </c>
      <c r="B2736" s="2">
        <v>45811</v>
      </c>
      <c r="C2736" t="s">
        <v>21</v>
      </c>
      <c r="D2736" t="s">
        <v>24</v>
      </c>
      <c r="E2736" t="s">
        <v>32</v>
      </c>
      <c r="F2736" t="s">
        <v>66</v>
      </c>
      <c r="G2736" t="s">
        <v>71</v>
      </c>
      <c r="H2736" t="s">
        <v>75</v>
      </c>
      <c r="I2736">
        <v>1</v>
      </c>
      <c r="J2736">
        <v>2363</v>
      </c>
      <c r="K2736">
        <v>0.05</v>
      </c>
      <c r="L2736">
        <v>2244.85</v>
      </c>
      <c r="M2736">
        <v>1575.37</v>
      </c>
      <c r="N2736">
        <v>669.48</v>
      </c>
      <c r="O2736" t="s">
        <v>80</v>
      </c>
      <c r="P2736" t="s">
        <v>83</v>
      </c>
    </row>
    <row r="2737" spans="1:16" x14ac:dyDescent="0.25">
      <c r="A2737">
        <v>2736</v>
      </c>
      <c r="B2737" s="2">
        <v>45806</v>
      </c>
      <c r="C2737" t="s">
        <v>19</v>
      </c>
      <c r="D2737" t="s">
        <v>26</v>
      </c>
      <c r="E2737" t="s">
        <v>28</v>
      </c>
      <c r="F2737" t="s">
        <v>54</v>
      </c>
      <c r="G2737" t="s">
        <v>71</v>
      </c>
      <c r="H2737" t="s">
        <v>73</v>
      </c>
      <c r="I2737">
        <v>4</v>
      </c>
      <c r="J2737">
        <v>773</v>
      </c>
      <c r="K2737">
        <v>0.15</v>
      </c>
      <c r="L2737">
        <v>2628.2</v>
      </c>
      <c r="M2737">
        <v>1844.08</v>
      </c>
      <c r="N2737">
        <v>784.12</v>
      </c>
      <c r="O2737" t="s">
        <v>78</v>
      </c>
      <c r="P2737" t="s">
        <v>88</v>
      </c>
    </row>
    <row r="2738" spans="1:16" x14ac:dyDescent="0.25">
      <c r="A2738">
        <v>2737</v>
      </c>
      <c r="B2738" s="2">
        <v>45743</v>
      </c>
      <c r="C2738" t="s">
        <v>16</v>
      </c>
      <c r="D2738" t="s">
        <v>24</v>
      </c>
      <c r="E2738" t="s">
        <v>29</v>
      </c>
      <c r="F2738" t="s">
        <v>45</v>
      </c>
      <c r="G2738" t="s">
        <v>71</v>
      </c>
      <c r="H2738" t="s">
        <v>75</v>
      </c>
      <c r="I2738">
        <v>7</v>
      </c>
      <c r="J2738">
        <v>2325</v>
      </c>
      <c r="K2738">
        <v>0</v>
      </c>
      <c r="L2738">
        <v>16275</v>
      </c>
      <c r="M2738">
        <v>10976.7</v>
      </c>
      <c r="N2738">
        <v>5298.3</v>
      </c>
      <c r="O2738" t="s">
        <v>77</v>
      </c>
      <c r="P2738" t="s">
        <v>82</v>
      </c>
    </row>
    <row r="2739" spans="1:16" x14ac:dyDescent="0.25">
      <c r="A2739">
        <v>2738</v>
      </c>
      <c r="B2739" s="2">
        <v>45827</v>
      </c>
      <c r="C2739" t="s">
        <v>20</v>
      </c>
      <c r="D2739" t="s">
        <v>26</v>
      </c>
      <c r="E2739" t="s">
        <v>30</v>
      </c>
      <c r="F2739" t="s">
        <v>40</v>
      </c>
      <c r="G2739" t="s">
        <v>72</v>
      </c>
      <c r="H2739" t="s">
        <v>74</v>
      </c>
      <c r="I2739">
        <v>6</v>
      </c>
      <c r="J2739">
        <v>4944</v>
      </c>
      <c r="K2739">
        <v>0.05</v>
      </c>
      <c r="L2739">
        <v>28180.799999999999</v>
      </c>
      <c r="M2739">
        <v>20907.060000000001</v>
      </c>
      <c r="N2739">
        <v>7273.74</v>
      </c>
      <c r="O2739" t="s">
        <v>80</v>
      </c>
      <c r="P2739" t="s">
        <v>88</v>
      </c>
    </row>
    <row r="2740" spans="1:16" x14ac:dyDescent="0.25">
      <c r="A2740">
        <v>2739</v>
      </c>
      <c r="B2740" s="2">
        <v>45900</v>
      </c>
      <c r="C2740" t="s">
        <v>16</v>
      </c>
      <c r="D2740" t="s">
        <v>24</v>
      </c>
      <c r="E2740" t="s">
        <v>31</v>
      </c>
      <c r="F2740" t="s">
        <v>69</v>
      </c>
      <c r="G2740" t="s">
        <v>72</v>
      </c>
      <c r="H2740" t="s">
        <v>73</v>
      </c>
      <c r="I2740">
        <v>8</v>
      </c>
      <c r="J2740">
        <v>2488</v>
      </c>
      <c r="K2740">
        <v>0</v>
      </c>
      <c r="L2740">
        <v>19904</v>
      </c>
      <c r="M2740">
        <v>12117.37</v>
      </c>
      <c r="N2740">
        <v>7786.63</v>
      </c>
      <c r="O2740" t="s">
        <v>78</v>
      </c>
      <c r="P2740" t="s">
        <v>84</v>
      </c>
    </row>
    <row r="2741" spans="1:16" x14ac:dyDescent="0.25">
      <c r="A2741">
        <v>2740</v>
      </c>
      <c r="B2741" s="2">
        <v>45978</v>
      </c>
      <c r="C2741" t="s">
        <v>17</v>
      </c>
      <c r="D2741" t="s">
        <v>25</v>
      </c>
      <c r="E2741" t="s">
        <v>32</v>
      </c>
      <c r="F2741" t="s">
        <v>48</v>
      </c>
      <c r="G2741" t="s">
        <v>71</v>
      </c>
      <c r="H2741" t="s">
        <v>74</v>
      </c>
      <c r="I2741">
        <v>8</v>
      </c>
      <c r="J2741">
        <v>11307</v>
      </c>
      <c r="K2741">
        <v>0.1</v>
      </c>
      <c r="L2741">
        <v>81410.399999999994</v>
      </c>
      <c r="M2741">
        <v>59804.41</v>
      </c>
      <c r="N2741">
        <v>21605.99</v>
      </c>
      <c r="O2741" t="s">
        <v>80</v>
      </c>
      <c r="P2741" t="s">
        <v>82</v>
      </c>
    </row>
    <row r="2742" spans="1:16" x14ac:dyDescent="0.25">
      <c r="A2742">
        <v>2741</v>
      </c>
      <c r="B2742" s="2">
        <v>45775</v>
      </c>
      <c r="C2742" t="s">
        <v>16</v>
      </c>
      <c r="D2742" t="s">
        <v>24</v>
      </c>
      <c r="E2742" t="s">
        <v>32</v>
      </c>
      <c r="F2742" t="s">
        <v>49</v>
      </c>
      <c r="G2742" t="s">
        <v>70</v>
      </c>
      <c r="H2742" t="s">
        <v>75</v>
      </c>
      <c r="I2742">
        <v>7</v>
      </c>
      <c r="J2742">
        <v>4058</v>
      </c>
      <c r="K2742">
        <v>0.05</v>
      </c>
      <c r="L2742">
        <v>26985.7</v>
      </c>
      <c r="M2742">
        <v>21033.39</v>
      </c>
      <c r="N2742">
        <v>5952.31</v>
      </c>
      <c r="O2742" t="s">
        <v>80</v>
      </c>
      <c r="P2742" t="s">
        <v>85</v>
      </c>
    </row>
    <row r="2743" spans="1:16" x14ac:dyDescent="0.25">
      <c r="A2743">
        <v>2742</v>
      </c>
      <c r="B2743" s="2">
        <v>45951</v>
      </c>
      <c r="C2743" t="s">
        <v>23</v>
      </c>
      <c r="D2743" t="s">
        <v>27</v>
      </c>
      <c r="E2743" t="s">
        <v>31</v>
      </c>
      <c r="F2743" t="s">
        <v>50</v>
      </c>
      <c r="G2743" t="s">
        <v>70</v>
      </c>
      <c r="H2743" t="s">
        <v>75</v>
      </c>
      <c r="I2743">
        <v>8</v>
      </c>
      <c r="J2743">
        <v>835</v>
      </c>
      <c r="K2743">
        <v>0.05</v>
      </c>
      <c r="L2743">
        <v>6346</v>
      </c>
      <c r="M2743">
        <v>3792.75</v>
      </c>
      <c r="N2743">
        <v>2553.25</v>
      </c>
      <c r="O2743" t="s">
        <v>76</v>
      </c>
      <c r="P2743" t="s">
        <v>82</v>
      </c>
    </row>
    <row r="2744" spans="1:16" x14ac:dyDescent="0.25">
      <c r="A2744">
        <v>2743</v>
      </c>
      <c r="B2744" s="2">
        <v>45745</v>
      </c>
      <c r="C2744" t="s">
        <v>20</v>
      </c>
      <c r="D2744" t="s">
        <v>26</v>
      </c>
      <c r="E2744" t="s">
        <v>32</v>
      </c>
      <c r="F2744" t="s">
        <v>49</v>
      </c>
      <c r="G2744" t="s">
        <v>71</v>
      </c>
      <c r="H2744" t="s">
        <v>74</v>
      </c>
      <c r="I2744">
        <v>8</v>
      </c>
      <c r="J2744">
        <v>14846</v>
      </c>
      <c r="K2744">
        <v>0.05</v>
      </c>
      <c r="L2744">
        <v>112829.6</v>
      </c>
      <c r="M2744">
        <v>87798.14</v>
      </c>
      <c r="N2744">
        <v>25031.46</v>
      </c>
      <c r="O2744" t="s">
        <v>78</v>
      </c>
      <c r="P2744" t="s">
        <v>87</v>
      </c>
    </row>
    <row r="2745" spans="1:16" x14ac:dyDescent="0.25">
      <c r="A2745">
        <v>2744</v>
      </c>
      <c r="B2745" s="2">
        <v>45663</v>
      </c>
      <c r="C2745" t="s">
        <v>19</v>
      </c>
      <c r="D2745" t="s">
        <v>26</v>
      </c>
      <c r="E2745" t="s">
        <v>30</v>
      </c>
      <c r="F2745" t="s">
        <v>56</v>
      </c>
      <c r="G2745" t="s">
        <v>72</v>
      </c>
      <c r="H2745" t="s">
        <v>74</v>
      </c>
      <c r="I2745">
        <v>1</v>
      </c>
      <c r="J2745">
        <v>12952</v>
      </c>
      <c r="K2745">
        <v>0.1</v>
      </c>
      <c r="L2745">
        <v>11656.8</v>
      </c>
      <c r="M2745">
        <v>8656.91</v>
      </c>
      <c r="N2745">
        <v>2999.89</v>
      </c>
      <c r="O2745" t="s">
        <v>79</v>
      </c>
      <c r="P2745" t="s">
        <v>86</v>
      </c>
    </row>
    <row r="2746" spans="1:16" x14ac:dyDescent="0.25">
      <c r="A2746">
        <v>2745</v>
      </c>
      <c r="B2746" s="2">
        <v>45993</v>
      </c>
      <c r="C2746" t="s">
        <v>17</v>
      </c>
      <c r="D2746" t="s">
        <v>25</v>
      </c>
      <c r="E2746" t="s">
        <v>34</v>
      </c>
      <c r="F2746" t="s">
        <v>43</v>
      </c>
      <c r="G2746" t="s">
        <v>70</v>
      </c>
      <c r="H2746" t="s">
        <v>73</v>
      </c>
      <c r="I2746">
        <v>3</v>
      </c>
      <c r="J2746">
        <v>5473</v>
      </c>
      <c r="K2746">
        <v>0</v>
      </c>
      <c r="L2746">
        <v>16419</v>
      </c>
      <c r="M2746">
        <v>12365.78</v>
      </c>
      <c r="N2746">
        <v>4053.22</v>
      </c>
      <c r="O2746" t="s">
        <v>80</v>
      </c>
      <c r="P2746" t="s">
        <v>83</v>
      </c>
    </row>
    <row r="2747" spans="1:16" x14ac:dyDescent="0.25">
      <c r="A2747">
        <v>2746</v>
      </c>
      <c r="B2747" s="2">
        <v>45965</v>
      </c>
      <c r="C2747" t="s">
        <v>20</v>
      </c>
      <c r="D2747" t="s">
        <v>26</v>
      </c>
      <c r="E2747" t="s">
        <v>31</v>
      </c>
      <c r="F2747" t="s">
        <v>67</v>
      </c>
      <c r="G2747" t="s">
        <v>72</v>
      </c>
      <c r="H2747" t="s">
        <v>74</v>
      </c>
      <c r="I2747">
        <v>5</v>
      </c>
      <c r="J2747">
        <v>2037</v>
      </c>
      <c r="K2747">
        <v>0.1</v>
      </c>
      <c r="L2747">
        <v>9166.5</v>
      </c>
      <c r="M2747">
        <v>7341.97</v>
      </c>
      <c r="N2747">
        <v>1824.53</v>
      </c>
      <c r="O2747" t="s">
        <v>79</v>
      </c>
      <c r="P2747" t="s">
        <v>88</v>
      </c>
    </row>
    <row r="2748" spans="1:16" x14ac:dyDescent="0.25">
      <c r="A2748">
        <v>2747</v>
      </c>
      <c r="B2748" s="2">
        <v>45792</v>
      </c>
      <c r="C2748" t="s">
        <v>20</v>
      </c>
      <c r="D2748" t="s">
        <v>26</v>
      </c>
      <c r="E2748" t="s">
        <v>33</v>
      </c>
      <c r="F2748" t="s">
        <v>41</v>
      </c>
      <c r="G2748" t="s">
        <v>70</v>
      </c>
      <c r="H2748" t="s">
        <v>73</v>
      </c>
      <c r="I2748">
        <v>3</v>
      </c>
      <c r="J2748">
        <v>4896</v>
      </c>
      <c r="K2748">
        <v>0</v>
      </c>
      <c r="L2748">
        <v>14688</v>
      </c>
      <c r="M2748">
        <v>12540.45</v>
      </c>
      <c r="N2748">
        <v>2147.5500000000002</v>
      </c>
      <c r="O2748" t="s">
        <v>80</v>
      </c>
      <c r="P2748" t="s">
        <v>85</v>
      </c>
    </row>
    <row r="2749" spans="1:16" x14ac:dyDescent="0.25">
      <c r="A2749">
        <v>2748</v>
      </c>
      <c r="B2749" s="2">
        <v>45909</v>
      </c>
      <c r="C2749" t="s">
        <v>21</v>
      </c>
      <c r="D2749" t="s">
        <v>24</v>
      </c>
      <c r="E2749" t="s">
        <v>33</v>
      </c>
      <c r="F2749" t="s">
        <v>46</v>
      </c>
      <c r="G2749" t="s">
        <v>70</v>
      </c>
      <c r="H2749" t="s">
        <v>74</v>
      </c>
      <c r="I2749">
        <v>5</v>
      </c>
      <c r="J2749">
        <v>6669</v>
      </c>
      <c r="K2749">
        <v>0.15</v>
      </c>
      <c r="L2749">
        <v>28343.25</v>
      </c>
      <c r="M2749">
        <v>19754.400000000001</v>
      </c>
      <c r="N2749">
        <v>8588.85</v>
      </c>
      <c r="O2749" t="s">
        <v>80</v>
      </c>
      <c r="P2749" t="s">
        <v>82</v>
      </c>
    </row>
    <row r="2750" spans="1:16" x14ac:dyDescent="0.25">
      <c r="A2750">
        <v>2749</v>
      </c>
      <c r="B2750" s="2">
        <v>45754</v>
      </c>
      <c r="C2750" t="s">
        <v>22</v>
      </c>
      <c r="D2750" t="s">
        <v>24</v>
      </c>
      <c r="E2750" t="s">
        <v>28</v>
      </c>
      <c r="F2750" t="s">
        <v>54</v>
      </c>
      <c r="G2750" t="s">
        <v>72</v>
      </c>
      <c r="H2750" t="s">
        <v>73</v>
      </c>
      <c r="I2750">
        <v>5</v>
      </c>
      <c r="J2750">
        <v>177</v>
      </c>
      <c r="K2750">
        <v>0</v>
      </c>
      <c r="L2750">
        <v>885</v>
      </c>
      <c r="M2750">
        <v>733.51</v>
      </c>
      <c r="N2750">
        <v>151.49</v>
      </c>
      <c r="O2750" t="s">
        <v>76</v>
      </c>
      <c r="P2750" t="s">
        <v>88</v>
      </c>
    </row>
    <row r="2751" spans="1:16" x14ac:dyDescent="0.25">
      <c r="A2751">
        <v>2750</v>
      </c>
      <c r="B2751" s="2">
        <v>45824</v>
      </c>
      <c r="C2751" t="s">
        <v>23</v>
      </c>
      <c r="D2751" t="s">
        <v>27</v>
      </c>
      <c r="E2751" t="s">
        <v>34</v>
      </c>
      <c r="F2751" t="s">
        <v>68</v>
      </c>
      <c r="G2751" t="s">
        <v>72</v>
      </c>
      <c r="H2751" t="s">
        <v>74</v>
      </c>
      <c r="I2751">
        <v>4</v>
      </c>
      <c r="J2751">
        <v>4865</v>
      </c>
      <c r="K2751">
        <v>0</v>
      </c>
      <c r="L2751">
        <v>19460</v>
      </c>
      <c r="M2751">
        <v>13137.52</v>
      </c>
      <c r="N2751">
        <v>6322.48</v>
      </c>
      <c r="O2751" t="s">
        <v>77</v>
      </c>
      <c r="P2751" t="s">
        <v>88</v>
      </c>
    </row>
    <row r="2752" spans="1:16" x14ac:dyDescent="0.25">
      <c r="A2752">
        <v>2751</v>
      </c>
      <c r="B2752" s="2">
        <v>45891</v>
      </c>
      <c r="C2752" t="s">
        <v>20</v>
      </c>
      <c r="D2752" t="s">
        <v>26</v>
      </c>
      <c r="E2752" t="s">
        <v>29</v>
      </c>
      <c r="F2752" t="s">
        <v>57</v>
      </c>
      <c r="G2752" t="s">
        <v>71</v>
      </c>
      <c r="H2752" t="s">
        <v>73</v>
      </c>
      <c r="I2752">
        <v>5</v>
      </c>
      <c r="J2752">
        <v>3731</v>
      </c>
      <c r="K2752">
        <v>0.1</v>
      </c>
      <c r="L2752">
        <v>16789.5</v>
      </c>
      <c r="M2752">
        <v>12878.01</v>
      </c>
      <c r="N2752">
        <v>3911.49</v>
      </c>
      <c r="O2752" t="s">
        <v>77</v>
      </c>
      <c r="P2752" t="s">
        <v>84</v>
      </c>
    </row>
    <row r="2753" spans="1:16" x14ac:dyDescent="0.25">
      <c r="A2753">
        <v>2752</v>
      </c>
      <c r="B2753" s="2">
        <v>45994</v>
      </c>
      <c r="C2753" t="s">
        <v>23</v>
      </c>
      <c r="D2753" t="s">
        <v>27</v>
      </c>
      <c r="E2753" t="s">
        <v>30</v>
      </c>
      <c r="F2753" t="s">
        <v>37</v>
      </c>
      <c r="G2753" t="s">
        <v>71</v>
      </c>
      <c r="H2753" t="s">
        <v>74</v>
      </c>
      <c r="I2753">
        <v>1</v>
      </c>
      <c r="J2753">
        <v>54413</v>
      </c>
      <c r="K2753">
        <v>0.1</v>
      </c>
      <c r="L2753">
        <v>48971.7</v>
      </c>
      <c r="M2753">
        <v>27846.43</v>
      </c>
      <c r="N2753">
        <v>21125.27</v>
      </c>
      <c r="O2753" t="s">
        <v>79</v>
      </c>
      <c r="P2753" t="s">
        <v>83</v>
      </c>
    </row>
    <row r="2754" spans="1:16" x14ac:dyDescent="0.25">
      <c r="A2754">
        <v>2753</v>
      </c>
      <c r="B2754" s="2">
        <v>45899</v>
      </c>
      <c r="C2754" t="s">
        <v>16</v>
      </c>
      <c r="D2754" t="s">
        <v>24</v>
      </c>
      <c r="E2754" t="s">
        <v>33</v>
      </c>
      <c r="F2754" t="s">
        <v>41</v>
      </c>
      <c r="G2754" t="s">
        <v>71</v>
      </c>
      <c r="H2754" t="s">
        <v>73</v>
      </c>
      <c r="I2754">
        <v>1</v>
      </c>
      <c r="J2754">
        <v>34654</v>
      </c>
      <c r="K2754">
        <v>0.05</v>
      </c>
      <c r="L2754">
        <v>32921.300000000003</v>
      </c>
      <c r="M2754">
        <v>23300.06</v>
      </c>
      <c r="N2754">
        <v>9621.24</v>
      </c>
      <c r="O2754" t="s">
        <v>76</v>
      </c>
      <c r="P2754" t="s">
        <v>85</v>
      </c>
    </row>
    <row r="2755" spans="1:16" x14ac:dyDescent="0.25">
      <c r="A2755">
        <v>2754</v>
      </c>
      <c r="B2755" s="2">
        <v>45694</v>
      </c>
      <c r="C2755" t="s">
        <v>23</v>
      </c>
      <c r="D2755" t="s">
        <v>27</v>
      </c>
      <c r="E2755" t="s">
        <v>34</v>
      </c>
      <c r="F2755" t="s">
        <v>51</v>
      </c>
      <c r="G2755" t="s">
        <v>72</v>
      </c>
      <c r="H2755" t="s">
        <v>74</v>
      </c>
      <c r="I2755">
        <v>7</v>
      </c>
      <c r="J2755">
        <v>713</v>
      </c>
      <c r="K2755">
        <v>0.15</v>
      </c>
      <c r="L2755">
        <v>4242.3500000000004</v>
      </c>
      <c r="M2755">
        <v>2569.9899999999998</v>
      </c>
      <c r="N2755">
        <v>1672.36</v>
      </c>
      <c r="O2755" t="s">
        <v>77</v>
      </c>
      <c r="P2755" t="s">
        <v>84</v>
      </c>
    </row>
    <row r="2756" spans="1:16" x14ac:dyDescent="0.25">
      <c r="A2756">
        <v>2755</v>
      </c>
      <c r="B2756" s="2">
        <v>45855</v>
      </c>
      <c r="C2756" t="s">
        <v>22</v>
      </c>
      <c r="D2756" t="s">
        <v>24</v>
      </c>
      <c r="E2756" t="s">
        <v>32</v>
      </c>
      <c r="F2756" t="s">
        <v>62</v>
      </c>
      <c r="G2756" t="s">
        <v>72</v>
      </c>
      <c r="H2756" t="s">
        <v>75</v>
      </c>
      <c r="I2756">
        <v>4</v>
      </c>
      <c r="J2756">
        <v>8280</v>
      </c>
      <c r="K2756">
        <v>0</v>
      </c>
      <c r="L2756">
        <v>33120</v>
      </c>
      <c r="M2756">
        <v>22416.07</v>
      </c>
      <c r="N2756">
        <v>10703.93</v>
      </c>
      <c r="O2756" t="s">
        <v>79</v>
      </c>
      <c r="P2756" t="s">
        <v>84</v>
      </c>
    </row>
    <row r="2757" spans="1:16" x14ac:dyDescent="0.25">
      <c r="A2757">
        <v>2756</v>
      </c>
      <c r="B2757" s="2">
        <v>45847</v>
      </c>
      <c r="C2757" t="s">
        <v>17</v>
      </c>
      <c r="D2757" t="s">
        <v>25</v>
      </c>
      <c r="E2757" t="s">
        <v>33</v>
      </c>
      <c r="F2757" t="s">
        <v>60</v>
      </c>
      <c r="G2757" t="s">
        <v>72</v>
      </c>
      <c r="H2757" t="s">
        <v>73</v>
      </c>
      <c r="I2757">
        <v>8</v>
      </c>
      <c r="J2757">
        <v>30908</v>
      </c>
      <c r="K2757">
        <v>0.1</v>
      </c>
      <c r="L2757">
        <v>222537.60000000001</v>
      </c>
      <c r="M2757">
        <v>173752.18</v>
      </c>
      <c r="N2757">
        <v>48785.42</v>
      </c>
      <c r="O2757" t="s">
        <v>78</v>
      </c>
      <c r="P2757" t="s">
        <v>88</v>
      </c>
    </row>
    <row r="2758" spans="1:16" x14ac:dyDescent="0.25">
      <c r="A2758">
        <v>2757</v>
      </c>
      <c r="B2758" s="2">
        <v>45720</v>
      </c>
      <c r="C2758" t="s">
        <v>18</v>
      </c>
      <c r="D2758" t="s">
        <v>26</v>
      </c>
      <c r="E2758" t="s">
        <v>30</v>
      </c>
      <c r="F2758" t="s">
        <v>56</v>
      </c>
      <c r="G2758" t="s">
        <v>71</v>
      </c>
      <c r="H2758" t="s">
        <v>74</v>
      </c>
      <c r="I2758">
        <v>4</v>
      </c>
      <c r="J2758">
        <v>57330</v>
      </c>
      <c r="K2758">
        <v>0</v>
      </c>
      <c r="L2758">
        <v>229320</v>
      </c>
      <c r="M2758">
        <v>167283.35999999999</v>
      </c>
      <c r="N2758">
        <v>62036.639999999999</v>
      </c>
      <c r="O2758" t="s">
        <v>77</v>
      </c>
      <c r="P2758" t="s">
        <v>86</v>
      </c>
    </row>
    <row r="2759" spans="1:16" x14ac:dyDescent="0.25">
      <c r="A2759">
        <v>2758</v>
      </c>
      <c r="B2759" s="2">
        <v>45895</v>
      </c>
      <c r="C2759" t="s">
        <v>20</v>
      </c>
      <c r="D2759" t="s">
        <v>26</v>
      </c>
      <c r="E2759" t="s">
        <v>32</v>
      </c>
      <c r="F2759" t="s">
        <v>48</v>
      </c>
      <c r="G2759" t="s">
        <v>70</v>
      </c>
      <c r="H2759" t="s">
        <v>75</v>
      </c>
      <c r="I2759">
        <v>4</v>
      </c>
      <c r="J2759">
        <v>13055</v>
      </c>
      <c r="K2759">
        <v>0.15</v>
      </c>
      <c r="L2759">
        <v>44387</v>
      </c>
      <c r="M2759">
        <v>31136.400000000001</v>
      </c>
      <c r="N2759">
        <v>13250.6</v>
      </c>
      <c r="O2759" t="s">
        <v>77</v>
      </c>
      <c r="P2759" t="s">
        <v>87</v>
      </c>
    </row>
    <row r="2760" spans="1:16" x14ac:dyDescent="0.25">
      <c r="A2760">
        <v>2759</v>
      </c>
      <c r="B2760" s="2">
        <v>46003</v>
      </c>
      <c r="C2760" t="s">
        <v>23</v>
      </c>
      <c r="D2760" t="s">
        <v>27</v>
      </c>
      <c r="E2760" t="s">
        <v>34</v>
      </c>
      <c r="F2760" t="s">
        <v>55</v>
      </c>
      <c r="G2760" t="s">
        <v>70</v>
      </c>
      <c r="H2760" t="s">
        <v>75</v>
      </c>
      <c r="I2760">
        <v>8</v>
      </c>
      <c r="J2760">
        <v>3047</v>
      </c>
      <c r="K2760">
        <v>0.15</v>
      </c>
      <c r="L2760">
        <v>20719.599999999999</v>
      </c>
      <c r="M2760">
        <v>17535.849999999999</v>
      </c>
      <c r="N2760">
        <v>3183.75</v>
      </c>
      <c r="O2760" t="s">
        <v>79</v>
      </c>
      <c r="P2760" t="s">
        <v>87</v>
      </c>
    </row>
    <row r="2761" spans="1:16" x14ac:dyDescent="0.25">
      <c r="A2761">
        <v>2760</v>
      </c>
      <c r="B2761" s="2">
        <v>45678</v>
      </c>
      <c r="C2761" t="s">
        <v>23</v>
      </c>
      <c r="D2761" t="s">
        <v>27</v>
      </c>
      <c r="E2761" t="s">
        <v>33</v>
      </c>
      <c r="F2761" t="s">
        <v>52</v>
      </c>
      <c r="G2761" t="s">
        <v>72</v>
      </c>
      <c r="H2761" t="s">
        <v>73</v>
      </c>
      <c r="I2761">
        <v>1</v>
      </c>
      <c r="J2761">
        <v>26019</v>
      </c>
      <c r="K2761">
        <v>0</v>
      </c>
      <c r="L2761">
        <v>26019</v>
      </c>
      <c r="M2761">
        <v>21103</v>
      </c>
      <c r="N2761">
        <v>4916</v>
      </c>
      <c r="O2761" t="s">
        <v>79</v>
      </c>
      <c r="P2761" t="s">
        <v>81</v>
      </c>
    </row>
    <row r="2762" spans="1:16" x14ac:dyDescent="0.25">
      <c r="A2762">
        <v>2761</v>
      </c>
      <c r="B2762" s="2">
        <v>45717</v>
      </c>
      <c r="C2762" t="s">
        <v>18</v>
      </c>
      <c r="D2762" t="s">
        <v>26</v>
      </c>
      <c r="E2762" t="s">
        <v>30</v>
      </c>
      <c r="F2762" t="s">
        <v>64</v>
      </c>
      <c r="G2762" t="s">
        <v>70</v>
      </c>
      <c r="H2762" t="s">
        <v>74</v>
      </c>
      <c r="I2762">
        <v>2</v>
      </c>
      <c r="J2762">
        <v>42287</v>
      </c>
      <c r="K2762">
        <v>0.1</v>
      </c>
      <c r="L2762">
        <v>76116.600000000006</v>
      </c>
      <c r="M2762">
        <v>63185.04</v>
      </c>
      <c r="N2762">
        <v>12931.56</v>
      </c>
      <c r="O2762" t="s">
        <v>78</v>
      </c>
      <c r="P2762" t="s">
        <v>86</v>
      </c>
    </row>
    <row r="2763" spans="1:16" x14ac:dyDescent="0.25">
      <c r="A2763">
        <v>2762</v>
      </c>
      <c r="B2763" s="2">
        <v>45700</v>
      </c>
      <c r="C2763" t="s">
        <v>21</v>
      </c>
      <c r="D2763" t="s">
        <v>24</v>
      </c>
      <c r="E2763" t="s">
        <v>30</v>
      </c>
      <c r="F2763" t="s">
        <v>37</v>
      </c>
      <c r="G2763" t="s">
        <v>70</v>
      </c>
      <c r="H2763" t="s">
        <v>74</v>
      </c>
      <c r="I2763">
        <v>7</v>
      </c>
      <c r="J2763">
        <v>14529</v>
      </c>
      <c r="K2763">
        <v>0.1</v>
      </c>
      <c r="L2763">
        <v>91532.7</v>
      </c>
      <c r="M2763">
        <v>76702.48</v>
      </c>
      <c r="N2763">
        <v>14830.22</v>
      </c>
      <c r="O2763" t="s">
        <v>80</v>
      </c>
      <c r="P2763" t="s">
        <v>85</v>
      </c>
    </row>
    <row r="2764" spans="1:16" x14ac:dyDescent="0.25">
      <c r="A2764">
        <v>2763</v>
      </c>
      <c r="B2764" s="2">
        <v>45990</v>
      </c>
      <c r="C2764" t="s">
        <v>20</v>
      </c>
      <c r="D2764" t="s">
        <v>26</v>
      </c>
      <c r="E2764" t="s">
        <v>31</v>
      </c>
      <c r="F2764" t="s">
        <v>47</v>
      </c>
      <c r="G2764" t="s">
        <v>72</v>
      </c>
      <c r="H2764" t="s">
        <v>74</v>
      </c>
      <c r="I2764">
        <v>3</v>
      </c>
      <c r="J2764">
        <v>909</v>
      </c>
      <c r="K2764">
        <v>0.1</v>
      </c>
      <c r="L2764">
        <v>2454.3000000000002</v>
      </c>
      <c r="M2764">
        <v>1439.1</v>
      </c>
      <c r="N2764">
        <v>1015.2</v>
      </c>
      <c r="O2764" t="s">
        <v>79</v>
      </c>
      <c r="P2764" t="s">
        <v>87</v>
      </c>
    </row>
    <row r="2765" spans="1:16" x14ac:dyDescent="0.25">
      <c r="A2765">
        <v>2764</v>
      </c>
      <c r="B2765" s="2">
        <v>45789</v>
      </c>
      <c r="C2765" t="s">
        <v>20</v>
      </c>
      <c r="D2765" t="s">
        <v>26</v>
      </c>
      <c r="E2765" t="s">
        <v>28</v>
      </c>
      <c r="F2765" t="s">
        <v>35</v>
      </c>
      <c r="G2765" t="s">
        <v>71</v>
      </c>
      <c r="H2765" t="s">
        <v>73</v>
      </c>
      <c r="I2765">
        <v>4</v>
      </c>
      <c r="J2765">
        <v>2232</v>
      </c>
      <c r="K2765">
        <v>0</v>
      </c>
      <c r="L2765">
        <v>8928</v>
      </c>
      <c r="M2765">
        <v>5710.21</v>
      </c>
      <c r="N2765">
        <v>3217.79</v>
      </c>
      <c r="O2765" t="s">
        <v>79</v>
      </c>
      <c r="P2765" t="s">
        <v>87</v>
      </c>
    </row>
    <row r="2766" spans="1:16" x14ac:dyDescent="0.25">
      <c r="A2766">
        <v>2765</v>
      </c>
      <c r="B2766" s="2">
        <v>45669</v>
      </c>
      <c r="C2766" t="s">
        <v>21</v>
      </c>
      <c r="D2766" t="s">
        <v>24</v>
      </c>
      <c r="E2766" t="s">
        <v>31</v>
      </c>
      <c r="F2766" t="s">
        <v>67</v>
      </c>
      <c r="G2766" t="s">
        <v>70</v>
      </c>
      <c r="H2766" t="s">
        <v>73</v>
      </c>
      <c r="I2766">
        <v>3</v>
      </c>
      <c r="J2766">
        <v>308</v>
      </c>
      <c r="K2766">
        <v>0</v>
      </c>
      <c r="L2766">
        <v>924</v>
      </c>
      <c r="M2766">
        <v>711.46</v>
      </c>
      <c r="N2766">
        <v>212.54</v>
      </c>
      <c r="O2766" t="s">
        <v>76</v>
      </c>
      <c r="P2766" t="s">
        <v>86</v>
      </c>
    </row>
    <row r="2767" spans="1:16" x14ac:dyDescent="0.25">
      <c r="A2767">
        <v>2766</v>
      </c>
      <c r="B2767" s="2">
        <v>45861</v>
      </c>
      <c r="C2767" t="s">
        <v>21</v>
      </c>
      <c r="D2767" t="s">
        <v>24</v>
      </c>
      <c r="E2767" t="s">
        <v>29</v>
      </c>
      <c r="F2767" t="s">
        <v>53</v>
      </c>
      <c r="G2767" t="s">
        <v>71</v>
      </c>
      <c r="H2767" t="s">
        <v>75</v>
      </c>
      <c r="I2767">
        <v>3</v>
      </c>
      <c r="J2767">
        <v>5938</v>
      </c>
      <c r="K2767">
        <v>0.15</v>
      </c>
      <c r="L2767">
        <v>15141.9</v>
      </c>
      <c r="M2767">
        <v>11725.74</v>
      </c>
      <c r="N2767">
        <v>3416.16</v>
      </c>
      <c r="O2767" t="s">
        <v>78</v>
      </c>
      <c r="P2767" t="s">
        <v>85</v>
      </c>
    </row>
    <row r="2768" spans="1:16" x14ac:dyDescent="0.25">
      <c r="A2768">
        <v>2767</v>
      </c>
      <c r="B2768" s="2">
        <v>45769</v>
      </c>
      <c r="C2768" t="s">
        <v>20</v>
      </c>
      <c r="D2768" t="s">
        <v>26</v>
      </c>
      <c r="E2768" t="s">
        <v>34</v>
      </c>
      <c r="F2768" t="s">
        <v>65</v>
      </c>
      <c r="G2768" t="s">
        <v>70</v>
      </c>
      <c r="H2768" t="s">
        <v>73</v>
      </c>
      <c r="I2768">
        <v>2</v>
      </c>
      <c r="J2768">
        <v>5290</v>
      </c>
      <c r="K2768">
        <v>0.05</v>
      </c>
      <c r="L2768">
        <v>10051</v>
      </c>
      <c r="M2768">
        <v>6639.58</v>
      </c>
      <c r="N2768">
        <v>3411.42</v>
      </c>
      <c r="O2768" t="s">
        <v>76</v>
      </c>
      <c r="P2768" t="s">
        <v>86</v>
      </c>
    </row>
    <row r="2769" spans="1:16" x14ac:dyDescent="0.25">
      <c r="A2769">
        <v>2768</v>
      </c>
      <c r="B2769" s="2">
        <v>45739</v>
      </c>
      <c r="C2769" t="s">
        <v>16</v>
      </c>
      <c r="D2769" t="s">
        <v>24</v>
      </c>
      <c r="E2769" t="s">
        <v>31</v>
      </c>
      <c r="F2769" t="s">
        <v>47</v>
      </c>
      <c r="G2769" t="s">
        <v>71</v>
      </c>
      <c r="H2769" t="s">
        <v>75</v>
      </c>
      <c r="I2769">
        <v>4</v>
      </c>
      <c r="J2769">
        <v>468</v>
      </c>
      <c r="K2769">
        <v>0.05</v>
      </c>
      <c r="L2769">
        <v>1778.4</v>
      </c>
      <c r="M2769">
        <v>1260.3800000000001</v>
      </c>
      <c r="N2769">
        <v>518.02</v>
      </c>
      <c r="O2769" t="s">
        <v>76</v>
      </c>
      <c r="P2769" t="s">
        <v>86</v>
      </c>
    </row>
    <row r="2770" spans="1:16" x14ac:dyDescent="0.25">
      <c r="A2770">
        <v>2769</v>
      </c>
      <c r="B2770" s="2">
        <v>45740</v>
      </c>
      <c r="C2770" t="s">
        <v>21</v>
      </c>
      <c r="D2770" t="s">
        <v>24</v>
      </c>
      <c r="E2770" t="s">
        <v>29</v>
      </c>
      <c r="F2770" t="s">
        <v>57</v>
      </c>
      <c r="G2770" t="s">
        <v>71</v>
      </c>
      <c r="H2770" t="s">
        <v>73</v>
      </c>
      <c r="I2770">
        <v>1</v>
      </c>
      <c r="J2770">
        <v>9050</v>
      </c>
      <c r="K2770">
        <v>0.05</v>
      </c>
      <c r="L2770">
        <v>8597.5</v>
      </c>
      <c r="M2770">
        <v>7534.17</v>
      </c>
      <c r="N2770">
        <v>1063.33</v>
      </c>
      <c r="O2770" t="s">
        <v>80</v>
      </c>
      <c r="P2770" t="s">
        <v>82</v>
      </c>
    </row>
    <row r="2771" spans="1:16" x14ac:dyDescent="0.25">
      <c r="A2771">
        <v>2770</v>
      </c>
      <c r="B2771" s="2">
        <v>45941</v>
      </c>
      <c r="C2771" t="s">
        <v>16</v>
      </c>
      <c r="D2771" t="s">
        <v>24</v>
      </c>
      <c r="E2771" t="s">
        <v>28</v>
      </c>
      <c r="F2771" t="s">
        <v>54</v>
      </c>
      <c r="G2771" t="s">
        <v>70</v>
      </c>
      <c r="H2771" t="s">
        <v>73</v>
      </c>
      <c r="I2771">
        <v>2</v>
      </c>
      <c r="J2771">
        <v>583</v>
      </c>
      <c r="K2771">
        <v>0.1</v>
      </c>
      <c r="L2771">
        <v>1049.4000000000001</v>
      </c>
      <c r="M2771">
        <v>676.42</v>
      </c>
      <c r="N2771">
        <v>372.98</v>
      </c>
      <c r="O2771" t="s">
        <v>80</v>
      </c>
      <c r="P2771" t="s">
        <v>85</v>
      </c>
    </row>
    <row r="2772" spans="1:16" x14ac:dyDescent="0.25">
      <c r="A2772">
        <v>2771</v>
      </c>
      <c r="B2772" s="2">
        <v>45818</v>
      </c>
      <c r="C2772" t="s">
        <v>19</v>
      </c>
      <c r="D2772" t="s">
        <v>26</v>
      </c>
      <c r="E2772" t="s">
        <v>32</v>
      </c>
      <c r="F2772" t="s">
        <v>48</v>
      </c>
      <c r="G2772" t="s">
        <v>71</v>
      </c>
      <c r="H2772" t="s">
        <v>75</v>
      </c>
      <c r="I2772">
        <v>8</v>
      </c>
      <c r="J2772">
        <v>11678</v>
      </c>
      <c r="K2772">
        <v>0.05</v>
      </c>
      <c r="L2772">
        <v>88752.8</v>
      </c>
      <c r="M2772">
        <v>61722.64</v>
      </c>
      <c r="N2772">
        <v>27030.16</v>
      </c>
      <c r="O2772" t="s">
        <v>78</v>
      </c>
      <c r="P2772" t="s">
        <v>83</v>
      </c>
    </row>
    <row r="2773" spans="1:16" x14ac:dyDescent="0.25">
      <c r="A2773">
        <v>2772</v>
      </c>
      <c r="B2773" s="2">
        <v>45789</v>
      </c>
      <c r="C2773" t="s">
        <v>16</v>
      </c>
      <c r="D2773" t="s">
        <v>24</v>
      </c>
      <c r="E2773" t="s">
        <v>30</v>
      </c>
      <c r="F2773" t="s">
        <v>44</v>
      </c>
      <c r="G2773" t="s">
        <v>72</v>
      </c>
      <c r="H2773" t="s">
        <v>74</v>
      </c>
      <c r="I2773">
        <v>2</v>
      </c>
      <c r="J2773">
        <v>15634</v>
      </c>
      <c r="K2773">
        <v>0.05</v>
      </c>
      <c r="L2773">
        <v>29704.6</v>
      </c>
      <c r="M2773">
        <v>20333.990000000002</v>
      </c>
      <c r="N2773">
        <v>9370.61</v>
      </c>
      <c r="O2773" t="s">
        <v>77</v>
      </c>
      <c r="P2773" t="s">
        <v>82</v>
      </c>
    </row>
    <row r="2774" spans="1:16" x14ac:dyDescent="0.25">
      <c r="A2774">
        <v>2773</v>
      </c>
      <c r="B2774" s="2">
        <v>45694</v>
      </c>
      <c r="C2774" t="s">
        <v>16</v>
      </c>
      <c r="D2774" t="s">
        <v>24</v>
      </c>
      <c r="E2774" t="s">
        <v>29</v>
      </c>
      <c r="F2774" t="s">
        <v>42</v>
      </c>
      <c r="G2774" t="s">
        <v>72</v>
      </c>
      <c r="H2774" t="s">
        <v>75</v>
      </c>
      <c r="I2774">
        <v>8</v>
      </c>
      <c r="J2774">
        <v>2811</v>
      </c>
      <c r="K2774">
        <v>0</v>
      </c>
      <c r="L2774">
        <v>22488</v>
      </c>
      <c r="M2774">
        <v>13393.99</v>
      </c>
      <c r="N2774">
        <v>9094.01</v>
      </c>
      <c r="O2774" t="s">
        <v>77</v>
      </c>
      <c r="P2774" t="s">
        <v>83</v>
      </c>
    </row>
    <row r="2775" spans="1:16" x14ac:dyDescent="0.25">
      <c r="A2775">
        <v>2774</v>
      </c>
      <c r="B2775" s="2">
        <v>45812</v>
      </c>
      <c r="C2775" t="s">
        <v>19</v>
      </c>
      <c r="D2775" t="s">
        <v>26</v>
      </c>
      <c r="E2775" t="s">
        <v>30</v>
      </c>
      <c r="F2775" t="s">
        <v>64</v>
      </c>
      <c r="G2775" t="s">
        <v>70</v>
      </c>
      <c r="H2775" t="s">
        <v>73</v>
      </c>
      <c r="I2775">
        <v>7</v>
      </c>
      <c r="J2775">
        <v>6616</v>
      </c>
      <c r="K2775">
        <v>0</v>
      </c>
      <c r="L2775">
        <v>46312</v>
      </c>
      <c r="M2775">
        <v>29869.279999999999</v>
      </c>
      <c r="N2775">
        <v>16442.72</v>
      </c>
      <c r="O2775" t="s">
        <v>76</v>
      </c>
      <c r="P2775" t="s">
        <v>86</v>
      </c>
    </row>
    <row r="2776" spans="1:16" x14ac:dyDescent="0.25">
      <c r="A2776">
        <v>2775</v>
      </c>
      <c r="B2776" s="2">
        <v>46009</v>
      </c>
      <c r="C2776" t="s">
        <v>20</v>
      </c>
      <c r="D2776" t="s">
        <v>26</v>
      </c>
      <c r="E2776" t="s">
        <v>32</v>
      </c>
      <c r="F2776" t="s">
        <v>66</v>
      </c>
      <c r="G2776" t="s">
        <v>71</v>
      </c>
      <c r="H2776" t="s">
        <v>73</v>
      </c>
      <c r="I2776">
        <v>5</v>
      </c>
      <c r="J2776">
        <v>24980</v>
      </c>
      <c r="K2776">
        <v>0.05</v>
      </c>
      <c r="L2776">
        <v>118655</v>
      </c>
      <c r="M2776">
        <v>93395.26</v>
      </c>
      <c r="N2776">
        <v>25259.74</v>
      </c>
      <c r="O2776" t="s">
        <v>76</v>
      </c>
      <c r="P2776" t="s">
        <v>83</v>
      </c>
    </row>
    <row r="2777" spans="1:16" x14ac:dyDescent="0.25">
      <c r="A2777">
        <v>2776</v>
      </c>
      <c r="B2777" s="2">
        <v>45827</v>
      </c>
      <c r="C2777" t="s">
        <v>20</v>
      </c>
      <c r="D2777" t="s">
        <v>26</v>
      </c>
      <c r="E2777" t="s">
        <v>32</v>
      </c>
      <c r="F2777" t="s">
        <v>62</v>
      </c>
      <c r="G2777" t="s">
        <v>71</v>
      </c>
      <c r="H2777" t="s">
        <v>74</v>
      </c>
      <c r="I2777">
        <v>8</v>
      </c>
      <c r="J2777">
        <v>8404</v>
      </c>
      <c r="K2777">
        <v>0.1</v>
      </c>
      <c r="L2777">
        <v>60508.800000000003</v>
      </c>
      <c r="M2777">
        <v>40553.199999999997</v>
      </c>
      <c r="N2777">
        <v>19955.599999999999</v>
      </c>
      <c r="O2777" t="s">
        <v>78</v>
      </c>
      <c r="P2777" t="s">
        <v>86</v>
      </c>
    </row>
    <row r="2778" spans="1:16" x14ac:dyDescent="0.25">
      <c r="A2778">
        <v>2777</v>
      </c>
      <c r="B2778" s="2">
        <v>45762</v>
      </c>
      <c r="C2778" t="s">
        <v>19</v>
      </c>
      <c r="D2778" t="s">
        <v>26</v>
      </c>
      <c r="E2778" t="s">
        <v>33</v>
      </c>
      <c r="F2778" t="s">
        <v>46</v>
      </c>
      <c r="G2778" t="s">
        <v>70</v>
      </c>
      <c r="H2778" t="s">
        <v>75</v>
      </c>
      <c r="I2778">
        <v>5</v>
      </c>
      <c r="J2778">
        <v>11214</v>
      </c>
      <c r="K2778">
        <v>0.2</v>
      </c>
      <c r="L2778">
        <v>44856</v>
      </c>
      <c r="M2778">
        <v>36882.06</v>
      </c>
      <c r="N2778">
        <v>7973.94</v>
      </c>
      <c r="O2778" t="s">
        <v>76</v>
      </c>
      <c r="P2778" t="s">
        <v>85</v>
      </c>
    </row>
    <row r="2779" spans="1:16" x14ac:dyDescent="0.25">
      <c r="A2779">
        <v>2778</v>
      </c>
      <c r="B2779" s="2">
        <v>45996</v>
      </c>
      <c r="C2779" t="s">
        <v>21</v>
      </c>
      <c r="D2779" t="s">
        <v>24</v>
      </c>
      <c r="E2779" t="s">
        <v>32</v>
      </c>
      <c r="F2779" t="s">
        <v>49</v>
      </c>
      <c r="G2779" t="s">
        <v>72</v>
      </c>
      <c r="H2779" t="s">
        <v>73</v>
      </c>
      <c r="I2779">
        <v>2</v>
      </c>
      <c r="J2779">
        <v>24680</v>
      </c>
      <c r="K2779">
        <v>0.05</v>
      </c>
      <c r="L2779">
        <v>46892</v>
      </c>
      <c r="M2779">
        <v>33770.76</v>
      </c>
      <c r="N2779">
        <v>13121.24</v>
      </c>
      <c r="O2779" t="s">
        <v>76</v>
      </c>
      <c r="P2779" t="s">
        <v>82</v>
      </c>
    </row>
    <row r="2780" spans="1:16" x14ac:dyDescent="0.25">
      <c r="A2780">
        <v>2779</v>
      </c>
      <c r="B2780" s="2">
        <v>46000</v>
      </c>
      <c r="C2780" t="s">
        <v>20</v>
      </c>
      <c r="D2780" t="s">
        <v>26</v>
      </c>
      <c r="E2780" t="s">
        <v>32</v>
      </c>
      <c r="F2780" t="s">
        <v>39</v>
      </c>
      <c r="G2780" t="s">
        <v>72</v>
      </c>
      <c r="H2780" t="s">
        <v>75</v>
      </c>
      <c r="I2780">
        <v>3</v>
      </c>
      <c r="J2780">
        <v>5836</v>
      </c>
      <c r="K2780">
        <v>0.05</v>
      </c>
      <c r="L2780">
        <v>16632.599999999999</v>
      </c>
      <c r="M2780">
        <v>10334.34</v>
      </c>
      <c r="N2780">
        <v>6298.26</v>
      </c>
      <c r="O2780" t="s">
        <v>80</v>
      </c>
      <c r="P2780" t="s">
        <v>85</v>
      </c>
    </row>
    <row r="2781" spans="1:16" x14ac:dyDescent="0.25">
      <c r="A2781">
        <v>2780</v>
      </c>
      <c r="B2781" s="2">
        <v>45679</v>
      </c>
      <c r="C2781" t="s">
        <v>20</v>
      </c>
      <c r="D2781" t="s">
        <v>26</v>
      </c>
      <c r="E2781" t="s">
        <v>34</v>
      </c>
      <c r="F2781" t="s">
        <v>68</v>
      </c>
      <c r="G2781" t="s">
        <v>72</v>
      </c>
      <c r="H2781" t="s">
        <v>74</v>
      </c>
      <c r="I2781">
        <v>3</v>
      </c>
      <c r="J2781">
        <v>601</v>
      </c>
      <c r="K2781">
        <v>0.05</v>
      </c>
      <c r="L2781">
        <v>1712.85</v>
      </c>
      <c r="M2781">
        <v>1076.5899999999999</v>
      </c>
      <c r="N2781">
        <v>636.26</v>
      </c>
      <c r="O2781" t="s">
        <v>78</v>
      </c>
      <c r="P2781" t="s">
        <v>81</v>
      </c>
    </row>
    <row r="2782" spans="1:16" x14ac:dyDescent="0.25">
      <c r="A2782">
        <v>2781</v>
      </c>
      <c r="B2782" s="2">
        <v>45888</v>
      </c>
      <c r="C2782" t="s">
        <v>18</v>
      </c>
      <c r="D2782" t="s">
        <v>26</v>
      </c>
      <c r="E2782" t="s">
        <v>29</v>
      </c>
      <c r="F2782" t="s">
        <v>45</v>
      </c>
      <c r="G2782" t="s">
        <v>72</v>
      </c>
      <c r="H2782" t="s">
        <v>74</v>
      </c>
      <c r="I2782">
        <v>8</v>
      </c>
      <c r="J2782">
        <v>7639</v>
      </c>
      <c r="K2782">
        <v>0</v>
      </c>
      <c r="L2782">
        <v>61112</v>
      </c>
      <c r="M2782">
        <v>45956.24</v>
      </c>
      <c r="N2782">
        <v>15155.76</v>
      </c>
      <c r="O2782" t="s">
        <v>77</v>
      </c>
      <c r="P2782" t="s">
        <v>88</v>
      </c>
    </row>
    <row r="2783" spans="1:16" x14ac:dyDescent="0.25">
      <c r="A2783">
        <v>2782</v>
      </c>
      <c r="B2783" s="2">
        <v>45967</v>
      </c>
      <c r="C2783" t="s">
        <v>23</v>
      </c>
      <c r="D2783" t="s">
        <v>27</v>
      </c>
      <c r="E2783" t="s">
        <v>29</v>
      </c>
      <c r="F2783" t="s">
        <v>53</v>
      </c>
      <c r="G2783" t="s">
        <v>70</v>
      </c>
      <c r="H2783" t="s">
        <v>73</v>
      </c>
      <c r="I2783">
        <v>2</v>
      </c>
      <c r="J2783">
        <v>6953</v>
      </c>
      <c r="K2783">
        <v>0</v>
      </c>
      <c r="L2783">
        <v>13906</v>
      </c>
      <c r="M2783">
        <v>9453.2000000000007</v>
      </c>
      <c r="N2783">
        <v>4452.8</v>
      </c>
      <c r="O2783" t="s">
        <v>78</v>
      </c>
      <c r="P2783" t="s">
        <v>85</v>
      </c>
    </row>
    <row r="2784" spans="1:16" x14ac:dyDescent="0.25">
      <c r="A2784">
        <v>2783</v>
      </c>
      <c r="B2784" s="2">
        <v>45702</v>
      </c>
      <c r="C2784" t="s">
        <v>19</v>
      </c>
      <c r="D2784" t="s">
        <v>26</v>
      </c>
      <c r="E2784" t="s">
        <v>29</v>
      </c>
      <c r="F2784" t="s">
        <v>57</v>
      </c>
      <c r="G2784" t="s">
        <v>71</v>
      </c>
      <c r="H2784" t="s">
        <v>75</v>
      </c>
      <c r="I2784">
        <v>3</v>
      </c>
      <c r="J2784">
        <v>9710</v>
      </c>
      <c r="K2784">
        <v>0.15</v>
      </c>
      <c r="L2784">
        <v>24760.5</v>
      </c>
      <c r="M2784">
        <v>20878.22</v>
      </c>
      <c r="N2784">
        <v>3882.28</v>
      </c>
      <c r="O2784" t="s">
        <v>78</v>
      </c>
      <c r="P2784" t="s">
        <v>85</v>
      </c>
    </row>
    <row r="2785" spans="1:16" x14ac:dyDescent="0.25">
      <c r="A2785">
        <v>2784</v>
      </c>
      <c r="B2785" s="2">
        <v>45708</v>
      </c>
      <c r="C2785" t="s">
        <v>17</v>
      </c>
      <c r="D2785" t="s">
        <v>25</v>
      </c>
      <c r="E2785" t="s">
        <v>34</v>
      </c>
      <c r="F2785" t="s">
        <v>43</v>
      </c>
      <c r="G2785" t="s">
        <v>72</v>
      </c>
      <c r="H2785" t="s">
        <v>75</v>
      </c>
      <c r="I2785">
        <v>1</v>
      </c>
      <c r="J2785">
        <v>772</v>
      </c>
      <c r="K2785">
        <v>0.05</v>
      </c>
      <c r="L2785">
        <v>733.4</v>
      </c>
      <c r="M2785">
        <v>457.2</v>
      </c>
      <c r="N2785">
        <v>276.2</v>
      </c>
      <c r="O2785" t="s">
        <v>79</v>
      </c>
      <c r="P2785" t="s">
        <v>85</v>
      </c>
    </row>
    <row r="2786" spans="1:16" x14ac:dyDescent="0.25">
      <c r="A2786">
        <v>2785</v>
      </c>
      <c r="B2786" s="2">
        <v>45716</v>
      </c>
      <c r="C2786" t="s">
        <v>19</v>
      </c>
      <c r="D2786" t="s">
        <v>26</v>
      </c>
      <c r="E2786" t="s">
        <v>33</v>
      </c>
      <c r="F2786" t="s">
        <v>41</v>
      </c>
      <c r="G2786" t="s">
        <v>72</v>
      </c>
      <c r="H2786" t="s">
        <v>73</v>
      </c>
      <c r="I2786">
        <v>7</v>
      </c>
      <c r="J2786">
        <v>48720</v>
      </c>
      <c r="K2786">
        <v>0.1</v>
      </c>
      <c r="L2786">
        <v>306936</v>
      </c>
      <c r="M2786">
        <v>181088.22</v>
      </c>
      <c r="N2786">
        <v>125847.78</v>
      </c>
      <c r="O2786" t="s">
        <v>76</v>
      </c>
      <c r="P2786" t="s">
        <v>88</v>
      </c>
    </row>
    <row r="2787" spans="1:16" x14ac:dyDescent="0.25">
      <c r="A2787">
        <v>2786</v>
      </c>
      <c r="B2787" s="2">
        <v>45735</v>
      </c>
      <c r="C2787" t="s">
        <v>20</v>
      </c>
      <c r="D2787" t="s">
        <v>26</v>
      </c>
      <c r="E2787" t="s">
        <v>34</v>
      </c>
      <c r="F2787" t="s">
        <v>51</v>
      </c>
      <c r="G2787" t="s">
        <v>71</v>
      </c>
      <c r="H2787" t="s">
        <v>74</v>
      </c>
      <c r="I2787">
        <v>4</v>
      </c>
      <c r="J2787">
        <v>501</v>
      </c>
      <c r="K2787">
        <v>0.15</v>
      </c>
      <c r="L2787">
        <v>1703.4</v>
      </c>
      <c r="M2787">
        <v>1058.1300000000001</v>
      </c>
      <c r="N2787">
        <v>645.27</v>
      </c>
      <c r="O2787" t="s">
        <v>77</v>
      </c>
      <c r="P2787" t="s">
        <v>88</v>
      </c>
    </row>
    <row r="2788" spans="1:16" x14ac:dyDescent="0.25">
      <c r="A2788">
        <v>2787</v>
      </c>
      <c r="B2788" s="2">
        <v>45796</v>
      </c>
      <c r="C2788" t="s">
        <v>21</v>
      </c>
      <c r="D2788" t="s">
        <v>24</v>
      </c>
      <c r="E2788" t="s">
        <v>32</v>
      </c>
      <c r="F2788" t="s">
        <v>48</v>
      </c>
      <c r="G2788" t="s">
        <v>72</v>
      </c>
      <c r="H2788" t="s">
        <v>74</v>
      </c>
      <c r="I2788">
        <v>7</v>
      </c>
      <c r="J2788">
        <v>8369</v>
      </c>
      <c r="K2788">
        <v>0.1</v>
      </c>
      <c r="L2788">
        <v>52724.7</v>
      </c>
      <c r="M2788">
        <v>40155.01</v>
      </c>
      <c r="N2788">
        <v>12569.69</v>
      </c>
      <c r="O2788" t="s">
        <v>79</v>
      </c>
      <c r="P2788" t="s">
        <v>86</v>
      </c>
    </row>
    <row r="2789" spans="1:16" x14ac:dyDescent="0.25">
      <c r="A2789">
        <v>2788</v>
      </c>
      <c r="B2789" s="2">
        <v>45753</v>
      </c>
      <c r="C2789" t="s">
        <v>20</v>
      </c>
      <c r="D2789" t="s">
        <v>26</v>
      </c>
      <c r="E2789" t="s">
        <v>33</v>
      </c>
      <c r="F2789" t="s">
        <v>46</v>
      </c>
      <c r="G2789" t="s">
        <v>72</v>
      </c>
      <c r="H2789" t="s">
        <v>73</v>
      </c>
      <c r="I2789">
        <v>8</v>
      </c>
      <c r="J2789">
        <v>9417</v>
      </c>
      <c r="K2789">
        <v>0.1</v>
      </c>
      <c r="L2789">
        <v>67802.399999999994</v>
      </c>
      <c r="M2789">
        <v>39623.96</v>
      </c>
      <c r="N2789">
        <v>28178.44</v>
      </c>
      <c r="O2789" t="s">
        <v>77</v>
      </c>
      <c r="P2789" t="s">
        <v>84</v>
      </c>
    </row>
    <row r="2790" spans="1:16" x14ac:dyDescent="0.25">
      <c r="A2790">
        <v>2789</v>
      </c>
      <c r="B2790" s="2">
        <v>46002</v>
      </c>
      <c r="C2790" t="s">
        <v>21</v>
      </c>
      <c r="D2790" t="s">
        <v>24</v>
      </c>
      <c r="E2790" t="s">
        <v>29</v>
      </c>
      <c r="F2790" t="s">
        <v>53</v>
      </c>
      <c r="G2790" t="s">
        <v>70</v>
      </c>
      <c r="H2790" t="s">
        <v>74</v>
      </c>
      <c r="I2790">
        <v>7</v>
      </c>
      <c r="J2790">
        <v>2299</v>
      </c>
      <c r="K2790">
        <v>0.1</v>
      </c>
      <c r="L2790">
        <v>14483.7</v>
      </c>
      <c r="M2790">
        <v>8243.1299999999992</v>
      </c>
      <c r="N2790">
        <v>6240.57</v>
      </c>
      <c r="O2790" t="s">
        <v>78</v>
      </c>
      <c r="P2790" t="s">
        <v>88</v>
      </c>
    </row>
    <row r="2791" spans="1:16" x14ac:dyDescent="0.25">
      <c r="A2791">
        <v>2790</v>
      </c>
      <c r="B2791" s="2">
        <v>45666</v>
      </c>
      <c r="C2791" t="s">
        <v>17</v>
      </c>
      <c r="D2791" t="s">
        <v>25</v>
      </c>
      <c r="E2791" t="s">
        <v>28</v>
      </c>
      <c r="F2791" t="s">
        <v>35</v>
      </c>
      <c r="G2791" t="s">
        <v>72</v>
      </c>
      <c r="H2791" t="s">
        <v>75</v>
      </c>
      <c r="I2791">
        <v>4</v>
      </c>
      <c r="J2791">
        <v>973</v>
      </c>
      <c r="K2791">
        <v>0.15</v>
      </c>
      <c r="L2791">
        <v>3308.2</v>
      </c>
      <c r="M2791">
        <v>2565.23</v>
      </c>
      <c r="N2791">
        <v>742.97</v>
      </c>
      <c r="O2791" t="s">
        <v>80</v>
      </c>
      <c r="P2791" t="s">
        <v>88</v>
      </c>
    </row>
    <row r="2792" spans="1:16" x14ac:dyDescent="0.25">
      <c r="A2792">
        <v>2791</v>
      </c>
      <c r="B2792" s="2">
        <v>45858</v>
      </c>
      <c r="C2792" t="s">
        <v>20</v>
      </c>
      <c r="D2792" t="s">
        <v>26</v>
      </c>
      <c r="E2792" t="s">
        <v>30</v>
      </c>
      <c r="F2792" t="s">
        <v>40</v>
      </c>
      <c r="G2792" t="s">
        <v>71</v>
      </c>
      <c r="H2792" t="s">
        <v>73</v>
      </c>
      <c r="I2792">
        <v>4</v>
      </c>
      <c r="J2792">
        <v>7165</v>
      </c>
      <c r="K2792">
        <v>0</v>
      </c>
      <c r="L2792">
        <v>28660</v>
      </c>
      <c r="M2792">
        <v>16819.669999999998</v>
      </c>
      <c r="N2792">
        <v>11840.33</v>
      </c>
      <c r="O2792" t="s">
        <v>78</v>
      </c>
      <c r="P2792" t="s">
        <v>84</v>
      </c>
    </row>
    <row r="2793" spans="1:16" x14ac:dyDescent="0.25">
      <c r="A2793">
        <v>2792</v>
      </c>
      <c r="B2793" s="2">
        <v>45985</v>
      </c>
      <c r="C2793" t="s">
        <v>19</v>
      </c>
      <c r="D2793" t="s">
        <v>26</v>
      </c>
      <c r="E2793" t="s">
        <v>29</v>
      </c>
      <c r="F2793" t="s">
        <v>45</v>
      </c>
      <c r="G2793" t="s">
        <v>70</v>
      </c>
      <c r="H2793" t="s">
        <v>74</v>
      </c>
      <c r="I2793">
        <v>3</v>
      </c>
      <c r="J2793">
        <v>5045</v>
      </c>
      <c r="K2793">
        <v>0</v>
      </c>
      <c r="L2793">
        <v>15135</v>
      </c>
      <c r="M2793">
        <v>11919.93</v>
      </c>
      <c r="N2793">
        <v>3215.07</v>
      </c>
      <c r="O2793" t="s">
        <v>78</v>
      </c>
      <c r="P2793" t="s">
        <v>85</v>
      </c>
    </row>
    <row r="2794" spans="1:16" x14ac:dyDescent="0.25">
      <c r="A2794">
        <v>2793</v>
      </c>
      <c r="B2794" s="2">
        <v>45695</v>
      </c>
      <c r="C2794" t="s">
        <v>18</v>
      </c>
      <c r="D2794" t="s">
        <v>26</v>
      </c>
      <c r="E2794" t="s">
        <v>29</v>
      </c>
      <c r="F2794" t="s">
        <v>42</v>
      </c>
      <c r="G2794" t="s">
        <v>70</v>
      </c>
      <c r="H2794" t="s">
        <v>73</v>
      </c>
      <c r="I2794">
        <v>6</v>
      </c>
      <c r="J2794">
        <v>10540</v>
      </c>
      <c r="K2794">
        <v>0</v>
      </c>
      <c r="L2794">
        <v>63240</v>
      </c>
      <c r="M2794">
        <v>52551.65</v>
      </c>
      <c r="N2794">
        <v>10688.35</v>
      </c>
      <c r="O2794" t="s">
        <v>78</v>
      </c>
      <c r="P2794" t="s">
        <v>85</v>
      </c>
    </row>
    <row r="2795" spans="1:16" x14ac:dyDescent="0.25">
      <c r="A2795">
        <v>2794</v>
      </c>
      <c r="B2795" s="2">
        <v>46000</v>
      </c>
      <c r="C2795" t="s">
        <v>19</v>
      </c>
      <c r="D2795" t="s">
        <v>26</v>
      </c>
      <c r="E2795" t="s">
        <v>33</v>
      </c>
      <c r="F2795" t="s">
        <v>60</v>
      </c>
      <c r="G2795" t="s">
        <v>70</v>
      </c>
      <c r="H2795" t="s">
        <v>73</v>
      </c>
      <c r="I2795">
        <v>8</v>
      </c>
      <c r="J2795">
        <v>23407</v>
      </c>
      <c r="K2795">
        <v>0.05</v>
      </c>
      <c r="L2795">
        <v>177893.2</v>
      </c>
      <c r="M2795">
        <v>139814.91</v>
      </c>
      <c r="N2795">
        <v>38078.29</v>
      </c>
      <c r="O2795" t="s">
        <v>77</v>
      </c>
      <c r="P2795" t="s">
        <v>85</v>
      </c>
    </row>
    <row r="2796" spans="1:16" x14ac:dyDescent="0.25">
      <c r="A2796">
        <v>2795</v>
      </c>
      <c r="B2796" s="2">
        <v>45844</v>
      </c>
      <c r="C2796" t="s">
        <v>21</v>
      </c>
      <c r="D2796" t="s">
        <v>24</v>
      </c>
      <c r="E2796" t="s">
        <v>31</v>
      </c>
      <c r="F2796" t="s">
        <v>67</v>
      </c>
      <c r="G2796" t="s">
        <v>70</v>
      </c>
      <c r="H2796" t="s">
        <v>75</v>
      </c>
      <c r="I2796">
        <v>3</v>
      </c>
      <c r="J2796">
        <v>693</v>
      </c>
      <c r="K2796">
        <v>0.1</v>
      </c>
      <c r="L2796">
        <v>1871.1</v>
      </c>
      <c r="M2796">
        <v>1399.09</v>
      </c>
      <c r="N2796">
        <v>472.01</v>
      </c>
      <c r="O2796" t="s">
        <v>77</v>
      </c>
      <c r="P2796" t="s">
        <v>88</v>
      </c>
    </row>
    <row r="2797" spans="1:16" x14ac:dyDescent="0.25">
      <c r="A2797">
        <v>2796</v>
      </c>
      <c r="B2797" s="2">
        <v>45783</v>
      </c>
      <c r="C2797" t="s">
        <v>18</v>
      </c>
      <c r="D2797" t="s">
        <v>26</v>
      </c>
      <c r="E2797" t="s">
        <v>32</v>
      </c>
      <c r="F2797" t="s">
        <v>49</v>
      </c>
      <c r="G2797" t="s">
        <v>72</v>
      </c>
      <c r="H2797" t="s">
        <v>75</v>
      </c>
      <c r="I2797">
        <v>2</v>
      </c>
      <c r="J2797">
        <v>20406</v>
      </c>
      <c r="K2797">
        <v>0.1</v>
      </c>
      <c r="L2797">
        <v>36730.800000000003</v>
      </c>
      <c r="M2797">
        <v>30042.84</v>
      </c>
      <c r="N2797">
        <v>6687.96</v>
      </c>
      <c r="O2797" t="s">
        <v>80</v>
      </c>
      <c r="P2797" t="s">
        <v>88</v>
      </c>
    </row>
    <row r="2798" spans="1:16" x14ac:dyDescent="0.25">
      <c r="A2798">
        <v>2797</v>
      </c>
      <c r="B2798" s="2">
        <v>45789</v>
      </c>
      <c r="C2798" t="s">
        <v>23</v>
      </c>
      <c r="D2798" t="s">
        <v>27</v>
      </c>
      <c r="E2798" t="s">
        <v>28</v>
      </c>
      <c r="F2798" t="s">
        <v>63</v>
      </c>
      <c r="G2798" t="s">
        <v>70</v>
      </c>
      <c r="H2798" t="s">
        <v>74</v>
      </c>
      <c r="I2798">
        <v>1</v>
      </c>
      <c r="J2798">
        <v>688</v>
      </c>
      <c r="K2798">
        <v>0.1</v>
      </c>
      <c r="L2798">
        <v>619.20000000000005</v>
      </c>
      <c r="M2798">
        <v>350.45</v>
      </c>
      <c r="N2798">
        <v>268.75</v>
      </c>
      <c r="O2798" t="s">
        <v>77</v>
      </c>
      <c r="P2798" t="s">
        <v>85</v>
      </c>
    </row>
    <row r="2799" spans="1:16" x14ac:dyDescent="0.25">
      <c r="A2799">
        <v>2798</v>
      </c>
      <c r="B2799" s="2">
        <v>45947</v>
      </c>
      <c r="C2799" t="s">
        <v>23</v>
      </c>
      <c r="D2799" t="s">
        <v>27</v>
      </c>
      <c r="E2799" t="s">
        <v>29</v>
      </c>
      <c r="F2799" t="s">
        <v>42</v>
      </c>
      <c r="G2799" t="s">
        <v>72</v>
      </c>
      <c r="H2799" t="s">
        <v>75</v>
      </c>
      <c r="I2799">
        <v>4</v>
      </c>
      <c r="J2799">
        <v>5521</v>
      </c>
      <c r="K2799">
        <v>0.15</v>
      </c>
      <c r="L2799">
        <v>18771.400000000001</v>
      </c>
      <c r="M2799">
        <v>14189.44</v>
      </c>
      <c r="N2799">
        <v>4581.96</v>
      </c>
      <c r="O2799" t="s">
        <v>78</v>
      </c>
      <c r="P2799" t="s">
        <v>83</v>
      </c>
    </row>
    <row r="2800" spans="1:16" x14ac:dyDescent="0.25">
      <c r="A2800">
        <v>2799</v>
      </c>
      <c r="B2800" s="2">
        <v>45859</v>
      </c>
      <c r="C2800" t="s">
        <v>16</v>
      </c>
      <c r="D2800" t="s">
        <v>24</v>
      </c>
      <c r="E2800" t="s">
        <v>29</v>
      </c>
      <c r="F2800" t="s">
        <v>53</v>
      </c>
      <c r="G2800" t="s">
        <v>71</v>
      </c>
      <c r="H2800" t="s">
        <v>74</v>
      </c>
      <c r="I2800">
        <v>6</v>
      </c>
      <c r="J2800">
        <v>7008</v>
      </c>
      <c r="K2800">
        <v>0.2</v>
      </c>
      <c r="L2800">
        <v>33638.400000000001</v>
      </c>
      <c r="M2800">
        <v>27384.34</v>
      </c>
      <c r="N2800">
        <v>6254.06</v>
      </c>
      <c r="O2800" t="s">
        <v>77</v>
      </c>
      <c r="P2800" t="s">
        <v>86</v>
      </c>
    </row>
    <row r="2801" spans="1:16" x14ac:dyDescent="0.25">
      <c r="A2801">
        <v>2800</v>
      </c>
      <c r="B2801" s="2">
        <v>45703</v>
      </c>
      <c r="C2801" t="s">
        <v>21</v>
      </c>
      <c r="D2801" t="s">
        <v>24</v>
      </c>
      <c r="E2801" t="s">
        <v>28</v>
      </c>
      <c r="F2801" t="s">
        <v>35</v>
      </c>
      <c r="G2801" t="s">
        <v>72</v>
      </c>
      <c r="H2801" t="s">
        <v>74</v>
      </c>
      <c r="I2801">
        <v>3</v>
      </c>
      <c r="J2801">
        <v>1505</v>
      </c>
      <c r="K2801">
        <v>0</v>
      </c>
      <c r="L2801">
        <v>4515</v>
      </c>
      <c r="M2801">
        <v>3642.37</v>
      </c>
      <c r="N2801">
        <v>872.63</v>
      </c>
      <c r="O2801" t="s">
        <v>79</v>
      </c>
      <c r="P2801" t="s">
        <v>84</v>
      </c>
    </row>
    <row r="2802" spans="1:16" x14ac:dyDescent="0.25">
      <c r="A2802">
        <v>2801</v>
      </c>
      <c r="B2802" s="2">
        <v>45952</v>
      </c>
      <c r="C2802" t="s">
        <v>19</v>
      </c>
      <c r="D2802" t="s">
        <v>26</v>
      </c>
      <c r="E2802" t="s">
        <v>29</v>
      </c>
      <c r="F2802" t="s">
        <v>36</v>
      </c>
      <c r="G2802" t="s">
        <v>70</v>
      </c>
      <c r="H2802" t="s">
        <v>75</v>
      </c>
      <c r="I2802">
        <v>7</v>
      </c>
      <c r="J2802">
        <v>3360</v>
      </c>
      <c r="K2802">
        <v>0.05</v>
      </c>
      <c r="L2802">
        <v>22344</v>
      </c>
      <c r="M2802">
        <v>16055.54</v>
      </c>
      <c r="N2802">
        <v>6288.46</v>
      </c>
      <c r="O2802" t="s">
        <v>77</v>
      </c>
      <c r="P2802" t="s">
        <v>86</v>
      </c>
    </row>
    <row r="2803" spans="1:16" x14ac:dyDescent="0.25">
      <c r="A2803">
        <v>2802</v>
      </c>
      <c r="B2803" s="2">
        <v>45847</v>
      </c>
      <c r="C2803" t="s">
        <v>20</v>
      </c>
      <c r="D2803" t="s">
        <v>26</v>
      </c>
      <c r="E2803" t="s">
        <v>32</v>
      </c>
      <c r="F2803" t="s">
        <v>48</v>
      </c>
      <c r="G2803" t="s">
        <v>72</v>
      </c>
      <c r="H2803" t="s">
        <v>73</v>
      </c>
      <c r="I2803">
        <v>6</v>
      </c>
      <c r="J2803">
        <v>11236</v>
      </c>
      <c r="K2803">
        <v>0.15</v>
      </c>
      <c r="L2803">
        <v>57303.6</v>
      </c>
      <c r="M2803">
        <v>34988.559999999998</v>
      </c>
      <c r="N2803">
        <v>22315.040000000001</v>
      </c>
      <c r="O2803" t="s">
        <v>80</v>
      </c>
      <c r="P2803" t="s">
        <v>84</v>
      </c>
    </row>
    <row r="2804" spans="1:16" x14ac:dyDescent="0.25">
      <c r="A2804">
        <v>2803</v>
      </c>
      <c r="B2804" s="2">
        <v>45840</v>
      </c>
      <c r="C2804" t="s">
        <v>19</v>
      </c>
      <c r="D2804" t="s">
        <v>26</v>
      </c>
      <c r="E2804" t="s">
        <v>33</v>
      </c>
      <c r="F2804" t="s">
        <v>41</v>
      </c>
      <c r="G2804" t="s">
        <v>72</v>
      </c>
      <c r="H2804" t="s">
        <v>73</v>
      </c>
      <c r="I2804">
        <v>3</v>
      </c>
      <c r="J2804">
        <v>29313</v>
      </c>
      <c r="K2804">
        <v>0</v>
      </c>
      <c r="L2804">
        <v>87939</v>
      </c>
      <c r="M2804">
        <v>64131.81</v>
      </c>
      <c r="N2804">
        <v>23807.19</v>
      </c>
      <c r="O2804" t="s">
        <v>80</v>
      </c>
      <c r="P2804" t="s">
        <v>85</v>
      </c>
    </row>
    <row r="2805" spans="1:16" x14ac:dyDescent="0.25">
      <c r="A2805">
        <v>2804</v>
      </c>
      <c r="B2805" s="2">
        <v>45852</v>
      </c>
      <c r="C2805" t="s">
        <v>18</v>
      </c>
      <c r="D2805" t="s">
        <v>26</v>
      </c>
      <c r="E2805" t="s">
        <v>30</v>
      </c>
      <c r="F2805" t="s">
        <v>40</v>
      </c>
      <c r="G2805" t="s">
        <v>71</v>
      </c>
      <c r="H2805" t="s">
        <v>74</v>
      </c>
      <c r="I2805">
        <v>6</v>
      </c>
      <c r="J2805">
        <v>28007</v>
      </c>
      <c r="K2805">
        <v>0</v>
      </c>
      <c r="L2805">
        <v>168042</v>
      </c>
      <c r="M2805">
        <v>137213.53</v>
      </c>
      <c r="N2805">
        <v>30828.47</v>
      </c>
      <c r="O2805" t="s">
        <v>79</v>
      </c>
      <c r="P2805" t="s">
        <v>84</v>
      </c>
    </row>
    <row r="2806" spans="1:16" x14ac:dyDescent="0.25">
      <c r="A2806">
        <v>2805</v>
      </c>
      <c r="B2806" s="2">
        <v>45878</v>
      </c>
      <c r="C2806" t="s">
        <v>20</v>
      </c>
      <c r="D2806" t="s">
        <v>26</v>
      </c>
      <c r="E2806" t="s">
        <v>33</v>
      </c>
      <c r="F2806" t="s">
        <v>46</v>
      </c>
      <c r="G2806" t="s">
        <v>70</v>
      </c>
      <c r="H2806" t="s">
        <v>74</v>
      </c>
      <c r="I2806">
        <v>1</v>
      </c>
      <c r="J2806">
        <v>48368</v>
      </c>
      <c r="K2806">
        <v>0.05</v>
      </c>
      <c r="L2806">
        <v>45949.599999999999</v>
      </c>
      <c r="M2806">
        <v>34467.93</v>
      </c>
      <c r="N2806">
        <v>11481.67</v>
      </c>
      <c r="O2806" t="s">
        <v>76</v>
      </c>
      <c r="P2806" t="s">
        <v>83</v>
      </c>
    </row>
    <row r="2807" spans="1:16" x14ac:dyDescent="0.25">
      <c r="A2807">
        <v>2806</v>
      </c>
      <c r="B2807" s="2">
        <v>45768</v>
      </c>
      <c r="C2807" t="s">
        <v>22</v>
      </c>
      <c r="D2807" t="s">
        <v>24</v>
      </c>
      <c r="E2807" t="s">
        <v>30</v>
      </c>
      <c r="F2807" t="s">
        <v>44</v>
      </c>
      <c r="G2807" t="s">
        <v>72</v>
      </c>
      <c r="H2807" t="s">
        <v>73</v>
      </c>
      <c r="I2807">
        <v>5</v>
      </c>
      <c r="J2807">
        <v>14208</v>
      </c>
      <c r="K2807">
        <v>0</v>
      </c>
      <c r="L2807">
        <v>71040</v>
      </c>
      <c r="M2807">
        <v>62322.7</v>
      </c>
      <c r="N2807">
        <v>8717.2999999999993</v>
      </c>
      <c r="O2807" t="s">
        <v>76</v>
      </c>
      <c r="P2807" t="s">
        <v>88</v>
      </c>
    </row>
    <row r="2808" spans="1:16" x14ac:dyDescent="0.25">
      <c r="A2808">
        <v>2807</v>
      </c>
      <c r="B2808" s="2">
        <v>45948</v>
      </c>
      <c r="C2808" t="s">
        <v>23</v>
      </c>
      <c r="D2808" t="s">
        <v>27</v>
      </c>
      <c r="E2808" t="s">
        <v>33</v>
      </c>
      <c r="F2808" t="s">
        <v>46</v>
      </c>
      <c r="G2808" t="s">
        <v>70</v>
      </c>
      <c r="H2808" t="s">
        <v>75</v>
      </c>
      <c r="I2808">
        <v>2</v>
      </c>
      <c r="J2808">
        <v>36907</v>
      </c>
      <c r="K2808">
        <v>0.1</v>
      </c>
      <c r="L2808">
        <v>66432.600000000006</v>
      </c>
      <c r="M2808">
        <v>43230.53</v>
      </c>
      <c r="N2808">
        <v>23202.07</v>
      </c>
      <c r="O2808" t="s">
        <v>76</v>
      </c>
      <c r="P2808" t="s">
        <v>85</v>
      </c>
    </row>
    <row r="2809" spans="1:16" x14ac:dyDescent="0.25">
      <c r="A2809">
        <v>2808</v>
      </c>
      <c r="B2809" s="2">
        <v>45814</v>
      </c>
      <c r="C2809" t="s">
        <v>18</v>
      </c>
      <c r="D2809" t="s">
        <v>26</v>
      </c>
      <c r="E2809" t="s">
        <v>31</v>
      </c>
      <c r="F2809" t="s">
        <v>69</v>
      </c>
      <c r="G2809" t="s">
        <v>71</v>
      </c>
      <c r="H2809" t="s">
        <v>75</v>
      </c>
      <c r="I2809">
        <v>3</v>
      </c>
      <c r="J2809">
        <v>505</v>
      </c>
      <c r="K2809">
        <v>0.1</v>
      </c>
      <c r="L2809">
        <v>1363.5</v>
      </c>
      <c r="M2809">
        <v>1076.51</v>
      </c>
      <c r="N2809">
        <v>286.99</v>
      </c>
      <c r="O2809" t="s">
        <v>76</v>
      </c>
      <c r="P2809" t="s">
        <v>81</v>
      </c>
    </row>
    <row r="2810" spans="1:16" x14ac:dyDescent="0.25">
      <c r="A2810">
        <v>2809</v>
      </c>
      <c r="B2810" s="2">
        <v>45975</v>
      </c>
      <c r="C2810" t="s">
        <v>20</v>
      </c>
      <c r="D2810" t="s">
        <v>26</v>
      </c>
      <c r="E2810" t="s">
        <v>29</v>
      </c>
      <c r="F2810" t="s">
        <v>45</v>
      </c>
      <c r="G2810" t="s">
        <v>71</v>
      </c>
      <c r="H2810" t="s">
        <v>74</v>
      </c>
      <c r="I2810">
        <v>1</v>
      </c>
      <c r="J2810">
        <v>11680</v>
      </c>
      <c r="K2810">
        <v>0.2</v>
      </c>
      <c r="L2810">
        <v>9344</v>
      </c>
      <c r="M2810">
        <v>5293.29</v>
      </c>
      <c r="N2810">
        <v>4050.71</v>
      </c>
      <c r="O2810" t="s">
        <v>78</v>
      </c>
      <c r="P2810" t="s">
        <v>84</v>
      </c>
    </row>
    <row r="2811" spans="1:16" x14ac:dyDescent="0.25">
      <c r="A2811">
        <v>2810</v>
      </c>
      <c r="B2811" s="2">
        <v>45902</v>
      </c>
      <c r="C2811" t="s">
        <v>17</v>
      </c>
      <c r="D2811" t="s">
        <v>25</v>
      </c>
      <c r="E2811" t="s">
        <v>33</v>
      </c>
      <c r="F2811" t="s">
        <v>46</v>
      </c>
      <c r="G2811" t="s">
        <v>72</v>
      </c>
      <c r="H2811" t="s">
        <v>73</v>
      </c>
      <c r="I2811">
        <v>1</v>
      </c>
      <c r="J2811">
        <v>16334</v>
      </c>
      <c r="K2811">
        <v>0.05</v>
      </c>
      <c r="L2811">
        <v>15517.3</v>
      </c>
      <c r="M2811">
        <v>10984.18</v>
      </c>
      <c r="N2811">
        <v>4533.12</v>
      </c>
      <c r="O2811" t="s">
        <v>76</v>
      </c>
      <c r="P2811" t="s">
        <v>85</v>
      </c>
    </row>
    <row r="2812" spans="1:16" x14ac:dyDescent="0.25">
      <c r="A2812">
        <v>2811</v>
      </c>
      <c r="B2812" s="2">
        <v>45682</v>
      </c>
      <c r="C2812" t="s">
        <v>16</v>
      </c>
      <c r="D2812" t="s">
        <v>24</v>
      </c>
      <c r="E2812" t="s">
        <v>30</v>
      </c>
      <c r="F2812" t="s">
        <v>56</v>
      </c>
      <c r="G2812" t="s">
        <v>70</v>
      </c>
      <c r="H2812" t="s">
        <v>73</v>
      </c>
      <c r="I2812">
        <v>8</v>
      </c>
      <c r="J2812">
        <v>43395</v>
      </c>
      <c r="K2812">
        <v>0</v>
      </c>
      <c r="L2812">
        <v>347160</v>
      </c>
      <c r="M2812">
        <v>239482.18</v>
      </c>
      <c r="N2812">
        <v>107677.82</v>
      </c>
      <c r="O2812" t="s">
        <v>80</v>
      </c>
      <c r="P2812" t="s">
        <v>86</v>
      </c>
    </row>
    <row r="2813" spans="1:16" x14ac:dyDescent="0.25">
      <c r="A2813">
        <v>2812</v>
      </c>
      <c r="B2813" s="2">
        <v>45722</v>
      </c>
      <c r="C2813" t="s">
        <v>22</v>
      </c>
      <c r="D2813" t="s">
        <v>24</v>
      </c>
      <c r="E2813" t="s">
        <v>30</v>
      </c>
      <c r="F2813" t="s">
        <v>56</v>
      </c>
      <c r="G2813" t="s">
        <v>72</v>
      </c>
      <c r="H2813" t="s">
        <v>75</v>
      </c>
      <c r="I2813">
        <v>8</v>
      </c>
      <c r="J2813">
        <v>67259</v>
      </c>
      <c r="K2813">
        <v>0.05</v>
      </c>
      <c r="L2813">
        <v>511168.4</v>
      </c>
      <c r="M2813">
        <v>435660.55</v>
      </c>
      <c r="N2813">
        <v>75507.850000000006</v>
      </c>
      <c r="O2813" t="s">
        <v>76</v>
      </c>
      <c r="P2813" t="s">
        <v>84</v>
      </c>
    </row>
    <row r="2814" spans="1:16" x14ac:dyDescent="0.25">
      <c r="A2814">
        <v>2813</v>
      </c>
      <c r="B2814" s="2">
        <v>46007</v>
      </c>
      <c r="C2814" t="s">
        <v>17</v>
      </c>
      <c r="D2814" t="s">
        <v>25</v>
      </c>
      <c r="E2814" t="s">
        <v>34</v>
      </c>
      <c r="F2814" t="s">
        <v>65</v>
      </c>
      <c r="G2814" t="s">
        <v>72</v>
      </c>
      <c r="H2814" t="s">
        <v>74</v>
      </c>
      <c r="I2814">
        <v>1</v>
      </c>
      <c r="J2814">
        <v>2514</v>
      </c>
      <c r="K2814">
        <v>0</v>
      </c>
      <c r="L2814">
        <v>2514</v>
      </c>
      <c r="M2814">
        <v>2173.58</v>
      </c>
      <c r="N2814">
        <v>340.42</v>
      </c>
      <c r="O2814" t="s">
        <v>76</v>
      </c>
      <c r="P2814" t="s">
        <v>87</v>
      </c>
    </row>
    <row r="2815" spans="1:16" x14ac:dyDescent="0.25">
      <c r="A2815">
        <v>2814</v>
      </c>
      <c r="B2815" s="2">
        <v>45775</v>
      </c>
      <c r="C2815" t="s">
        <v>21</v>
      </c>
      <c r="D2815" t="s">
        <v>24</v>
      </c>
      <c r="E2815" t="s">
        <v>33</v>
      </c>
      <c r="F2815" t="s">
        <v>46</v>
      </c>
      <c r="G2815" t="s">
        <v>72</v>
      </c>
      <c r="H2815" t="s">
        <v>74</v>
      </c>
      <c r="I2815">
        <v>1</v>
      </c>
      <c r="J2815">
        <v>40343</v>
      </c>
      <c r="K2815">
        <v>0.1</v>
      </c>
      <c r="L2815">
        <v>36308.699999999997</v>
      </c>
      <c r="M2815">
        <v>25934.94</v>
      </c>
      <c r="N2815">
        <v>10373.76</v>
      </c>
      <c r="O2815" t="s">
        <v>78</v>
      </c>
      <c r="P2815" t="s">
        <v>81</v>
      </c>
    </row>
    <row r="2816" spans="1:16" x14ac:dyDescent="0.25">
      <c r="A2816">
        <v>2815</v>
      </c>
      <c r="B2816" s="2">
        <v>45933</v>
      </c>
      <c r="C2816" t="s">
        <v>18</v>
      </c>
      <c r="D2816" t="s">
        <v>26</v>
      </c>
      <c r="E2816" t="s">
        <v>34</v>
      </c>
      <c r="F2816" t="s">
        <v>43</v>
      </c>
      <c r="G2816" t="s">
        <v>71</v>
      </c>
      <c r="H2816" t="s">
        <v>73</v>
      </c>
      <c r="I2816">
        <v>7</v>
      </c>
      <c r="J2816">
        <v>1385</v>
      </c>
      <c r="K2816">
        <v>0</v>
      </c>
      <c r="L2816">
        <v>9695</v>
      </c>
      <c r="M2816">
        <v>6675.88</v>
      </c>
      <c r="N2816">
        <v>3019.12</v>
      </c>
      <c r="O2816" t="s">
        <v>80</v>
      </c>
      <c r="P2816" t="s">
        <v>84</v>
      </c>
    </row>
    <row r="2817" spans="1:16" x14ac:dyDescent="0.25">
      <c r="A2817">
        <v>2816</v>
      </c>
      <c r="B2817" s="2">
        <v>46002</v>
      </c>
      <c r="C2817" t="s">
        <v>20</v>
      </c>
      <c r="D2817" t="s">
        <v>26</v>
      </c>
      <c r="E2817" t="s">
        <v>32</v>
      </c>
      <c r="F2817" t="s">
        <v>66</v>
      </c>
      <c r="G2817" t="s">
        <v>71</v>
      </c>
      <c r="H2817" t="s">
        <v>73</v>
      </c>
      <c r="I2817">
        <v>2</v>
      </c>
      <c r="J2817">
        <v>20366</v>
      </c>
      <c r="K2817">
        <v>0.1</v>
      </c>
      <c r="L2817">
        <v>36658.800000000003</v>
      </c>
      <c r="M2817">
        <v>21241.5</v>
      </c>
      <c r="N2817">
        <v>15417.3</v>
      </c>
      <c r="O2817" t="s">
        <v>77</v>
      </c>
      <c r="P2817" t="s">
        <v>86</v>
      </c>
    </row>
    <row r="2818" spans="1:16" x14ac:dyDescent="0.25">
      <c r="A2818">
        <v>2817</v>
      </c>
      <c r="B2818" s="2">
        <v>45711</v>
      </c>
      <c r="C2818" t="s">
        <v>20</v>
      </c>
      <c r="D2818" t="s">
        <v>26</v>
      </c>
      <c r="E2818" t="s">
        <v>33</v>
      </c>
      <c r="F2818" t="s">
        <v>60</v>
      </c>
      <c r="G2818" t="s">
        <v>70</v>
      </c>
      <c r="H2818" t="s">
        <v>73</v>
      </c>
      <c r="I2818">
        <v>1</v>
      </c>
      <c r="J2818">
        <v>2793</v>
      </c>
      <c r="K2818">
        <v>0</v>
      </c>
      <c r="L2818">
        <v>2793</v>
      </c>
      <c r="M2818">
        <v>2150.79</v>
      </c>
      <c r="N2818">
        <v>642.21</v>
      </c>
      <c r="O2818" t="s">
        <v>77</v>
      </c>
      <c r="P2818" t="s">
        <v>81</v>
      </c>
    </row>
    <row r="2819" spans="1:16" x14ac:dyDescent="0.25">
      <c r="A2819">
        <v>2818</v>
      </c>
      <c r="B2819" s="2">
        <v>45965</v>
      </c>
      <c r="C2819" t="s">
        <v>20</v>
      </c>
      <c r="D2819" t="s">
        <v>26</v>
      </c>
      <c r="E2819" t="s">
        <v>32</v>
      </c>
      <c r="F2819" t="s">
        <v>66</v>
      </c>
      <c r="G2819" t="s">
        <v>72</v>
      </c>
      <c r="H2819" t="s">
        <v>75</v>
      </c>
      <c r="I2819">
        <v>7</v>
      </c>
      <c r="J2819">
        <v>11703</v>
      </c>
      <c r="K2819">
        <v>0.1</v>
      </c>
      <c r="L2819">
        <v>73728.899999999994</v>
      </c>
      <c r="M2819">
        <v>60520.160000000003</v>
      </c>
      <c r="N2819">
        <v>13208.74</v>
      </c>
      <c r="O2819" t="s">
        <v>79</v>
      </c>
      <c r="P2819" t="s">
        <v>87</v>
      </c>
    </row>
    <row r="2820" spans="1:16" x14ac:dyDescent="0.25">
      <c r="A2820">
        <v>2819</v>
      </c>
      <c r="B2820" s="2">
        <v>45681</v>
      </c>
      <c r="C2820" t="s">
        <v>23</v>
      </c>
      <c r="D2820" t="s">
        <v>27</v>
      </c>
      <c r="E2820" t="s">
        <v>33</v>
      </c>
      <c r="F2820" t="s">
        <v>60</v>
      </c>
      <c r="G2820" t="s">
        <v>72</v>
      </c>
      <c r="H2820" t="s">
        <v>73</v>
      </c>
      <c r="I2820">
        <v>5</v>
      </c>
      <c r="J2820">
        <v>13232</v>
      </c>
      <c r="K2820">
        <v>0.15</v>
      </c>
      <c r="L2820">
        <v>56236</v>
      </c>
      <c r="M2820">
        <v>48203.6</v>
      </c>
      <c r="N2820">
        <v>8032.4</v>
      </c>
      <c r="O2820" t="s">
        <v>76</v>
      </c>
      <c r="P2820" t="s">
        <v>81</v>
      </c>
    </row>
    <row r="2821" spans="1:16" x14ac:dyDescent="0.25">
      <c r="A2821">
        <v>2820</v>
      </c>
      <c r="B2821" s="2">
        <v>45670</v>
      </c>
      <c r="C2821" t="s">
        <v>23</v>
      </c>
      <c r="D2821" t="s">
        <v>27</v>
      </c>
      <c r="E2821" t="s">
        <v>29</v>
      </c>
      <c r="F2821" t="s">
        <v>45</v>
      </c>
      <c r="G2821" t="s">
        <v>70</v>
      </c>
      <c r="H2821" t="s">
        <v>75</v>
      </c>
      <c r="I2821">
        <v>4</v>
      </c>
      <c r="J2821">
        <v>9051</v>
      </c>
      <c r="K2821">
        <v>0.1</v>
      </c>
      <c r="L2821">
        <v>32583.599999999999</v>
      </c>
      <c r="M2821">
        <v>22486.240000000002</v>
      </c>
      <c r="N2821">
        <v>10097.36</v>
      </c>
      <c r="O2821" t="s">
        <v>78</v>
      </c>
      <c r="P2821" t="s">
        <v>86</v>
      </c>
    </row>
    <row r="2822" spans="1:16" x14ac:dyDescent="0.25">
      <c r="A2822">
        <v>2821</v>
      </c>
      <c r="B2822" s="2">
        <v>45825</v>
      </c>
      <c r="C2822" t="s">
        <v>23</v>
      </c>
      <c r="D2822" t="s">
        <v>27</v>
      </c>
      <c r="E2822" t="s">
        <v>28</v>
      </c>
      <c r="F2822" t="s">
        <v>58</v>
      </c>
      <c r="G2822" t="s">
        <v>72</v>
      </c>
      <c r="H2822" t="s">
        <v>73</v>
      </c>
      <c r="I2822">
        <v>2</v>
      </c>
      <c r="J2822">
        <v>2440</v>
      </c>
      <c r="K2822">
        <v>0</v>
      </c>
      <c r="L2822">
        <v>4880</v>
      </c>
      <c r="M2822">
        <v>4281.53</v>
      </c>
      <c r="N2822">
        <v>598.47</v>
      </c>
      <c r="O2822" t="s">
        <v>80</v>
      </c>
      <c r="P2822" t="s">
        <v>81</v>
      </c>
    </row>
    <row r="2823" spans="1:16" x14ac:dyDescent="0.25">
      <c r="A2823">
        <v>2822</v>
      </c>
      <c r="B2823" s="2">
        <v>45985</v>
      </c>
      <c r="C2823" t="s">
        <v>20</v>
      </c>
      <c r="D2823" t="s">
        <v>26</v>
      </c>
      <c r="E2823" t="s">
        <v>32</v>
      </c>
      <c r="F2823" t="s">
        <v>48</v>
      </c>
      <c r="G2823" t="s">
        <v>70</v>
      </c>
      <c r="H2823" t="s">
        <v>73</v>
      </c>
      <c r="I2823">
        <v>2</v>
      </c>
      <c r="J2823">
        <v>17204</v>
      </c>
      <c r="K2823">
        <v>0.1</v>
      </c>
      <c r="L2823">
        <v>30967.200000000001</v>
      </c>
      <c r="M2823">
        <v>23722.799999999999</v>
      </c>
      <c r="N2823">
        <v>7244.4</v>
      </c>
      <c r="O2823" t="s">
        <v>79</v>
      </c>
      <c r="P2823" t="s">
        <v>82</v>
      </c>
    </row>
    <row r="2824" spans="1:16" x14ac:dyDescent="0.25">
      <c r="A2824">
        <v>2823</v>
      </c>
      <c r="B2824" s="2">
        <v>45937</v>
      </c>
      <c r="C2824" t="s">
        <v>18</v>
      </c>
      <c r="D2824" t="s">
        <v>26</v>
      </c>
      <c r="E2824" t="s">
        <v>30</v>
      </c>
      <c r="F2824" t="s">
        <v>37</v>
      </c>
      <c r="G2824" t="s">
        <v>70</v>
      </c>
      <c r="H2824" t="s">
        <v>74</v>
      </c>
      <c r="I2824">
        <v>3</v>
      </c>
      <c r="J2824">
        <v>37333</v>
      </c>
      <c r="K2824">
        <v>0.05</v>
      </c>
      <c r="L2824">
        <v>106399.05</v>
      </c>
      <c r="M2824">
        <v>68565.899999999994</v>
      </c>
      <c r="N2824">
        <v>37833.15</v>
      </c>
      <c r="O2824" t="s">
        <v>79</v>
      </c>
      <c r="P2824" t="s">
        <v>88</v>
      </c>
    </row>
    <row r="2825" spans="1:16" x14ac:dyDescent="0.25">
      <c r="A2825">
        <v>2824</v>
      </c>
      <c r="B2825" s="2">
        <v>45817</v>
      </c>
      <c r="C2825" t="s">
        <v>19</v>
      </c>
      <c r="D2825" t="s">
        <v>26</v>
      </c>
      <c r="E2825" t="s">
        <v>30</v>
      </c>
      <c r="F2825" t="s">
        <v>44</v>
      </c>
      <c r="G2825" t="s">
        <v>70</v>
      </c>
      <c r="H2825" t="s">
        <v>73</v>
      </c>
      <c r="I2825">
        <v>1</v>
      </c>
      <c r="J2825">
        <v>6978</v>
      </c>
      <c r="K2825">
        <v>0.05</v>
      </c>
      <c r="L2825">
        <v>6629.1</v>
      </c>
      <c r="M2825">
        <v>3901.15</v>
      </c>
      <c r="N2825">
        <v>2727.95</v>
      </c>
      <c r="O2825" t="s">
        <v>77</v>
      </c>
      <c r="P2825" t="s">
        <v>85</v>
      </c>
    </row>
    <row r="2826" spans="1:16" x14ac:dyDescent="0.25">
      <c r="A2826">
        <v>2825</v>
      </c>
      <c r="B2826" s="2">
        <v>45870</v>
      </c>
      <c r="C2826" t="s">
        <v>18</v>
      </c>
      <c r="D2826" t="s">
        <v>26</v>
      </c>
      <c r="E2826" t="s">
        <v>32</v>
      </c>
      <c r="F2826" t="s">
        <v>62</v>
      </c>
      <c r="G2826" t="s">
        <v>72</v>
      </c>
      <c r="H2826" t="s">
        <v>75</v>
      </c>
      <c r="I2826">
        <v>7</v>
      </c>
      <c r="J2826">
        <v>22733</v>
      </c>
      <c r="K2826">
        <v>0.1</v>
      </c>
      <c r="L2826">
        <v>143217.9</v>
      </c>
      <c r="M2826">
        <v>110757.21</v>
      </c>
      <c r="N2826">
        <v>32460.69</v>
      </c>
      <c r="O2826" t="s">
        <v>78</v>
      </c>
      <c r="P2826" t="s">
        <v>88</v>
      </c>
    </row>
    <row r="2827" spans="1:16" x14ac:dyDescent="0.25">
      <c r="A2827">
        <v>2826</v>
      </c>
      <c r="B2827" s="2">
        <v>45837</v>
      </c>
      <c r="C2827" t="s">
        <v>18</v>
      </c>
      <c r="D2827" t="s">
        <v>26</v>
      </c>
      <c r="E2827" t="s">
        <v>31</v>
      </c>
      <c r="F2827" t="s">
        <v>67</v>
      </c>
      <c r="G2827" t="s">
        <v>71</v>
      </c>
      <c r="H2827" t="s">
        <v>74</v>
      </c>
      <c r="I2827">
        <v>1</v>
      </c>
      <c r="J2827">
        <v>2422</v>
      </c>
      <c r="K2827">
        <v>0.1</v>
      </c>
      <c r="L2827">
        <v>2179.8000000000002</v>
      </c>
      <c r="M2827">
        <v>1425.65</v>
      </c>
      <c r="N2827">
        <v>754.15</v>
      </c>
      <c r="O2827" t="s">
        <v>76</v>
      </c>
      <c r="P2827" t="s">
        <v>87</v>
      </c>
    </row>
    <row r="2828" spans="1:16" x14ac:dyDescent="0.25">
      <c r="A2828">
        <v>2827</v>
      </c>
      <c r="B2828" s="2">
        <v>45821</v>
      </c>
      <c r="C2828" t="s">
        <v>18</v>
      </c>
      <c r="D2828" t="s">
        <v>26</v>
      </c>
      <c r="E2828" t="s">
        <v>28</v>
      </c>
      <c r="F2828" t="s">
        <v>35</v>
      </c>
      <c r="G2828" t="s">
        <v>72</v>
      </c>
      <c r="H2828" t="s">
        <v>75</v>
      </c>
      <c r="I2828">
        <v>3</v>
      </c>
      <c r="J2828">
        <v>1870</v>
      </c>
      <c r="K2828">
        <v>0.05</v>
      </c>
      <c r="L2828">
        <v>5329.5</v>
      </c>
      <c r="M2828">
        <v>3833.77</v>
      </c>
      <c r="N2828">
        <v>1495.73</v>
      </c>
      <c r="O2828" t="s">
        <v>77</v>
      </c>
      <c r="P2828" t="s">
        <v>85</v>
      </c>
    </row>
    <row r="2829" spans="1:16" x14ac:dyDescent="0.25">
      <c r="A2829">
        <v>2828</v>
      </c>
      <c r="B2829" s="2">
        <v>45847</v>
      </c>
      <c r="C2829" t="s">
        <v>19</v>
      </c>
      <c r="D2829" t="s">
        <v>26</v>
      </c>
      <c r="E2829" t="s">
        <v>31</v>
      </c>
      <c r="F2829" t="s">
        <v>67</v>
      </c>
      <c r="G2829" t="s">
        <v>72</v>
      </c>
      <c r="H2829" t="s">
        <v>75</v>
      </c>
      <c r="I2829">
        <v>8</v>
      </c>
      <c r="J2829">
        <v>1856</v>
      </c>
      <c r="K2829">
        <v>0.1</v>
      </c>
      <c r="L2829">
        <v>13363.2</v>
      </c>
      <c r="M2829">
        <v>7955.53</v>
      </c>
      <c r="N2829">
        <v>5407.67</v>
      </c>
      <c r="O2829" t="s">
        <v>80</v>
      </c>
      <c r="P2829" t="s">
        <v>85</v>
      </c>
    </row>
    <row r="2830" spans="1:16" x14ac:dyDescent="0.25">
      <c r="A2830">
        <v>2829</v>
      </c>
      <c r="B2830" s="2">
        <v>45785</v>
      </c>
      <c r="C2830" t="s">
        <v>23</v>
      </c>
      <c r="D2830" t="s">
        <v>27</v>
      </c>
      <c r="E2830" t="s">
        <v>33</v>
      </c>
      <c r="F2830" t="s">
        <v>46</v>
      </c>
      <c r="G2830" t="s">
        <v>71</v>
      </c>
      <c r="H2830" t="s">
        <v>74</v>
      </c>
      <c r="I2830">
        <v>5</v>
      </c>
      <c r="J2830">
        <v>28098</v>
      </c>
      <c r="K2830">
        <v>0</v>
      </c>
      <c r="L2830">
        <v>140490</v>
      </c>
      <c r="M2830">
        <v>92032.97</v>
      </c>
      <c r="N2830">
        <v>48457.03</v>
      </c>
      <c r="O2830" t="s">
        <v>80</v>
      </c>
      <c r="P2830" t="s">
        <v>85</v>
      </c>
    </row>
    <row r="2831" spans="1:16" x14ac:dyDescent="0.25">
      <c r="A2831">
        <v>2830</v>
      </c>
      <c r="B2831" s="2">
        <v>45712</v>
      </c>
      <c r="C2831" t="s">
        <v>23</v>
      </c>
      <c r="D2831" t="s">
        <v>27</v>
      </c>
      <c r="E2831" t="s">
        <v>34</v>
      </c>
      <c r="F2831" t="s">
        <v>43</v>
      </c>
      <c r="G2831" t="s">
        <v>70</v>
      </c>
      <c r="H2831" t="s">
        <v>73</v>
      </c>
      <c r="I2831">
        <v>4</v>
      </c>
      <c r="J2831">
        <v>649</v>
      </c>
      <c r="K2831">
        <v>0.2</v>
      </c>
      <c r="L2831">
        <v>2076.8000000000002</v>
      </c>
      <c r="M2831">
        <v>1634.88</v>
      </c>
      <c r="N2831">
        <v>441.92</v>
      </c>
      <c r="O2831" t="s">
        <v>77</v>
      </c>
      <c r="P2831" t="s">
        <v>85</v>
      </c>
    </row>
    <row r="2832" spans="1:16" x14ac:dyDescent="0.25">
      <c r="A2832">
        <v>2831</v>
      </c>
      <c r="B2832" s="2">
        <v>45866</v>
      </c>
      <c r="C2832" t="s">
        <v>20</v>
      </c>
      <c r="D2832" t="s">
        <v>26</v>
      </c>
      <c r="E2832" t="s">
        <v>32</v>
      </c>
      <c r="F2832" t="s">
        <v>39</v>
      </c>
      <c r="G2832" t="s">
        <v>70</v>
      </c>
      <c r="H2832" t="s">
        <v>75</v>
      </c>
      <c r="I2832">
        <v>1</v>
      </c>
      <c r="J2832">
        <v>19190</v>
      </c>
      <c r="K2832">
        <v>0.1</v>
      </c>
      <c r="L2832">
        <v>17271</v>
      </c>
      <c r="M2832">
        <v>12449.96</v>
      </c>
      <c r="N2832">
        <v>4821.04</v>
      </c>
      <c r="O2832" t="s">
        <v>76</v>
      </c>
      <c r="P2832" t="s">
        <v>85</v>
      </c>
    </row>
    <row r="2833" spans="1:16" x14ac:dyDescent="0.25">
      <c r="A2833">
        <v>2832</v>
      </c>
      <c r="B2833" s="2">
        <v>45949</v>
      </c>
      <c r="C2833" t="s">
        <v>20</v>
      </c>
      <c r="D2833" t="s">
        <v>26</v>
      </c>
      <c r="E2833" t="s">
        <v>30</v>
      </c>
      <c r="F2833" t="s">
        <v>40</v>
      </c>
      <c r="G2833" t="s">
        <v>70</v>
      </c>
      <c r="H2833" t="s">
        <v>73</v>
      </c>
      <c r="I2833">
        <v>2</v>
      </c>
      <c r="J2833">
        <v>33428</v>
      </c>
      <c r="K2833">
        <v>0</v>
      </c>
      <c r="L2833">
        <v>66856</v>
      </c>
      <c r="M2833">
        <v>53382.89</v>
      </c>
      <c r="N2833">
        <v>13473.11</v>
      </c>
      <c r="O2833" t="s">
        <v>79</v>
      </c>
      <c r="P2833" t="s">
        <v>84</v>
      </c>
    </row>
    <row r="2834" spans="1:16" x14ac:dyDescent="0.25">
      <c r="A2834">
        <v>2833</v>
      </c>
      <c r="B2834" s="2">
        <v>45687</v>
      </c>
      <c r="C2834" t="s">
        <v>22</v>
      </c>
      <c r="D2834" t="s">
        <v>24</v>
      </c>
      <c r="E2834" t="s">
        <v>28</v>
      </c>
      <c r="F2834" t="s">
        <v>63</v>
      </c>
      <c r="G2834" t="s">
        <v>72</v>
      </c>
      <c r="H2834" t="s">
        <v>73</v>
      </c>
      <c r="I2834">
        <v>3</v>
      </c>
      <c r="J2834">
        <v>1962</v>
      </c>
      <c r="K2834">
        <v>0.1</v>
      </c>
      <c r="L2834">
        <v>5297.4</v>
      </c>
      <c r="M2834">
        <v>4479.76</v>
      </c>
      <c r="N2834">
        <v>817.64</v>
      </c>
      <c r="O2834" t="s">
        <v>78</v>
      </c>
      <c r="P2834" t="s">
        <v>88</v>
      </c>
    </row>
    <row r="2835" spans="1:16" x14ac:dyDescent="0.25">
      <c r="A2835">
        <v>2834</v>
      </c>
      <c r="B2835" s="2">
        <v>45776</v>
      </c>
      <c r="C2835" t="s">
        <v>21</v>
      </c>
      <c r="D2835" t="s">
        <v>24</v>
      </c>
      <c r="E2835" t="s">
        <v>30</v>
      </c>
      <c r="F2835" t="s">
        <v>64</v>
      </c>
      <c r="G2835" t="s">
        <v>70</v>
      </c>
      <c r="H2835" t="s">
        <v>74</v>
      </c>
      <c r="I2835">
        <v>1</v>
      </c>
      <c r="J2835">
        <v>42376</v>
      </c>
      <c r="K2835">
        <v>0</v>
      </c>
      <c r="L2835">
        <v>42376</v>
      </c>
      <c r="M2835">
        <v>27294.78</v>
      </c>
      <c r="N2835">
        <v>15081.22</v>
      </c>
      <c r="O2835" t="s">
        <v>77</v>
      </c>
      <c r="P2835" t="s">
        <v>88</v>
      </c>
    </row>
    <row r="2836" spans="1:16" x14ac:dyDescent="0.25">
      <c r="A2836">
        <v>2835</v>
      </c>
      <c r="B2836" s="2">
        <v>45700</v>
      </c>
      <c r="C2836" t="s">
        <v>17</v>
      </c>
      <c r="D2836" t="s">
        <v>25</v>
      </c>
      <c r="E2836" t="s">
        <v>28</v>
      </c>
      <c r="F2836" t="s">
        <v>63</v>
      </c>
      <c r="G2836" t="s">
        <v>71</v>
      </c>
      <c r="H2836" t="s">
        <v>75</v>
      </c>
      <c r="I2836">
        <v>8</v>
      </c>
      <c r="J2836">
        <v>1475</v>
      </c>
      <c r="K2836">
        <v>0.15</v>
      </c>
      <c r="L2836">
        <v>10030</v>
      </c>
      <c r="M2836">
        <v>8218.75</v>
      </c>
      <c r="N2836">
        <v>1811.25</v>
      </c>
      <c r="O2836" t="s">
        <v>79</v>
      </c>
      <c r="P2836" t="s">
        <v>83</v>
      </c>
    </row>
    <row r="2837" spans="1:16" x14ac:dyDescent="0.25">
      <c r="A2837">
        <v>2836</v>
      </c>
      <c r="B2837" s="2">
        <v>45821</v>
      </c>
      <c r="C2837" t="s">
        <v>19</v>
      </c>
      <c r="D2837" t="s">
        <v>26</v>
      </c>
      <c r="E2837" t="s">
        <v>34</v>
      </c>
      <c r="F2837" t="s">
        <v>51</v>
      </c>
      <c r="G2837" t="s">
        <v>71</v>
      </c>
      <c r="H2837" t="s">
        <v>75</v>
      </c>
      <c r="I2837">
        <v>6</v>
      </c>
      <c r="J2837">
        <v>4955</v>
      </c>
      <c r="K2837">
        <v>0</v>
      </c>
      <c r="L2837">
        <v>29730</v>
      </c>
      <c r="M2837">
        <v>17991.2</v>
      </c>
      <c r="N2837">
        <v>11738.8</v>
      </c>
      <c r="O2837" t="s">
        <v>79</v>
      </c>
      <c r="P2837" t="s">
        <v>88</v>
      </c>
    </row>
    <row r="2838" spans="1:16" x14ac:dyDescent="0.25">
      <c r="A2838">
        <v>2837</v>
      </c>
      <c r="B2838" s="2">
        <v>45706</v>
      </c>
      <c r="C2838" t="s">
        <v>18</v>
      </c>
      <c r="D2838" t="s">
        <v>26</v>
      </c>
      <c r="E2838" t="s">
        <v>34</v>
      </c>
      <c r="F2838" t="s">
        <v>55</v>
      </c>
      <c r="G2838" t="s">
        <v>71</v>
      </c>
      <c r="H2838" t="s">
        <v>74</v>
      </c>
      <c r="I2838">
        <v>7</v>
      </c>
      <c r="J2838">
        <v>5831</v>
      </c>
      <c r="K2838">
        <v>0.15</v>
      </c>
      <c r="L2838">
        <v>34694.449999999997</v>
      </c>
      <c r="M2838">
        <v>28196.93</v>
      </c>
      <c r="N2838">
        <v>6497.52</v>
      </c>
      <c r="O2838" t="s">
        <v>80</v>
      </c>
      <c r="P2838" t="s">
        <v>84</v>
      </c>
    </row>
    <row r="2839" spans="1:16" x14ac:dyDescent="0.25">
      <c r="A2839">
        <v>2838</v>
      </c>
      <c r="B2839" s="2">
        <v>45972</v>
      </c>
      <c r="C2839" t="s">
        <v>17</v>
      </c>
      <c r="D2839" t="s">
        <v>25</v>
      </c>
      <c r="E2839" t="s">
        <v>31</v>
      </c>
      <c r="F2839" t="s">
        <v>69</v>
      </c>
      <c r="G2839" t="s">
        <v>71</v>
      </c>
      <c r="H2839" t="s">
        <v>74</v>
      </c>
      <c r="I2839">
        <v>4</v>
      </c>
      <c r="J2839">
        <v>1371</v>
      </c>
      <c r="K2839">
        <v>0.1</v>
      </c>
      <c r="L2839">
        <v>4935.6000000000004</v>
      </c>
      <c r="M2839">
        <v>3454.22</v>
      </c>
      <c r="N2839">
        <v>1481.38</v>
      </c>
      <c r="O2839" t="s">
        <v>77</v>
      </c>
      <c r="P2839" t="s">
        <v>82</v>
      </c>
    </row>
    <row r="2840" spans="1:16" x14ac:dyDescent="0.25">
      <c r="A2840">
        <v>2839</v>
      </c>
      <c r="B2840" s="2">
        <v>45995</v>
      </c>
      <c r="C2840" t="s">
        <v>22</v>
      </c>
      <c r="D2840" t="s">
        <v>24</v>
      </c>
      <c r="E2840" t="s">
        <v>34</v>
      </c>
      <c r="F2840" t="s">
        <v>55</v>
      </c>
      <c r="G2840" t="s">
        <v>71</v>
      </c>
      <c r="H2840" t="s">
        <v>74</v>
      </c>
      <c r="I2840">
        <v>4</v>
      </c>
      <c r="J2840">
        <v>525</v>
      </c>
      <c r="K2840">
        <v>0.05</v>
      </c>
      <c r="L2840">
        <v>1995</v>
      </c>
      <c r="M2840">
        <v>1526.85</v>
      </c>
      <c r="N2840">
        <v>468.15</v>
      </c>
      <c r="O2840" t="s">
        <v>79</v>
      </c>
      <c r="P2840" t="s">
        <v>84</v>
      </c>
    </row>
    <row r="2841" spans="1:16" x14ac:dyDescent="0.25">
      <c r="A2841">
        <v>2840</v>
      </c>
      <c r="B2841" s="2">
        <v>45894</v>
      </c>
      <c r="C2841" t="s">
        <v>20</v>
      </c>
      <c r="D2841" t="s">
        <v>26</v>
      </c>
      <c r="E2841" t="s">
        <v>30</v>
      </c>
      <c r="F2841" t="s">
        <v>40</v>
      </c>
      <c r="G2841" t="s">
        <v>72</v>
      </c>
      <c r="H2841" t="s">
        <v>73</v>
      </c>
      <c r="I2841">
        <v>4</v>
      </c>
      <c r="J2841">
        <v>64591</v>
      </c>
      <c r="K2841">
        <v>0.1</v>
      </c>
      <c r="L2841">
        <v>232527.6</v>
      </c>
      <c r="M2841">
        <v>190297.03</v>
      </c>
      <c r="N2841">
        <v>42230.57</v>
      </c>
      <c r="O2841" t="s">
        <v>78</v>
      </c>
      <c r="P2841" t="s">
        <v>84</v>
      </c>
    </row>
    <row r="2842" spans="1:16" x14ac:dyDescent="0.25">
      <c r="A2842">
        <v>2841</v>
      </c>
      <c r="B2842" s="2">
        <v>45908</v>
      </c>
      <c r="C2842" t="s">
        <v>18</v>
      </c>
      <c r="D2842" t="s">
        <v>26</v>
      </c>
      <c r="E2842" t="s">
        <v>34</v>
      </c>
      <c r="F2842" t="s">
        <v>43</v>
      </c>
      <c r="G2842" t="s">
        <v>71</v>
      </c>
      <c r="H2842" t="s">
        <v>74</v>
      </c>
      <c r="I2842">
        <v>2</v>
      </c>
      <c r="J2842">
        <v>2749</v>
      </c>
      <c r="K2842">
        <v>0.1</v>
      </c>
      <c r="L2842">
        <v>4948.2</v>
      </c>
      <c r="M2842">
        <v>3890.18</v>
      </c>
      <c r="N2842">
        <v>1058.02</v>
      </c>
      <c r="O2842" t="s">
        <v>76</v>
      </c>
      <c r="P2842" t="s">
        <v>88</v>
      </c>
    </row>
    <row r="2843" spans="1:16" x14ac:dyDescent="0.25">
      <c r="A2843">
        <v>2842</v>
      </c>
      <c r="B2843" s="2">
        <v>45991</v>
      </c>
      <c r="C2843" t="s">
        <v>17</v>
      </c>
      <c r="D2843" t="s">
        <v>25</v>
      </c>
      <c r="E2843" t="s">
        <v>28</v>
      </c>
      <c r="F2843" t="s">
        <v>58</v>
      </c>
      <c r="G2843" t="s">
        <v>70</v>
      </c>
      <c r="H2843" t="s">
        <v>73</v>
      </c>
      <c r="I2843">
        <v>7</v>
      </c>
      <c r="J2843">
        <v>2101</v>
      </c>
      <c r="K2843">
        <v>0.1</v>
      </c>
      <c r="L2843">
        <v>13236.3</v>
      </c>
      <c r="M2843">
        <v>11536.51</v>
      </c>
      <c r="N2843">
        <v>1699.79</v>
      </c>
      <c r="O2843" t="s">
        <v>79</v>
      </c>
      <c r="P2843" t="s">
        <v>88</v>
      </c>
    </row>
    <row r="2844" spans="1:16" x14ac:dyDescent="0.25">
      <c r="A2844">
        <v>2843</v>
      </c>
      <c r="B2844" s="2">
        <v>45856</v>
      </c>
      <c r="C2844" t="s">
        <v>21</v>
      </c>
      <c r="D2844" t="s">
        <v>24</v>
      </c>
      <c r="E2844" t="s">
        <v>28</v>
      </c>
      <c r="F2844" t="s">
        <v>54</v>
      </c>
      <c r="G2844" t="s">
        <v>72</v>
      </c>
      <c r="H2844" t="s">
        <v>74</v>
      </c>
      <c r="I2844">
        <v>2</v>
      </c>
      <c r="J2844">
        <v>1830</v>
      </c>
      <c r="K2844">
        <v>0.1</v>
      </c>
      <c r="L2844">
        <v>3294</v>
      </c>
      <c r="M2844">
        <v>2872.5</v>
      </c>
      <c r="N2844">
        <v>421.5</v>
      </c>
      <c r="O2844" t="s">
        <v>80</v>
      </c>
      <c r="P2844" t="s">
        <v>87</v>
      </c>
    </row>
    <row r="2845" spans="1:16" x14ac:dyDescent="0.25">
      <c r="A2845">
        <v>2844</v>
      </c>
      <c r="B2845" s="2">
        <v>45697</v>
      </c>
      <c r="C2845" t="s">
        <v>21</v>
      </c>
      <c r="D2845" t="s">
        <v>24</v>
      </c>
      <c r="E2845" t="s">
        <v>30</v>
      </c>
      <c r="F2845" t="s">
        <v>64</v>
      </c>
      <c r="G2845" t="s">
        <v>71</v>
      </c>
      <c r="H2845" t="s">
        <v>75</v>
      </c>
      <c r="I2845">
        <v>1</v>
      </c>
      <c r="J2845">
        <v>19061</v>
      </c>
      <c r="K2845">
        <v>0.05</v>
      </c>
      <c r="L2845">
        <v>18107.95</v>
      </c>
      <c r="M2845">
        <v>15500.29</v>
      </c>
      <c r="N2845">
        <v>2607.66</v>
      </c>
      <c r="O2845" t="s">
        <v>79</v>
      </c>
      <c r="P2845" t="s">
        <v>85</v>
      </c>
    </row>
    <row r="2846" spans="1:16" x14ac:dyDescent="0.25">
      <c r="A2846">
        <v>2845</v>
      </c>
      <c r="B2846" s="2">
        <v>45836</v>
      </c>
      <c r="C2846" t="s">
        <v>21</v>
      </c>
      <c r="D2846" t="s">
        <v>24</v>
      </c>
      <c r="E2846" t="s">
        <v>34</v>
      </c>
      <c r="F2846" t="s">
        <v>65</v>
      </c>
      <c r="G2846" t="s">
        <v>70</v>
      </c>
      <c r="H2846" t="s">
        <v>74</v>
      </c>
      <c r="I2846">
        <v>4</v>
      </c>
      <c r="J2846">
        <v>737</v>
      </c>
      <c r="K2846">
        <v>0</v>
      </c>
      <c r="L2846">
        <v>2948</v>
      </c>
      <c r="M2846">
        <v>2228.84</v>
      </c>
      <c r="N2846">
        <v>719.16</v>
      </c>
      <c r="O2846" t="s">
        <v>79</v>
      </c>
      <c r="P2846" t="s">
        <v>87</v>
      </c>
    </row>
    <row r="2847" spans="1:16" x14ac:dyDescent="0.25">
      <c r="A2847">
        <v>2846</v>
      </c>
      <c r="B2847" s="2">
        <v>45662</v>
      </c>
      <c r="C2847" t="s">
        <v>23</v>
      </c>
      <c r="D2847" t="s">
        <v>27</v>
      </c>
      <c r="E2847" t="s">
        <v>29</v>
      </c>
      <c r="F2847" t="s">
        <v>45</v>
      </c>
      <c r="G2847" t="s">
        <v>70</v>
      </c>
      <c r="H2847" t="s">
        <v>73</v>
      </c>
      <c r="I2847">
        <v>5</v>
      </c>
      <c r="J2847">
        <v>7736</v>
      </c>
      <c r="K2847">
        <v>0.05</v>
      </c>
      <c r="L2847">
        <v>36746</v>
      </c>
      <c r="M2847">
        <v>22077.62</v>
      </c>
      <c r="N2847">
        <v>14668.38</v>
      </c>
      <c r="O2847" t="s">
        <v>79</v>
      </c>
      <c r="P2847" t="s">
        <v>84</v>
      </c>
    </row>
    <row r="2848" spans="1:16" x14ac:dyDescent="0.25">
      <c r="A2848">
        <v>2847</v>
      </c>
      <c r="B2848" s="2">
        <v>45856</v>
      </c>
      <c r="C2848" t="s">
        <v>21</v>
      </c>
      <c r="D2848" t="s">
        <v>24</v>
      </c>
      <c r="E2848" t="s">
        <v>32</v>
      </c>
      <c r="F2848" t="s">
        <v>48</v>
      </c>
      <c r="G2848" t="s">
        <v>70</v>
      </c>
      <c r="H2848" t="s">
        <v>74</v>
      </c>
      <c r="I2848">
        <v>8</v>
      </c>
      <c r="J2848">
        <v>15271</v>
      </c>
      <c r="K2848">
        <v>0.1</v>
      </c>
      <c r="L2848">
        <v>109951.2</v>
      </c>
      <c r="M2848">
        <v>82076.44</v>
      </c>
      <c r="N2848">
        <v>27874.76</v>
      </c>
      <c r="O2848" t="s">
        <v>77</v>
      </c>
      <c r="P2848" t="s">
        <v>86</v>
      </c>
    </row>
    <row r="2849" spans="1:16" x14ac:dyDescent="0.25">
      <c r="A2849">
        <v>2848</v>
      </c>
      <c r="B2849" s="2">
        <v>45966</v>
      </c>
      <c r="C2849" t="s">
        <v>20</v>
      </c>
      <c r="D2849" t="s">
        <v>26</v>
      </c>
      <c r="E2849" t="s">
        <v>31</v>
      </c>
      <c r="F2849" t="s">
        <v>69</v>
      </c>
      <c r="G2849" t="s">
        <v>71</v>
      </c>
      <c r="H2849" t="s">
        <v>74</v>
      </c>
      <c r="I2849">
        <v>6</v>
      </c>
      <c r="J2849">
        <v>732</v>
      </c>
      <c r="K2849">
        <v>0.15</v>
      </c>
      <c r="L2849">
        <v>3733.2</v>
      </c>
      <c r="M2849">
        <v>2863.3</v>
      </c>
      <c r="N2849">
        <v>869.9</v>
      </c>
      <c r="O2849" t="s">
        <v>79</v>
      </c>
      <c r="P2849" t="s">
        <v>82</v>
      </c>
    </row>
    <row r="2850" spans="1:16" x14ac:dyDescent="0.25">
      <c r="A2850">
        <v>2849</v>
      </c>
      <c r="B2850" s="2">
        <v>45970</v>
      </c>
      <c r="C2850" t="s">
        <v>20</v>
      </c>
      <c r="D2850" t="s">
        <v>26</v>
      </c>
      <c r="E2850" t="s">
        <v>30</v>
      </c>
      <c r="F2850" t="s">
        <v>40</v>
      </c>
      <c r="G2850" t="s">
        <v>72</v>
      </c>
      <c r="H2850" t="s">
        <v>75</v>
      </c>
      <c r="I2850">
        <v>5</v>
      </c>
      <c r="J2850">
        <v>28717</v>
      </c>
      <c r="K2850">
        <v>0</v>
      </c>
      <c r="L2850">
        <v>143585</v>
      </c>
      <c r="M2850">
        <v>111418.79</v>
      </c>
      <c r="N2850">
        <v>32166.21</v>
      </c>
      <c r="O2850" t="s">
        <v>76</v>
      </c>
      <c r="P2850" t="s">
        <v>85</v>
      </c>
    </row>
    <row r="2851" spans="1:16" x14ac:dyDescent="0.25">
      <c r="A2851">
        <v>2850</v>
      </c>
      <c r="B2851" s="2">
        <v>46002</v>
      </c>
      <c r="C2851" t="s">
        <v>23</v>
      </c>
      <c r="D2851" t="s">
        <v>27</v>
      </c>
      <c r="E2851" t="s">
        <v>28</v>
      </c>
      <c r="F2851" t="s">
        <v>35</v>
      </c>
      <c r="G2851" t="s">
        <v>72</v>
      </c>
      <c r="H2851" t="s">
        <v>75</v>
      </c>
      <c r="I2851">
        <v>2</v>
      </c>
      <c r="J2851">
        <v>2313</v>
      </c>
      <c r="K2851">
        <v>0.05</v>
      </c>
      <c r="L2851">
        <v>4394.7</v>
      </c>
      <c r="M2851">
        <v>3233.34</v>
      </c>
      <c r="N2851">
        <v>1161.3599999999999</v>
      </c>
      <c r="O2851" t="s">
        <v>77</v>
      </c>
      <c r="P2851" t="s">
        <v>87</v>
      </c>
    </row>
    <row r="2852" spans="1:16" x14ac:dyDescent="0.25">
      <c r="A2852">
        <v>2851</v>
      </c>
      <c r="B2852" s="2">
        <v>45804</v>
      </c>
      <c r="C2852" t="s">
        <v>20</v>
      </c>
      <c r="D2852" t="s">
        <v>26</v>
      </c>
      <c r="E2852" t="s">
        <v>30</v>
      </c>
      <c r="F2852" t="s">
        <v>64</v>
      </c>
      <c r="G2852" t="s">
        <v>70</v>
      </c>
      <c r="H2852" t="s">
        <v>74</v>
      </c>
      <c r="I2852">
        <v>2</v>
      </c>
      <c r="J2852">
        <v>55096</v>
      </c>
      <c r="K2852">
        <v>0.1</v>
      </c>
      <c r="L2852">
        <v>99172.800000000003</v>
      </c>
      <c r="M2852">
        <v>76442.16</v>
      </c>
      <c r="N2852">
        <v>22730.639999999999</v>
      </c>
      <c r="O2852" t="s">
        <v>77</v>
      </c>
      <c r="P2852" t="s">
        <v>87</v>
      </c>
    </row>
    <row r="2853" spans="1:16" x14ac:dyDescent="0.25">
      <c r="A2853">
        <v>2852</v>
      </c>
      <c r="B2853" s="2">
        <v>45951</v>
      </c>
      <c r="C2853" t="s">
        <v>20</v>
      </c>
      <c r="D2853" t="s">
        <v>26</v>
      </c>
      <c r="E2853" t="s">
        <v>30</v>
      </c>
      <c r="F2853" t="s">
        <v>64</v>
      </c>
      <c r="G2853" t="s">
        <v>70</v>
      </c>
      <c r="H2853" t="s">
        <v>74</v>
      </c>
      <c r="I2853">
        <v>7</v>
      </c>
      <c r="J2853">
        <v>47753</v>
      </c>
      <c r="K2853">
        <v>0.05</v>
      </c>
      <c r="L2853">
        <v>317557.45</v>
      </c>
      <c r="M2853">
        <v>181150.5</v>
      </c>
      <c r="N2853">
        <v>136406.95000000001</v>
      </c>
      <c r="O2853" t="s">
        <v>79</v>
      </c>
      <c r="P2853" t="s">
        <v>81</v>
      </c>
    </row>
    <row r="2854" spans="1:16" x14ac:dyDescent="0.25">
      <c r="A2854">
        <v>2853</v>
      </c>
      <c r="B2854" s="2">
        <v>45942</v>
      </c>
      <c r="C2854" t="s">
        <v>18</v>
      </c>
      <c r="D2854" t="s">
        <v>26</v>
      </c>
      <c r="E2854" t="s">
        <v>28</v>
      </c>
      <c r="F2854" t="s">
        <v>35</v>
      </c>
      <c r="G2854" t="s">
        <v>72</v>
      </c>
      <c r="H2854" t="s">
        <v>73</v>
      </c>
      <c r="I2854">
        <v>4</v>
      </c>
      <c r="J2854">
        <v>163</v>
      </c>
      <c r="K2854">
        <v>0.05</v>
      </c>
      <c r="L2854">
        <v>619.4</v>
      </c>
      <c r="M2854">
        <v>409.67</v>
      </c>
      <c r="N2854">
        <v>209.73</v>
      </c>
      <c r="O2854" t="s">
        <v>77</v>
      </c>
      <c r="P2854" t="s">
        <v>83</v>
      </c>
    </row>
    <row r="2855" spans="1:16" x14ac:dyDescent="0.25">
      <c r="A2855">
        <v>2854</v>
      </c>
      <c r="B2855" s="2">
        <v>45782</v>
      </c>
      <c r="C2855" t="s">
        <v>18</v>
      </c>
      <c r="D2855" t="s">
        <v>26</v>
      </c>
      <c r="E2855" t="s">
        <v>29</v>
      </c>
      <c r="F2855" t="s">
        <v>53</v>
      </c>
      <c r="G2855" t="s">
        <v>70</v>
      </c>
      <c r="H2855" t="s">
        <v>74</v>
      </c>
      <c r="I2855">
        <v>8</v>
      </c>
      <c r="J2855">
        <v>7223</v>
      </c>
      <c r="K2855">
        <v>0.1</v>
      </c>
      <c r="L2855">
        <v>52005.599999999999</v>
      </c>
      <c r="M2855">
        <v>28752.92</v>
      </c>
      <c r="N2855">
        <v>23252.68</v>
      </c>
      <c r="O2855" t="s">
        <v>79</v>
      </c>
      <c r="P2855" t="s">
        <v>88</v>
      </c>
    </row>
    <row r="2856" spans="1:16" x14ac:dyDescent="0.25">
      <c r="A2856">
        <v>2855</v>
      </c>
      <c r="B2856" s="2">
        <v>45659</v>
      </c>
      <c r="C2856" t="s">
        <v>21</v>
      </c>
      <c r="D2856" t="s">
        <v>24</v>
      </c>
      <c r="E2856" t="s">
        <v>29</v>
      </c>
      <c r="F2856" t="s">
        <v>57</v>
      </c>
      <c r="G2856" t="s">
        <v>71</v>
      </c>
      <c r="H2856" t="s">
        <v>74</v>
      </c>
      <c r="I2856">
        <v>8</v>
      </c>
      <c r="J2856">
        <v>10920</v>
      </c>
      <c r="K2856">
        <v>0.15</v>
      </c>
      <c r="L2856">
        <v>74256</v>
      </c>
      <c r="M2856">
        <v>47697.4</v>
      </c>
      <c r="N2856">
        <v>26558.6</v>
      </c>
      <c r="O2856" t="s">
        <v>78</v>
      </c>
      <c r="P2856" t="s">
        <v>87</v>
      </c>
    </row>
    <row r="2857" spans="1:16" x14ac:dyDescent="0.25">
      <c r="A2857">
        <v>2856</v>
      </c>
      <c r="B2857" s="2">
        <v>45807</v>
      </c>
      <c r="C2857" t="s">
        <v>23</v>
      </c>
      <c r="D2857" t="s">
        <v>27</v>
      </c>
      <c r="E2857" t="s">
        <v>33</v>
      </c>
      <c r="F2857" t="s">
        <v>46</v>
      </c>
      <c r="G2857" t="s">
        <v>71</v>
      </c>
      <c r="H2857" t="s">
        <v>74</v>
      </c>
      <c r="I2857">
        <v>3</v>
      </c>
      <c r="J2857">
        <v>28285</v>
      </c>
      <c r="K2857">
        <v>0</v>
      </c>
      <c r="L2857">
        <v>84855</v>
      </c>
      <c r="M2857">
        <v>50192.51</v>
      </c>
      <c r="N2857">
        <v>34662.49</v>
      </c>
      <c r="O2857" t="s">
        <v>79</v>
      </c>
      <c r="P2857" t="s">
        <v>88</v>
      </c>
    </row>
    <row r="2858" spans="1:16" x14ac:dyDescent="0.25">
      <c r="A2858">
        <v>2857</v>
      </c>
      <c r="B2858" s="2">
        <v>46009</v>
      </c>
      <c r="C2858" t="s">
        <v>20</v>
      </c>
      <c r="D2858" t="s">
        <v>26</v>
      </c>
      <c r="E2858" t="s">
        <v>30</v>
      </c>
      <c r="F2858" t="s">
        <v>44</v>
      </c>
      <c r="G2858" t="s">
        <v>71</v>
      </c>
      <c r="H2858" t="s">
        <v>74</v>
      </c>
      <c r="I2858">
        <v>5</v>
      </c>
      <c r="J2858">
        <v>49472</v>
      </c>
      <c r="K2858">
        <v>0.1</v>
      </c>
      <c r="L2858">
        <v>222624</v>
      </c>
      <c r="M2858">
        <v>129390.62</v>
      </c>
      <c r="N2858">
        <v>93233.38</v>
      </c>
      <c r="O2858" t="s">
        <v>76</v>
      </c>
      <c r="P2858" t="s">
        <v>81</v>
      </c>
    </row>
    <row r="2859" spans="1:16" x14ac:dyDescent="0.25">
      <c r="A2859">
        <v>2858</v>
      </c>
      <c r="B2859" s="2">
        <v>45947</v>
      </c>
      <c r="C2859" t="s">
        <v>21</v>
      </c>
      <c r="D2859" t="s">
        <v>24</v>
      </c>
      <c r="E2859" t="s">
        <v>29</v>
      </c>
      <c r="F2859" t="s">
        <v>45</v>
      </c>
      <c r="G2859" t="s">
        <v>72</v>
      </c>
      <c r="H2859" t="s">
        <v>74</v>
      </c>
      <c r="I2859">
        <v>6</v>
      </c>
      <c r="J2859">
        <v>5028</v>
      </c>
      <c r="K2859">
        <v>0</v>
      </c>
      <c r="L2859">
        <v>30168</v>
      </c>
      <c r="M2859">
        <v>23735.51</v>
      </c>
      <c r="N2859">
        <v>6432.49</v>
      </c>
      <c r="O2859" t="s">
        <v>80</v>
      </c>
      <c r="P2859" t="s">
        <v>88</v>
      </c>
    </row>
    <row r="2860" spans="1:16" x14ac:dyDescent="0.25">
      <c r="A2860">
        <v>2859</v>
      </c>
      <c r="B2860" s="2">
        <v>45843</v>
      </c>
      <c r="C2860" t="s">
        <v>18</v>
      </c>
      <c r="D2860" t="s">
        <v>26</v>
      </c>
      <c r="E2860" t="s">
        <v>28</v>
      </c>
      <c r="F2860" t="s">
        <v>54</v>
      </c>
      <c r="G2860" t="s">
        <v>72</v>
      </c>
      <c r="H2860" t="s">
        <v>73</v>
      </c>
      <c r="I2860">
        <v>2</v>
      </c>
      <c r="J2860">
        <v>659</v>
      </c>
      <c r="K2860">
        <v>0.1</v>
      </c>
      <c r="L2860">
        <v>1186.2</v>
      </c>
      <c r="M2860">
        <v>1023.13</v>
      </c>
      <c r="N2860">
        <v>163.07</v>
      </c>
      <c r="O2860" t="s">
        <v>77</v>
      </c>
      <c r="P2860" t="s">
        <v>82</v>
      </c>
    </row>
    <row r="2861" spans="1:16" x14ac:dyDescent="0.25">
      <c r="A2861">
        <v>2860</v>
      </c>
      <c r="B2861" s="2">
        <v>45815</v>
      </c>
      <c r="C2861" t="s">
        <v>20</v>
      </c>
      <c r="D2861" t="s">
        <v>26</v>
      </c>
      <c r="E2861" t="s">
        <v>29</v>
      </c>
      <c r="F2861" t="s">
        <v>53</v>
      </c>
      <c r="G2861" t="s">
        <v>72</v>
      </c>
      <c r="H2861" t="s">
        <v>74</v>
      </c>
      <c r="I2861">
        <v>2</v>
      </c>
      <c r="J2861">
        <v>7635</v>
      </c>
      <c r="K2861">
        <v>0.05</v>
      </c>
      <c r="L2861">
        <v>14506.5</v>
      </c>
      <c r="M2861">
        <v>9674.69</v>
      </c>
      <c r="N2861">
        <v>4831.8100000000004</v>
      </c>
      <c r="O2861" t="s">
        <v>80</v>
      </c>
      <c r="P2861" t="s">
        <v>88</v>
      </c>
    </row>
    <row r="2862" spans="1:16" x14ac:dyDescent="0.25">
      <c r="A2862">
        <v>2861</v>
      </c>
      <c r="B2862" s="2">
        <v>45986</v>
      </c>
      <c r="C2862" t="s">
        <v>16</v>
      </c>
      <c r="D2862" t="s">
        <v>24</v>
      </c>
      <c r="E2862" t="s">
        <v>31</v>
      </c>
      <c r="F2862" t="s">
        <v>47</v>
      </c>
      <c r="G2862" t="s">
        <v>70</v>
      </c>
      <c r="H2862" t="s">
        <v>75</v>
      </c>
      <c r="I2862">
        <v>8</v>
      </c>
      <c r="J2862">
        <v>1596</v>
      </c>
      <c r="K2862">
        <v>0.1</v>
      </c>
      <c r="L2862">
        <v>11491.2</v>
      </c>
      <c r="M2862">
        <v>8552.15</v>
      </c>
      <c r="N2862">
        <v>2939.05</v>
      </c>
      <c r="O2862" t="s">
        <v>77</v>
      </c>
      <c r="P2862" t="s">
        <v>84</v>
      </c>
    </row>
    <row r="2863" spans="1:16" x14ac:dyDescent="0.25">
      <c r="A2863">
        <v>2862</v>
      </c>
      <c r="B2863" s="2">
        <v>45742</v>
      </c>
      <c r="C2863" t="s">
        <v>22</v>
      </c>
      <c r="D2863" t="s">
        <v>24</v>
      </c>
      <c r="E2863" t="s">
        <v>29</v>
      </c>
      <c r="F2863" t="s">
        <v>36</v>
      </c>
      <c r="G2863" t="s">
        <v>71</v>
      </c>
      <c r="H2863" t="s">
        <v>74</v>
      </c>
      <c r="I2863">
        <v>4</v>
      </c>
      <c r="J2863">
        <v>4884</v>
      </c>
      <c r="K2863">
        <v>0</v>
      </c>
      <c r="L2863">
        <v>19536</v>
      </c>
      <c r="M2863">
        <v>10771.1</v>
      </c>
      <c r="N2863">
        <v>8764.9</v>
      </c>
      <c r="O2863" t="s">
        <v>80</v>
      </c>
      <c r="P2863" t="s">
        <v>85</v>
      </c>
    </row>
    <row r="2864" spans="1:16" x14ac:dyDescent="0.25">
      <c r="A2864">
        <v>2863</v>
      </c>
      <c r="B2864" s="2">
        <v>45754</v>
      </c>
      <c r="C2864" t="s">
        <v>18</v>
      </c>
      <c r="D2864" t="s">
        <v>26</v>
      </c>
      <c r="E2864" t="s">
        <v>31</v>
      </c>
      <c r="F2864" t="s">
        <v>50</v>
      </c>
      <c r="G2864" t="s">
        <v>71</v>
      </c>
      <c r="H2864" t="s">
        <v>75</v>
      </c>
      <c r="I2864">
        <v>2</v>
      </c>
      <c r="J2864">
        <v>737</v>
      </c>
      <c r="K2864">
        <v>0.1</v>
      </c>
      <c r="L2864">
        <v>1326.6</v>
      </c>
      <c r="M2864">
        <v>955.83</v>
      </c>
      <c r="N2864">
        <v>370.77</v>
      </c>
      <c r="O2864" t="s">
        <v>76</v>
      </c>
      <c r="P2864" t="s">
        <v>88</v>
      </c>
    </row>
    <row r="2865" spans="1:16" x14ac:dyDescent="0.25">
      <c r="A2865">
        <v>2864</v>
      </c>
      <c r="B2865" s="2">
        <v>45950</v>
      </c>
      <c r="C2865" t="s">
        <v>18</v>
      </c>
      <c r="D2865" t="s">
        <v>26</v>
      </c>
      <c r="E2865" t="s">
        <v>34</v>
      </c>
      <c r="F2865" t="s">
        <v>51</v>
      </c>
      <c r="G2865" t="s">
        <v>72</v>
      </c>
      <c r="H2865" t="s">
        <v>73</v>
      </c>
      <c r="I2865">
        <v>5</v>
      </c>
      <c r="J2865">
        <v>3364</v>
      </c>
      <c r="K2865">
        <v>0</v>
      </c>
      <c r="L2865">
        <v>16820</v>
      </c>
      <c r="M2865">
        <v>11938.3</v>
      </c>
      <c r="N2865">
        <v>4881.7</v>
      </c>
      <c r="O2865" t="s">
        <v>77</v>
      </c>
      <c r="P2865" t="s">
        <v>83</v>
      </c>
    </row>
    <row r="2866" spans="1:16" x14ac:dyDescent="0.25">
      <c r="A2866">
        <v>2865</v>
      </c>
      <c r="B2866" s="2">
        <v>45888</v>
      </c>
      <c r="C2866" t="s">
        <v>22</v>
      </c>
      <c r="D2866" t="s">
        <v>24</v>
      </c>
      <c r="E2866" t="s">
        <v>33</v>
      </c>
      <c r="F2866" t="s">
        <v>41</v>
      </c>
      <c r="G2866" t="s">
        <v>70</v>
      </c>
      <c r="H2866" t="s">
        <v>73</v>
      </c>
      <c r="I2866">
        <v>4</v>
      </c>
      <c r="J2866">
        <v>26171</v>
      </c>
      <c r="K2866">
        <v>0.1</v>
      </c>
      <c r="L2866">
        <v>94215.6</v>
      </c>
      <c r="M2866">
        <v>80216.31</v>
      </c>
      <c r="N2866">
        <v>13999.29</v>
      </c>
      <c r="O2866" t="s">
        <v>80</v>
      </c>
      <c r="P2866" t="s">
        <v>88</v>
      </c>
    </row>
    <row r="2867" spans="1:16" x14ac:dyDescent="0.25">
      <c r="A2867">
        <v>2866</v>
      </c>
      <c r="B2867" s="2">
        <v>45928</v>
      </c>
      <c r="C2867" t="s">
        <v>22</v>
      </c>
      <c r="D2867" t="s">
        <v>24</v>
      </c>
      <c r="E2867" t="s">
        <v>34</v>
      </c>
      <c r="F2867" t="s">
        <v>65</v>
      </c>
      <c r="G2867" t="s">
        <v>70</v>
      </c>
      <c r="H2867" t="s">
        <v>73</v>
      </c>
      <c r="I2867">
        <v>5</v>
      </c>
      <c r="J2867">
        <v>4422</v>
      </c>
      <c r="K2867">
        <v>0</v>
      </c>
      <c r="L2867">
        <v>22110</v>
      </c>
      <c r="M2867">
        <v>14713.05</v>
      </c>
      <c r="N2867">
        <v>7396.95</v>
      </c>
      <c r="O2867" t="s">
        <v>76</v>
      </c>
      <c r="P2867" t="s">
        <v>83</v>
      </c>
    </row>
    <row r="2868" spans="1:16" x14ac:dyDescent="0.25">
      <c r="A2868">
        <v>2867</v>
      </c>
      <c r="B2868" s="2">
        <v>45771</v>
      </c>
      <c r="C2868" t="s">
        <v>18</v>
      </c>
      <c r="D2868" t="s">
        <v>26</v>
      </c>
      <c r="E2868" t="s">
        <v>31</v>
      </c>
      <c r="F2868" t="s">
        <v>38</v>
      </c>
      <c r="G2868" t="s">
        <v>70</v>
      </c>
      <c r="H2868" t="s">
        <v>75</v>
      </c>
      <c r="I2868">
        <v>2</v>
      </c>
      <c r="J2868">
        <v>1134</v>
      </c>
      <c r="K2868">
        <v>0.1</v>
      </c>
      <c r="L2868">
        <v>2041.2</v>
      </c>
      <c r="M2868">
        <v>1429.66</v>
      </c>
      <c r="N2868">
        <v>611.54</v>
      </c>
      <c r="O2868" t="s">
        <v>76</v>
      </c>
      <c r="P2868" t="s">
        <v>82</v>
      </c>
    </row>
    <row r="2869" spans="1:16" x14ac:dyDescent="0.25">
      <c r="A2869">
        <v>2868</v>
      </c>
      <c r="B2869" s="2">
        <v>45975</v>
      </c>
      <c r="C2869" t="s">
        <v>22</v>
      </c>
      <c r="D2869" t="s">
        <v>24</v>
      </c>
      <c r="E2869" t="s">
        <v>34</v>
      </c>
      <c r="F2869" t="s">
        <v>68</v>
      </c>
      <c r="G2869" t="s">
        <v>70</v>
      </c>
      <c r="H2869" t="s">
        <v>75</v>
      </c>
      <c r="I2869">
        <v>7</v>
      </c>
      <c r="J2869">
        <v>5424</v>
      </c>
      <c r="K2869">
        <v>0.15</v>
      </c>
      <c r="L2869">
        <v>32272.799999999999</v>
      </c>
      <c r="M2869">
        <v>28240.49</v>
      </c>
      <c r="N2869">
        <v>4032.31</v>
      </c>
      <c r="O2869" t="s">
        <v>80</v>
      </c>
      <c r="P2869" t="s">
        <v>88</v>
      </c>
    </row>
    <row r="2870" spans="1:16" x14ac:dyDescent="0.25">
      <c r="A2870">
        <v>2869</v>
      </c>
      <c r="B2870" s="2">
        <v>45810</v>
      </c>
      <c r="C2870" t="s">
        <v>20</v>
      </c>
      <c r="D2870" t="s">
        <v>26</v>
      </c>
      <c r="E2870" t="s">
        <v>32</v>
      </c>
      <c r="F2870" t="s">
        <v>39</v>
      </c>
      <c r="G2870" t="s">
        <v>72</v>
      </c>
      <c r="H2870" t="s">
        <v>75</v>
      </c>
      <c r="I2870">
        <v>4</v>
      </c>
      <c r="J2870">
        <v>18765</v>
      </c>
      <c r="K2870">
        <v>0</v>
      </c>
      <c r="L2870">
        <v>75060</v>
      </c>
      <c r="M2870">
        <v>65357.05</v>
      </c>
      <c r="N2870">
        <v>9702.9500000000007</v>
      </c>
      <c r="O2870" t="s">
        <v>76</v>
      </c>
      <c r="P2870" t="s">
        <v>85</v>
      </c>
    </row>
    <row r="2871" spans="1:16" x14ac:dyDescent="0.25">
      <c r="A2871">
        <v>2870</v>
      </c>
      <c r="B2871" s="2">
        <v>45900</v>
      </c>
      <c r="C2871" t="s">
        <v>18</v>
      </c>
      <c r="D2871" t="s">
        <v>26</v>
      </c>
      <c r="E2871" t="s">
        <v>34</v>
      </c>
      <c r="F2871" t="s">
        <v>68</v>
      </c>
      <c r="G2871" t="s">
        <v>72</v>
      </c>
      <c r="H2871" t="s">
        <v>75</v>
      </c>
      <c r="I2871">
        <v>3</v>
      </c>
      <c r="J2871">
        <v>396</v>
      </c>
      <c r="K2871">
        <v>0.05</v>
      </c>
      <c r="L2871">
        <v>1128.5999999999999</v>
      </c>
      <c r="M2871">
        <v>988.23</v>
      </c>
      <c r="N2871">
        <v>140.37</v>
      </c>
      <c r="O2871" t="s">
        <v>79</v>
      </c>
      <c r="P2871" t="s">
        <v>87</v>
      </c>
    </row>
    <row r="2872" spans="1:16" x14ac:dyDescent="0.25">
      <c r="A2872">
        <v>2871</v>
      </c>
      <c r="B2872" s="2">
        <v>45673</v>
      </c>
      <c r="C2872" t="s">
        <v>18</v>
      </c>
      <c r="D2872" t="s">
        <v>26</v>
      </c>
      <c r="E2872" t="s">
        <v>32</v>
      </c>
      <c r="F2872" t="s">
        <v>62</v>
      </c>
      <c r="G2872" t="s">
        <v>72</v>
      </c>
      <c r="H2872" t="s">
        <v>75</v>
      </c>
      <c r="I2872">
        <v>3</v>
      </c>
      <c r="J2872">
        <v>12455</v>
      </c>
      <c r="K2872">
        <v>0.1</v>
      </c>
      <c r="L2872">
        <v>33628.5</v>
      </c>
      <c r="M2872">
        <v>21049.23</v>
      </c>
      <c r="N2872">
        <v>12579.27</v>
      </c>
      <c r="O2872" t="s">
        <v>80</v>
      </c>
      <c r="P2872" t="s">
        <v>87</v>
      </c>
    </row>
    <row r="2873" spans="1:16" x14ac:dyDescent="0.25">
      <c r="A2873">
        <v>2872</v>
      </c>
      <c r="B2873" s="2">
        <v>45667</v>
      </c>
      <c r="C2873" t="s">
        <v>20</v>
      </c>
      <c r="D2873" t="s">
        <v>26</v>
      </c>
      <c r="E2873" t="s">
        <v>32</v>
      </c>
      <c r="F2873" t="s">
        <v>39</v>
      </c>
      <c r="G2873" t="s">
        <v>71</v>
      </c>
      <c r="H2873" t="s">
        <v>74</v>
      </c>
      <c r="I2873">
        <v>8</v>
      </c>
      <c r="J2873">
        <v>4424</v>
      </c>
      <c r="K2873">
        <v>0.1</v>
      </c>
      <c r="L2873">
        <v>31852.799999999999</v>
      </c>
      <c r="M2873">
        <v>19953.060000000001</v>
      </c>
      <c r="N2873">
        <v>11899.74</v>
      </c>
      <c r="O2873" t="s">
        <v>77</v>
      </c>
      <c r="P2873" t="s">
        <v>82</v>
      </c>
    </row>
    <row r="2874" spans="1:16" x14ac:dyDescent="0.25">
      <c r="A2874">
        <v>2873</v>
      </c>
      <c r="B2874" s="2">
        <v>45968</v>
      </c>
      <c r="C2874" t="s">
        <v>20</v>
      </c>
      <c r="D2874" t="s">
        <v>26</v>
      </c>
      <c r="E2874" t="s">
        <v>28</v>
      </c>
      <c r="F2874" t="s">
        <v>54</v>
      </c>
      <c r="G2874" t="s">
        <v>71</v>
      </c>
      <c r="H2874" t="s">
        <v>75</v>
      </c>
      <c r="I2874">
        <v>2</v>
      </c>
      <c r="J2874">
        <v>1026</v>
      </c>
      <c r="K2874">
        <v>0</v>
      </c>
      <c r="L2874">
        <v>2052</v>
      </c>
      <c r="M2874">
        <v>1391.26</v>
      </c>
      <c r="N2874">
        <v>660.74</v>
      </c>
      <c r="O2874" t="s">
        <v>76</v>
      </c>
      <c r="P2874" t="s">
        <v>87</v>
      </c>
    </row>
    <row r="2875" spans="1:16" x14ac:dyDescent="0.25">
      <c r="A2875">
        <v>2874</v>
      </c>
      <c r="B2875" s="2">
        <v>45678</v>
      </c>
      <c r="C2875" t="s">
        <v>20</v>
      </c>
      <c r="D2875" t="s">
        <v>26</v>
      </c>
      <c r="E2875" t="s">
        <v>29</v>
      </c>
      <c r="F2875" t="s">
        <v>57</v>
      </c>
      <c r="G2875" t="s">
        <v>72</v>
      </c>
      <c r="H2875" t="s">
        <v>75</v>
      </c>
      <c r="I2875">
        <v>7</v>
      </c>
      <c r="J2875">
        <v>835</v>
      </c>
      <c r="K2875">
        <v>0.15</v>
      </c>
      <c r="L2875">
        <v>4968.25</v>
      </c>
      <c r="M2875">
        <v>4300.51</v>
      </c>
      <c r="N2875">
        <v>667.74</v>
      </c>
      <c r="O2875" t="s">
        <v>76</v>
      </c>
      <c r="P2875" t="s">
        <v>81</v>
      </c>
    </row>
    <row r="2876" spans="1:16" x14ac:dyDescent="0.25">
      <c r="A2876">
        <v>2875</v>
      </c>
      <c r="B2876" s="2">
        <v>45956</v>
      </c>
      <c r="C2876" t="s">
        <v>18</v>
      </c>
      <c r="D2876" t="s">
        <v>26</v>
      </c>
      <c r="E2876" t="s">
        <v>30</v>
      </c>
      <c r="F2876" t="s">
        <v>44</v>
      </c>
      <c r="G2876" t="s">
        <v>70</v>
      </c>
      <c r="H2876" t="s">
        <v>73</v>
      </c>
      <c r="I2876">
        <v>5</v>
      </c>
      <c r="J2876">
        <v>49486</v>
      </c>
      <c r="K2876">
        <v>0.15</v>
      </c>
      <c r="L2876">
        <v>210315.5</v>
      </c>
      <c r="M2876">
        <v>137258.45000000001</v>
      </c>
      <c r="N2876">
        <v>73057.05</v>
      </c>
      <c r="O2876" t="s">
        <v>76</v>
      </c>
      <c r="P2876" t="s">
        <v>82</v>
      </c>
    </row>
    <row r="2877" spans="1:16" x14ac:dyDescent="0.25">
      <c r="A2877">
        <v>2876</v>
      </c>
      <c r="B2877" s="2">
        <v>45953</v>
      </c>
      <c r="C2877" t="s">
        <v>20</v>
      </c>
      <c r="D2877" t="s">
        <v>26</v>
      </c>
      <c r="E2877" t="s">
        <v>33</v>
      </c>
      <c r="F2877" t="s">
        <v>59</v>
      </c>
      <c r="G2877" t="s">
        <v>70</v>
      </c>
      <c r="H2877" t="s">
        <v>74</v>
      </c>
      <c r="I2877">
        <v>2</v>
      </c>
      <c r="J2877">
        <v>28916</v>
      </c>
      <c r="K2877">
        <v>0.2</v>
      </c>
      <c r="L2877">
        <v>46265.599999999999</v>
      </c>
      <c r="M2877">
        <v>38082.550000000003</v>
      </c>
      <c r="N2877">
        <v>8183.05</v>
      </c>
      <c r="O2877" t="s">
        <v>79</v>
      </c>
      <c r="P2877" t="s">
        <v>85</v>
      </c>
    </row>
    <row r="2878" spans="1:16" x14ac:dyDescent="0.25">
      <c r="A2878">
        <v>2877</v>
      </c>
      <c r="B2878" s="2">
        <v>45767</v>
      </c>
      <c r="C2878" t="s">
        <v>20</v>
      </c>
      <c r="D2878" t="s">
        <v>26</v>
      </c>
      <c r="E2878" t="s">
        <v>31</v>
      </c>
      <c r="F2878" t="s">
        <v>67</v>
      </c>
      <c r="G2878" t="s">
        <v>70</v>
      </c>
      <c r="H2878" t="s">
        <v>73</v>
      </c>
      <c r="I2878">
        <v>4</v>
      </c>
      <c r="J2878">
        <v>448</v>
      </c>
      <c r="K2878">
        <v>0.05</v>
      </c>
      <c r="L2878">
        <v>1702.4</v>
      </c>
      <c r="M2878">
        <v>1112.8</v>
      </c>
      <c r="N2878">
        <v>589.6</v>
      </c>
      <c r="O2878" t="s">
        <v>78</v>
      </c>
      <c r="P2878" t="s">
        <v>83</v>
      </c>
    </row>
    <row r="2879" spans="1:16" x14ac:dyDescent="0.25">
      <c r="A2879">
        <v>2878</v>
      </c>
      <c r="B2879" s="2">
        <v>45710</v>
      </c>
      <c r="C2879" t="s">
        <v>22</v>
      </c>
      <c r="D2879" t="s">
        <v>24</v>
      </c>
      <c r="E2879" t="s">
        <v>33</v>
      </c>
      <c r="F2879" t="s">
        <v>59</v>
      </c>
      <c r="G2879" t="s">
        <v>71</v>
      </c>
      <c r="H2879" t="s">
        <v>74</v>
      </c>
      <c r="I2879">
        <v>3</v>
      </c>
      <c r="J2879">
        <v>21906</v>
      </c>
      <c r="K2879">
        <v>0.1</v>
      </c>
      <c r="L2879">
        <v>59146.2</v>
      </c>
      <c r="M2879">
        <v>34772.160000000003</v>
      </c>
      <c r="N2879">
        <v>24374.04</v>
      </c>
      <c r="O2879" t="s">
        <v>77</v>
      </c>
      <c r="P2879" t="s">
        <v>81</v>
      </c>
    </row>
    <row r="2880" spans="1:16" x14ac:dyDescent="0.25">
      <c r="A2880">
        <v>2879</v>
      </c>
      <c r="B2880" s="2">
        <v>45936</v>
      </c>
      <c r="C2880" t="s">
        <v>19</v>
      </c>
      <c r="D2880" t="s">
        <v>26</v>
      </c>
      <c r="E2880" t="s">
        <v>28</v>
      </c>
      <c r="F2880" t="s">
        <v>63</v>
      </c>
      <c r="G2880" t="s">
        <v>70</v>
      </c>
      <c r="H2880" t="s">
        <v>75</v>
      </c>
      <c r="I2880">
        <v>1</v>
      </c>
      <c r="J2880">
        <v>2200</v>
      </c>
      <c r="K2880">
        <v>0.1</v>
      </c>
      <c r="L2880">
        <v>1980</v>
      </c>
      <c r="M2880">
        <v>1408.2</v>
      </c>
      <c r="N2880">
        <v>571.79999999999995</v>
      </c>
      <c r="O2880" t="s">
        <v>79</v>
      </c>
      <c r="P2880" t="s">
        <v>88</v>
      </c>
    </row>
    <row r="2881" spans="1:16" x14ac:dyDescent="0.25">
      <c r="A2881">
        <v>2880</v>
      </c>
      <c r="B2881" s="2">
        <v>45796</v>
      </c>
      <c r="C2881" t="s">
        <v>18</v>
      </c>
      <c r="D2881" t="s">
        <v>26</v>
      </c>
      <c r="E2881" t="s">
        <v>28</v>
      </c>
      <c r="F2881" t="s">
        <v>35</v>
      </c>
      <c r="G2881" t="s">
        <v>70</v>
      </c>
      <c r="H2881" t="s">
        <v>74</v>
      </c>
      <c r="I2881">
        <v>6</v>
      </c>
      <c r="J2881">
        <v>156</v>
      </c>
      <c r="K2881">
        <v>0.05</v>
      </c>
      <c r="L2881">
        <v>889.2</v>
      </c>
      <c r="M2881">
        <v>737.66</v>
      </c>
      <c r="N2881">
        <v>151.54</v>
      </c>
      <c r="O2881" t="s">
        <v>76</v>
      </c>
      <c r="P2881" t="s">
        <v>87</v>
      </c>
    </row>
    <row r="2882" spans="1:16" x14ac:dyDescent="0.25">
      <c r="A2882">
        <v>2881</v>
      </c>
      <c r="B2882" s="2">
        <v>46020</v>
      </c>
      <c r="C2882" t="s">
        <v>21</v>
      </c>
      <c r="D2882" t="s">
        <v>24</v>
      </c>
      <c r="E2882" t="s">
        <v>34</v>
      </c>
      <c r="F2882" t="s">
        <v>51</v>
      </c>
      <c r="G2882" t="s">
        <v>71</v>
      </c>
      <c r="H2882" t="s">
        <v>75</v>
      </c>
      <c r="I2882">
        <v>6</v>
      </c>
      <c r="J2882">
        <v>2544</v>
      </c>
      <c r="K2882">
        <v>0.1</v>
      </c>
      <c r="L2882">
        <v>13737.6</v>
      </c>
      <c r="M2882">
        <v>11086.16</v>
      </c>
      <c r="N2882">
        <v>2651.44</v>
      </c>
      <c r="O2882" t="s">
        <v>77</v>
      </c>
      <c r="P2882" t="s">
        <v>83</v>
      </c>
    </row>
    <row r="2883" spans="1:16" x14ac:dyDescent="0.25">
      <c r="A2883">
        <v>2882</v>
      </c>
      <c r="B2883" s="2">
        <v>45768</v>
      </c>
      <c r="C2883" t="s">
        <v>20</v>
      </c>
      <c r="D2883" t="s">
        <v>26</v>
      </c>
      <c r="E2883" t="s">
        <v>28</v>
      </c>
      <c r="F2883" t="s">
        <v>54</v>
      </c>
      <c r="G2883" t="s">
        <v>70</v>
      </c>
      <c r="H2883" t="s">
        <v>73</v>
      </c>
      <c r="I2883">
        <v>8</v>
      </c>
      <c r="J2883">
        <v>591</v>
      </c>
      <c r="K2883">
        <v>0</v>
      </c>
      <c r="L2883">
        <v>4728</v>
      </c>
      <c r="M2883">
        <v>4123.91</v>
      </c>
      <c r="N2883">
        <v>604.09</v>
      </c>
      <c r="O2883" t="s">
        <v>77</v>
      </c>
      <c r="P2883" t="s">
        <v>82</v>
      </c>
    </row>
    <row r="2884" spans="1:16" x14ac:dyDescent="0.25">
      <c r="A2884">
        <v>2883</v>
      </c>
      <c r="B2884" s="2">
        <v>45872</v>
      </c>
      <c r="C2884" t="s">
        <v>21</v>
      </c>
      <c r="D2884" t="s">
        <v>24</v>
      </c>
      <c r="E2884" t="s">
        <v>34</v>
      </c>
      <c r="F2884" t="s">
        <v>55</v>
      </c>
      <c r="G2884" t="s">
        <v>71</v>
      </c>
      <c r="H2884" t="s">
        <v>74</v>
      </c>
      <c r="I2884">
        <v>4</v>
      </c>
      <c r="J2884">
        <v>5886</v>
      </c>
      <c r="K2884">
        <v>0.1</v>
      </c>
      <c r="L2884">
        <v>21189.599999999999</v>
      </c>
      <c r="M2884">
        <v>15071.44</v>
      </c>
      <c r="N2884">
        <v>6118.16</v>
      </c>
      <c r="O2884" t="s">
        <v>76</v>
      </c>
      <c r="P2884" t="s">
        <v>85</v>
      </c>
    </row>
    <row r="2885" spans="1:16" x14ac:dyDescent="0.25">
      <c r="A2885">
        <v>2884</v>
      </c>
      <c r="B2885" s="2">
        <v>45964</v>
      </c>
      <c r="C2885" t="s">
        <v>23</v>
      </c>
      <c r="D2885" t="s">
        <v>27</v>
      </c>
      <c r="E2885" t="s">
        <v>32</v>
      </c>
      <c r="F2885" t="s">
        <v>49</v>
      </c>
      <c r="G2885" t="s">
        <v>72</v>
      </c>
      <c r="H2885" t="s">
        <v>75</v>
      </c>
      <c r="I2885">
        <v>1</v>
      </c>
      <c r="J2885">
        <v>9342</v>
      </c>
      <c r="K2885">
        <v>0.1</v>
      </c>
      <c r="L2885">
        <v>8407.7999999999993</v>
      </c>
      <c r="M2885">
        <v>4669.21</v>
      </c>
      <c r="N2885">
        <v>3738.59</v>
      </c>
      <c r="O2885" t="s">
        <v>76</v>
      </c>
      <c r="P2885" t="s">
        <v>81</v>
      </c>
    </row>
    <row r="2886" spans="1:16" x14ac:dyDescent="0.25">
      <c r="A2886">
        <v>2885</v>
      </c>
      <c r="B2886" s="2">
        <v>45752</v>
      </c>
      <c r="C2886" t="s">
        <v>22</v>
      </c>
      <c r="D2886" t="s">
        <v>24</v>
      </c>
      <c r="E2886" t="s">
        <v>31</v>
      </c>
      <c r="F2886" t="s">
        <v>67</v>
      </c>
      <c r="G2886" t="s">
        <v>70</v>
      </c>
      <c r="H2886" t="s">
        <v>73</v>
      </c>
      <c r="I2886">
        <v>1</v>
      </c>
      <c r="J2886">
        <v>2489</v>
      </c>
      <c r="K2886">
        <v>0</v>
      </c>
      <c r="L2886">
        <v>2489</v>
      </c>
      <c r="M2886">
        <v>1373.24</v>
      </c>
      <c r="N2886">
        <v>1115.76</v>
      </c>
      <c r="O2886" t="s">
        <v>76</v>
      </c>
      <c r="P2886" t="s">
        <v>86</v>
      </c>
    </row>
    <row r="2887" spans="1:16" x14ac:dyDescent="0.25">
      <c r="A2887">
        <v>2886</v>
      </c>
      <c r="B2887" s="2">
        <v>45857</v>
      </c>
      <c r="C2887" t="s">
        <v>18</v>
      </c>
      <c r="D2887" t="s">
        <v>26</v>
      </c>
      <c r="E2887" t="s">
        <v>33</v>
      </c>
      <c r="F2887" t="s">
        <v>41</v>
      </c>
      <c r="G2887" t="s">
        <v>72</v>
      </c>
      <c r="H2887" t="s">
        <v>75</v>
      </c>
      <c r="I2887">
        <v>1</v>
      </c>
      <c r="J2887">
        <v>31620</v>
      </c>
      <c r="K2887">
        <v>0.05</v>
      </c>
      <c r="L2887">
        <v>30039</v>
      </c>
      <c r="M2887">
        <v>23689.81</v>
      </c>
      <c r="N2887">
        <v>6349.19</v>
      </c>
      <c r="O2887" t="s">
        <v>76</v>
      </c>
      <c r="P2887" t="s">
        <v>88</v>
      </c>
    </row>
    <row r="2888" spans="1:16" x14ac:dyDescent="0.25">
      <c r="A2888">
        <v>2887</v>
      </c>
      <c r="B2888" s="2">
        <v>45975</v>
      </c>
      <c r="C2888" t="s">
        <v>18</v>
      </c>
      <c r="D2888" t="s">
        <v>26</v>
      </c>
      <c r="E2888" t="s">
        <v>30</v>
      </c>
      <c r="F2888" t="s">
        <v>64</v>
      </c>
      <c r="G2888" t="s">
        <v>71</v>
      </c>
      <c r="H2888" t="s">
        <v>74</v>
      </c>
      <c r="I2888">
        <v>2</v>
      </c>
      <c r="J2888">
        <v>59885</v>
      </c>
      <c r="K2888">
        <v>0.05</v>
      </c>
      <c r="L2888">
        <v>113781.5</v>
      </c>
      <c r="M2888">
        <v>65337.24</v>
      </c>
      <c r="N2888">
        <v>48444.26</v>
      </c>
      <c r="O2888" t="s">
        <v>80</v>
      </c>
      <c r="P2888" t="s">
        <v>86</v>
      </c>
    </row>
    <row r="2889" spans="1:16" x14ac:dyDescent="0.25">
      <c r="A2889">
        <v>2888</v>
      </c>
      <c r="B2889" s="2">
        <v>45906</v>
      </c>
      <c r="C2889" t="s">
        <v>18</v>
      </c>
      <c r="D2889" t="s">
        <v>26</v>
      </c>
      <c r="E2889" t="s">
        <v>31</v>
      </c>
      <c r="F2889" t="s">
        <v>38</v>
      </c>
      <c r="G2889" t="s">
        <v>70</v>
      </c>
      <c r="H2889" t="s">
        <v>73</v>
      </c>
      <c r="I2889">
        <v>6</v>
      </c>
      <c r="J2889">
        <v>668</v>
      </c>
      <c r="K2889">
        <v>0.1</v>
      </c>
      <c r="L2889">
        <v>3607.2</v>
      </c>
      <c r="M2889">
        <v>2986.54</v>
      </c>
      <c r="N2889">
        <v>620.66</v>
      </c>
      <c r="O2889" t="s">
        <v>77</v>
      </c>
      <c r="P2889" t="s">
        <v>85</v>
      </c>
    </row>
    <row r="2890" spans="1:16" x14ac:dyDescent="0.25">
      <c r="A2890">
        <v>2889</v>
      </c>
      <c r="B2890" s="2">
        <v>45850</v>
      </c>
      <c r="C2890" t="s">
        <v>16</v>
      </c>
      <c r="D2890" t="s">
        <v>24</v>
      </c>
      <c r="E2890" t="s">
        <v>30</v>
      </c>
      <c r="F2890" t="s">
        <v>56</v>
      </c>
      <c r="G2890" t="s">
        <v>72</v>
      </c>
      <c r="H2890" t="s">
        <v>75</v>
      </c>
      <c r="I2890">
        <v>6</v>
      </c>
      <c r="J2890">
        <v>5525</v>
      </c>
      <c r="K2890">
        <v>0.05</v>
      </c>
      <c r="L2890">
        <v>31492.5</v>
      </c>
      <c r="M2890">
        <v>20990.240000000002</v>
      </c>
      <c r="N2890">
        <v>10502.26</v>
      </c>
      <c r="O2890" t="s">
        <v>76</v>
      </c>
      <c r="P2890" t="s">
        <v>87</v>
      </c>
    </row>
    <row r="2891" spans="1:16" x14ac:dyDescent="0.25">
      <c r="A2891">
        <v>2890</v>
      </c>
      <c r="B2891" s="2">
        <v>45978</v>
      </c>
      <c r="C2891" t="s">
        <v>17</v>
      </c>
      <c r="D2891" t="s">
        <v>25</v>
      </c>
      <c r="E2891" t="s">
        <v>34</v>
      </c>
      <c r="F2891" t="s">
        <v>51</v>
      </c>
      <c r="G2891" t="s">
        <v>72</v>
      </c>
      <c r="H2891" t="s">
        <v>73</v>
      </c>
      <c r="I2891">
        <v>1</v>
      </c>
      <c r="J2891">
        <v>5261</v>
      </c>
      <c r="K2891">
        <v>0.15</v>
      </c>
      <c r="L2891">
        <v>4471.8500000000004</v>
      </c>
      <c r="M2891">
        <v>3493.48</v>
      </c>
      <c r="N2891">
        <v>978.37</v>
      </c>
      <c r="O2891" t="s">
        <v>77</v>
      </c>
      <c r="P2891" t="s">
        <v>86</v>
      </c>
    </row>
    <row r="2892" spans="1:16" x14ac:dyDescent="0.25">
      <c r="A2892">
        <v>2891</v>
      </c>
      <c r="B2892" s="2">
        <v>45840</v>
      </c>
      <c r="C2892" t="s">
        <v>21</v>
      </c>
      <c r="D2892" t="s">
        <v>24</v>
      </c>
      <c r="E2892" t="s">
        <v>28</v>
      </c>
      <c r="F2892" t="s">
        <v>63</v>
      </c>
      <c r="G2892" t="s">
        <v>72</v>
      </c>
      <c r="H2892" t="s">
        <v>75</v>
      </c>
      <c r="I2892">
        <v>7</v>
      </c>
      <c r="J2892">
        <v>2206</v>
      </c>
      <c r="K2892">
        <v>0.15</v>
      </c>
      <c r="L2892">
        <v>13125.7</v>
      </c>
      <c r="M2892">
        <v>10550.61</v>
      </c>
      <c r="N2892">
        <v>2575.09</v>
      </c>
      <c r="O2892" t="s">
        <v>78</v>
      </c>
      <c r="P2892" t="s">
        <v>84</v>
      </c>
    </row>
    <row r="2893" spans="1:16" x14ac:dyDescent="0.25">
      <c r="A2893">
        <v>2892</v>
      </c>
      <c r="B2893" s="2">
        <v>45827</v>
      </c>
      <c r="C2893" t="s">
        <v>19</v>
      </c>
      <c r="D2893" t="s">
        <v>26</v>
      </c>
      <c r="E2893" t="s">
        <v>34</v>
      </c>
      <c r="F2893" t="s">
        <v>51</v>
      </c>
      <c r="G2893" t="s">
        <v>70</v>
      </c>
      <c r="H2893" t="s">
        <v>73</v>
      </c>
      <c r="I2893">
        <v>4</v>
      </c>
      <c r="J2893">
        <v>211</v>
      </c>
      <c r="K2893">
        <v>0</v>
      </c>
      <c r="L2893">
        <v>844</v>
      </c>
      <c r="M2893">
        <v>574.82000000000005</v>
      </c>
      <c r="N2893">
        <v>269.18</v>
      </c>
      <c r="O2893" t="s">
        <v>80</v>
      </c>
      <c r="P2893" t="s">
        <v>84</v>
      </c>
    </row>
    <row r="2894" spans="1:16" x14ac:dyDescent="0.25">
      <c r="A2894">
        <v>2893</v>
      </c>
      <c r="B2894" s="2">
        <v>45698</v>
      </c>
      <c r="C2894" t="s">
        <v>20</v>
      </c>
      <c r="D2894" t="s">
        <v>26</v>
      </c>
      <c r="E2894" t="s">
        <v>30</v>
      </c>
      <c r="F2894" t="s">
        <v>56</v>
      </c>
      <c r="G2894" t="s">
        <v>70</v>
      </c>
      <c r="H2894" t="s">
        <v>75</v>
      </c>
      <c r="I2894">
        <v>6</v>
      </c>
      <c r="J2894">
        <v>41528</v>
      </c>
      <c r="K2894">
        <v>0.15</v>
      </c>
      <c r="L2894">
        <v>211792.8</v>
      </c>
      <c r="M2894">
        <v>121739.91</v>
      </c>
      <c r="N2894">
        <v>90052.89</v>
      </c>
      <c r="O2894" t="s">
        <v>78</v>
      </c>
      <c r="P2894" t="s">
        <v>87</v>
      </c>
    </row>
    <row r="2895" spans="1:16" x14ac:dyDescent="0.25">
      <c r="A2895">
        <v>2894</v>
      </c>
      <c r="B2895" s="2">
        <v>45815</v>
      </c>
      <c r="C2895" t="s">
        <v>23</v>
      </c>
      <c r="D2895" t="s">
        <v>27</v>
      </c>
      <c r="E2895" t="s">
        <v>31</v>
      </c>
      <c r="F2895" t="s">
        <v>47</v>
      </c>
      <c r="G2895" t="s">
        <v>72</v>
      </c>
      <c r="H2895" t="s">
        <v>74</v>
      </c>
      <c r="I2895">
        <v>6</v>
      </c>
      <c r="J2895">
        <v>615</v>
      </c>
      <c r="K2895">
        <v>0.15</v>
      </c>
      <c r="L2895">
        <v>3136.5</v>
      </c>
      <c r="M2895">
        <v>2263.41</v>
      </c>
      <c r="N2895">
        <v>873.09</v>
      </c>
      <c r="O2895" t="s">
        <v>77</v>
      </c>
      <c r="P2895" t="s">
        <v>82</v>
      </c>
    </row>
    <row r="2896" spans="1:16" x14ac:dyDescent="0.25">
      <c r="A2896">
        <v>2895</v>
      </c>
      <c r="B2896" s="2">
        <v>45795</v>
      </c>
      <c r="C2896" t="s">
        <v>21</v>
      </c>
      <c r="D2896" t="s">
        <v>24</v>
      </c>
      <c r="E2896" t="s">
        <v>32</v>
      </c>
      <c r="F2896" t="s">
        <v>39</v>
      </c>
      <c r="G2896" t="s">
        <v>70</v>
      </c>
      <c r="H2896" t="s">
        <v>73</v>
      </c>
      <c r="I2896">
        <v>1</v>
      </c>
      <c r="J2896">
        <v>19988</v>
      </c>
      <c r="K2896">
        <v>0.1</v>
      </c>
      <c r="L2896">
        <v>17989.2</v>
      </c>
      <c r="M2896">
        <v>14692.85</v>
      </c>
      <c r="N2896">
        <v>3296.35</v>
      </c>
      <c r="O2896" t="s">
        <v>76</v>
      </c>
      <c r="P2896" t="s">
        <v>84</v>
      </c>
    </row>
    <row r="2897" spans="1:16" x14ac:dyDescent="0.25">
      <c r="A2897">
        <v>2896</v>
      </c>
      <c r="B2897" s="2">
        <v>45685</v>
      </c>
      <c r="C2897" t="s">
        <v>21</v>
      </c>
      <c r="D2897" t="s">
        <v>24</v>
      </c>
      <c r="E2897" t="s">
        <v>33</v>
      </c>
      <c r="F2897" t="s">
        <v>60</v>
      </c>
      <c r="G2897" t="s">
        <v>70</v>
      </c>
      <c r="H2897" t="s">
        <v>74</v>
      </c>
      <c r="I2897">
        <v>7</v>
      </c>
      <c r="J2897">
        <v>32967</v>
      </c>
      <c r="K2897">
        <v>0.1</v>
      </c>
      <c r="L2897">
        <v>207692.1</v>
      </c>
      <c r="M2897">
        <v>143615.22</v>
      </c>
      <c r="N2897">
        <v>64076.88</v>
      </c>
      <c r="O2897" t="s">
        <v>79</v>
      </c>
      <c r="P2897" t="s">
        <v>88</v>
      </c>
    </row>
    <row r="2898" spans="1:16" x14ac:dyDescent="0.25">
      <c r="A2898">
        <v>2897</v>
      </c>
      <c r="B2898" s="2">
        <v>45996</v>
      </c>
      <c r="C2898" t="s">
        <v>20</v>
      </c>
      <c r="D2898" t="s">
        <v>26</v>
      </c>
      <c r="E2898" t="s">
        <v>33</v>
      </c>
      <c r="F2898" t="s">
        <v>41</v>
      </c>
      <c r="G2898" t="s">
        <v>71</v>
      </c>
      <c r="H2898" t="s">
        <v>73</v>
      </c>
      <c r="I2898">
        <v>7</v>
      </c>
      <c r="J2898">
        <v>34267</v>
      </c>
      <c r="K2898">
        <v>0.1</v>
      </c>
      <c r="L2898">
        <v>215882.1</v>
      </c>
      <c r="M2898">
        <v>136292.18</v>
      </c>
      <c r="N2898">
        <v>79589.919999999998</v>
      </c>
      <c r="O2898" t="s">
        <v>77</v>
      </c>
      <c r="P2898" t="s">
        <v>83</v>
      </c>
    </row>
    <row r="2899" spans="1:16" x14ac:dyDescent="0.25">
      <c r="A2899">
        <v>2898</v>
      </c>
      <c r="B2899" s="2">
        <v>45804</v>
      </c>
      <c r="C2899" t="s">
        <v>21</v>
      </c>
      <c r="D2899" t="s">
        <v>24</v>
      </c>
      <c r="E2899" t="s">
        <v>34</v>
      </c>
      <c r="F2899" t="s">
        <v>43</v>
      </c>
      <c r="G2899" t="s">
        <v>70</v>
      </c>
      <c r="H2899" t="s">
        <v>75</v>
      </c>
      <c r="I2899">
        <v>3</v>
      </c>
      <c r="J2899">
        <v>265</v>
      </c>
      <c r="K2899">
        <v>0.1</v>
      </c>
      <c r="L2899">
        <v>715.5</v>
      </c>
      <c r="M2899">
        <v>547.41999999999996</v>
      </c>
      <c r="N2899">
        <v>168.08</v>
      </c>
      <c r="O2899" t="s">
        <v>80</v>
      </c>
      <c r="P2899" t="s">
        <v>81</v>
      </c>
    </row>
    <row r="2900" spans="1:16" x14ac:dyDescent="0.25">
      <c r="A2900">
        <v>2899</v>
      </c>
      <c r="B2900" s="2">
        <v>45815</v>
      </c>
      <c r="C2900" t="s">
        <v>22</v>
      </c>
      <c r="D2900" t="s">
        <v>24</v>
      </c>
      <c r="E2900" t="s">
        <v>28</v>
      </c>
      <c r="F2900" t="s">
        <v>58</v>
      </c>
      <c r="G2900" t="s">
        <v>72</v>
      </c>
      <c r="H2900" t="s">
        <v>75</v>
      </c>
      <c r="I2900">
        <v>7</v>
      </c>
      <c r="J2900">
        <v>1988</v>
      </c>
      <c r="K2900">
        <v>0</v>
      </c>
      <c r="L2900">
        <v>13916</v>
      </c>
      <c r="M2900">
        <v>11886.24</v>
      </c>
      <c r="N2900">
        <v>2029.76</v>
      </c>
      <c r="O2900" t="s">
        <v>79</v>
      </c>
      <c r="P2900" t="s">
        <v>84</v>
      </c>
    </row>
    <row r="2901" spans="1:16" x14ac:dyDescent="0.25">
      <c r="A2901">
        <v>2900</v>
      </c>
      <c r="B2901" s="2">
        <v>45875</v>
      </c>
      <c r="C2901" t="s">
        <v>23</v>
      </c>
      <c r="D2901" t="s">
        <v>27</v>
      </c>
      <c r="E2901" t="s">
        <v>30</v>
      </c>
      <c r="F2901" t="s">
        <v>64</v>
      </c>
      <c r="G2901" t="s">
        <v>71</v>
      </c>
      <c r="H2901" t="s">
        <v>74</v>
      </c>
      <c r="I2901">
        <v>6</v>
      </c>
      <c r="J2901">
        <v>54049</v>
      </c>
      <c r="K2901">
        <v>0.1</v>
      </c>
      <c r="L2901">
        <v>291864.59999999998</v>
      </c>
      <c r="M2901">
        <v>245087.41</v>
      </c>
      <c r="N2901">
        <v>46777.19</v>
      </c>
      <c r="O2901" t="s">
        <v>80</v>
      </c>
      <c r="P2901" t="s">
        <v>87</v>
      </c>
    </row>
    <row r="2902" spans="1:16" x14ac:dyDescent="0.25">
      <c r="A2902">
        <v>2901</v>
      </c>
      <c r="B2902" s="2">
        <v>45972</v>
      </c>
      <c r="C2902" t="s">
        <v>17</v>
      </c>
      <c r="D2902" t="s">
        <v>25</v>
      </c>
      <c r="E2902" t="s">
        <v>32</v>
      </c>
      <c r="F2902" t="s">
        <v>62</v>
      </c>
      <c r="G2902" t="s">
        <v>71</v>
      </c>
      <c r="H2902" t="s">
        <v>74</v>
      </c>
      <c r="I2902">
        <v>8</v>
      </c>
      <c r="J2902">
        <v>3161</v>
      </c>
      <c r="K2902">
        <v>0.05</v>
      </c>
      <c r="L2902">
        <v>24023.599999999999</v>
      </c>
      <c r="M2902">
        <v>17677.419999999998</v>
      </c>
      <c r="N2902">
        <v>6346.18</v>
      </c>
      <c r="O2902" t="s">
        <v>80</v>
      </c>
      <c r="P2902" t="s">
        <v>82</v>
      </c>
    </row>
    <row r="2903" spans="1:16" x14ac:dyDescent="0.25">
      <c r="A2903">
        <v>2902</v>
      </c>
      <c r="B2903" s="2">
        <v>45801</v>
      </c>
      <c r="C2903" t="s">
        <v>21</v>
      </c>
      <c r="D2903" t="s">
        <v>24</v>
      </c>
      <c r="E2903" t="s">
        <v>29</v>
      </c>
      <c r="F2903" t="s">
        <v>45</v>
      </c>
      <c r="G2903" t="s">
        <v>72</v>
      </c>
      <c r="H2903" t="s">
        <v>73</v>
      </c>
      <c r="I2903">
        <v>5</v>
      </c>
      <c r="J2903">
        <v>11104</v>
      </c>
      <c r="K2903">
        <v>0.1</v>
      </c>
      <c r="L2903">
        <v>49968</v>
      </c>
      <c r="M2903">
        <v>31308.85</v>
      </c>
      <c r="N2903">
        <v>18659.150000000001</v>
      </c>
      <c r="O2903" t="s">
        <v>79</v>
      </c>
      <c r="P2903" t="s">
        <v>81</v>
      </c>
    </row>
    <row r="2904" spans="1:16" x14ac:dyDescent="0.25">
      <c r="A2904">
        <v>2903</v>
      </c>
      <c r="B2904" s="2">
        <v>45900</v>
      </c>
      <c r="C2904" t="s">
        <v>20</v>
      </c>
      <c r="D2904" t="s">
        <v>26</v>
      </c>
      <c r="E2904" t="s">
        <v>30</v>
      </c>
      <c r="F2904" t="s">
        <v>40</v>
      </c>
      <c r="G2904" t="s">
        <v>70</v>
      </c>
      <c r="H2904" t="s">
        <v>75</v>
      </c>
      <c r="I2904">
        <v>7</v>
      </c>
      <c r="J2904">
        <v>49965</v>
      </c>
      <c r="K2904">
        <v>0.15</v>
      </c>
      <c r="L2904">
        <v>297291.75</v>
      </c>
      <c r="M2904">
        <v>232704.35</v>
      </c>
      <c r="N2904">
        <v>64587.4</v>
      </c>
      <c r="O2904" t="s">
        <v>76</v>
      </c>
      <c r="P2904" t="s">
        <v>81</v>
      </c>
    </row>
    <row r="2905" spans="1:16" x14ac:dyDescent="0.25">
      <c r="A2905">
        <v>2904</v>
      </c>
      <c r="B2905" s="2">
        <v>45697</v>
      </c>
      <c r="C2905" t="s">
        <v>20</v>
      </c>
      <c r="D2905" t="s">
        <v>26</v>
      </c>
      <c r="E2905" t="s">
        <v>29</v>
      </c>
      <c r="F2905" t="s">
        <v>36</v>
      </c>
      <c r="G2905" t="s">
        <v>72</v>
      </c>
      <c r="H2905" t="s">
        <v>75</v>
      </c>
      <c r="I2905">
        <v>7</v>
      </c>
      <c r="J2905">
        <v>9580</v>
      </c>
      <c r="K2905">
        <v>0.1</v>
      </c>
      <c r="L2905">
        <v>60354</v>
      </c>
      <c r="M2905">
        <v>44280.31</v>
      </c>
      <c r="N2905">
        <v>16073.69</v>
      </c>
      <c r="O2905" t="s">
        <v>80</v>
      </c>
      <c r="P2905" t="s">
        <v>88</v>
      </c>
    </row>
    <row r="2906" spans="1:16" x14ac:dyDescent="0.25">
      <c r="A2906">
        <v>2905</v>
      </c>
      <c r="B2906" s="2">
        <v>45956</v>
      </c>
      <c r="C2906" t="s">
        <v>19</v>
      </c>
      <c r="D2906" t="s">
        <v>26</v>
      </c>
      <c r="E2906" t="s">
        <v>32</v>
      </c>
      <c r="F2906" t="s">
        <v>49</v>
      </c>
      <c r="G2906" t="s">
        <v>71</v>
      </c>
      <c r="H2906" t="s">
        <v>73</v>
      </c>
      <c r="I2906">
        <v>8</v>
      </c>
      <c r="J2906">
        <v>9156</v>
      </c>
      <c r="K2906">
        <v>0</v>
      </c>
      <c r="L2906">
        <v>73248</v>
      </c>
      <c r="M2906">
        <v>47678.76</v>
      </c>
      <c r="N2906">
        <v>25569.24</v>
      </c>
      <c r="O2906" t="s">
        <v>79</v>
      </c>
      <c r="P2906" t="s">
        <v>83</v>
      </c>
    </row>
    <row r="2907" spans="1:16" x14ac:dyDescent="0.25">
      <c r="A2907">
        <v>2906</v>
      </c>
      <c r="B2907" s="2">
        <v>45752</v>
      </c>
      <c r="C2907" t="s">
        <v>18</v>
      </c>
      <c r="D2907" t="s">
        <v>26</v>
      </c>
      <c r="E2907" t="s">
        <v>33</v>
      </c>
      <c r="F2907" t="s">
        <v>60</v>
      </c>
      <c r="G2907" t="s">
        <v>72</v>
      </c>
      <c r="H2907" t="s">
        <v>74</v>
      </c>
      <c r="I2907">
        <v>1</v>
      </c>
      <c r="J2907">
        <v>45709</v>
      </c>
      <c r="K2907">
        <v>0.15</v>
      </c>
      <c r="L2907">
        <v>38852.65</v>
      </c>
      <c r="M2907">
        <v>33325.4</v>
      </c>
      <c r="N2907">
        <v>5527.25</v>
      </c>
      <c r="O2907" t="s">
        <v>77</v>
      </c>
      <c r="P2907" t="s">
        <v>82</v>
      </c>
    </row>
    <row r="2908" spans="1:16" x14ac:dyDescent="0.25">
      <c r="A2908">
        <v>2907</v>
      </c>
      <c r="B2908" s="2">
        <v>45793</v>
      </c>
      <c r="C2908" t="s">
        <v>21</v>
      </c>
      <c r="D2908" t="s">
        <v>24</v>
      </c>
      <c r="E2908" t="s">
        <v>33</v>
      </c>
      <c r="F2908" t="s">
        <v>60</v>
      </c>
      <c r="G2908" t="s">
        <v>71</v>
      </c>
      <c r="H2908" t="s">
        <v>73</v>
      </c>
      <c r="I2908">
        <v>3</v>
      </c>
      <c r="J2908">
        <v>46523</v>
      </c>
      <c r="K2908">
        <v>0.05</v>
      </c>
      <c r="L2908">
        <v>132590.54999999999</v>
      </c>
      <c r="M2908">
        <v>113509.57</v>
      </c>
      <c r="N2908">
        <v>19080.98</v>
      </c>
      <c r="O2908" t="s">
        <v>80</v>
      </c>
      <c r="P2908" t="s">
        <v>82</v>
      </c>
    </row>
    <row r="2909" spans="1:16" x14ac:dyDescent="0.25">
      <c r="A2909">
        <v>2908</v>
      </c>
      <c r="B2909" s="2">
        <v>45706</v>
      </c>
      <c r="C2909" t="s">
        <v>16</v>
      </c>
      <c r="D2909" t="s">
        <v>24</v>
      </c>
      <c r="E2909" t="s">
        <v>33</v>
      </c>
      <c r="F2909" t="s">
        <v>52</v>
      </c>
      <c r="G2909" t="s">
        <v>72</v>
      </c>
      <c r="H2909" t="s">
        <v>75</v>
      </c>
      <c r="I2909">
        <v>5</v>
      </c>
      <c r="J2909">
        <v>21105</v>
      </c>
      <c r="K2909">
        <v>0.15</v>
      </c>
      <c r="L2909">
        <v>89696.25</v>
      </c>
      <c r="M2909">
        <v>52664.84</v>
      </c>
      <c r="N2909">
        <v>37031.410000000003</v>
      </c>
      <c r="O2909" t="s">
        <v>78</v>
      </c>
      <c r="P2909" t="s">
        <v>87</v>
      </c>
    </row>
    <row r="2910" spans="1:16" x14ac:dyDescent="0.25">
      <c r="A2910">
        <v>2909</v>
      </c>
      <c r="B2910" s="2">
        <v>46008</v>
      </c>
      <c r="C2910" t="s">
        <v>18</v>
      </c>
      <c r="D2910" t="s">
        <v>26</v>
      </c>
      <c r="E2910" t="s">
        <v>34</v>
      </c>
      <c r="F2910" t="s">
        <v>43</v>
      </c>
      <c r="G2910" t="s">
        <v>71</v>
      </c>
      <c r="H2910" t="s">
        <v>74</v>
      </c>
      <c r="I2910">
        <v>3</v>
      </c>
      <c r="J2910">
        <v>4863</v>
      </c>
      <c r="K2910">
        <v>0.1</v>
      </c>
      <c r="L2910">
        <v>13130.1</v>
      </c>
      <c r="M2910">
        <v>7570.05</v>
      </c>
      <c r="N2910">
        <v>5560.05</v>
      </c>
      <c r="O2910" t="s">
        <v>77</v>
      </c>
      <c r="P2910" t="s">
        <v>87</v>
      </c>
    </row>
    <row r="2911" spans="1:16" x14ac:dyDescent="0.25">
      <c r="A2911">
        <v>2910</v>
      </c>
      <c r="B2911" s="2">
        <v>45869</v>
      </c>
      <c r="C2911" t="s">
        <v>18</v>
      </c>
      <c r="D2911" t="s">
        <v>26</v>
      </c>
      <c r="E2911" t="s">
        <v>30</v>
      </c>
      <c r="F2911" t="s">
        <v>56</v>
      </c>
      <c r="G2911" t="s">
        <v>71</v>
      </c>
      <c r="H2911" t="s">
        <v>73</v>
      </c>
      <c r="I2911">
        <v>2</v>
      </c>
      <c r="J2911">
        <v>10780</v>
      </c>
      <c r="K2911">
        <v>0</v>
      </c>
      <c r="L2911">
        <v>21560</v>
      </c>
      <c r="M2911">
        <v>12456.54</v>
      </c>
      <c r="N2911">
        <v>9103.4599999999991</v>
      </c>
      <c r="O2911" t="s">
        <v>79</v>
      </c>
      <c r="P2911" t="s">
        <v>88</v>
      </c>
    </row>
    <row r="2912" spans="1:16" x14ac:dyDescent="0.25">
      <c r="A2912">
        <v>2911</v>
      </c>
      <c r="B2912" s="2">
        <v>45667</v>
      </c>
      <c r="C2912" t="s">
        <v>22</v>
      </c>
      <c r="D2912" t="s">
        <v>24</v>
      </c>
      <c r="E2912" t="s">
        <v>29</v>
      </c>
      <c r="F2912" t="s">
        <v>36</v>
      </c>
      <c r="G2912" t="s">
        <v>70</v>
      </c>
      <c r="H2912" t="s">
        <v>74</v>
      </c>
      <c r="I2912">
        <v>5</v>
      </c>
      <c r="J2912">
        <v>3607</v>
      </c>
      <c r="K2912">
        <v>0.05</v>
      </c>
      <c r="L2912">
        <v>17133.25</v>
      </c>
      <c r="M2912">
        <v>13206.21</v>
      </c>
      <c r="N2912">
        <v>3927.04</v>
      </c>
      <c r="O2912" t="s">
        <v>78</v>
      </c>
      <c r="P2912" t="s">
        <v>87</v>
      </c>
    </row>
    <row r="2913" spans="1:16" x14ac:dyDescent="0.25">
      <c r="A2913">
        <v>2912</v>
      </c>
      <c r="B2913" s="2">
        <v>45971</v>
      </c>
      <c r="C2913" t="s">
        <v>16</v>
      </c>
      <c r="D2913" t="s">
        <v>24</v>
      </c>
      <c r="E2913" t="s">
        <v>31</v>
      </c>
      <c r="F2913" t="s">
        <v>38</v>
      </c>
      <c r="G2913" t="s">
        <v>72</v>
      </c>
      <c r="H2913" t="s">
        <v>74</v>
      </c>
      <c r="I2913">
        <v>8</v>
      </c>
      <c r="J2913">
        <v>1740</v>
      </c>
      <c r="K2913">
        <v>0</v>
      </c>
      <c r="L2913">
        <v>13920</v>
      </c>
      <c r="M2913">
        <v>11265.91</v>
      </c>
      <c r="N2913">
        <v>2654.09</v>
      </c>
      <c r="O2913" t="s">
        <v>78</v>
      </c>
      <c r="P2913" t="s">
        <v>86</v>
      </c>
    </row>
    <row r="2914" spans="1:16" x14ac:dyDescent="0.25">
      <c r="A2914">
        <v>2913</v>
      </c>
      <c r="B2914" s="2">
        <v>45721</v>
      </c>
      <c r="C2914" t="s">
        <v>20</v>
      </c>
      <c r="D2914" t="s">
        <v>26</v>
      </c>
      <c r="E2914" t="s">
        <v>31</v>
      </c>
      <c r="F2914" t="s">
        <v>47</v>
      </c>
      <c r="G2914" t="s">
        <v>70</v>
      </c>
      <c r="H2914" t="s">
        <v>75</v>
      </c>
      <c r="I2914">
        <v>2</v>
      </c>
      <c r="J2914">
        <v>322</v>
      </c>
      <c r="K2914">
        <v>0.15</v>
      </c>
      <c r="L2914">
        <v>547.4</v>
      </c>
      <c r="M2914">
        <v>444.22</v>
      </c>
      <c r="N2914">
        <v>103.18</v>
      </c>
      <c r="O2914" t="s">
        <v>78</v>
      </c>
      <c r="P2914" t="s">
        <v>88</v>
      </c>
    </row>
    <row r="2915" spans="1:16" x14ac:dyDescent="0.25">
      <c r="A2915">
        <v>2914</v>
      </c>
      <c r="B2915" s="2">
        <v>45762</v>
      </c>
      <c r="C2915" t="s">
        <v>22</v>
      </c>
      <c r="D2915" t="s">
        <v>24</v>
      </c>
      <c r="E2915" t="s">
        <v>33</v>
      </c>
      <c r="F2915" t="s">
        <v>46</v>
      </c>
      <c r="G2915" t="s">
        <v>70</v>
      </c>
      <c r="H2915" t="s">
        <v>75</v>
      </c>
      <c r="I2915">
        <v>2</v>
      </c>
      <c r="J2915">
        <v>9460</v>
      </c>
      <c r="K2915">
        <v>0.05</v>
      </c>
      <c r="L2915">
        <v>17974</v>
      </c>
      <c r="M2915">
        <v>10482.34</v>
      </c>
      <c r="N2915">
        <v>7491.66</v>
      </c>
      <c r="O2915" t="s">
        <v>77</v>
      </c>
      <c r="P2915" t="s">
        <v>86</v>
      </c>
    </row>
    <row r="2916" spans="1:16" x14ac:dyDescent="0.25">
      <c r="A2916">
        <v>2915</v>
      </c>
      <c r="B2916" s="2">
        <v>46013</v>
      </c>
      <c r="C2916" t="s">
        <v>21</v>
      </c>
      <c r="D2916" t="s">
        <v>24</v>
      </c>
      <c r="E2916" t="s">
        <v>33</v>
      </c>
      <c r="F2916" t="s">
        <v>41</v>
      </c>
      <c r="G2916" t="s">
        <v>70</v>
      </c>
      <c r="H2916" t="s">
        <v>74</v>
      </c>
      <c r="I2916">
        <v>5</v>
      </c>
      <c r="J2916">
        <v>36817</v>
      </c>
      <c r="K2916">
        <v>0</v>
      </c>
      <c r="L2916">
        <v>184085</v>
      </c>
      <c r="M2916">
        <v>153024.06</v>
      </c>
      <c r="N2916">
        <v>31060.94</v>
      </c>
      <c r="O2916" t="s">
        <v>78</v>
      </c>
      <c r="P2916" t="s">
        <v>85</v>
      </c>
    </row>
    <row r="2917" spans="1:16" x14ac:dyDescent="0.25">
      <c r="A2917">
        <v>2916</v>
      </c>
      <c r="B2917" s="2">
        <v>45727</v>
      </c>
      <c r="C2917" t="s">
        <v>23</v>
      </c>
      <c r="D2917" t="s">
        <v>27</v>
      </c>
      <c r="E2917" t="s">
        <v>32</v>
      </c>
      <c r="F2917" t="s">
        <v>39</v>
      </c>
      <c r="G2917" t="s">
        <v>70</v>
      </c>
      <c r="H2917" t="s">
        <v>73</v>
      </c>
      <c r="I2917">
        <v>8</v>
      </c>
      <c r="J2917">
        <v>9581</v>
      </c>
      <c r="K2917">
        <v>0.05</v>
      </c>
      <c r="L2917">
        <v>72815.600000000006</v>
      </c>
      <c r="M2917">
        <v>44436.34</v>
      </c>
      <c r="N2917">
        <v>28379.26</v>
      </c>
      <c r="O2917" t="s">
        <v>78</v>
      </c>
      <c r="P2917" t="s">
        <v>85</v>
      </c>
    </row>
    <row r="2918" spans="1:16" x14ac:dyDescent="0.25">
      <c r="A2918">
        <v>2917</v>
      </c>
      <c r="B2918" s="2">
        <v>45913</v>
      </c>
      <c r="C2918" t="s">
        <v>16</v>
      </c>
      <c r="D2918" t="s">
        <v>24</v>
      </c>
      <c r="E2918" t="s">
        <v>32</v>
      </c>
      <c r="F2918" t="s">
        <v>48</v>
      </c>
      <c r="G2918" t="s">
        <v>72</v>
      </c>
      <c r="H2918" t="s">
        <v>74</v>
      </c>
      <c r="I2918">
        <v>6</v>
      </c>
      <c r="J2918">
        <v>6062</v>
      </c>
      <c r="K2918">
        <v>0.05</v>
      </c>
      <c r="L2918">
        <v>34553.4</v>
      </c>
      <c r="M2918">
        <v>25465.03</v>
      </c>
      <c r="N2918">
        <v>9088.3700000000008</v>
      </c>
      <c r="O2918" t="s">
        <v>76</v>
      </c>
      <c r="P2918" t="s">
        <v>86</v>
      </c>
    </row>
    <row r="2919" spans="1:16" x14ac:dyDescent="0.25">
      <c r="A2919">
        <v>2918</v>
      </c>
      <c r="B2919" s="2">
        <v>45658</v>
      </c>
      <c r="C2919" t="s">
        <v>21</v>
      </c>
      <c r="D2919" t="s">
        <v>24</v>
      </c>
      <c r="E2919" t="s">
        <v>32</v>
      </c>
      <c r="F2919" t="s">
        <v>62</v>
      </c>
      <c r="G2919" t="s">
        <v>72</v>
      </c>
      <c r="H2919" t="s">
        <v>75</v>
      </c>
      <c r="I2919">
        <v>3</v>
      </c>
      <c r="J2919">
        <v>10601</v>
      </c>
      <c r="K2919">
        <v>0.15</v>
      </c>
      <c r="L2919">
        <v>27032.55</v>
      </c>
      <c r="M2919">
        <v>18199.400000000001</v>
      </c>
      <c r="N2919">
        <v>8833.15</v>
      </c>
      <c r="O2919" t="s">
        <v>80</v>
      </c>
      <c r="P2919" t="s">
        <v>84</v>
      </c>
    </row>
    <row r="2920" spans="1:16" x14ac:dyDescent="0.25">
      <c r="A2920">
        <v>2919</v>
      </c>
      <c r="B2920" s="2">
        <v>45941</v>
      </c>
      <c r="C2920" t="s">
        <v>18</v>
      </c>
      <c r="D2920" t="s">
        <v>26</v>
      </c>
      <c r="E2920" t="s">
        <v>32</v>
      </c>
      <c r="F2920" t="s">
        <v>48</v>
      </c>
      <c r="G2920" t="s">
        <v>71</v>
      </c>
      <c r="H2920" t="s">
        <v>75</v>
      </c>
      <c r="I2920">
        <v>7</v>
      </c>
      <c r="J2920">
        <v>20922</v>
      </c>
      <c r="K2920">
        <v>0.1</v>
      </c>
      <c r="L2920">
        <v>131808.6</v>
      </c>
      <c r="M2920">
        <v>89398.14</v>
      </c>
      <c r="N2920">
        <v>42410.46</v>
      </c>
      <c r="O2920" t="s">
        <v>78</v>
      </c>
      <c r="P2920" t="s">
        <v>86</v>
      </c>
    </row>
    <row r="2921" spans="1:16" x14ac:dyDescent="0.25">
      <c r="A2921">
        <v>2920</v>
      </c>
      <c r="B2921" s="2">
        <v>45707</v>
      </c>
      <c r="C2921" t="s">
        <v>19</v>
      </c>
      <c r="D2921" t="s">
        <v>26</v>
      </c>
      <c r="E2921" t="s">
        <v>33</v>
      </c>
      <c r="F2921" t="s">
        <v>59</v>
      </c>
      <c r="G2921" t="s">
        <v>72</v>
      </c>
      <c r="H2921" t="s">
        <v>75</v>
      </c>
      <c r="I2921">
        <v>1</v>
      </c>
      <c r="J2921">
        <v>16899</v>
      </c>
      <c r="K2921">
        <v>0.05</v>
      </c>
      <c r="L2921">
        <v>16054.05</v>
      </c>
      <c r="M2921">
        <v>13250.96</v>
      </c>
      <c r="N2921">
        <v>2803.09</v>
      </c>
      <c r="O2921" t="s">
        <v>80</v>
      </c>
      <c r="P2921" t="s">
        <v>81</v>
      </c>
    </row>
    <row r="2922" spans="1:16" x14ac:dyDescent="0.25">
      <c r="A2922">
        <v>2921</v>
      </c>
      <c r="B2922" s="2">
        <v>45722</v>
      </c>
      <c r="C2922" t="s">
        <v>19</v>
      </c>
      <c r="D2922" t="s">
        <v>26</v>
      </c>
      <c r="E2922" t="s">
        <v>33</v>
      </c>
      <c r="F2922" t="s">
        <v>59</v>
      </c>
      <c r="G2922" t="s">
        <v>72</v>
      </c>
      <c r="H2922" t="s">
        <v>73</v>
      </c>
      <c r="I2922">
        <v>7</v>
      </c>
      <c r="J2922">
        <v>8096</v>
      </c>
      <c r="K2922">
        <v>0.05</v>
      </c>
      <c r="L2922">
        <v>53838.400000000001</v>
      </c>
      <c r="M2922">
        <v>45188.31</v>
      </c>
      <c r="N2922">
        <v>8650.09</v>
      </c>
      <c r="O2922" t="s">
        <v>77</v>
      </c>
      <c r="P2922" t="s">
        <v>86</v>
      </c>
    </row>
    <row r="2923" spans="1:16" x14ac:dyDescent="0.25">
      <c r="A2923">
        <v>2922</v>
      </c>
      <c r="B2923" s="2">
        <v>45758</v>
      </c>
      <c r="C2923" t="s">
        <v>19</v>
      </c>
      <c r="D2923" t="s">
        <v>26</v>
      </c>
      <c r="E2923" t="s">
        <v>32</v>
      </c>
      <c r="F2923" t="s">
        <v>39</v>
      </c>
      <c r="G2923" t="s">
        <v>71</v>
      </c>
      <c r="H2923" t="s">
        <v>74</v>
      </c>
      <c r="I2923">
        <v>6</v>
      </c>
      <c r="J2923">
        <v>24455</v>
      </c>
      <c r="K2923">
        <v>0.1</v>
      </c>
      <c r="L2923">
        <v>132057</v>
      </c>
      <c r="M2923">
        <v>75722.289999999994</v>
      </c>
      <c r="N2923">
        <v>56334.71</v>
      </c>
      <c r="O2923" t="s">
        <v>80</v>
      </c>
      <c r="P2923" t="s">
        <v>85</v>
      </c>
    </row>
    <row r="2924" spans="1:16" x14ac:dyDescent="0.25">
      <c r="A2924">
        <v>2923</v>
      </c>
      <c r="B2924" s="2">
        <v>45977</v>
      </c>
      <c r="C2924" t="s">
        <v>21</v>
      </c>
      <c r="D2924" t="s">
        <v>24</v>
      </c>
      <c r="E2924" t="s">
        <v>29</v>
      </c>
      <c r="F2924" t="s">
        <v>36</v>
      </c>
      <c r="G2924" t="s">
        <v>70</v>
      </c>
      <c r="H2924" t="s">
        <v>75</v>
      </c>
      <c r="I2924">
        <v>7</v>
      </c>
      <c r="J2924">
        <v>9586</v>
      </c>
      <c r="K2924">
        <v>0</v>
      </c>
      <c r="L2924">
        <v>67102</v>
      </c>
      <c r="M2924">
        <v>42688.81</v>
      </c>
      <c r="N2924">
        <v>24413.19</v>
      </c>
      <c r="O2924" t="s">
        <v>76</v>
      </c>
      <c r="P2924" t="s">
        <v>87</v>
      </c>
    </row>
    <row r="2925" spans="1:16" x14ac:dyDescent="0.25">
      <c r="A2925">
        <v>2924</v>
      </c>
      <c r="B2925" s="2">
        <v>45837</v>
      </c>
      <c r="C2925" t="s">
        <v>16</v>
      </c>
      <c r="D2925" t="s">
        <v>24</v>
      </c>
      <c r="E2925" t="s">
        <v>32</v>
      </c>
      <c r="F2925" t="s">
        <v>48</v>
      </c>
      <c r="G2925" t="s">
        <v>72</v>
      </c>
      <c r="H2925" t="s">
        <v>75</v>
      </c>
      <c r="I2925">
        <v>5</v>
      </c>
      <c r="J2925">
        <v>10028</v>
      </c>
      <c r="K2925">
        <v>0.15</v>
      </c>
      <c r="L2925">
        <v>42619</v>
      </c>
      <c r="M2925">
        <v>24930.45</v>
      </c>
      <c r="N2925">
        <v>17688.55</v>
      </c>
      <c r="O2925" t="s">
        <v>80</v>
      </c>
      <c r="P2925" t="s">
        <v>88</v>
      </c>
    </row>
    <row r="2926" spans="1:16" x14ac:dyDescent="0.25">
      <c r="A2926">
        <v>2925</v>
      </c>
      <c r="B2926" s="2">
        <v>45901</v>
      </c>
      <c r="C2926" t="s">
        <v>17</v>
      </c>
      <c r="D2926" t="s">
        <v>25</v>
      </c>
      <c r="E2926" t="s">
        <v>28</v>
      </c>
      <c r="F2926" t="s">
        <v>58</v>
      </c>
      <c r="G2926" t="s">
        <v>71</v>
      </c>
      <c r="H2926" t="s">
        <v>75</v>
      </c>
      <c r="I2926">
        <v>6</v>
      </c>
      <c r="J2926">
        <v>440</v>
      </c>
      <c r="K2926">
        <v>0.05</v>
      </c>
      <c r="L2926">
        <v>2508</v>
      </c>
      <c r="M2926">
        <v>1440.12</v>
      </c>
      <c r="N2926">
        <v>1067.8800000000001</v>
      </c>
      <c r="O2926" t="s">
        <v>78</v>
      </c>
      <c r="P2926" t="s">
        <v>81</v>
      </c>
    </row>
    <row r="2927" spans="1:16" x14ac:dyDescent="0.25">
      <c r="A2927">
        <v>2926</v>
      </c>
      <c r="B2927" s="2">
        <v>45728</v>
      </c>
      <c r="C2927" t="s">
        <v>16</v>
      </c>
      <c r="D2927" t="s">
        <v>24</v>
      </c>
      <c r="E2927" t="s">
        <v>30</v>
      </c>
      <c r="F2927" t="s">
        <v>56</v>
      </c>
      <c r="G2927" t="s">
        <v>70</v>
      </c>
      <c r="H2927" t="s">
        <v>73</v>
      </c>
      <c r="I2927">
        <v>1</v>
      </c>
      <c r="J2927">
        <v>7670</v>
      </c>
      <c r="K2927">
        <v>0.1</v>
      </c>
      <c r="L2927">
        <v>6903</v>
      </c>
      <c r="M2927">
        <v>4069.3</v>
      </c>
      <c r="N2927">
        <v>2833.7</v>
      </c>
      <c r="O2927" t="s">
        <v>77</v>
      </c>
      <c r="P2927" t="s">
        <v>87</v>
      </c>
    </row>
    <row r="2928" spans="1:16" x14ac:dyDescent="0.25">
      <c r="A2928">
        <v>2927</v>
      </c>
      <c r="B2928" s="2">
        <v>45794</v>
      </c>
      <c r="C2928" t="s">
        <v>21</v>
      </c>
      <c r="D2928" t="s">
        <v>24</v>
      </c>
      <c r="E2928" t="s">
        <v>28</v>
      </c>
      <c r="F2928" t="s">
        <v>54</v>
      </c>
      <c r="G2928" t="s">
        <v>71</v>
      </c>
      <c r="H2928" t="s">
        <v>73</v>
      </c>
      <c r="I2928">
        <v>5</v>
      </c>
      <c r="J2928">
        <v>344</v>
      </c>
      <c r="K2928">
        <v>0</v>
      </c>
      <c r="L2928">
        <v>1720</v>
      </c>
      <c r="M2928">
        <v>1318.58</v>
      </c>
      <c r="N2928">
        <v>401.42</v>
      </c>
      <c r="O2928" t="s">
        <v>76</v>
      </c>
      <c r="P2928" t="s">
        <v>88</v>
      </c>
    </row>
    <row r="2929" spans="1:16" x14ac:dyDescent="0.25">
      <c r="A2929">
        <v>2928</v>
      </c>
      <c r="B2929" s="2">
        <v>45848</v>
      </c>
      <c r="C2929" t="s">
        <v>18</v>
      </c>
      <c r="D2929" t="s">
        <v>26</v>
      </c>
      <c r="E2929" t="s">
        <v>32</v>
      </c>
      <c r="F2929" t="s">
        <v>62</v>
      </c>
      <c r="G2929" t="s">
        <v>72</v>
      </c>
      <c r="H2929" t="s">
        <v>73</v>
      </c>
      <c r="I2929">
        <v>3</v>
      </c>
      <c r="J2929">
        <v>20977</v>
      </c>
      <c r="K2929">
        <v>0</v>
      </c>
      <c r="L2929">
        <v>62931</v>
      </c>
      <c r="M2929">
        <v>39979.599999999999</v>
      </c>
      <c r="N2929">
        <v>22951.4</v>
      </c>
      <c r="O2929" t="s">
        <v>76</v>
      </c>
      <c r="P2929" t="s">
        <v>86</v>
      </c>
    </row>
    <row r="2930" spans="1:16" x14ac:dyDescent="0.25">
      <c r="A2930">
        <v>2929</v>
      </c>
      <c r="B2930" s="2">
        <v>45948</v>
      </c>
      <c r="C2930" t="s">
        <v>17</v>
      </c>
      <c r="D2930" t="s">
        <v>25</v>
      </c>
      <c r="E2930" t="s">
        <v>34</v>
      </c>
      <c r="F2930" t="s">
        <v>68</v>
      </c>
      <c r="G2930" t="s">
        <v>71</v>
      </c>
      <c r="H2930" t="s">
        <v>75</v>
      </c>
      <c r="I2930">
        <v>1</v>
      </c>
      <c r="J2930">
        <v>599</v>
      </c>
      <c r="K2930">
        <v>0.2</v>
      </c>
      <c r="L2930">
        <v>479.2</v>
      </c>
      <c r="M2930">
        <v>280.83</v>
      </c>
      <c r="N2930">
        <v>198.37</v>
      </c>
      <c r="O2930" t="s">
        <v>79</v>
      </c>
      <c r="P2930" t="s">
        <v>88</v>
      </c>
    </row>
    <row r="2931" spans="1:16" x14ac:dyDescent="0.25">
      <c r="A2931">
        <v>2930</v>
      </c>
      <c r="B2931" s="2">
        <v>45892</v>
      </c>
      <c r="C2931" t="s">
        <v>18</v>
      </c>
      <c r="D2931" t="s">
        <v>26</v>
      </c>
      <c r="E2931" t="s">
        <v>33</v>
      </c>
      <c r="F2931" t="s">
        <v>59</v>
      </c>
      <c r="G2931" t="s">
        <v>71</v>
      </c>
      <c r="H2931" t="s">
        <v>73</v>
      </c>
      <c r="I2931">
        <v>2</v>
      </c>
      <c r="J2931">
        <v>41178</v>
      </c>
      <c r="K2931">
        <v>0.1</v>
      </c>
      <c r="L2931">
        <v>74120.399999999994</v>
      </c>
      <c r="M2931">
        <v>64865.19</v>
      </c>
      <c r="N2931">
        <v>9255.2099999999991</v>
      </c>
      <c r="O2931" t="s">
        <v>79</v>
      </c>
      <c r="P2931" t="s">
        <v>83</v>
      </c>
    </row>
    <row r="2932" spans="1:16" x14ac:dyDescent="0.25">
      <c r="A2932">
        <v>2931</v>
      </c>
      <c r="B2932" s="2">
        <v>45708</v>
      </c>
      <c r="C2932" t="s">
        <v>23</v>
      </c>
      <c r="D2932" t="s">
        <v>27</v>
      </c>
      <c r="E2932" t="s">
        <v>28</v>
      </c>
      <c r="F2932" t="s">
        <v>63</v>
      </c>
      <c r="G2932" t="s">
        <v>72</v>
      </c>
      <c r="H2932" t="s">
        <v>74</v>
      </c>
      <c r="I2932">
        <v>6</v>
      </c>
      <c r="J2932">
        <v>1832</v>
      </c>
      <c r="K2932">
        <v>0</v>
      </c>
      <c r="L2932">
        <v>10992</v>
      </c>
      <c r="M2932">
        <v>6389.44</v>
      </c>
      <c r="N2932">
        <v>4602.5600000000004</v>
      </c>
      <c r="O2932" t="s">
        <v>76</v>
      </c>
      <c r="P2932" t="s">
        <v>85</v>
      </c>
    </row>
    <row r="2933" spans="1:16" x14ac:dyDescent="0.25">
      <c r="A2933">
        <v>2932</v>
      </c>
      <c r="B2933" s="2">
        <v>45983</v>
      </c>
      <c r="C2933" t="s">
        <v>19</v>
      </c>
      <c r="D2933" t="s">
        <v>26</v>
      </c>
      <c r="E2933" t="s">
        <v>31</v>
      </c>
      <c r="F2933" t="s">
        <v>47</v>
      </c>
      <c r="G2933" t="s">
        <v>72</v>
      </c>
      <c r="H2933" t="s">
        <v>75</v>
      </c>
      <c r="I2933">
        <v>1</v>
      </c>
      <c r="J2933">
        <v>1025</v>
      </c>
      <c r="K2933">
        <v>0.1</v>
      </c>
      <c r="L2933">
        <v>922.5</v>
      </c>
      <c r="M2933">
        <v>595.07000000000005</v>
      </c>
      <c r="N2933">
        <v>327.43</v>
      </c>
      <c r="O2933" t="s">
        <v>77</v>
      </c>
      <c r="P2933" t="s">
        <v>88</v>
      </c>
    </row>
    <row r="2934" spans="1:16" x14ac:dyDescent="0.25">
      <c r="A2934">
        <v>2933</v>
      </c>
      <c r="B2934" s="2">
        <v>45916</v>
      </c>
      <c r="C2934" t="s">
        <v>21</v>
      </c>
      <c r="D2934" t="s">
        <v>24</v>
      </c>
      <c r="E2934" t="s">
        <v>31</v>
      </c>
      <c r="F2934" t="s">
        <v>47</v>
      </c>
      <c r="G2934" t="s">
        <v>72</v>
      </c>
      <c r="H2934" t="s">
        <v>75</v>
      </c>
      <c r="I2934">
        <v>1</v>
      </c>
      <c r="J2934">
        <v>709</v>
      </c>
      <c r="K2934">
        <v>0.2</v>
      </c>
      <c r="L2934">
        <v>567.20000000000005</v>
      </c>
      <c r="M2934">
        <v>322.32</v>
      </c>
      <c r="N2934">
        <v>244.88</v>
      </c>
      <c r="O2934" t="s">
        <v>78</v>
      </c>
      <c r="P2934" t="s">
        <v>83</v>
      </c>
    </row>
    <row r="2935" spans="1:16" x14ac:dyDescent="0.25">
      <c r="A2935">
        <v>2934</v>
      </c>
      <c r="B2935" s="2">
        <v>45941</v>
      </c>
      <c r="C2935" t="s">
        <v>21</v>
      </c>
      <c r="D2935" t="s">
        <v>24</v>
      </c>
      <c r="E2935" t="s">
        <v>29</v>
      </c>
      <c r="F2935" t="s">
        <v>53</v>
      </c>
      <c r="G2935" t="s">
        <v>71</v>
      </c>
      <c r="H2935" t="s">
        <v>74</v>
      </c>
      <c r="I2935">
        <v>7</v>
      </c>
      <c r="J2935">
        <v>9933</v>
      </c>
      <c r="K2935">
        <v>0</v>
      </c>
      <c r="L2935">
        <v>69531</v>
      </c>
      <c r="M2935">
        <v>47023.93</v>
      </c>
      <c r="N2935">
        <v>22507.07</v>
      </c>
      <c r="O2935" t="s">
        <v>80</v>
      </c>
      <c r="P2935" t="s">
        <v>84</v>
      </c>
    </row>
    <row r="2936" spans="1:16" x14ac:dyDescent="0.25">
      <c r="A2936">
        <v>2935</v>
      </c>
      <c r="B2936" s="2">
        <v>45734</v>
      </c>
      <c r="C2936" t="s">
        <v>20</v>
      </c>
      <c r="D2936" t="s">
        <v>26</v>
      </c>
      <c r="E2936" t="s">
        <v>28</v>
      </c>
      <c r="F2936" t="s">
        <v>58</v>
      </c>
      <c r="G2936" t="s">
        <v>70</v>
      </c>
      <c r="H2936" t="s">
        <v>74</v>
      </c>
      <c r="I2936">
        <v>8</v>
      </c>
      <c r="J2936">
        <v>1109</v>
      </c>
      <c r="K2936">
        <v>0</v>
      </c>
      <c r="L2936">
        <v>8872</v>
      </c>
      <c r="M2936">
        <v>7611.5</v>
      </c>
      <c r="N2936">
        <v>1260.5</v>
      </c>
      <c r="O2936" t="s">
        <v>80</v>
      </c>
      <c r="P2936" t="s">
        <v>87</v>
      </c>
    </row>
    <row r="2937" spans="1:16" x14ac:dyDescent="0.25">
      <c r="A2937">
        <v>2936</v>
      </c>
      <c r="B2937" s="2">
        <v>45830</v>
      </c>
      <c r="C2937" t="s">
        <v>20</v>
      </c>
      <c r="D2937" t="s">
        <v>26</v>
      </c>
      <c r="E2937" t="s">
        <v>29</v>
      </c>
      <c r="F2937" t="s">
        <v>45</v>
      </c>
      <c r="G2937" t="s">
        <v>70</v>
      </c>
      <c r="H2937" t="s">
        <v>75</v>
      </c>
      <c r="I2937">
        <v>4</v>
      </c>
      <c r="J2937">
        <v>2777</v>
      </c>
      <c r="K2937">
        <v>0.1</v>
      </c>
      <c r="L2937">
        <v>9997.2000000000007</v>
      </c>
      <c r="M2937">
        <v>6359.88</v>
      </c>
      <c r="N2937">
        <v>3637.32</v>
      </c>
      <c r="O2937" t="s">
        <v>77</v>
      </c>
      <c r="P2937" t="s">
        <v>85</v>
      </c>
    </row>
    <row r="2938" spans="1:16" x14ac:dyDescent="0.25">
      <c r="A2938">
        <v>2937</v>
      </c>
      <c r="B2938" s="2">
        <v>45795</v>
      </c>
      <c r="C2938" t="s">
        <v>17</v>
      </c>
      <c r="D2938" t="s">
        <v>25</v>
      </c>
      <c r="E2938" t="s">
        <v>32</v>
      </c>
      <c r="F2938" t="s">
        <v>49</v>
      </c>
      <c r="G2938" t="s">
        <v>71</v>
      </c>
      <c r="H2938" t="s">
        <v>75</v>
      </c>
      <c r="I2938">
        <v>6</v>
      </c>
      <c r="J2938">
        <v>9248</v>
      </c>
      <c r="K2938">
        <v>0.1</v>
      </c>
      <c r="L2938">
        <v>49939.199999999997</v>
      </c>
      <c r="M2938">
        <v>39383.599999999999</v>
      </c>
      <c r="N2938">
        <v>10555.6</v>
      </c>
      <c r="O2938" t="s">
        <v>79</v>
      </c>
      <c r="P2938" t="s">
        <v>86</v>
      </c>
    </row>
    <row r="2939" spans="1:16" x14ac:dyDescent="0.25">
      <c r="A2939">
        <v>2938</v>
      </c>
      <c r="B2939" s="2">
        <v>45666</v>
      </c>
      <c r="C2939" t="s">
        <v>21</v>
      </c>
      <c r="D2939" t="s">
        <v>24</v>
      </c>
      <c r="E2939" t="s">
        <v>34</v>
      </c>
      <c r="F2939" t="s">
        <v>68</v>
      </c>
      <c r="G2939" t="s">
        <v>70</v>
      </c>
      <c r="H2939" t="s">
        <v>73</v>
      </c>
      <c r="I2939">
        <v>1</v>
      </c>
      <c r="J2939">
        <v>819</v>
      </c>
      <c r="K2939">
        <v>0.05</v>
      </c>
      <c r="L2939">
        <v>778.05</v>
      </c>
      <c r="M2939">
        <v>504.88</v>
      </c>
      <c r="N2939">
        <v>273.17</v>
      </c>
      <c r="O2939" t="s">
        <v>80</v>
      </c>
      <c r="P2939" t="s">
        <v>84</v>
      </c>
    </row>
    <row r="2940" spans="1:16" x14ac:dyDescent="0.25">
      <c r="A2940">
        <v>2939</v>
      </c>
      <c r="B2940" s="2">
        <v>45658</v>
      </c>
      <c r="C2940" t="s">
        <v>23</v>
      </c>
      <c r="D2940" t="s">
        <v>27</v>
      </c>
      <c r="E2940" t="s">
        <v>30</v>
      </c>
      <c r="F2940" t="s">
        <v>44</v>
      </c>
      <c r="G2940" t="s">
        <v>70</v>
      </c>
      <c r="H2940" t="s">
        <v>75</v>
      </c>
      <c r="I2940">
        <v>7</v>
      </c>
      <c r="J2940">
        <v>55525</v>
      </c>
      <c r="K2940">
        <v>0.15</v>
      </c>
      <c r="L2940">
        <v>330373.75</v>
      </c>
      <c r="M2940">
        <v>232240.7</v>
      </c>
      <c r="N2940">
        <v>98133.05</v>
      </c>
      <c r="O2940" t="s">
        <v>80</v>
      </c>
      <c r="P2940" t="s">
        <v>82</v>
      </c>
    </row>
    <row r="2941" spans="1:16" x14ac:dyDescent="0.25">
      <c r="A2941">
        <v>2940</v>
      </c>
      <c r="B2941" s="2">
        <v>45962</v>
      </c>
      <c r="C2941" t="s">
        <v>18</v>
      </c>
      <c r="D2941" t="s">
        <v>26</v>
      </c>
      <c r="E2941" t="s">
        <v>28</v>
      </c>
      <c r="F2941" t="s">
        <v>58</v>
      </c>
      <c r="G2941" t="s">
        <v>70</v>
      </c>
      <c r="H2941" t="s">
        <v>75</v>
      </c>
      <c r="I2941">
        <v>1</v>
      </c>
      <c r="J2941">
        <v>1164</v>
      </c>
      <c r="K2941">
        <v>0.05</v>
      </c>
      <c r="L2941">
        <v>1105.8</v>
      </c>
      <c r="M2941">
        <v>897.17</v>
      </c>
      <c r="N2941">
        <v>208.63</v>
      </c>
      <c r="O2941" t="s">
        <v>78</v>
      </c>
      <c r="P2941" t="s">
        <v>88</v>
      </c>
    </row>
    <row r="2942" spans="1:16" x14ac:dyDescent="0.25">
      <c r="A2942">
        <v>2941</v>
      </c>
      <c r="B2942" s="2">
        <v>45725</v>
      </c>
      <c r="C2942" t="s">
        <v>22</v>
      </c>
      <c r="D2942" t="s">
        <v>24</v>
      </c>
      <c r="E2942" t="s">
        <v>33</v>
      </c>
      <c r="F2942" t="s">
        <v>60</v>
      </c>
      <c r="G2942" t="s">
        <v>70</v>
      </c>
      <c r="H2942" t="s">
        <v>73</v>
      </c>
      <c r="I2942">
        <v>3</v>
      </c>
      <c r="J2942">
        <v>44791</v>
      </c>
      <c r="K2942">
        <v>0</v>
      </c>
      <c r="L2942">
        <v>134373</v>
      </c>
      <c r="M2942">
        <v>105184.01</v>
      </c>
      <c r="N2942">
        <v>29188.99</v>
      </c>
      <c r="O2942" t="s">
        <v>80</v>
      </c>
      <c r="P2942" t="s">
        <v>82</v>
      </c>
    </row>
    <row r="2943" spans="1:16" x14ac:dyDescent="0.25">
      <c r="A2943">
        <v>2942</v>
      </c>
      <c r="B2943" s="2">
        <v>45852</v>
      </c>
      <c r="C2943" t="s">
        <v>21</v>
      </c>
      <c r="D2943" t="s">
        <v>24</v>
      </c>
      <c r="E2943" t="s">
        <v>31</v>
      </c>
      <c r="F2943" t="s">
        <v>67</v>
      </c>
      <c r="G2943" t="s">
        <v>72</v>
      </c>
      <c r="H2943" t="s">
        <v>74</v>
      </c>
      <c r="I2943">
        <v>4</v>
      </c>
      <c r="J2943">
        <v>729</v>
      </c>
      <c r="K2943">
        <v>0.15</v>
      </c>
      <c r="L2943">
        <v>2478.6</v>
      </c>
      <c r="M2943">
        <v>2156.5700000000002</v>
      </c>
      <c r="N2943">
        <v>322.02999999999997</v>
      </c>
      <c r="O2943" t="s">
        <v>78</v>
      </c>
      <c r="P2943" t="s">
        <v>84</v>
      </c>
    </row>
    <row r="2944" spans="1:16" x14ac:dyDescent="0.25">
      <c r="A2944">
        <v>2943</v>
      </c>
      <c r="B2944" s="2">
        <v>45915</v>
      </c>
      <c r="C2944" t="s">
        <v>22</v>
      </c>
      <c r="D2944" t="s">
        <v>24</v>
      </c>
      <c r="E2944" t="s">
        <v>32</v>
      </c>
      <c r="F2944" t="s">
        <v>62</v>
      </c>
      <c r="G2944" t="s">
        <v>70</v>
      </c>
      <c r="H2944" t="s">
        <v>73</v>
      </c>
      <c r="I2944">
        <v>4</v>
      </c>
      <c r="J2944">
        <v>14952</v>
      </c>
      <c r="K2944">
        <v>0.1</v>
      </c>
      <c r="L2944">
        <v>53827.199999999997</v>
      </c>
      <c r="M2944">
        <v>31097.94</v>
      </c>
      <c r="N2944">
        <v>22729.26</v>
      </c>
      <c r="O2944" t="s">
        <v>77</v>
      </c>
      <c r="P2944" t="s">
        <v>85</v>
      </c>
    </row>
    <row r="2945" spans="1:16" x14ac:dyDescent="0.25">
      <c r="A2945">
        <v>2944</v>
      </c>
      <c r="B2945" s="2">
        <v>45794</v>
      </c>
      <c r="C2945" t="s">
        <v>20</v>
      </c>
      <c r="D2945" t="s">
        <v>26</v>
      </c>
      <c r="E2945" t="s">
        <v>34</v>
      </c>
      <c r="F2945" t="s">
        <v>51</v>
      </c>
      <c r="G2945" t="s">
        <v>70</v>
      </c>
      <c r="H2945" t="s">
        <v>74</v>
      </c>
      <c r="I2945">
        <v>5</v>
      </c>
      <c r="J2945">
        <v>929</v>
      </c>
      <c r="K2945">
        <v>0.05</v>
      </c>
      <c r="L2945">
        <v>4412.75</v>
      </c>
      <c r="M2945">
        <v>3812.59</v>
      </c>
      <c r="N2945">
        <v>600.16</v>
      </c>
      <c r="O2945" t="s">
        <v>79</v>
      </c>
      <c r="P2945" t="s">
        <v>83</v>
      </c>
    </row>
    <row r="2946" spans="1:16" x14ac:dyDescent="0.25">
      <c r="A2946">
        <v>2945</v>
      </c>
      <c r="B2946" s="2">
        <v>45925</v>
      </c>
      <c r="C2946" t="s">
        <v>20</v>
      </c>
      <c r="D2946" t="s">
        <v>26</v>
      </c>
      <c r="E2946" t="s">
        <v>28</v>
      </c>
      <c r="F2946" t="s">
        <v>35</v>
      </c>
      <c r="G2946" t="s">
        <v>72</v>
      </c>
      <c r="H2946" t="s">
        <v>73</v>
      </c>
      <c r="I2946">
        <v>8</v>
      </c>
      <c r="J2946">
        <v>1142</v>
      </c>
      <c r="K2946">
        <v>0.15</v>
      </c>
      <c r="L2946">
        <v>7765.6</v>
      </c>
      <c r="M2946">
        <v>6607.11</v>
      </c>
      <c r="N2946">
        <v>1158.49</v>
      </c>
      <c r="O2946" t="s">
        <v>78</v>
      </c>
      <c r="P2946" t="s">
        <v>84</v>
      </c>
    </row>
    <row r="2947" spans="1:16" x14ac:dyDescent="0.25">
      <c r="A2947">
        <v>2946</v>
      </c>
      <c r="B2947" s="2">
        <v>45850</v>
      </c>
      <c r="C2947" t="s">
        <v>19</v>
      </c>
      <c r="D2947" t="s">
        <v>26</v>
      </c>
      <c r="E2947" t="s">
        <v>28</v>
      </c>
      <c r="F2947" t="s">
        <v>54</v>
      </c>
      <c r="G2947" t="s">
        <v>72</v>
      </c>
      <c r="H2947" t="s">
        <v>74</v>
      </c>
      <c r="I2947">
        <v>2</v>
      </c>
      <c r="J2947">
        <v>492</v>
      </c>
      <c r="K2947">
        <v>0.05</v>
      </c>
      <c r="L2947">
        <v>934.8</v>
      </c>
      <c r="M2947">
        <v>599.69000000000005</v>
      </c>
      <c r="N2947">
        <v>335.11</v>
      </c>
      <c r="O2947" t="s">
        <v>77</v>
      </c>
      <c r="P2947" t="s">
        <v>87</v>
      </c>
    </row>
    <row r="2948" spans="1:16" x14ac:dyDescent="0.25">
      <c r="A2948">
        <v>2947</v>
      </c>
      <c r="B2948" s="2">
        <v>45803</v>
      </c>
      <c r="C2948" t="s">
        <v>19</v>
      </c>
      <c r="D2948" t="s">
        <v>26</v>
      </c>
      <c r="E2948" t="s">
        <v>34</v>
      </c>
      <c r="F2948" t="s">
        <v>65</v>
      </c>
      <c r="G2948" t="s">
        <v>71</v>
      </c>
      <c r="H2948" t="s">
        <v>73</v>
      </c>
      <c r="I2948">
        <v>8</v>
      </c>
      <c r="J2948">
        <v>5965</v>
      </c>
      <c r="K2948">
        <v>0.15</v>
      </c>
      <c r="L2948">
        <v>40562</v>
      </c>
      <c r="M2948">
        <v>24601.64</v>
      </c>
      <c r="N2948">
        <v>15960.36</v>
      </c>
      <c r="O2948" t="s">
        <v>80</v>
      </c>
      <c r="P2948" t="s">
        <v>81</v>
      </c>
    </row>
    <row r="2949" spans="1:16" x14ac:dyDescent="0.25">
      <c r="A2949">
        <v>2948</v>
      </c>
      <c r="B2949" s="2">
        <v>45954</v>
      </c>
      <c r="C2949" t="s">
        <v>17</v>
      </c>
      <c r="D2949" t="s">
        <v>25</v>
      </c>
      <c r="E2949" t="s">
        <v>32</v>
      </c>
      <c r="F2949" t="s">
        <v>62</v>
      </c>
      <c r="G2949" t="s">
        <v>71</v>
      </c>
      <c r="H2949" t="s">
        <v>74</v>
      </c>
      <c r="I2949">
        <v>6</v>
      </c>
      <c r="J2949">
        <v>7749</v>
      </c>
      <c r="K2949">
        <v>0.1</v>
      </c>
      <c r="L2949">
        <v>41844.6</v>
      </c>
      <c r="M2949">
        <v>28766.79</v>
      </c>
      <c r="N2949">
        <v>13077.81</v>
      </c>
      <c r="O2949" t="s">
        <v>78</v>
      </c>
      <c r="P2949" t="s">
        <v>86</v>
      </c>
    </row>
    <row r="2950" spans="1:16" x14ac:dyDescent="0.25">
      <c r="A2950">
        <v>2949</v>
      </c>
      <c r="B2950" s="2">
        <v>45791</v>
      </c>
      <c r="C2950" t="s">
        <v>16</v>
      </c>
      <c r="D2950" t="s">
        <v>24</v>
      </c>
      <c r="E2950" t="s">
        <v>28</v>
      </c>
      <c r="F2950" t="s">
        <v>54</v>
      </c>
      <c r="G2950" t="s">
        <v>70</v>
      </c>
      <c r="H2950" t="s">
        <v>75</v>
      </c>
      <c r="I2950">
        <v>8</v>
      </c>
      <c r="J2950">
        <v>1930</v>
      </c>
      <c r="K2950">
        <v>0</v>
      </c>
      <c r="L2950">
        <v>15440</v>
      </c>
      <c r="M2950">
        <v>10400.719999999999</v>
      </c>
      <c r="N2950">
        <v>5039.28</v>
      </c>
      <c r="O2950" t="s">
        <v>79</v>
      </c>
      <c r="P2950" t="s">
        <v>86</v>
      </c>
    </row>
    <row r="2951" spans="1:16" x14ac:dyDescent="0.25">
      <c r="A2951">
        <v>2950</v>
      </c>
      <c r="B2951" s="2">
        <v>45747</v>
      </c>
      <c r="C2951" t="s">
        <v>20</v>
      </c>
      <c r="D2951" t="s">
        <v>26</v>
      </c>
      <c r="E2951" t="s">
        <v>34</v>
      </c>
      <c r="F2951" t="s">
        <v>55</v>
      </c>
      <c r="G2951" t="s">
        <v>70</v>
      </c>
      <c r="H2951" t="s">
        <v>75</v>
      </c>
      <c r="I2951">
        <v>4</v>
      </c>
      <c r="J2951">
        <v>3733</v>
      </c>
      <c r="K2951">
        <v>0.1</v>
      </c>
      <c r="L2951">
        <v>13438.8</v>
      </c>
      <c r="M2951">
        <v>7883.22</v>
      </c>
      <c r="N2951">
        <v>5555.58</v>
      </c>
      <c r="O2951" t="s">
        <v>78</v>
      </c>
      <c r="P2951" t="s">
        <v>81</v>
      </c>
    </row>
    <row r="2952" spans="1:16" x14ac:dyDescent="0.25">
      <c r="A2952">
        <v>2951</v>
      </c>
      <c r="B2952" s="2">
        <v>45938</v>
      </c>
      <c r="C2952" t="s">
        <v>16</v>
      </c>
      <c r="D2952" t="s">
        <v>24</v>
      </c>
      <c r="E2952" t="s">
        <v>28</v>
      </c>
      <c r="F2952" t="s">
        <v>58</v>
      </c>
      <c r="G2952" t="s">
        <v>70</v>
      </c>
      <c r="H2952" t="s">
        <v>75</v>
      </c>
      <c r="I2952">
        <v>6</v>
      </c>
      <c r="J2952">
        <v>289</v>
      </c>
      <c r="K2952">
        <v>0</v>
      </c>
      <c r="L2952">
        <v>1734</v>
      </c>
      <c r="M2952">
        <v>1167.71</v>
      </c>
      <c r="N2952">
        <v>566.29</v>
      </c>
      <c r="O2952" t="s">
        <v>76</v>
      </c>
      <c r="P2952" t="s">
        <v>84</v>
      </c>
    </row>
    <row r="2953" spans="1:16" x14ac:dyDescent="0.25">
      <c r="A2953">
        <v>2952</v>
      </c>
      <c r="B2953" s="2">
        <v>45664</v>
      </c>
      <c r="C2953" t="s">
        <v>20</v>
      </c>
      <c r="D2953" t="s">
        <v>26</v>
      </c>
      <c r="E2953" t="s">
        <v>34</v>
      </c>
      <c r="F2953" t="s">
        <v>43</v>
      </c>
      <c r="G2953" t="s">
        <v>70</v>
      </c>
      <c r="H2953" t="s">
        <v>73</v>
      </c>
      <c r="I2953">
        <v>6</v>
      </c>
      <c r="J2953">
        <v>740</v>
      </c>
      <c r="K2953">
        <v>0.1</v>
      </c>
      <c r="L2953">
        <v>3996</v>
      </c>
      <c r="M2953">
        <v>2296.31</v>
      </c>
      <c r="N2953">
        <v>1699.69</v>
      </c>
      <c r="O2953" t="s">
        <v>76</v>
      </c>
      <c r="P2953" t="s">
        <v>86</v>
      </c>
    </row>
    <row r="2954" spans="1:16" x14ac:dyDescent="0.25">
      <c r="A2954">
        <v>2953</v>
      </c>
      <c r="B2954" s="2">
        <v>45774</v>
      </c>
      <c r="C2954" t="s">
        <v>17</v>
      </c>
      <c r="D2954" t="s">
        <v>25</v>
      </c>
      <c r="E2954" t="s">
        <v>30</v>
      </c>
      <c r="F2954" t="s">
        <v>37</v>
      </c>
      <c r="G2954" t="s">
        <v>70</v>
      </c>
      <c r="H2954" t="s">
        <v>73</v>
      </c>
      <c r="I2954">
        <v>2</v>
      </c>
      <c r="J2954">
        <v>25959</v>
      </c>
      <c r="K2954">
        <v>0.05</v>
      </c>
      <c r="L2954">
        <v>49322.1</v>
      </c>
      <c r="M2954">
        <v>38912.29</v>
      </c>
      <c r="N2954">
        <v>10409.81</v>
      </c>
      <c r="O2954" t="s">
        <v>79</v>
      </c>
      <c r="P2954" t="s">
        <v>84</v>
      </c>
    </row>
    <row r="2955" spans="1:16" x14ac:dyDescent="0.25">
      <c r="A2955">
        <v>2954</v>
      </c>
      <c r="B2955" s="2">
        <v>45918</v>
      </c>
      <c r="C2955" t="s">
        <v>20</v>
      </c>
      <c r="D2955" t="s">
        <v>26</v>
      </c>
      <c r="E2955" t="s">
        <v>31</v>
      </c>
      <c r="F2955" t="s">
        <v>38</v>
      </c>
      <c r="G2955" t="s">
        <v>71</v>
      </c>
      <c r="H2955" t="s">
        <v>73</v>
      </c>
      <c r="I2955">
        <v>3</v>
      </c>
      <c r="J2955">
        <v>1440</v>
      </c>
      <c r="K2955">
        <v>0.1</v>
      </c>
      <c r="L2955">
        <v>3888</v>
      </c>
      <c r="M2955">
        <v>2296.89</v>
      </c>
      <c r="N2955">
        <v>1591.11</v>
      </c>
      <c r="O2955" t="s">
        <v>79</v>
      </c>
      <c r="P2955" t="s">
        <v>88</v>
      </c>
    </row>
    <row r="2956" spans="1:16" x14ac:dyDescent="0.25">
      <c r="A2956">
        <v>2955</v>
      </c>
      <c r="B2956" s="2">
        <v>46009</v>
      </c>
      <c r="C2956" t="s">
        <v>20</v>
      </c>
      <c r="D2956" t="s">
        <v>26</v>
      </c>
      <c r="E2956" t="s">
        <v>28</v>
      </c>
      <c r="F2956" t="s">
        <v>58</v>
      </c>
      <c r="G2956" t="s">
        <v>71</v>
      </c>
      <c r="H2956" t="s">
        <v>73</v>
      </c>
      <c r="I2956">
        <v>4</v>
      </c>
      <c r="J2956">
        <v>321</v>
      </c>
      <c r="K2956">
        <v>0</v>
      </c>
      <c r="L2956">
        <v>1284</v>
      </c>
      <c r="M2956">
        <v>1017.61</v>
      </c>
      <c r="N2956">
        <v>266.39</v>
      </c>
      <c r="O2956" t="s">
        <v>77</v>
      </c>
      <c r="P2956" t="s">
        <v>83</v>
      </c>
    </row>
    <row r="2957" spans="1:16" x14ac:dyDescent="0.25">
      <c r="A2957">
        <v>2956</v>
      </c>
      <c r="B2957" s="2">
        <v>45964</v>
      </c>
      <c r="C2957" t="s">
        <v>19</v>
      </c>
      <c r="D2957" t="s">
        <v>26</v>
      </c>
      <c r="E2957" t="s">
        <v>33</v>
      </c>
      <c r="F2957" t="s">
        <v>59</v>
      </c>
      <c r="G2957" t="s">
        <v>71</v>
      </c>
      <c r="H2957" t="s">
        <v>75</v>
      </c>
      <c r="I2957">
        <v>1</v>
      </c>
      <c r="J2957">
        <v>20286</v>
      </c>
      <c r="K2957">
        <v>0.05</v>
      </c>
      <c r="L2957">
        <v>19271.7</v>
      </c>
      <c r="M2957">
        <v>14720.01</v>
      </c>
      <c r="N2957">
        <v>4551.6899999999996</v>
      </c>
      <c r="O2957" t="s">
        <v>79</v>
      </c>
      <c r="P2957" t="s">
        <v>87</v>
      </c>
    </row>
    <row r="2958" spans="1:16" x14ac:dyDescent="0.25">
      <c r="A2958">
        <v>2957</v>
      </c>
      <c r="B2958" s="2">
        <v>45907</v>
      </c>
      <c r="C2958" t="s">
        <v>22</v>
      </c>
      <c r="D2958" t="s">
        <v>24</v>
      </c>
      <c r="E2958" t="s">
        <v>34</v>
      </c>
      <c r="F2958" t="s">
        <v>51</v>
      </c>
      <c r="G2958" t="s">
        <v>72</v>
      </c>
      <c r="H2958" t="s">
        <v>74</v>
      </c>
      <c r="I2958">
        <v>7</v>
      </c>
      <c r="J2958">
        <v>5083</v>
      </c>
      <c r="K2958">
        <v>0.2</v>
      </c>
      <c r="L2958">
        <v>28464.799999999999</v>
      </c>
      <c r="M2958">
        <v>23614.5</v>
      </c>
      <c r="N2958">
        <v>4850.3</v>
      </c>
      <c r="O2958" t="s">
        <v>80</v>
      </c>
      <c r="P2958" t="s">
        <v>86</v>
      </c>
    </row>
    <row r="2959" spans="1:16" x14ac:dyDescent="0.25">
      <c r="A2959">
        <v>2958</v>
      </c>
      <c r="B2959" s="2">
        <v>45900</v>
      </c>
      <c r="C2959" t="s">
        <v>21</v>
      </c>
      <c r="D2959" t="s">
        <v>24</v>
      </c>
      <c r="E2959" t="s">
        <v>28</v>
      </c>
      <c r="F2959" t="s">
        <v>63</v>
      </c>
      <c r="G2959" t="s">
        <v>72</v>
      </c>
      <c r="H2959" t="s">
        <v>75</v>
      </c>
      <c r="I2959">
        <v>6</v>
      </c>
      <c r="J2959">
        <v>2450</v>
      </c>
      <c r="K2959">
        <v>0.2</v>
      </c>
      <c r="L2959">
        <v>11760</v>
      </c>
      <c r="M2959">
        <v>9666.99</v>
      </c>
      <c r="N2959">
        <v>2093.0100000000002</v>
      </c>
      <c r="O2959" t="s">
        <v>80</v>
      </c>
      <c r="P2959" t="s">
        <v>88</v>
      </c>
    </row>
    <row r="2960" spans="1:16" x14ac:dyDescent="0.25">
      <c r="A2960">
        <v>2959</v>
      </c>
      <c r="B2960" s="2">
        <v>45842</v>
      </c>
      <c r="C2960" t="s">
        <v>18</v>
      </c>
      <c r="D2960" t="s">
        <v>26</v>
      </c>
      <c r="E2960" t="s">
        <v>34</v>
      </c>
      <c r="F2960" t="s">
        <v>68</v>
      </c>
      <c r="G2960" t="s">
        <v>71</v>
      </c>
      <c r="H2960" t="s">
        <v>73</v>
      </c>
      <c r="I2960">
        <v>3</v>
      </c>
      <c r="J2960">
        <v>3437</v>
      </c>
      <c r="K2960">
        <v>0.1</v>
      </c>
      <c r="L2960">
        <v>9279.9</v>
      </c>
      <c r="M2960">
        <v>5434.89</v>
      </c>
      <c r="N2960">
        <v>3845.01</v>
      </c>
      <c r="O2960" t="s">
        <v>79</v>
      </c>
      <c r="P2960" t="s">
        <v>88</v>
      </c>
    </row>
    <row r="2961" spans="1:16" x14ac:dyDescent="0.25">
      <c r="A2961">
        <v>2960</v>
      </c>
      <c r="B2961" s="2">
        <v>46011</v>
      </c>
      <c r="C2961" t="s">
        <v>17</v>
      </c>
      <c r="D2961" t="s">
        <v>25</v>
      </c>
      <c r="E2961" t="s">
        <v>28</v>
      </c>
      <c r="F2961" t="s">
        <v>58</v>
      </c>
      <c r="G2961" t="s">
        <v>72</v>
      </c>
      <c r="H2961" t="s">
        <v>73</v>
      </c>
      <c r="I2961">
        <v>3</v>
      </c>
      <c r="J2961">
        <v>950</v>
      </c>
      <c r="K2961">
        <v>0.05</v>
      </c>
      <c r="L2961">
        <v>2707.5</v>
      </c>
      <c r="M2961">
        <v>1686.88</v>
      </c>
      <c r="N2961">
        <v>1020.62</v>
      </c>
      <c r="O2961" t="s">
        <v>80</v>
      </c>
      <c r="P2961" t="s">
        <v>86</v>
      </c>
    </row>
    <row r="2962" spans="1:16" x14ac:dyDescent="0.25">
      <c r="A2962">
        <v>2961</v>
      </c>
      <c r="B2962" s="2">
        <v>45699</v>
      </c>
      <c r="C2962" t="s">
        <v>21</v>
      </c>
      <c r="D2962" t="s">
        <v>24</v>
      </c>
      <c r="E2962" t="s">
        <v>34</v>
      </c>
      <c r="F2962" t="s">
        <v>43</v>
      </c>
      <c r="G2962" t="s">
        <v>70</v>
      </c>
      <c r="H2962" t="s">
        <v>74</v>
      </c>
      <c r="I2962">
        <v>2</v>
      </c>
      <c r="J2962">
        <v>1816</v>
      </c>
      <c r="K2962">
        <v>0.05</v>
      </c>
      <c r="L2962">
        <v>3450.4</v>
      </c>
      <c r="M2962">
        <v>2741.58</v>
      </c>
      <c r="N2962">
        <v>708.82</v>
      </c>
      <c r="O2962" t="s">
        <v>78</v>
      </c>
      <c r="P2962" t="s">
        <v>81</v>
      </c>
    </row>
    <row r="2963" spans="1:16" x14ac:dyDescent="0.25">
      <c r="A2963">
        <v>2962</v>
      </c>
      <c r="B2963" s="2">
        <v>45718</v>
      </c>
      <c r="C2963" t="s">
        <v>20</v>
      </c>
      <c r="D2963" t="s">
        <v>26</v>
      </c>
      <c r="E2963" t="s">
        <v>30</v>
      </c>
      <c r="F2963" t="s">
        <v>37</v>
      </c>
      <c r="G2963" t="s">
        <v>72</v>
      </c>
      <c r="H2963" t="s">
        <v>75</v>
      </c>
      <c r="I2963">
        <v>8</v>
      </c>
      <c r="J2963">
        <v>40134</v>
      </c>
      <c r="K2963">
        <v>0.1</v>
      </c>
      <c r="L2963">
        <v>288964.8</v>
      </c>
      <c r="M2963">
        <v>160699.04</v>
      </c>
      <c r="N2963">
        <v>128265.76</v>
      </c>
      <c r="O2963" t="s">
        <v>77</v>
      </c>
      <c r="P2963" t="s">
        <v>85</v>
      </c>
    </row>
    <row r="2964" spans="1:16" x14ac:dyDescent="0.25">
      <c r="A2964">
        <v>2963</v>
      </c>
      <c r="B2964" s="2">
        <v>45858</v>
      </c>
      <c r="C2964" t="s">
        <v>21</v>
      </c>
      <c r="D2964" t="s">
        <v>24</v>
      </c>
      <c r="E2964" t="s">
        <v>31</v>
      </c>
      <c r="F2964" t="s">
        <v>67</v>
      </c>
      <c r="G2964" t="s">
        <v>70</v>
      </c>
      <c r="H2964" t="s">
        <v>74</v>
      </c>
      <c r="I2964">
        <v>8</v>
      </c>
      <c r="J2964">
        <v>1742</v>
      </c>
      <c r="K2964">
        <v>0.05</v>
      </c>
      <c r="L2964">
        <v>13239.2</v>
      </c>
      <c r="M2964">
        <v>9891.51</v>
      </c>
      <c r="N2964">
        <v>3347.69</v>
      </c>
      <c r="O2964" t="s">
        <v>79</v>
      </c>
      <c r="P2964" t="s">
        <v>87</v>
      </c>
    </row>
    <row r="2965" spans="1:16" x14ac:dyDescent="0.25">
      <c r="A2965">
        <v>2964</v>
      </c>
      <c r="B2965" s="2">
        <v>45845</v>
      </c>
      <c r="C2965" t="s">
        <v>22</v>
      </c>
      <c r="D2965" t="s">
        <v>24</v>
      </c>
      <c r="E2965" t="s">
        <v>29</v>
      </c>
      <c r="F2965" t="s">
        <v>36</v>
      </c>
      <c r="G2965" t="s">
        <v>70</v>
      </c>
      <c r="H2965" t="s">
        <v>73</v>
      </c>
      <c r="I2965">
        <v>3</v>
      </c>
      <c r="J2965">
        <v>2906</v>
      </c>
      <c r="K2965">
        <v>0.15</v>
      </c>
      <c r="L2965">
        <v>7410.3</v>
      </c>
      <c r="M2965">
        <v>4828.22</v>
      </c>
      <c r="N2965">
        <v>2582.08</v>
      </c>
      <c r="O2965" t="s">
        <v>76</v>
      </c>
      <c r="P2965" t="s">
        <v>87</v>
      </c>
    </row>
    <row r="2966" spans="1:16" x14ac:dyDescent="0.25">
      <c r="A2966">
        <v>2965</v>
      </c>
      <c r="B2966" s="2">
        <v>45876</v>
      </c>
      <c r="C2966" t="s">
        <v>23</v>
      </c>
      <c r="D2966" t="s">
        <v>27</v>
      </c>
      <c r="E2966" t="s">
        <v>29</v>
      </c>
      <c r="F2966" t="s">
        <v>45</v>
      </c>
      <c r="G2966" t="s">
        <v>72</v>
      </c>
      <c r="H2966" t="s">
        <v>74</v>
      </c>
      <c r="I2966">
        <v>3</v>
      </c>
      <c r="J2966">
        <v>6078</v>
      </c>
      <c r="K2966">
        <v>0.05</v>
      </c>
      <c r="L2966">
        <v>17322.3</v>
      </c>
      <c r="M2966">
        <v>13937.96</v>
      </c>
      <c r="N2966">
        <v>3384.34</v>
      </c>
      <c r="O2966" t="s">
        <v>76</v>
      </c>
      <c r="P2966" t="s">
        <v>86</v>
      </c>
    </row>
    <row r="2967" spans="1:16" x14ac:dyDescent="0.25">
      <c r="A2967">
        <v>2966</v>
      </c>
      <c r="B2967" s="2">
        <v>45904</v>
      </c>
      <c r="C2967" t="s">
        <v>17</v>
      </c>
      <c r="D2967" t="s">
        <v>25</v>
      </c>
      <c r="E2967" t="s">
        <v>33</v>
      </c>
      <c r="F2967" t="s">
        <v>60</v>
      </c>
      <c r="G2967" t="s">
        <v>71</v>
      </c>
      <c r="H2967" t="s">
        <v>73</v>
      </c>
      <c r="I2967">
        <v>2</v>
      </c>
      <c r="J2967">
        <v>32788</v>
      </c>
      <c r="K2967">
        <v>0</v>
      </c>
      <c r="L2967">
        <v>65576</v>
      </c>
      <c r="M2967">
        <v>39246.76</v>
      </c>
      <c r="N2967">
        <v>26329.24</v>
      </c>
      <c r="O2967" t="s">
        <v>77</v>
      </c>
      <c r="P2967" t="s">
        <v>81</v>
      </c>
    </row>
    <row r="2968" spans="1:16" x14ac:dyDescent="0.25">
      <c r="A2968">
        <v>2967</v>
      </c>
      <c r="B2968" s="2">
        <v>45763</v>
      </c>
      <c r="C2968" t="s">
        <v>22</v>
      </c>
      <c r="D2968" t="s">
        <v>24</v>
      </c>
      <c r="E2968" t="s">
        <v>30</v>
      </c>
      <c r="F2968" t="s">
        <v>56</v>
      </c>
      <c r="G2968" t="s">
        <v>71</v>
      </c>
      <c r="H2968" t="s">
        <v>73</v>
      </c>
      <c r="I2968">
        <v>4</v>
      </c>
      <c r="J2968">
        <v>11081</v>
      </c>
      <c r="K2968">
        <v>0</v>
      </c>
      <c r="L2968">
        <v>44324</v>
      </c>
      <c r="M2968">
        <v>38212.29</v>
      </c>
      <c r="N2968">
        <v>6111.71</v>
      </c>
      <c r="O2968" t="s">
        <v>76</v>
      </c>
      <c r="P2968" t="s">
        <v>84</v>
      </c>
    </row>
    <row r="2969" spans="1:16" x14ac:dyDescent="0.25">
      <c r="A2969">
        <v>2968</v>
      </c>
      <c r="B2969" s="2">
        <v>45955</v>
      </c>
      <c r="C2969" t="s">
        <v>20</v>
      </c>
      <c r="D2969" t="s">
        <v>26</v>
      </c>
      <c r="E2969" t="s">
        <v>34</v>
      </c>
      <c r="F2969" t="s">
        <v>43</v>
      </c>
      <c r="G2969" t="s">
        <v>70</v>
      </c>
      <c r="H2969" t="s">
        <v>73</v>
      </c>
      <c r="I2969">
        <v>7</v>
      </c>
      <c r="J2969">
        <v>5232</v>
      </c>
      <c r="K2969">
        <v>0</v>
      </c>
      <c r="L2969">
        <v>36624</v>
      </c>
      <c r="M2969">
        <v>29082.03</v>
      </c>
      <c r="N2969">
        <v>7541.97</v>
      </c>
      <c r="O2969" t="s">
        <v>76</v>
      </c>
      <c r="P2969" t="s">
        <v>85</v>
      </c>
    </row>
    <row r="2970" spans="1:16" x14ac:dyDescent="0.25">
      <c r="A2970">
        <v>2969</v>
      </c>
      <c r="B2970" s="2">
        <v>45712</v>
      </c>
      <c r="C2970" t="s">
        <v>18</v>
      </c>
      <c r="D2970" t="s">
        <v>26</v>
      </c>
      <c r="E2970" t="s">
        <v>33</v>
      </c>
      <c r="F2970" t="s">
        <v>60</v>
      </c>
      <c r="G2970" t="s">
        <v>71</v>
      </c>
      <c r="H2970" t="s">
        <v>74</v>
      </c>
      <c r="I2970">
        <v>1</v>
      </c>
      <c r="J2970">
        <v>6155</v>
      </c>
      <c r="K2970">
        <v>0.2</v>
      </c>
      <c r="L2970">
        <v>4924</v>
      </c>
      <c r="M2970">
        <v>3942.7</v>
      </c>
      <c r="N2970">
        <v>981.3</v>
      </c>
      <c r="O2970" t="s">
        <v>79</v>
      </c>
      <c r="P2970" t="s">
        <v>88</v>
      </c>
    </row>
    <row r="2971" spans="1:16" x14ac:dyDescent="0.25">
      <c r="A2971">
        <v>2970</v>
      </c>
      <c r="B2971" s="2">
        <v>45715</v>
      </c>
      <c r="C2971" t="s">
        <v>21</v>
      </c>
      <c r="D2971" t="s">
        <v>24</v>
      </c>
      <c r="E2971" t="s">
        <v>33</v>
      </c>
      <c r="F2971" t="s">
        <v>52</v>
      </c>
      <c r="G2971" t="s">
        <v>71</v>
      </c>
      <c r="H2971" t="s">
        <v>74</v>
      </c>
      <c r="I2971">
        <v>2</v>
      </c>
      <c r="J2971">
        <v>42037</v>
      </c>
      <c r="K2971">
        <v>0.1</v>
      </c>
      <c r="L2971">
        <v>75666.600000000006</v>
      </c>
      <c r="M2971">
        <v>43039.77</v>
      </c>
      <c r="N2971">
        <v>32626.83</v>
      </c>
      <c r="O2971" t="s">
        <v>80</v>
      </c>
      <c r="P2971" t="s">
        <v>81</v>
      </c>
    </row>
    <row r="2972" spans="1:16" x14ac:dyDescent="0.25">
      <c r="A2972">
        <v>2971</v>
      </c>
      <c r="B2972" s="2">
        <v>45908</v>
      </c>
      <c r="C2972" t="s">
        <v>23</v>
      </c>
      <c r="D2972" t="s">
        <v>27</v>
      </c>
      <c r="E2972" t="s">
        <v>30</v>
      </c>
      <c r="F2972" t="s">
        <v>56</v>
      </c>
      <c r="G2972" t="s">
        <v>70</v>
      </c>
      <c r="H2972" t="s">
        <v>75</v>
      </c>
      <c r="I2972">
        <v>6</v>
      </c>
      <c r="J2972">
        <v>62741</v>
      </c>
      <c r="K2972">
        <v>0.05</v>
      </c>
      <c r="L2972">
        <v>357623.7</v>
      </c>
      <c r="M2972">
        <v>292191.69</v>
      </c>
      <c r="N2972">
        <v>65432.01</v>
      </c>
      <c r="O2972" t="s">
        <v>79</v>
      </c>
      <c r="P2972" t="s">
        <v>85</v>
      </c>
    </row>
    <row r="2973" spans="1:16" x14ac:dyDescent="0.25">
      <c r="A2973">
        <v>2972</v>
      </c>
      <c r="B2973" s="2">
        <v>45728</v>
      </c>
      <c r="C2973" t="s">
        <v>16</v>
      </c>
      <c r="D2973" t="s">
        <v>24</v>
      </c>
      <c r="E2973" t="s">
        <v>30</v>
      </c>
      <c r="F2973" t="s">
        <v>44</v>
      </c>
      <c r="G2973" t="s">
        <v>72</v>
      </c>
      <c r="H2973" t="s">
        <v>73</v>
      </c>
      <c r="I2973">
        <v>1</v>
      </c>
      <c r="J2973">
        <v>62897</v>
      </c>
      <c r="K2973">
        <v>0.05</v>
      </c>
      <c r="L2973">
        <v>59752.15</v>
      </c>
      <c r="M2973">
        <v>41676.17</v>
      </c>
      <c r="N2973">
        <v>18075.98</v>
      </c>
      <c r="O2973" t="s">
        <v>79</v>
      </c>
      <c r="P2973" t="s">
        <v>86</v>
      </c>
    </row>
    <row r="2974" spans="1:16" x14ac:dyDescent="0.25">
      <c r="A2974">
        <v>2973</v>
      </c>
      <c r="B2974" s="2">
        <v>45679</v>
      </c>
      <c r="C2974" t="s">
        <v>20</v>
      </c>
      <c r="D2974" t="s">
        <v>26</v>
      </c>
      <c r="E2974" t="s">
        <v>29</v>
      </c>
      <c r="F2974" t="s">
        <v>42</v>
      </c>
      <c r="G2974" t="s">
        <v>72</v>
      </c>
      <c r="H2974" t="s">
        <v>73</v>
      </c>
      <c r="I2974">
        <v>3</v>
      </c>
      <c r="J2974">
        <v>6504</v>
      </c>
      <c r="K2974">
        <v>0.2</v>
      </c>
      <c r="L2974">
        <v>15609.6</v>
      </c>
      <c r="M2974">
        <v>11867.89</v>
      </c>
      <c r="N2974">
        <v>3741.71</v>
      </c>
      <c r="O2974" t="s">
        <v>78</v>
      </c>
      <c r="P2974" t="s">
        <v>82</v>
      </c>
    </row>
    <row r="2975" spans="1:16" x14ac:dyDescent="0.25">
      <c r="A2975">
        <v>2974</v>
      </c>
      <c r="B2975" s="2">
        <v>45762</v>
      </c>
      <c r="C2975" t="s">
        <v>23</v>
      </c>
      <c r="D2975" t="s">
        <v>27</v>
      </c>
      <c r="E2975" t="s">
        <v>33</v>
      </c>
      <c r="F2975" t="s">
        <v>41</v>
      </c>
      <c r="G2975" t="s">
        <v>70</v>
      </c>
      <c r="H2975" t="s">
        <v>73</v>
      </c>
      <c r="I2975">
        <v>7</v>
      </c>
      <c r="J2975">
        <v>6723</v>
      </c>
      <c r="K2975">
        <v>0</v>
      </c>
      <c r="L2975">
        <v>47061</v>
      </c>
      <c r="M2975">
        <v>34258.26</v>
      </c>
      <c r="N2975">
        <v>12802.74</v>
      </c>
      <c r="O2975" t="s">
        <v>77</v>
      </c>
      <c r="P2975" t="s">
        <v>88</v>
      </c>
    </row>
    <row r="2976" spans="1:16" x14ac:dyDescent="0.25">
      <c r="A2976">
        <v>2975</v>
      </c>
      <c r="B2976" s="2">
        <v>45702</v>
      </c>
      <c r="C2976" t="s">
        <v>23</v>
      </c>
      <c r="D2976" t="s">
        <v>27</v>
      </c>
      <c r="E2976" t="s">
        <v>30</v>
      </c>
      <c r="F2976" t="s">
        <v>64</v>
      </c>
      <c r="G2976" t="s">
        <v>70</v>
      </c>
      <c r="H2976" t="s">
        <v>73</v>
      </c>
      <c r="I2976">
        <v>3</v>
      </c>
      <c r="J2976">
        <v>51444</v>
      </c>
      <c r="K2976">
        <v>0.05</v>
      </c>
      <c r="L2976">
        <v>146615.4</v>
      </c>
      <c r="M2976">
        <v>100482.2</v>
      </c>
      <c r="N2976">
        <v>46133.2</v>
      </c>
      <c r="O2976" t="s">
        <v>78</v>
      </c>
      <c r="P2976" t="s">
        <v>83</v>
      </c>
    </row>
    <row r="2977" spans="1:16" x14ac:dyDescent="0.25">
      <c r="A2977">
        <v>2976</v>
      </c>
      <c r="B2977" s="2">
        <v>45914</v>
      </c>
      <c r="C2977" t="s">
        <v>21</v>
      </c>
      <c r="D2977" t="s">
        <v>24</v>
      </c>
      <c r="E2977" t="s">
        <v>33</v>
      </c>
      <c r="F2977" t="s">
        <v>59</v>
      </c>
      <c r="G2977" t="s">
        <v>72</v>
      </c>
      <c r="H2977" t="s">
        <v>74</v>
      </c>
      <c r="I2977">
        <v>6</v>
      </c>
      <c r="J2977">
        <v>42043</v>
      </c>
      <c r="K2977">
        <v>0</v>
      </c>
      <c r="L2977">
        <v>252258</v>
      </c>
      <c r="M2977">
        <v>159772.76999999999</v>
      </c>
      <c r="N2977">
        <v>92485.23</v>
      </c>
      <c r="O2977" t="s">
        <v>77</v>
      </c>
      <c r="P2977" t="s">
        <v>88</v>
      </c>
    </row>
    <row r="2978" spans="1:16" x14ac:dyDescent="0.25">
      <c r="A2978">
        <v>2977</v>
      </c>
      <c r="B2978" s="2">
        <v>45718</v>
      </c>
      <c r="C2978" t="s">
        <v>19</v>
      </c>
      <c r="D2978" t="s">
        <v>26</v>
      </c>
      <c r="E2978" t="s">
        <v>29</v>
      </c>
      <c r="F2978" t="s">
        <v>42</v>
      </c>
      <c r="G2978" t="s">
        <v>70</v>
      </c>
      <c r="H2978" t="s">
        <v>75</v>
      </c>
      <c r="I2978">
        <v>7</v>
      </c>
      <c r="J2978">
        <v>1632</v>
      </c>
      <c r="K2978">
        <v>0.05</v>
      </c>
      <c r="L2978">
        <v>10852.8</v>
      </c>
      <c r="M2978">
        <v>8030.14</v>
      </c>
      <c r="N2978">
        <v>2822.66</v>
      </c>
      <c r="O2978" t="s">
        <v>79</v>
      </c>
      <c r="P2978" t="s">
        <v>88</v>
      </c>
    </row>
    <row r="2979" spans="1:16" x14ac:dyDescent="0.25">
      <c r="A2979">
        <v>2978</v>
      </c>
      <c r="B2979" s="2">
        <v>46015</v>
      </c>
      <c r="C2979" t="s">
        <v>22</v>
      </c>
      <c r="D2979" t="s">
        <v>24</v>
      </c>
      <c r="E2979" t="s">
        <v>31</v>
      </c>
      <c r="F2979" t="s">
        <v>69</v>
      </c>
      <c r="G2979" t="s">
        <v>70</v>
      </c>
      <c r="H2979" t="s">
        <v>73</v>
      </c>
      <c r="I2979">
        <v>6</v>
      </c>
      <c r="J2979">
        <v>2290</v>
      </c>
      <c r="K2979">
        <v>0.2</v>
      </c>
      <c r="L2979">
        <v>10992</v>
      </c>
      <c r="M2979">
        <v>9513.74</v>
      </c>
      <c r="N2979">
        <v>1478.26</v>
      </c>
      <c r="O2979" t="s">
        <v>78</v>
      </c>
      <c r="P2979" t="s">
        <v>87</v>
      </c>
    </row>
    <row r="2980" spans="1:16" x14ac:dyDescent="0.25">
      <c r="A2980">
        <v>2979</v>
      </c>
      <c r="B2980" s="2">
        <v>45748</v>
      </c>
      <c r="C2980" t="s">
        <v>23</v>
      </c>
      <c r="D2980" t="s">
        <v>27</v>
      </c>
      <c r="E2980" t="s">
        <v>31</v>
      </c>
      <c r="F2980" t="s">
        <v>47</v>
      </c>
      <c r="G2980" t="s">
        <v>70</v>
      </c>
      <c r="H2980" t="s">
        <v>74</v>
      </c>
      <c r="I2980">
        <v>8</v>
      </c>
      <c r="J2980">
        <v>839</v>
      </c>
      <c r="K2980">
        <v>0.1</v>
      </c>
      <c r="L2980">
        <v>6040.8</v>
      </c>
      <c r="M2980">
        <v>3747.48</v>
      </c>
      <c r="N2980">
        <v>2293.3200000000002</v>
      </c>
      <c r="O2980" t="s">
        <v>80</v>
      </c>
      <c r="P2980" t="s">
        <v>82</v>
      </c>
    </row>
    <row r="2981" spans="1:16" x14ac:dyDescent="0.25">
      <c r="A2981">
        <v>2980</v>
      </c>
      <c r="B2981" s="2">
        <v>45719</v>
      </c>
      <c r="C2981" t="s">
        <v>20</v>
      </c>
      <c r="D2981" t="s">
        <v>26</v>
      </c>
      <c r="E2981" t="s">
        <v>29</v>
      </c>
      <c r="F2981" t="s">
        <v>57</v>
      </c>
      <c r="G2981" t="s">
        <v>70</v>
      </c>
      <c r="H2981" t="s">
        <v>74</v>
      </c>
      <c r="I2981">
        <v>6</v>
      </c>
      <c r="J2981">
        <v>6076</v>
      </c>
      <c r="K2981">
        <v>0.1</v>
      </c>
      <c r="L2981">
        <v>32810.400000000001</v>
      </c>
      <c r="M2981">
        <v>21811.67</v>
      </c>
      <c r="N2981">
        <v>10998.73</v>
      </c>
      <c r="O2981" t="s">
        <v>76</v>
      </c>
      <c r="P2981" t="s">
        <v>81</v>
      </c>
    </row>
    <row r="2982" spans="1:16" x14ac:dyDescent="0.25">
      <c r="A2982">
        <v>2981</v>
      </c>
      <c r="B2982" s="2">
        <v>46007</v>
      </c>
      <c r="C2982" t="s">
        <v>18</v>
      </c>
      <c r="D2982" t="s">
        <v>26</v>
      </c>
      <c r="E2982" t="s">
        <v>33</v>
      </c>
      <c r="F2982" t="s">
        <v>41</v>
      </c>
      <c r="G2982" t="s">
        <v>71</v>
      </c>
      <c r="H2982" t="s">
        <v>74</v>
      </c>
      <c r="I2982">
        <v>5</v>
      </c>
      <c r="J2982">
        <v>42458</v>
      </c>
      <c r="K2982">
        <v>0.15</v>
      </c>
      <c r="L2982">
        <v>180446.5</v>
      </c>
      <c r="M2982">
        <v>114249.25</v>
      </c>
      <c r="N2982">
        <v>66197.25</v>
      </c>
      <c r="O2982" t="s">
        <v>76</v>
      </c>
      <c r="P2982" t="s">
        <v>88</v>
      </c>
    </row>
    <row r="2983" spans="1:16" x14ac:dyDescent="0.25">
      <c r="A2983">
        <v>2982</v>
      </c>
      <c r="B2983" s="2">
        <v>45981</v>
      </c>
      <c r="C2983" t="s">
        <v>23</v>
      </c>
      <c r="D2983" t="s">
        <v>27</v>
      </c>
      <c r="E2983" t="s">
        <v>30</v>
      </c>
      <c r="F2983" t="s">
        <v>56</v>
      </c>
      <c r="G2983" t="s">
        <v>71</v>
      </c>
      <c r="H2983" t="s">
        <v>73</v>
      </c>
      <c r="I2983">
        <v>8</v>
      </c>
      <c r="J2983">
        <v>24827</v>
      </c>
      <c r="K2983">
        <v>0.15</v>
      </c>
      <c r="L2983">
        <v>168823.6</v>
      </c>
      <c r="M2983">
        <v>146201.67000000001</v>
      </c>
      <c r="N2983">
        <v>22621.93</v>
      </c>
      <c r="O2983" t="s">
        <v>78</v>
      </c>
      <c r="P2983" t="s">
        <v>84</v>
      </c>
    </row>
    <row r="2984" spans="1:16" x14ac:dyDescent="0.25">
      <c r="A2984">
        <v>2983</v>
      </c>
      <c r="B2984" s="2">
        <v>45863</v>
      </c>
      <c r="C2984" t="s">
        <v>17</v>
      </c>
      <c r="D2984" t="s">
        <v>25</v>
      </c>
      <c r="E2984" t="s">
        <v>34</v>
      </c>
      <c r="F2984" t="s">
        <v>55</v>
      </c>
      <c r="G2984" t="s">
        <v>70</v>
      </c>
      <c r="H2984" t="s">
        <v>73</v>
      </c>
      <c r="I2984">
        <v>7</v>
      </c>
      <c r="J2984">
        <v>4769</v>
      </c>
      <c r="K2984">
        <v>0.05</v>
      </c>
      <c r="L2984">
        <v>31713.85</v>
      </c>
      <c r="M2984">
        <v>23836.97</v>
      </c>
      <c r="N2984">
        <v>7876.88</v>
      </c>
      <c r="O2984" t="s">
        <v>77</v>
      </c>
      <c r="P2984" t="s">
        <v>88</v>
      </c>
    </row>
    <row r="2985" spans="1:16" x14ac:dyDescent="0.25">
      <c r="A2985">
        <v>2984</v>
      </c>
      <c r="B2985" s="2">
        <v>45951</v>
      </c>
      <c r="C2985" t="s">
        <v>16</v>
      </c>
      <c r="D2985" t="s">
        <v>24</v>
      </c>
      <c r="E2985" t="s">
        <v>32</v>
      </c>
      <c r="F2985" t="s">
        <v>66</v>
      </c>
      <c r="G2985" t="s">
        <v>72</v>
      </c>
      <c r="H2985" t="s">
        <v>75</v>
      </c>
      <c r="I2985">
        <v>1</v>
      </c>
      <c r="J2985">
        <v>21654</v>
      </c>
      <c r="K2985">
        <v>0.1</v>
      </c>
      <c r="L2985">
        <v>19488.599999999999</v>
      </c>
      <c r="M2985">
        <v>16036.96</v>
      </c>
      <c r="N2985">
        <v>3451.64</v>
      </c>
      <c r="O2985" t="s">
        <v>80</v>
      </c>
      <c r="P2985" t="s">
        <v>85</v>
      </c>
    </row>
    <row r="2986" spans="1:16" x14ac:dyDescent="0.25">
      <c r="A2986">
        <v>2985</v>
      </c>
      <c r="B2986" s="2">
        <v>45759</v>
      </c>
      <c r="C2986" t="s">
        <v>19</v>
      </c>
      <c r="D2986" t="s">
        <v>26</v>
      </c>
      <c r="E2986" t="s">
        <v>32</v>
      </c>
      <c r="F2986" t="s">
        <v>48</v>
      </c>
      <c r="G2986" t="s">
        <v>70</v>
      </c>
      <c r="H2986" t="s">
        <v>75</v>
      </c>
      <c r="I2986">
        <v>8</v>
      </c>
      <c r="J2986">
        <v>10769</v>
      </c>
      <c r="K2986">
        <v>0</v>
      </c>
      <c r="L2986">
        <v>86152</v>
      </c>
      <c r="M2986">
        <v>47947.51</v>
      </c>
      <c r="N2986">
        <v>38204.49</v>
      </c>
      <c r="O2986" t="s">
        <v>76</v>
      </c>
      <c r="P2986" t="s">
        <v>86</v>
      </c>
    </row>
    <row r="2987" spans="1:16" x14ac:dyDescent="0.25">
      <c r="A2987">
        <v>2986</v>
      </c>
      <c r="B2987" s="2">
        <v>45709</v>
      </c>
      <c r="C2987" t="s">
        <v>20</v>
      </c>
      <c r="D2987" t="s">
        <v>26</v>
      </c>
      <c r="E2987" t="s">
        <v>33</v>
      </c>
      <c r="F2987" t="s">
        <v>52</v>
      </c>
      <c r="G2987" t="s">
        <v>71</v>
      </c>
      <c r="H2987" t="s">
        <v>73</v>
      </c>
      <c r="I2987">
        <v>6</v>
      </c>
      <c r="J2987">
        <v>24837</v>
      </c>
      <c r="K2987">
        <v>0.1</v>
      </c>
      <c r="L2987">
        <v>134119.79999999999</v>
      </c>
      <c r="M2987">
        <v>115053.39</v>
      </c>
      <c r="N2987">
        <v>19066.41</v>
      </c>
      <c r="O2987" t="s">
        <v>79</v>
      </c>
      <c r="P2987" t="s">
        <v>84</v>
      </c>
    </row>
    <row r="2988" spans="1:16" x14ac:dyDescent="0.25">
      <c r="A2988">
        <v>2987</v>
      </c>
      <c r="B2988" s="2">
        <v>45739</v>
      </c>
      <c r="C2988" t="s">
        <v>21</v>
      </c>
      <c r="D2988" t="s">
        <v>24</v>
      </c>
      <c r="E2988" t="s">
        <v>33</v>
      </c>
      <c r="F2988" t="s">
        <v>46</v>
      </c>
      <c r="G2988" t="s">
        <v>72</v>
      </c>
      <c r="H2988" t="s">
        <v>74</v>
      </c>
      <c r="I2988">
        <v>6</v>
      </c>
      <c r="J2988">
        <v>27341</v>
      </c>
      <c r="K2988">
        <v>0</v>
      </c>
      <c r="L2988">
        <v>164046</v>
      </c>
      <c r="M2988">
        <v>102857.09</v>
      </c>
      <c r="N2988">
        <v>61188.91</v>
      </c>
      <c r="O2988" t="s">
        <v>79</v>
      </c>
      <c r="P2988" t="s">
        <v>84</v>
      </c>
    </row>
    <row r="2989" spans="1:16" x14ac:dyDescent="0.25">
      <c r="A2989">
        <v>2988</v>
      </c>
      <c r="B2989" s="2">
        <v>45709</v>
      </c>
      <c r="C2989" t="s">
        <v>20</v>
      </c>
      <c r="D2989" t="s">
        <v>26</v>
      </c>
      <c r="E2989" t="s">
        <v>31</v>
      </c>
      <c r="F2989" t="s">
        <v>50</v>
      </c>
      <c r="G2989" t="s">
        <v>71</v>
      </c>
      <c r="H2989" t="s">
        <v>74</v>
      </c>
      <c r="I2989">
        <v>3</v>
      </c>
      <c r="J2989">
        <v>2217</v>
      </c>
      <c r="K2989">
        <v>0</v>
      </c>
      <c r="L2989">
        <v>6651</v>
      </c>
      <c r="M2989">
        <v>5119.54</v>
      </c>
      <c r="N2989">
        <v>1531.46</v>
      </c>
      <c r="O2989" t="s">
        <v>76</v>
      </c>
      <c r="P2989" t="s">
        <v>88</v>
      </c>
    </row>
    <row r="2990" spans="1:16" x14ac:dyDescent="0.25">
      <c r="A2990">
        <v>2989</v>
      </c>
      <c r="B2990" s="2">
        <v>45837</v>
      </c>
      <c r="C2990" t="s">
        <v>19</v>
      </c>
      <c r="D2990" t="s">
        <v>26</v>
      </c>
      <c r="E2990" t="s">
        <v>33</v>
      </c>
      <c r="F2990" t="s">
        <v>60</v>
      </c>
      <c r="G2990" t="s">
        <v>72</v>
      </c>
      <c r="H2990" t="s">
        <v>75</v>
      </c>
      <c r="I2990">
        <v>1</v>
      </c>
      <c r="J2990">
        <v>6175</v>
      </c>
      <c r="K2990">
        <v>0.05</v>
      </c>
      <c r="L2990">
        <v>5866.25</v>
      </c>
      <c r="M2990">
        <v>3291.61</v>
      </c>
      <c r="N2990">
        <v>2574.64</v>
      </c>
      <c r="O2990" t="s">
        <v>77</v>
      </c>
      <c r="P2990" t="s">
        <v>82</v>
      </c>
    </row>
    <row r="2991" spans="1:16" x14ac:dyDescent="0.25">
      <c r="A2991">
        <v>2990</v>
      </c>
      <c r="B2991" s="2">
        <v>45902</v>
      </c>
      <c r="C2991" t="s">
        <v>19</v>
      </c>
      <c r="D2991" t="s">
        <v>26</v>
      </c>
      <c r="E2991" t="s">
        <v>33</v>
      </c>
      <c r="F2991" t="s">
        <v>41</v>
      </c>
      <c r="G2991" t="s">
        <v>71</v>
      </c>
      <c r="H2991" t="s">
        <v>75</v>
      </c>
      <c r="I2991">
        <v>8</v>
      </c>
      <c r="J2991">
        <v>36697</v>
      </c>
      <c r="K2991">
        <v>0.1</v>
      </c>
      <c r="L2991">
        <v>264218.40000000002</v>
      </c>
      <c r="M2991">
        <v>205908.39</v>
      </c>
      <c r="N2991">
        <v>58310.01</v>
      </c>
      <c r="O2991" t="s">
        <v>80</v>
      </c>
      <c r="P2991" t="s">
        <v>82</v>
      </c>
    </row>
    <row r="2992" spans="1:16" x14ac:dyDescent="0.25">
      <c r="A2992">
        <v>2991</v>
      </c>
      <c r="B2992" s="2">
        <v>45732</v>
      </c>
      <c r="C2992" t="s">
        <v>21</v>
      </c>
      <c r="D2992" t="s">
        <v>24</v>
      </c>
      <c r="E2992" t="s">
        <v>32</v>
      </c>
      <c r="F2992" t="s">
        <v>48</v>
      </c>
      <c r="G2992" t="s">
        <v>72</v>
      </c>
      <c r="H2992" t="s">
        <v>74</v>
      </c>
      <c r="I2992">
        <v>1</v>
      </c>
      <c r="J2992">
        <v>15166</v>
      </c>
      <c r="K2992">
        <v>0</v>
      </c>
      <c r="L2992">
        <v>15166</v>
      </c>
      <c r="M2992">
        <v>8875.81</v>
      </c>
      <c r="N2992">
        <v>6290.19</v>
      </c>
      <c r="O2992" t="s">
        <v>77</v>
      </c>
      <c r="P2992" t="s">
        <v>81</v>
      </c>
    </row>
    <row r="2993" spans="1:16" x14ac:dyDescent="0.25">
      <c r="A2993">
        <v>2992</v>
      </c>
      <c r="B2993" s="2">
        <v>45974</v>
      </c>
      <c r="C2993" t="s">
        <v>23</v>
      </c>
      <c r="D2993" t="s">
        <v>27</v>
      </c>
      <c r="E2993" t="s">
        <v>34</v>
      </c>
      <c r="F2993" t="s">
        <v>43</v>
      </c>
      <c r="G2993" t="s">
        <v>72</v>
      </c>
      <c r="H2993" t="s">
        <v>75</v>
      </c>
      <c r="I2993">
        <v>1</v>
      </c>
      <c r="J2993">
        <v>3262</v>
      </c>
      <c r="K2993">
        <v>0.15</v>
      </c>
      <c r="L2993">
        <v>2772.7</v>
      </c>
      <c r="M2993">
        <v>2023.8</v>
      </c>
      <c r="N2993">
        <v>748.9</v>
      </c>
      <c r="O2993" t="s">
        <v>79</v>
      </c>
      <c r="P2993" t="s">
        <v>87</v>
      </c>
    </row>
    <row r="2994" spans="1:16" x14ac:dyDescent="0.25">
      <c r="A2994">
        <v>2993</v>
      </c>
      <c r="B2994" s="2">
        <v>45724</v>
      </c>
      <c r="C2994" t="s">
        <v>17</v>
      </c>
      <c r="D2994" t="s">
        <v>25</v>
      </c>
      <c r="E2994" t="s">
        <v>32</v>
      </c>
      <c r="F2994" t="s">
        <v>48</v>
      </c>
      <c r="G2994" t="s">
        <v>72</v>
      </c>
      <c r="H2994" t="s">
        <v>75</v>
      </c>
      <c r="I2994">
        <v>1</v>
      </c>
      <c r="J2994">
        <v>1256</v>
      </c>
      <c r="K2994">
        <v>0</v>
      </c>
      <c r="L2994">
        <v>1256</v>
      </c>
      <c r="M2994">
        <v>832.07</v>
      </c>
      <c r="N2994">
        <v>423.93</v>
      </c>
      <c r="O2994" t="s">
        <v>80</v>
      </c>
      <c r="P2994" t="s">
        <v>88</v>
      </c>
    </row>
    <row r="2995" spans="1:16" x14ac:dyDescent="0.25">
      <c r="A2995">
        <v>2994</v>
      </c>
      <c r="B2995" s="2">
        <v>45789</v>
      </c>
      <c r="C2995" t="s">
        <v>23</v>
      </c>
      <c r="D2995" t="s">
        <v>27</v>
      </c>
      <c r="E2995" t="s">
        <v>31</v>
      </c>
      <c r="F2995" t="s">
        <v>50</v>
      </c>
      <c r="G2995" t="s">
        <v>72</v>
      </c>
      <c r="H2995" t="s">
        <v>73</v>
      </c>
      <c r="I2995">
        <v>6</v>
      </c>
      <c r="J2995">
        <v>795</v>
      </c>
      <c r="K2995">
        <v>0.05</v>
      </c>
      <c r="L2995">
        <v>4531.5</v>
      </c>
      <c r="M2995">
        <v>2631.99</v>
      </c>
      <c r="N2995">
        <v>1899.51</v>
      </c>
      <c r="O2995" t="s">
        <v>76</v>
      </c>
      <c r="P2995" t="s">
        <v>82</v>
      </c>
    </row>
    <row r="2996" spans="1:16" x14ac:dyDescent="0.25">
      <c r="A2996">
        <v>2995</v>
      </c>
      <c r="B2996" s="2">
        <v>45783</v>
      </c>
      <c r="C2996" t="s">
        <v>20</v>
      </c>
      <c r="D2996" t="s">
        <v>26</v>
      </c>
      <c r="E2996" t="s">
        <v>29</v>
      </c>
      <c r="F2996" t="s">
        <v>42</v>
      </c>
      <c r="G2996" t="s">
        <v>72</v>
      </c>
      <c r="H2996" t="s">
        <v>75</v>
      </c>
      <c r="I2996">
        <v>7</v>
      </c>
      <c r="J2996">
        <v>4933</v>
      </c>
      <c r="K2996">
        <v>0</v>
      </c>
      <c r="L2996">
        <v>34531</v>
      </c>
      <c r="M2996">
        <v>20312.349999999999</v>
      </c>
      <c r="N2996">
        <v>14218.65</v>
      </c>
      <c r="O2996" t="s">
        <v>78</v>
      </c>
      <c r="P2996" t="s">
        <v>87</v>
      </c>
    </row>
    <row r="2997" spans="1:16" x14ac:dyDescent="0.25">
      <c r="A2997">
        <v>2996</v>
      </c>
      <c r="B2997" s="2">
        <v>45718</v>
      </c>
      <c r="C2997" t="s">
        <v>23</v>
      </c>
      <c r="D2997" t="s">
        <v>27</v>
      </c>
      <c r="E2997" t="s">
        <v>33</v>
      </c>
      <c r="F2997" t="s">
        <v>60</v>
      </c>
      <c r="G2997" t="s">
        <v>70</v>
      </c>
      <c r="H2997" t="s">
        <v>73</v>
      </c>
      <c r="I2997">
        <v>7</v>
      </c>
      <c r="J2997">
        <v>8210</v>
      </c>
      <c r="K2997">
        <v>0.15</v>
      </c>
      <c r="L2997">
        <v>48849.5</v>
      </c>
      <c r="M2997">
        <v>37677.839999999997</v>
      </c>
      <c r="N2997">
        <v>11171.66</v>
      </c>
      <c r="O2997" t="s">
        <v>80</v>
      </c>
      <c r="P2997" t="s">
        <v>87</v>
      </c>
    </row>
    <row r="2998" spans="1:16" x14ac:dyDescent="0.25">
      <c r="A2998">
        <v>2997</v>
      </c>
      <c r="B2998" s="2">
        <v>45700</v>
      </c>
      <c r="C2998" t="s">
        <v>22</v>
      </c>
      <c r="D2998" t="s">
        <v>24</v>
      </c>
      <c r="E2998" t="s">
        <v>32</v>
      </c>
      <c r="F2998" t="s">
        <v>62</v>
      </c>
      <c r="G2998" t="s">
        <v>72</v>
      </c>
      <c r="H2998" t="s">
        <v>73</v>
      </c>
      <c r="I2998">
        <v>7</v>
      </c>
      <c r="J2998">
        <v>9684</v>
      </c>
      <c r="K2998">
        <v>0</v>
      </c>
      <c r="L2998">
        <v>67788</v>
      </c>
      <c r="M2998">
        <v>41846.06</v>
      </c>
      <c r="N2998">
        <v>25941.94</v>
      </c>
      <c r="O2998" t="s">
        <v>77</v>
      </c>
      <c r="P2998" t="s">
        <v>87</v>
      </c>
    </row>
    <row r="2999" spans="1:16" x14ac:dyDescent="0.25">
      <c r="A2999">
        <v>2998</v>
      </c>
      <c r="B2999" s="2">
        <v>45839</v>
      </c>
      <c r="C2999" t="s">
        <v>19</v>
      </c>
      <c r="D2999" t="s">
        <v>26</v>
      </c>
      <c r="E2999" t="s">
        <v>34</v>
      </c>
      <c r="F2999" t="s">
        <v>65</v>
      </c>
      <c r="G2999" t="s">
        <v>72</v>
      </c>
      <c r="H2999" t="s">
        <v>73</v>
      </c>
      <c r="I2999">
        <v>5</v>
      </c>
      <c r="J2999">
        <v>4331</v>
      </c>
      <c r="K2999">
        <v>0</v>
      </c>
      <c r="L2999">
        <v>21655</v>
      </c>
      <c r="M2999">
        <v>16803.05</v>
      </c>
      <c r="N2999">
        <v>4851.95</v>
      </c>
      <c r="O2999" t="s">
        <v>79</v>
      </c>
      <c r="P2999" t="s">
        <v>84</v>
      </c>
    </row>
    <row r="3000" spans="1:16" x14ac:dyDescent="0.25">
      <c r="A3000">
        <v>2999</v>
      </c>
      <c r="B3000" s="2">
        <v>45856</v>
      </c>
      <c r="C3000" t="s">
        <v>23</v>
      </c>
      <c r="D3000" t="s">
        <v>27</v>
      </c>
      <c r="E3000" t="s">
        <v>29</v>
      </c>
      <c r="F3000" t="s">
        <v>45</v>
      </c>
      <c r="G3000" t="s">
        <v>70</v>
      </c>
      <c r="H3000" t="s">
        <v>75</v>
      </c>
      <c r="I3000">
        <v>6</v>
      </c>
      <c r="J3000">
        <v>4922</v>
      </c>
      <c r="K3000">
        <v>0.1</v>
      </c>
      <c r="L3000">
        <v>26578.799999999999</v>
      </c>
      <c r="M3000">
        <v>20290.86</v>
      </c>
      <c r="N3000">
        <v>6287.94</v>
      </c>
      <c r="O3000" t="s">
        <v>77</v>
      </c>
      <c r="P3000" t="s">
        <v>88</v>
      </c>
    </row>
    <row r="3001" spans="1:16" x14ac:dyDescent="0.25">
      <c r="A3001">
        <v>3000</v>
      </c>
      <c r="B3001" s="2">
        <v>45678</v>
      </c>
      <c r="C3001" t="s">
        <v>18</v>
      </c>
      <c r="D3001" t="s">
        <v>26</v>
      </c>
      <c r="E3001" t="s">
        <v>32</v>
      </c>
      <c r="F3001" t="s">
        <v>49</v>
      </c>
      <c r="G3001" t="s">
        <v>72</v>
      </c>
      <c r="H3001" t="s">
        <v>73</v>
      </c>
      <c r="I3001">
        <v>4</v>
      </c>
      <c r="J3001">
        <v>21566</v>
      </c>
      <c r="K3001">
        <v>0.2</v>
      </c>
      <c r="L3001">
        <v>69011.199999999997</v>
      </c>
      <c r="M3001">
        <v>60027.61</v>
      </c>
      <c r="N3001">
        <v>8983.59</v>
      </c>
      <c r="O3001" t="s">
        <v>78</v>
      </c>
      <c r="P3001" t="s">
        <v>88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78617-1575-4862-88B5-8D7F62ED9474}">
  <dimension ref="A3:B7"/>
  <sheetViews>
    <sheetView zoomScaleNormal="100" workbookViewId="0">
      <selection activeCell="A3" sqref="A3:B7"/>
    </sheetView>
  </sheetViews>
  <sheetFormatPr defaultRowHeight="15" x14ac:dyDescent="0.25"/>
  <cols>
    <col min="1" max="1" width="19.140625" bestFit="1" customWidth="1"/>
    <col min="2" max="2" width="9.28515625" bestFit="1" customWidth="1"/>
    <col min="3" max="3" width="15.42578125" bestFit="1" customWidth="1"/>
    <col min="4" max="4" width="19.140625" bestFit="1" customWidth="1"/>
    <col min="5" max="5" width="7" bestFit="1" customWidth="1"/>
    <col min="6" max="6" width="4" bestFit="1" customWidth="1"/>
    <col min="7" max="9" width="6" bestFit="1" customWidth="1"/>
    <col min="10" max="10" width="5" bestFit="1" customWidth="1"/>
    <col min="11" max="13" width="6" bestFit="1" customWidth="1"/>
    <col min="14" max="14" width="5" bestFit="1" customWidth="1"/>
    <col min="15" max="20" width="6" bestFit="1" customWidth="1"/>
    <col min="21" max="21" width="5" bestFit="1" customWidth="1"/>
    <col min="22" max="27" width="6" bestFit="1" customWidth="1"/>
    <col min="28" max="28" width="5" bestFit="1" customWidth="1"/>
    <col min="29" max="29" width="7" bestFit="1" customWidth="1"/>
    <col min="30" max="32" width="5" bestFit="1" customWidth="1"/>
    <col min="33" max="35" width="6" bestFit="1" customWidth="1"/>
    <col min="36" max="38" width="5" bestFit="1" customWidth="1"/>
    <col min="39" max="40" width="6" bestFit="1" customWidth="1"/>
    <col min="41" max="41" width="4" bestFit="1" customWidth="1"/>
    <col min="42" max="42" width="6" bestFit="1" customWidth="1"/>
    <col min="43" max="43" width="7" bestFit="1" customWidth="1"/>
    <col min="44" max="45" width="6" bestFit="1" customWidth="1"/>
    <col min="46" max="46" width="4" bestFit="1" customWidth="1"/>
    <col min="47" max="50" width="6" bestFit="1" customWidth="1"/>
    <col min="51" max="51" width="7" bestFit="1" customWidth="1"/>
    <col min="52" max="56" width="6" bestFit="1" customWidth="1"/>
    <col min="57" max="57" width="5" bestFit="1" customWidth="1"/>
    <col min="58" max="62" width="6" bestFit="1" customWidth="1"/>
    <col min="63" max="63" width="5" bestFit="1" customWidth="1"/>
    <col min="64" max="65" width="7" bestFit="1" customWidth="1"/>
    <col min="66" max="73" width="6" bestFit="1" customWidth="1"/>
    <col min="74" max="74" width="5" bestFit="1" customWidth="1"/>
    <col min="75" max="75" width="4" bestFit="1" customWidth="1"/>
    <col min="76" max="76" width="6" bestFit="1" customWidth="1"/>
    <col min="77" max="77" width="5" bestFit="1" customWidth="1"/>
    <col min="78" max="78" width="7" bestFit="1" customWidth="1"/>
    <col min="79" max="80" width="6" bestFit="1" customWidth="1"/>
    <col min="81" max="81" width="5" bestFit="1" customWidth="1"/>
    <col min="82" max="82" width="6" bestFit="1" customWidth="1"/>
    <col min="83" max="83" width="7" bestFit="1" customWidth="1"/>
    <col min="84" max="86" width="6" bestFit="1" customWidth="1"/>
    <col min="87" max="87" width="5" bestFit="1" customWidth="1"/>
    <col min="88" max="89" width="6" bestFit="1" customWidth="1"/>
    <col min="90" max="92" width="5" bestFit="1" customWidth="1"/>
    <col min="93" max="94" width="7" bestFit="1" customWidth="1"/>
    <col min="95" max="95" width="5" bestFit="1" customWidth="1"/>
    <col min="96" max="97" width="6" bestFit="1" customWidth="1"/>
    <col min="98" max="98" width="4" bestFit="1" customWidth="1"/>
    <col min="99" max="99" width="6" bestFit="1" customWidth="1"/>
    <col min="100" max="100" width="5" bestFit="1" customWidth="1"/>
    <col min="101" max="101" width="7" bestFit="1" customWidth="1"/>
    <col min="102" max="106" width="6" bestFit="1" customWidth="1"/>
    <col min="107" max="107" width="5" bestFit="1" customWidth="1"/>
    <col min="108" max="110" width="6" bestFit="1" customWidth="1"/>
    <col min="111" max="112" width="7" bestFit="1" customWidth="1"/>
    <col min="113" max="113" width="5" bestFit="1" customWidth="1"/>
    <col min="114" max="115" width="7" bestFit="1" customWidth="1"/>
    <col min="116" max="116" width="5" bestFit="1" customWidth="1"/>
    <col min="117" max="121" width="7" bestFit="1" customWidth="1"/>
    <col min="122" max="122" width="5" bestFit="1" customWidth="1"/>
    <col min="123" max="123" width="7" bestFit="1" customWidth="1"/>
    <col min="124" max="126" width="8" bestFit="1" customWidth="1"/>
    <col min="127" max="129" width="7" bestFit="1" customWidth="1"/>
    <col min="130" max="130" width="5" bestFit="1" customWidth="1"/>
    <col min="131" max="132" width="7" bestFit="1" customWidth="1"/>
    <col min="133" max="133" width="8" bestFit="1" customWidth="1"/>
    <col min="134" max="135" width="7" bestFit="1" customWidth="1"/>
    <col min="136" max="138" width="5" bestFit="1" customWidth="1"/>
    <col min="139" max="142" width="7" bestFit="1" customWidth="1"/>
    <col min="143" max="146" width="5" bestFit="1" customWidth="1"/>
    <col min="147" max="147" width="8" bestFit="1" customWidth="1"/>
    <col min="148" max="149" width="7" bestFit="1" customWidth="1"/>
    <col min="150" max="150" width="5" bestFit="1" customWidth="1"/>
    <col min="151" max="151" width="7" bestFit="1" customWidth="1"/>
    <col min="152" max="154" width="5" bestFit="1" customWidth="1"/>
    <col min="155" max="155" width="7" bestFit="1" customWidth="1"/>
    <col min="156" max="156" width="5" bestFit="1" customWidth="1"/>
    <col min="157" max="157" width="7" bestFit="1" customWidth="1"/>
    <col min="158" max="158" width="5" bestFit="1" customWidth="1"/>
    <col min="159" max="159" width="7" bestFit="1" customWidth="1"/>
    <col min="160" max="160" width="5" bestFit="1" customWidth="1"/>
    <col min="161" max="163" width="7" bestFit="1" customWidth="1"/>
    <col min="164" max="164" width="5" bestFit="1" customWidth="1"/>
    <col min="165" max="165" width="7" bestFit="1" customWidth="1"/>
    <col min="166" max="166" width="5" bestFit="1" customWidth="1"/>
    <col min="167" max="167" width="7" bestFit="1" customWidth="1"/>
    <col min="168" max="168" width="5" bestFit="1" customWidth="1"/>
    <col min="169" max="170" width="7" bestFit="1" customWidth="1"/>
    <col min="171" max="171" width="5" bestFit="1" customWidth="1"/>
    <col min="172" max="174" width="7" bestFit="1" customWidth="1"/>
    <col min="175" max="175" width="5" bestFit="1" customWidth="1"/>
    <col min="176" max="176" width="7" bestFit="1" customWidth="1"/>
    <col min="177" max="178" width="5" bestFit="1" customWidth="1"/>
    <col min="179" max="180" width="7" bestFit="1" customWidth="1"/>
    <col min="181" max="181" width="5" bestFit="1" customWidth="1"/>
    <col min="182" max="183" width="8" bestFit="1" customWidth="1"/>
    <col min="184" max="185" width="5" bestFit="1" customWidth="1"/>
    <col min="186" max="186" width="8" bestFit="1" customWidth="1"/>
    <col min="187" max="187" width="5" bestFit="1" customWidth="1"/>
    <col min="188" max="188" width="7" bestFit="1" customWidth="1"/>
    <col min="189" max="189" width="8" bestFit="1" customWidth="1"/>
    <col min="190" max="192" width="7" bestFit="1" customWidth="1"/>
    <col min="193" max="194" width="8" bestFit="1" customWidth="1"/>
    <col min="195" max="195" width="7" bestFit="1" customWidth="1"/>
    <col min="196" max="196" width="8" bestFit="1" customWidth="1"/>
    <col min="197" max="198" width="7" bestFit="1" customWidth="1"/>
    <col min="199" max="199" width="5" bestFit="1" customWidth="1"/>
    <col min="200" max="202" width="7" bestFit="1" customWidth="1"/>
    <col min="203" max="204" width="5" bestFit="1" customWidth="1"/>
    <col min="205" max="205" width="8" bestFit="1" customWidth="1"/>
    <col min="206" max="206" width="5" bestFit="1" customWidth="1"/>
    <col min="207" max="208" width="7" bestFit="1" customWidth="1"/>
    <col min="209" max="209" width="8" bestFit="1" customWidth="1"/>
    <col min="210" max="211" width="5" bestFit="1" customWidth="1"/>
    <col min="212" max="217" width="7" bestFit="1" customWidth="1"/>
    <col min="218" max="219" width="8" bestFit="1" customWidth="1"/>
    <col min="220" max="221" width="7" bestFit="1" customWidth="1"/>
    <col min="222" max="223" width="8" bestFit="1" customWidth="1"/>
    <col min="224" max="224" width="5" bestFit="1" customWidth="1"/>
    <col min="225" max="225" width="8" bestFit="1" customWidth="1"/>
    <col min="226" max="226" width="7" bestFit="1" customWidth="1"/>
    <col min="227" max="231" width="5" bestFit="1" customWidth="1"/>
    <col min="232" max="232" width="7" bestFit="1" customWidth="1"/>
    <col min="233" max="233" width="5" bestFit="1" customWidth="1"/>
    <col min="234" max="234" width="7" bestFit="1" customWidth="1"/>
    <col min="235" max="235" width="8" bestFit="1" customWidth="1"/>
    <col min="236" max="237" width="5" bestFit="1" customWidth="1"/>
    <col min="238" max="238" width="7" bestFit="1" customWidth="1"/>
    <col min="239" max="240" width="5" bestFit="1" customWidth="1"/>
    <col min="241" max="241" width="7" bestFit="1" customWidth="1"/>
    <col min="242" max="242" width="8" bestFit="1" customWidth="1"/>
    <col min="243" max="244" width="5" bestFit="1" customWidth="1"/>
    <col min="245" max="247" width="7" bestFit="1" customWidth="1"/>
    <col min="248" max="248" width="5" bestFit="1" customWidth="1"/>
    <col min="249" max="249" width="8" bestFit="1" customWidth="1"/>
    <col min="250" max="250" width="5" bestFit="1" customWidth="1"/>
    <col min="251" max="252" width="7" bestFit="1" customWidth="1"/>
    <col min="253" max="253" width="5" bestFit="1" customWidth="1"/>
    <col min="254" max="255" width="7" bestFit="1" customWidth="1"/>
    <col min="256" max="256" width="5" bestFit="1" customWidth="1"/>
    <col min="257" max="257" width="7" bestFit="1" customWidth="1"/>
    <col min="258" max="258" width="5" bestFit="1" customWidth="1"/>
    <col min="259" max="260" width="7" bestFit="1" customWidth="1"/>
    <col min="261" max="261" width="5" bestFit="1" customWidth="1"/>
    <col min="262" max="262" width="7" bestFit="1" customWidth="1"/>
    <col min="263" max="264" width="5" bestFit="1" customWidth="1"/>
    <col min="265" max="265" width="7" bestFit="1" customWidth="1"/>
    <col min="266" max="266" width="5" bestFit="1" customWidth="1"/>
    <col min="267" max="267" width="7" bestFit="1" customWidth="1"/>
    <col min="268" max="270" width="5" bestFit="1" customWidth="1"/>
    <col min="271" max="275" width="7" bestFit="1" customWidth="1"/>
    <col min="276" max="276" width="5" bestFit="1" customWidth="1"/>
    <col min="277" max="283" width="7" bestFit="1" customWidth="1"/>
    <col min="284" max="284" width="5" bestFit="1" customWidth="1"/>
    <col min="285" max="285" width="7" bestFit="1" customWidth="1"/>
    <col min="286" max="286" width="5" bestFit="1" customWidth="1"/>
    <col min="287" max="287" width="7" bestFit="1" customWidth="1"/>
    <col min="288" max="289" width="5" bestFit="1" customWidth="1"/>
    <col min="290" max="290" width="7" bestFit="1" customWidth="1"/>
    <col min="291" max="292" width="5" bestFit="1" customWidth="1"/>
    <col min="293" max="293" width="7" bestFit="1" customWidth="1"/>
    <col min="294" max="295" width="5" bestFit="1" customWidth="1"/>
    <col min="296" max="297" width="7" bestFit="1" customWidth="1"/>
    <col min="298" max="298" width="8" bestFit="1" customWidth="1"/>
    <col min="299" max="299" width="5" bestFit="1" customWidth="1"/>
    <col min="300" max="302" width="7" bestFit="1" customWidth="1"/>
    <col min="303" max="304" width="5" bestFit="1" customWidth="1"/>
    <col min="305" max="305" width="7" bestFit="1" customWidth="1"/>
    <col min="306" max="307" width="5" bestFit="1" customWidth="1"/>
    <col min="308" max="311" width="7" bestFit="1" customWidth="1"/>
    <col min="312" max="312" width="8" bestFit="1" customWidth="1"/>
    <col min="313" max="314" width="5" bestFit="1" customWidth="1"/>
    <col min="315" max="315" width="7" bestFit="1" customWidth="1"/>
    <col min="316" max="316" width="5" bestFit="1" customWidth="1"/>
    <col min="317" max="317" width="7" bestFit="1" customWidth="1"/>
    <col min="318" max="318" width="8" bestFit="1" customWidth="1"/>
    <col min="319" max="319" width="5" bestFit="1" customWidth="1"/>
    <col min="320" max="320" width="8" bestFit="1" customWidth="1"/>
    <col min="321" max="322" width="5" bestFit="1" customWidth="1"/>
    <col min="323" max="323" width="7" bestFit="1" customWidth="1"/>
    <col min="324" max="324" width="5" bestFit="1" customWidth="1"/>
    <col min="325" max="325" width="7" bestFit="1" customWidth="1"/>
    <col min="326" max="326" width="8" bestFit="1" customWidth="1"/>
    <col min="327" max="329" width="7" bestFit="1" customWidth="1"/>
    <col min="330" max="330" width="5" bestFit="1" customWidth="1"/>
    <col min="331" max="333" width="7" bestFit="1" customWidth="1"/>
    <col min="334" max="334" width="5" bestFit="1" customWidth="1"/>
    <col min="335" max="336" width="7" bestFit="1" customWidth="1"/>
    <col min="337" max="337" width="5" bestFit="1" customWidth="1"/>
    <col min="338" max="340" width="7" bestFit="1" customWidth="1"/>
    <col min="341" max="341" width="8" bestFit="1" customWidth="1"/>
    <col min="342" max="343" width="7" bestFit="1" customWidth="1"/>
    <col min="344" max="344" width="5" bestFit="1" customWidth="1"/>
    <col min="345" max="345" width="7" bestFit="1" customWidth="1"/>
    <col min="346" max="347" width="5" bestFit="1" customWidth="1"/>
    <col min="348" max="348" width="7" bestFit="1" customWidth="1"/>
    <col min="349" max="350" width="5" bestFit="1" customWidth="1"/>
    <col min="351" max="355" width="7" bestFit="1" customWidth="1"/>
    <col min="356" max="356" width="5" bestFit="1" customWidth="1"/>
    <col min="357" max="360" width="7" bestFit="1" customWidth="1"/>
    <col min="361" max="363" width="5" bestFit="1" customWidth="1"/>
    <col min="364" max="364" width="7" bestFit="1" customWidth="1"/>
    <col min="365" max="366" width="8" bestFit="1" customWidth="1"/>
    <col min="367" max="367" width="5" bestFit="1" customWidth="1"/>
    <col min="368" max="368" width="7" bestFit="1" customWidth="1"/>
    <col min="369" max="369" width="5" bestFit="1" customWidth="1"/>
    <col min="370" max="370" width="8" bestFit="1" customWidth="1"/>
    <col min="371" max="371" width="7" bestFit="1" customWidth="1"/>
    <col min="372" max="373" width="5" bestFit="1" customWidth="1"/>
    <col min="374" max="377" width="7" bestFit="1" customWidth="1"/>
    <col min="378" max="378" width="5" bestFit="1" customWidth="1"/>
    <col min="379" max="379" width="7" bestFit="1" customWidth="1"/>
    <col min="380" max="381" width="5" bestFit="1" customWidth="1"/>
    <col min="382" max="384" width="7" bestFit="1" customWidth="1"/>
    <col min="385" max="386" width="5" bestFit="1" customWidth="1"/>
    <col min="387" max="387" width="7" bestFit="1" customWidth="1"/>
    <col min="388" max="388" width="5" bestFit="1" customWidth="1"/>
    <col min="389" max="389" width="8" bestFit="1" customWidth="1"/>
    <col min="390" max="392" width="5" bestFit="1" customWidth="1"/>
    <col min="393" max="393" width="7" bestFit="1" customWidth="1"/>
    <col min="394" max="394" width="5" bestFit="1" customWidth="1"/>
    <col min="395" max="395" width="7" bestFit="1" customWidth="1"/>
    <col min="396" max="396" width="5" bestFit="1" customWidth="1"/>
    <col min="397" max="402" width="7" bestFit="1" customWidth="1"/>
    <col min="403" max="404" width="5" bestFit="1" customWidth="1"/>
    <col min="405" max="405" width="7" bestFit="1" customWidth="1"/>
    <col min="406" max="407" width="5" bestFit="1" customWidth="1"/>
    <col min="408" max="408" width="7" bestFit="1" customWidth="1"/>
    <col min="409" max="409" width="5" bestFit="1" customWidth="1"/>
    <col min="410" max="410" width="7" bestFit="1" customWidth="1"/>
    <col min="411" max="411" width="5" bestFit="1" customWidth="1"/>
    <col min="412" max="414" width="7" bestFit="1" customWidth="1"/>
    <col min="415" max="415" width="5" bestFit="1" customWidth="1"/>
    <col min="416" max="419" width="7" bestFit="1" customWidth="1"/>
    <col min="420" max="420" width="5" bestFit="1" customWidth="1"/>
    <col min="421" max="421" width="7" bestFit="1" customWidth="1"/>
    <col min="422" max="422" width="8" bestFit="1" customWidth="1"/>
    <col min="423" max="425" width="7" bestFit="1" customWidth="1"/>
    <col min="426" max="426" width="5" bestFit="1" customWidth="1"/>
    <col min="427" max="429" width="7" bestFit="1" customWidth="1"/>
    <col min="430" max="431" width="5" bestFit="1" customWidth="1"/>
    <col min="432" max="432" width="8" bestFit="1" customWidth="1"/>
    <col min="433" max="433" width="5" bestFit="1" customWidth="1"/>
    <col min="434" max="434" width="7" bestFit="1" customWidth="1"/>
    <col min="435" max="435" width="5" bestFit="1" customWidth="1"/>
    <col min="436" max="436" width="7" bestFit="1" customWidth="1"/>
    <col min="437" max="437" width="8" bestFit="1" customWidth="1"/>
    <col min="438" max="439" width="5" bestFit="1" customWidth="1"/>
    <col min="440" max="441" width="7" bestFit="1" customWidth="1"/>
    <col min="442" max="442" width="5" bestFit="1" customWidth="1"/>
    <col min="443" max="443" width="7" bestFit="1" customWidth="1"/>
    <col min="444" max="444" width="5" bestFit="1" customWidth="1"/>
    <col min="445" max="445" width="7" bestFit="1" customWidth="1"/>
    <col min="446" max="446" width="8" bestFit="1" customWidth="1"/>
    <col min="447" max="447" width="5" bestFit="1" customWidth="1"/>
    <col min="448" max="449" width="7" bestFit="1" customWidth="1"/>
    <col min="450" max="450" width="5" bestFit="1" customWidth="1"/>
    <col min="451" max="451" width="7" bestFit="1" customWidth="1"/>
    <col min="452" max="452" width="5" bestFit="1" customWidth="1"/>
    <col min="453" max="453" width="7" bestFit="1" customWidth="1"/>
    <col min="454" max="454" width="5" bestFit="1" customWidth="1"/>
    <col min="455" max="455" width="7" bestFit="1" customWidth="1"/>
    <col min="456" max="456" width="5" bestFit="1" customWidth="1"/>
    <col min="457" max="458" width="7" bestFit="1" customWidth="1"/>
    <col min="459" max="459" width="5" bestFit="1" customWidth="1"/>
    <col min="460" max="463" width="7" bestFit="1" customWidth="1"/>
    <col min="464" max="464" width="5" bestFit="1" customWidth="1"/>
    <col min="465" max="465" width="7" bestFit="1" customWidth="1"/>
    <col min="466" max="466" width="8" bestFit="1" customWidth="1"/>
    <col min="467" max="468" width="5" bestFit="1" customWidth="1"/>
    <col min="469" max="469" width="7" bestFit="1" customWidth="1"/>
    <col min="470" max="470" width="5" bestFit="1" customWidth="1"/>
    <col min="471" max="472" width="7" bestFit="1" customWidth="1"/>
    <col min="473" max="477" width="5" bestFit="1" customWidth="1"/>
    <col min="478" max="478" width="8" bestFit="1" customWidth="1"/>
    <col min="479" max="479" width="7" bestFit="1" customWidth="1"/>
    <col min="480" max="480" width="5" bestFit="1" customWidth="1"/>
    <col min="481" max="481" width="8" bestFit="1" customWidth="1"/>
    <col min="482" max="482" width="7" bestFit="1" customWidth="1"/>
    <col min="483" max="483" width="8" bestFit="1" customWidth="1"/>
    <col min="484" max="484" width="7" bestFit="1" customWidth="1"/>
    <col min="485" max="485" width="5" bestFit="1" customWidth="1"/>
    <col min="486" max="489" width="7" bestFit="1" customWidth="1"/>
    <col min="490" max="491" width="5" bestFit="1" customWidth="1"/>
    <col min="492" max="492" width="7" bestFit="1" customWidth="1"/>
    <col min="493" max="493" width="5" bestFit="1" customWidth="1"/>
    <col min="494" max="498" width="7" bestFit="1" customWidth="1"/>
    <col min="499" max="499" width="5" bestFit="1" customWidth="1"/>
    <col min="500" max="501" width="7" bestFit="1" customWidth="1"/>
    <col min="502" max="502" width="5" bestFit="1" customWidth="1"/>
    <col min="503" max="506" width="7" bestFit="1" customWidth="1"/>
    <col min="507" max="508" width="5" bestFit="1" customWidth="1"/>
    <col min="509" max="516" width="7" bestFit="1" customWidth="1"/>
    <col min="517" max="518" width="5" bestFit="1" customWidth="1"/>
    <col min="519" max="519" width="7" bestFit="1" customWidth="1"/>
    <col min="520" max="520" width="5" bestFit="1" customWidth="1"/>
    <col min="521" max="521" width="8" bestFit="1" customWidth="1"/>
    <col min="522" max="523" width="7" bestFit="1" customWidth="1"/>
    <col min="524" max="524" width="5" bestFit="1" customWidth="1"/>
    <col min="525" max="527" width="7" bestFit="1" customWidth="1"/>
    <col min="528" max="528" width="5" bestFit="1" customWidth="1"/>
    <col min="529" max="529" width="8" bestFit="1" customWidth="1"/>
    <col min="530" max="530" width="5" bestFit="1" customWidth="1"/>
    <col min="531" max="533" width="7" bestFit="1" customWidth="1"/>
    <col min="534" max="535" width="5" bestFit="1" customWidth="1"/>
    <col min="536" max="538" width="7" bestFit="1" customWidth="1"/>
    <col min="539" max="540" width="5" bestFit="1" customWidth="1"/>
    <col min="541" max="544" width="7" bestFit="1" customWidth="1"/>
    <col min="545" max="545" width="5" bestFit="1" customWidth="1"/>
    <col min="546" max="548" width="7" bestFit="1" customWidth="1"/>
    <col min="549" max="549" width="5" bestFit="1" customWidth="1"/>
    <col min="550" max="550" width="7" bestFit="1" customWidth="1"/>
    <col min="551" max="551" width="8" bestFit="1" customWidth="1"/>
    <col min="552" max="554" width="5" bestFit="1" customWidth="1"/>
    <col min="555" max="555" width="7" bestFit="1" customWidth="1"/>
    <col min="556" max="556" width="5" bestFit="1" customWidth="1"/>
    <col min="557" max="558" width="7" bestFit="1" customWidth="1"/>
    <col min="559" max="563" width="5" bestFit="1" customWidth="1"/>
    <col min="564" max="564" width="8" bestFit="1" customWidth="1"/>
    <col min="565" max="567" width="7" bestFit="1" customWidth="1"/>
    <col min="568" max="568" width="8" bestFit="1" customWidth="1"/>
    <col min="569" max="571" width="7" bestFit="1" customWidth="1"/>
    <col min="572" max="572" width="8" bestFit="1" customWidth="1"/>
    <col min="573" max="574" width="7" bestFit="1" customWidth="1"/>
    <col min="575" max="575" width="5" bestFit="1" customWidth="1"/>
    <col min="576" max="576" width="7" bestFit="1" customWidth="1"/>
    <col min="577" max="577" width="5" bestFit="1" customWidth="1"/>
    <col min="578" max="579" width="7" bestFit="1" customWidth="1"/>
    <col min="580" max="581" width="5" bestFit="1" customWidth="1"/>
    <col min="582" max="582" width="7" bestFit="1" customWidth="1"/>
    <col min="583" max="584" width="5" bestFit="1" customWidth="1"/>
    <col min="585" max="587" width="8" bestFit="1" customWidth="1"/>
    <col min="588" max="591" width="7" bestFit="1" customWidth="1"/>
    <col min="592" max="592" width="8" bestFit="1" customWidth="1"/>
    <col min="593" max="593" width="7" bestFit="1" customWidth="1"/>
    <col min="594" max="594" width="5" bestFit="1" customWidth="1"/>
    <col min="595" max="598" width="7" bestFit="1" customWidth="1"/>
    <col min="599" max="599" width="5" bestFit="1" customWidth="1"/>
    <col min="600" max="600" width="7" bestFit="1" customWidth="1"/>
    <col min="601" max="601" width="8" bestFit="1" customWidth="1"/>
    <col min="602" max="603" width="5" bestFit="1" customWidth="1"/>
    <col min="604" max="604" width="8" bestFit="1" customWidth="1"/>
    <col min="605" max="606" width="5" bestFit="1" customWidth="1"/>
    <col min="607" max="607" width="7" bestFit="1" customWidth="1"/>
    <col min="608" max="608" width="5" bestFit="1" customWidth="1"/>
    <col min="609" max="610" width="8" bestFit="1" customWidth="1"/>
    <col min="611" max="611" width="5" bestFit="1" customWidth="1"/>
    <col min="612" max="612" width="7" bestFit="1" customWidth="1"/>
    <col min="613" max="613" width="5" bestFit="1" customWidth="1"/>
    <col min="614" max="615" width="7" bestFit="1" customWidth="1"/>
    <col min="616" max="618" width="5" bestFit="1" customWidth="1"/>
    <col min="619" max="620" width="7" bestFit="1" customWidth="1"/>
    <col min="621" max="621" width="5" bestFit="1" customWidth="1"/>
    <col min="622" max="622" width="8" bestFit="1" customWidth="1"/>
    <col min="623" max="624" width="5" bestFit="1" customWidth="1"/>
    <col min="625" max="625" width="7" bestFit="1" customWidth="1"/>
    <col min="626" max="627" width="5" bestFit="1" customWidth="1"/>
    <col min="628" max="628" width="7" bestFit="1" customWidth="1"/>
    <col min="629" max="629" width="5" bestFit="1" customWidth="1"/>
    <col min="630" max="630" width="7" bestFit="1" customWidth="1"/>
    <col min="631" max="632" width="5" bestFit="1" customWidth="1"/>
    <col min="633" max="633" width="8" bestFit="1" customWidth="1"/>
    <col min="634" max="634" width="7" bestFit="1" customWidth="1"/>
    <col min="635" max="635" width="5" bestFit="1" customWidth="1"/>
    <col min="636" max="636" width="7" bestFit="1" customWidth="1"/>
    <col min="637" max="637" width="5" bestFit="1" customWidth="1"/>
    <col min="638" max="638" width="7" bestFit="1" customWidth="1"/>
    <col min="639" max="639" width="5" bestFit="1" customWidth="1"/>
    <col min="640" max="643" width="7" bestFit="1" customWidth="1"/>
    <col min="644" max="644" width="8" bestFit="1" customWidth="1"/>
    <col min="645" max="646" width="7" bestFit="1" customWidth="1"/>
    <col min="647" max="647" width="5" bestFit="1" customWidth="1"/>
    <col min="648" max="648" width="7" bestFit="1" customWidth="1"/>
    <col min="649" max="649" width="5" bestFit="1" customWidth="1"/>
    <col min="650" max="653" width="7" bestFit="1" customWidth="1"/>
    <col min="654" max="654" width="5" bestFit="1" customWidth="1"/>
    <col min="655" max="655" width="8" bestFit="1" customWidth="1"/>
    <col min="656" max="656" width="5" bestFit="1" customWidth="1"/>
    <col min="657" max="657" width="7" bestFit="1" customWidth="1"/>
    <col min="658" max="658" width="5" bestFit="1" customWidth="1"/>
    <col min="659" max="659" width="8" bestFit="1" customWidth="1"/>
    <col min="660" max="661" width="5" bestFit="1" customWidth="1"/>
    <col min="662" max="663" width="7" bestFit="1" customWidth="1"/>
    <col min="664" max="664" width="5" bestFit="1" customWidth="1"/>
    <col min="665" max="665" width="7" bestFit="1" customWidth="1"/>
    <col min="666" max="666" width="5" bestFit="1" customWidth="1"/>
    <col min="667" max="667" width="8" bestFit="1" customWidth="1"/>
    <col min="668" max="668" width="5" bestFit="1" customWidth="1"/>
    <col min="669" max="669" width="8" bestFit="1" customWidth="1"/>
    <col min="670" max="670" width="5" bestFit="1" customWidth="1"/>
    <col min="671" max="671" width="7" bestFit="1" customWidth="1"/>
    <col min="672" max="672" width="5" bestFit="1" customWidth="1"/>
    <col min="673" max="673" width="7" bestFit="1" customWidth="1"/>
    <col min="674" max="675" width="5" bestFit="1" customWidth="1"/>
    <col min="676" max="676" width="7" bestFit="1" customWidth="1"/>
    <col min="677" max="677" width="8" bestFit="1" customWidth="1"/>
    <col min="678" max="680" width="7" bestFit="1" customWidth="1"/>
    <col min="681" max="682" width="5" bestFit="1" customWidth="1"/>
    <col min="683" max="683" width="7" bestFit="1" customWidth="1"/>
    <col min="684" max="686" width="5" bestFit="1" customWidth="1"/>
    <col min="687" max="687" width="8" bestFit="1" customWidth="1"/>
    <col min="688" max="688" width="7" bestFit="1" customWidth="1"/>
    <col min="689" max="689" width="5" bestFit="1" customWidth="1"/>
    <col min="690" max="690" width="7" bestFit="1" customWidth="1"/>
    <col min="691" max="691" width="8" bestFit="1" customWidth="1"/>
    <col min="692" max="692" width="7" bestFit="1" customWidth="1"/>
    <col min="693" max="693" width="8" bestFit="1" customWidth="1"/>
    <col min="694" max="695" width="7" bestFit="1" customWidth="1"/>
    <col min="696" max="696" width="5" bestFit="1" customWidth="1"/>
    <col min="697" max="697" width="7" bestFit="1" customWidth="1"/>
    <col min="698" max="698" width="5" bestFit="1" customWidth="1"/>
    <col min="699" max="701" width="7" bestFit="1" customWidth="1"/>
    <col min="702" max="704" width="8" bestFit="1" customWidth="1"/>
    <col min="705" max="705" width="7" bestFit="1" customWidth="1"/>
    <col min="706" max="706" width="5" bestFit="1" customWidth="1"/>
    <col min="707" max="710" width="7" bestFit="1" customWidth="1"/>
    <col min="711" max="712" width="8" bestFit="1" customWidth="1"/>
    <col min="713" max="713" width="7" bestFit="1" customWidth="1"/>
    <col min="714" max="715" width="5" bestFit="1" customWidth="1"/>
    <col min="716" max="719" width="7" bestFit="1" customWidth="1"/>
    <col min="720" max="720" width="5" bestFit="1" customWidth="1"/>
    <col min="721" max="722" width="8" bestFit="1" customWidth="1"/>
    <col min="723" max="724" width="5" bestFit="1" customWidth="1"/>
    <col min="725" max="725" width="7" bestFit="1" customWidth="1"/>
    <col min="726" max="726" width="8" bestFit="1" customWidth="1"/>
    <col min="727" max="728" width="7" bestFit="1" customWidth="1"/>
    <col min="729" max="729" width="8" bestFit="1" customWidth="1"/>
    <col min="730" max="732" width="7" bestFit="1" customWidth="1"/>
    <col min="733" max="735" width="5" bestFit="1" customWidth="1"/>
    <col min="736" max="736" width="8" bestFit="1" customWidth="1"/>
    <col min="737" max="737" width="7" bestFit="1" customWidth="1"/>
    <col min="738" max="738" width="5" bestFit="1" customWidth="1"/>
    <col min="739" max="739" width="7" bestFit="1" customWidth="1"/>
    <col min="740" max="741" width="8" bestFit="1" customWidth="1"/>
    <col min="742" max="745" width="7" bestFit="1" customWidth="1"/>
    <col min="746" max="746" width="8" bestFit="1" customWidth="1"/>
    <col min="747" max="747" width="5" bestFit="1" customWidth="1"/>
    <col min="748" max="748" width="8" bestFit="1" customWidth="1"/>
    <col min="749" max="752" width="7" bestFit="1" customWidth="1"/>
    <col min="753" max="754" width="5" bestFit="1" customWidth="1"/>
    <col min="755" max="755" width="7" bestFit="1" customWidth="1"/>
    <col min="756" max="756" width="8" bestFit="1" customWidth="1"/>
    <col min="757" max="758" width="7" bestFit="1" customWidth="1"/>
    <col min="759" max="760" width="5" bestFit="1" customWidth="1"/>
    <col min="761" max="761" width="7" bestFit="1" customWidth="1"/>
    <col min="762" max="762" width="5" bestFit="1" customWidth="1"/>
    <col min="763" max="763" width="7" bestFit="1" customWidth="1"/>
    <col min="764" max="765" width="5" bestFit="1" customWidth="1"/>
    <col min="766" max="768" width="7" bestFit="1" customWidth="1"/>
    <col min="769" max="769" width="5" bestFit="1" customWidth="1"/>
    <col min="770" max="770" width="7" bestFit="1" customWidth="1"/>
    <col min="771" max="771" width="8" bestFit="1" customWidth="1"/>
    <col min="772" max="773" width="7" bestFit="1" customWidth="1"/>
    <col min="774" max="774" width="5" bestFit="1" customWidth="1"/>
    <col min="775" max="776" width="7" bestFit="1" customWidth="1"/>
    <col min="777" max="777" width="5" bestFit="1" customWidth="1"/>
    <col min="778" max="779" width="7" bestFit="1" customWidth="1"/>
    <col min="780" max="783" width="5" bestFit="1" customWidth="1"/>
    <col min="784" max="787" width="7" bestFit="1" customWidth="1"/>
    <col min="788" max="788" width="5" bestFit="1" customWidth="1"/>
    <col min="789" max="793" width="7" bestFit="1" customWidth="1"/>
    <col min="794" max="794" width="5" bestFit="1" customWidth="1"/>
    <col min="795" max="795" width="7" bestFit="1" customWidth="1"/>
    <col min="796" max="797" width="5" bestFit="1" customWidth="1"/>
    <col min="798" max="798" width="7" bestFit="1" customWidth="1"/>
    <col min="799" max="799" width="5" bestFit="1" customWidth="1"/>
    <col min="800" max="802" width="7" bestFit="1" customWidth="1"/>
    <col min="803" max="803" width="5" bestFit="1" customWidth="1"/>
    <col min="804" max="806" width="7" bestFit="1" customWidth="1"/>
    <col min="807" max="807" width="5" bestFit="1" customWidth="1"/>
    <col min="808" max="809" width="8" bestFit="1" customWidth="1"/>
    <col min="810" max="816" width="7" bestFit="1" customWidth="1"/>
    <col min="817" max="817" width="5" bestFit="1" customWidth="1"/>
    <col min="818" max="822" width="7" bestFit="1" customWidth="1"/>
    <col min="823" max="823" width="5" bestFit="1" customWidth="1"/>
    <col min="824" max="824" width="7" bestFit="1" customWidth="1"/>
    <col min="825" max="826" width="5" bestFit="1" customWidth="1"/>
    <col min="827" max="828" width="7" bestFit="1" customWidth="1"/>
    <col min="829" max="829" width="5" bestFit="1" customWidth="1"/>
    <col min="830" max="830" width="7" bestFit="1" customWidth="1"/>
    <col min="831" max="831" width="5" bestFit="1" customWidth="1"/>
    <col min="832" max="832" width="8" bestFit="1" customWidth="1"/>
    <col min="833" max="833" width="7" bestFit="1" customWidth="1"/>
    <col min="834" max="834" width="5" bestFit="1" customWidth="1"/>
    <col min="835" max="835" width="7" bestFit="1" customWidth="1"/>
    <col min="836" max="836" width="8" bestFit="1" customWidth="1"/>
    <col min="837" max="837" width="5" bestFit="1" customWidth="1"/>
    <col min="838" max="838" width="7" bestFit="1" customWidth="1"/>
    <col min="839" max="839" width="5" bestFit="1" customWidth="1"/>
    <col min="840" max="840" width="8" bestFit="1" customWidth="1"/>
    <col min="841" max="843" width="7" bestFit="1" customWidth="1"/>
    <col min="844" max="846" width="5" bestFit="1" customWidth="1"/>
    <col min="847" max="847" width="7" bestFit="1" customWidth="1"/>
    <col min="848" max="848" width="8" bestFit="1" customWidth="1"/>
    <col min="849" max="849" width="5" bestFit="1" customWidth="1"/>
    <col min="850" max="854" width="7" bestFit="1" customWidth="1"/>
    <col min="855" max="855" width="5" bestFit="1" customWidth="1"/>
    <col min="856" max="858" width="7" bestFit="1" customWidth="1"/>
    <col min="859" max="859" width="5" bestFit="1" customWidth="1"/>
    <col min="860" max="861" width="7" bestFit="1" customWidth="1"/>
    <col min="862" max="862" width="5" bestFit="1" customWidth="1"/>
    <col min="863" max="863" width="7" bestFit="1" customWidth="1"/>
    <col min="864" max="867" width="5" bestFit="1" customWidth="1"/>
    <col min="868" max="870" width="7" bestFit="1" customWidth="1"/>
    <col min="871" max="872" width="5" bestFit="1" customWidth="1"/>
    <col min="873" max="873" width="7" bestFit="1" customWidth="1"/>
    <col min="874" max="874" width="5" bestFit="1" customWidth="1"/>
    <col min="875" max="875" width="7" bestFit="1" customWidth="1"/>
    <col min="876" max="877" width="5" bestFit="1" customWidth="1"/>
    <col min="878" max="878" width="7" bestFit="1" customWidth="1"/>
    <col min="879" max="879" width="8" bestFit="1" customWidth="1"/>
    <col min="880" max="880" width="5" bestFit="1" customWidth="1"/>
    <col min="881" max="888" width="7" bestFit="1" customWidth="1"/>
    <col min="889" max="889" width="5" bestFit="1" customWidth="1"/>
    <col min="890" max="890" width="8" bestFit="1" customWidth="1"/>
    <col min="891" max="891" width="5" bestFit="1" customWidth="1"/>
    <col min="892" max="892" width="7" bestFit="1" customWidth="1"/>
    <col min="893" max="893" width="5" bestFit="1" customWidth="1"/>
    <col min="894" max="894" width="7" bestFit="1" customWidth="1"/>
    <col min="895" max="895" width="5" bestFit="1" customWidth="1"/>
    <col min="896" max="900" width="7" bestFit="1" customWidth="1"/>
    <col min="901" max="901" width="5" bestFit="1" customWidth="1"/>
    <col min="902" max="902" width="8" bestFit="1" customWidth="1"/>
    <col min="903" max="903" width="5" bestFit="1" customWidth="1"/>
    <col min="904" max="908" width="7" bestFit="1" customWidth="1"/>
    <col min="909" max="909" width="8" bestFit="1" customWidth="1"/>
    <col min="910" max="912" width="7" bestFit="1" customWidth="1"/>
    <col min="913" max="913" width="8" bestFit="1" customWidth="1"/>
    <col min="914" max="914" width="5" bestFit="1" customWidth="1"/>
    <col min="915" max="915" width="7" bestFit="1" customWidth="1"/>
    <col min="916" max="916" width="5" bestFit="1" customWidth="1"/>
    <col min="917" max="919" width="7" bestFit="1" customWidth="1"/>
    <col min="920" max="920" width="5" bestFit="1" customWidth="1"/>
    <col min="921" max="921" width="7" bestFit="1" customWidth="1"/>
    <col min="922" max="922" width="8" bestFit="1" customWidth="1"/>
    <col min="923" max="924" width="7" bestFit="1" customWidth="1"/>
    <col min="925" max="925" width="8" bestFit="1" customWidth="1"/>
    <col min="926" max="926" width="5" bestFit="1" customWidth="1"/>
    <col min="927" max="929" width="7" bestFit="1" customWidth="1"/>
    <col min="930" max="930" width="5" bestFit="1" customWidth="1"/>
    <col min="931" max="932" width="7" bestFit="1" customWidth="1"/>
    <col min="933" max="934" width="5" bestFit="1" customWidth="1"/>
    <col min="935" max="935" width="7" bestFit="1" customWidth="1"/>
    <col min="936" max="936" width="5" bestFit="1" customWidth="1"/>
    <col min="937" max="938" width="7" bestFit="1" customWidth="1"/>
    <col min="939" max="940" width="5" bestFit="1" customWidth="1"/>
    <col min="941" max="941" width="7" bestFit="1" customWidth="1"/>
    <col min="942" max="942" width="5" bestFit="1" customWidth="1"/>
    <col min="943" max="944" width="7" bestFit="1" customWidth="1"/>
    <col min="945" max="945" width="8" bestFit="1" customWidth="1"/>
    <col min="946" max="946" width="5" bestFit="1" customWidth="1"/>
    <col min="947" max="947" width="7" bestFit="1" customWidth="1"/>
    <col min="948" max="948" width="5" bestFit="1" customWidth="1"/>
    <col min="949" max="955" width="7" bestFit="1" customWidth="1"/>
    <col min="956" max="956" width="5" bestFit="1" customWidth="1"/>
    <col min="957" max="960" width="7" bestFit="1" customWidth="1"/>
    <col min="961" max="961" width="5" bestFit="1" customWidth="1"/>
    <col min="962" max="972" width="7" bestFit="1" customWidth="1"/>
    <col min="973" max="973" width="5" bestFit="1" customWidth="1"/>
    <col min="974" max="975" width="7" bestFit="1" customWidth="1"/>
    <col min="976" max="976" width="8" bestFit="1" customWidth="1"/>
    <col min="977" max="977" width="5" bestFit="1" customWidth="1"/>
    <col min="978" max="979" width="7" bestFit="1" customWidth="1"/>
    <col min="980" max="981" width="5" bestFit="1" customWidth="1"/>
    <col min="982" max="983" width="7" bestFit="1" customWidth="1"/>
    <col min="984" max="984" width="8" bestFit="1" customWidth="1"/>
    <col min="985" max="986" width="7" bestFit="1" customWidth="1"/>
    <col min="987" max="987" width="5" bestFit="1" customWidth="1"/>
    <col min="988" max="992" width="7" bestFit="1" customWidth="1"/>
    <col min="993" max="994" width="5" bestFit="1" customWidth="1"/>
    <col min="995" max="997" width="7" bestFit="1" customWidth="1"/>
    <col min="998" max="998" width="5" bestFit="1" customWidth="1"/>
    <col min="999" max="999" width="7" bestFit="1" customWidth="1"/>
    <col min="1000" max="1000" width="5" bestFit="1" customWidth="1"/>
    <col min="1001" max="1002" width="7" bestFit="1" customWidth="1"/>
    <col min="1003" max="1005" width="5" bestFit="1" customWidth="1"/>
    <col min="1006" max="1006" width="8" bestFit="1" customWidth="1"/>
    <col min="1007" max="1010" width="7" bestFit="1" customWidth="1"/>
    <col min="1011" max="1011" width="5" bestFit="1" customWidth="1"/>
    <col min="1012" max="1012" width="7" bestFit="1" customWidth="1"/>
    <col min="1013" max="1013" width="8" bestFit="1" customWidth="1"/>
    <col min="1014" max="1014" width="7" bestFit="1" customWidth="1"/>
    <col min="1015" max="1016" width="5" bestFit="1" customWidth="1"/>
    <col min="1017" max="1018" width="7" bestFit="1" customWidth="1"/>
    <col min="1019" max="1020" width="5" bestFit="1" customWidth="1"/>
    <col min="1021" max="1022" width="7" bestFit="1" customWidth="1"/>
    <col min="1023" max="1024" width="5" bestFit="1" customWidth="1"/>
    <col min="1025" max="1027" width="7" bestFit="1" customWidth="1"/>
    <col min="1028" max="1029" width="5" bestFit="1" customWidth="1"/>
    <col min="1030" max="1031" width="7" bestFit="1" customWidth="1"/>
    <col min="1032" max="1032" width="5" bestFit="1" customWidth="1"/>
    <col min="1033" max="1033" width="7" bestFit="1" customWidth="1"/>
    <col min="1034" max="1034" width="5" bestFit="1" customWidth="1"/>
    <col min="1035" max="1036" width="8" bestFit="1" customWidth="1"/>
    <col min="1037" max="1037" width="7" bestFit="1" customWidth="1"/>
    <col min="1038" max="1038" width="5" bestFit="1" customWidth="1"/>
    <col min="1039" max="1042" width="7" bestFit="1" customWidth="1"/>
    <col min="1043" max="1043" width="5" bestFit="1" customWidth="1"/>
    <col min="1044" max="1044" width="7" bestFit="1" customWidth="1"/>
    <col min="1045" max="1046" width="5" bestFit="1" customWidth="1"/>
    <col min="1047" max="1047" width="7" bestFit="1" customWidth="1"/>
    <col min="1048" max="1048" width="5" bestFit="1" customWidth="1"/>
    <col min="1049" max="1049" width="8" bestFit="1" customWidth="1"/>
    <col min="1050" max="1053" width="7" bestFit="1" customWidth="1"/>
    <col min="1054" max="1054" width="5" bestFit="1" customWidth="1"/>
    <col min="1055" max="1055" width="7" bestFit="1" customWidth="1"/>
    <col min="1056" max="1057" width="5" bestFit="1" customWidth="1"/>
    <col min="1058" max="1059" width="7" bestFit="1" customWidth="1"/>
    <col min="1060" max="1060" width="8" bestFit="1" customWidth="1"/>
    <col min="1061" max="1061" width="6" bestFit="1" customWidth="1"/>
    <col min="1062" max="1062" width="9" bestFit="1" customWidth="1"/>
    <col min="1063" max="1063" width="6" bestFit="1" customWidth="1"/>
    <col min="1064" max="1064" width="8" bestFit="1" customWidth="1"/>
    <col min="1065" max="1069" width="6" bestFit="1" customWidth="1"/>
    <col min="1070" max="1071" width="8" bestFit="1" customWidth="1"/>
    <col min="1072" max="1073" width="6" bestFit="1" customWidth="1"/>
    <col min="1074" max="1077" width="8" bestFit="1" customWidth="1"/>
    <col min="1078" max="1079" width="6" bestFit="1" customWidth="1"/>
    <col min="1080" max="1086" width="8" bestFit="1" customWidth="1"/>
    <col min="1087" max="1088" width="6" bestFit="1" customWidth="1"/>
    <col min="1089" max="1089" width="8" bestFit="1" customWidth="1"/>
    <col min="1090" max="1090" width="6" bestFit="1" customWidth="1"/>
    <col min="1091" max="1091" width="8" bestFit="1" customWidth="1"/>
    <col min="1092" max="1092" width="9" bestFit="1" customWidth="1"/>
    <col min="1093" max="1094" width="6" bestFit="1" customWidth="1"/>
    <col min="1095" max="1095" width="8" bestFit="1" customWidth="1"/>
    <col min="1096" max="1096" width="6" bestFit="1" customWidth="1"/>
    <col min="1097" max="1097" width="8" bestFit="1" customWidth="1"/>
    <col min="1098" max="1098" width="6" bestFit="1" customWidth="1"/>
    <col min="1099" max="1100" width="8" bestFit="1" customWidth="1"/>
    <col min="1101" max="1104" width="6" bestFit="1" customWidth="1"/>
    <col min="1105" max="1105" width="9" bestFit="1" customWidth="1"/>
    <col min="1106" max="1106" width="6" bestFit="1" customWidth="1"/>
    <col min="1107" max="1107" width="9" bestFit="1" customWidth="1"/>
    <col min="1108" max="1110" width="8" bestFit="1" customWidth="1"/>
    <col min="1111" max="1112" width="6" bestFit="1" customWidth="1"/>
    <col min="1113" max="1113" width="8" bestFit="1" customWidth="1"/>
    <col min="1114" max="1115" width="6" bestFit="1" customWidth="1"/>
    <col min="1116" max="1118" width="8" bestFit="1" customWidth="1"/>
    <col min="1119" max="1119" width="6" bestFit="1" customWidth="1"/>
    <col min="1120" max="1120" width="8" bestFit="1" customWidth="1"/>
    <col min="1121" max="1124" width="6" bestFit="1" customWidth="1"/>
    <col min="1125" max="1125" width="8" bestFit="1" customWidth="1"/>
    <col min="1126" max="1128" width="9" bestFit="1" customWidth="1"/>
    <col min="1129" max="1129" width="8" bestFit="1" customWidth="1"/>
    <col min="1130" max="1132" width="6" bestFit="1" customWidth="1"/>
    <col min="1133" max="1133" width="9" bestFit="1" customWidth="1"/>
    <col min="1134" max="1134" width="6" bestFit="1" customWidth="1"/>
    <col min="1135" max="1135" width="8" bestFit="1" customWidth="1"/>
    <col min="1136" max="1136" width="9" bestFit="1" customWidth="1"/>
    <col min="1137" max="1141" width="8" bestFit="1" customWidth="1"/>
    <col min="1142" max="1143" width="9" bestFit="1" customWidth="1"/>
    <col min="1144" max="1144" width="6" bestFit="1" customWidth="1"/>
    <col min="1145" max="1145" width="9" bestFit="1" customWidth="1"/>
    <col min="1146" max="1146" width="8" bestFit="1" customWidth="1"/>
    <col min="1147" max="1147" width="6" bestFit="1" customWidth="1"/>
    <col min="1148" max="1149" width="8" bestFit="1" customWidth="1"/>
    <col min="1150" max="1150" width="6" bestFit="1" customWidth="1"/>
    <col min="1151" max="1151" width="8" bestFit="1" customWidth="1"/>
    <col min="1152" max="1152" width="9" bestFit="1" customWidth="1"/>
    <col min="1153" max="1156" width="6" bestFit="1" customWidth="1"/>
    <col min="1157" max="1157" width="8" bestFit="1" customWidth="1"/>
    <col min="1158" max="1158" width="6" bestFit="1" customWidth="1"/>
    <col min="1159" max="1159" width="8" bestFit="1" customWidth="1"/>
    <col min="1160" max="1160" width="9" bestFit="1" customWidth="1"/>
    <col min="1161" max="1161" width="8" bestFit="1" customWidth="1"/>
    <col min="1162" max="1163" width="6" bestFit="1" customWidth="1"/>
    <col min="1164" max="1164" width="9" bestFit="1" customWidth="1"/>
    <col min="1165" max="1165" width="8" bestFit="1" customWidth="1"/>
    <col min="1166" max="1166" width="6" bestFit="1" customWidth="1"/>
    <col min="1167" max="1170" width="8" bestFit="1" customWidth="1"/>
    <col min="1171" max="1172" width="6" bestFit="1" customWidth="1"/>
    <col min="1173" max="1173" width="9" bestFit="1" customWidth="1"/>
    <col min="1174" max="1175" width="8" bestFit="1" customWidth="1"/>
    <col min="1176" max="1176" width="9" bestFit="1" customWidth="1"/>
    <col min="1177" max="1177" width="8" bestFit="1" customWidth="1"/>
    <col min="1178" max="1178" width="6" bestFit="1" customWidth="1"/>
    <col min="1179" max="1179" width="8" bestFit="1" customWidth="1"/>
    <col min="1180" max="1181" width="9" bestFit="1" customWidth="1"/>
    <col min="1182" max="1182" width="6" bestFit="1" customWidth="1"/>
    <col min="1183" max="1183" width="8" bestFit="1" customWidth="1"/>
    <col min="1184" max="1184" width="9" bestFit="1" customWidth="1"/>
    <col min="1185" max="1186" width="6" bestFit="1" customWidth="1"/>
    <col min="1187" max="1188" width="8" bestFit="1" customWidth="1"/>
    <col min="1189" max="1189" width="9" bestFit="1" customWidth="1"/>
    <col min="1190" max="1190" width="6" bestFit="1" customWidth="1"/>
    <col min="1191" max="1191" width="8" bestFit="1" customWidth="1"/>
    <col min="1192" max="1192" width="6" bestFit="1" customWidth="1"/>
    <col min="1193" max="1194" width="8" bestFit="1" customWidth="1"/>
    <col min="1195" max="1195" width="9" bestFit="1" customWidth="1"/>
    <col min="1196" max="1197" width="8" bestFit="1" customWidth="1"/>
    <col min="1198" max="1200" width="9" bestFit="1" customWidth="1"/>
    <col min="1201" max="1202" width="8" bestFit="1" customWidth="1"/>
    <col min="1203" max="1203" width="9" bestFit="1" customWidth="1"/>
    <col min="1204" max="1205" width="8" bestFit="1" customWidth="1"/>
    <col min="1206" max="1207" width="6" bestFit="1" customWidth="1"/>
    <col min="1208" max="1208" width="8" bestFit="1" customWidth="1"/>
    <col min="1209" max="1209" width="6" bestFit="1" customWidth="1"/>
    <col min="1210" max="1210" width="8" bestFit="1" customWidth="1"/>
    <col min="1211" max="1211" width="6" bestFit="1" customWidth="1"/>
    <col min="1212" max="1212" width="8" bestFit="1" customWidth="1"/>
    <col min="1213" max="1213" width="9" bestFit="1" customWidth="1"/>
    <col min="1214" max="1214" width="6" bestFit="1" customWidth="1"/>
    <col min="1215" max="1215" width="9" bestFit="1" customWidth="1"/>
    <col min="1216" max="1216" width="6" bestFit="1" customWidth="1"/>
    <col min="1217" max="1217" width="8" bestFit="1" customWidth="1"/>
    <col min="1218" max="1218" width="6" bestFit="1" customWidth="1"/>
    <col min="1219" max="1219" width="8" bestFit="1" customWidth="1"/>
    <col min="1220" max="1224" width="6" bestFit="1" customWidth="1"/>
    <col min="1225" max="1227" width="8" bestFit="1" customWidth="1"/>
    <col min="1228" max="1228" width="6" bestFit="1" customWidth="1"/>
    <col min="1229" max="1229" width="8" bestFit="1" customWidth="1"/>
    <col min="1230" max="1231" width="6" bestFit="1" customWidth="1"/>
    <col min="1232" max="1232" width="8" bestFit="1" customWidth="1"/>
    <col min="1233" max="1234" width="6" bestFit="1" customWidth="1"/>
    <col min="1235" max="1235" width="8" bestFit="1" customWidth="1"/>
    <col min="1236" max="1236" width="6" bestFit="1" customWidth="1"/>
    <col min="1237" max="1237" width="8" bestFit="1" customWidth="1"/>
    <col min="1238" max="1238" width="6" bestFit="1" customWidth="1"/>
    <col min="1239" max="1239" width="8" bestFit="1" customWidth="1"/>
    <col min="1240" max="1240" width="6" bestFit="1" customWidth="1"/>
    <col min="1241" max="1243" width="8" bestFit="1" customWidth="1"/>
    <col min="1244" max="1246" width="6" bestFit="1" customWidth="1"/>
    <col min="1247" max="1247" width="8" bestFit="1" customWidth="1"/>
    <col min="1248" max="1248" width="6" bestFit="1" customWidth="1"/>
    <col min="1249" max="1250" width="8" bestFit="1" customWidth="1"/>
    <col min="1251" max="1251" width="6" bestFit="1" customWidth="1"/>
    <col min="1252" max="1252" width="8" bestFit="1" customWidth="1"/>
    <col min="1253" max="1253" width="6" bestFit="1" customWidth="1"/>
    <col min="1254" max="1254" width="8" bestFit="1" customWidth="1"/>
    <col min="1255" max="1255" width="9" bestFit="1" customWidth="1"/>
    <col min="1256" max="1257" width="8" bestFit="1" customWidth="1"/>
    <col min="1258" max="1259" width="9" bestFit="1" customWidth="1"/>
    <col min="1260" max="1260" width="6" bestFit="1" customWidth="1"/>
    <col min="1261" max="1261" width="9" bestFit="1" customWidth="1"/>
    <col min="1262" max="1265" width="8" bestFit="1" customWidth="1"/>
    <col min="1266" max="1266" width="6" bestFit="1" customWidth="1"/>
    <col min="1267" max="1267" width="8" bestFit="1" customWidth="1"/>
    <col min="1268" max="1270" width="6" bestFit="1" customWidth="1"/>
    <col min="1271" max="1271" width="8" bestFit="1" customWidth="1"/>
    <col min="1272" max="1272" width="6" bestFit="1" customWidth="1"/>
    <col min="1273" max="1274" width="8" bestFit="1" customWidth="1"/>
    <col min="1275" max="1276" width="6" bestFit="1" customWidth="1"/>
    <col min="1277" max="1281" width="8" bestFit="1" customWidth="1"/>
    <col min="1282" max="1282" width="9" bestFit="1" customWidth="1"/>
    <col min="1283" max="1285" width="8" bestFit="1" customWidth="1"/>
    <col min="1286" max="1290" width="6" bestFit="1" customWidth="1"/>
    <col min="1291" max="1292" width="8" bestFit="1" customWidth="1"/>
    <col min="1293" max="1293" width="9" bestFit="1" customWidth="1"/>
    <col min="1294" max="1294" width="6" bestFit="1" customWidth="1"/>
    <col min="1295" max="1295" width="8" bestFit="1" customWidth="1"/>
    <col min="1296" max="1296" width="6" bestFit="1" customWidth="1"/>
    <col min="1297" max="1298" width="8" bestFit="1" customWidth="1"/>
    <col min="1299" max="1300" width="6" bestFit="1" customWidth="1"/>
    <col min="1301" max="1301" width="8" bestFit="1" customWidth="1"/>
    <col min="1302" max="1302" width="6" bestFit="1" customWidth="1"/>
    <col min="1303" max="1304" width="8" bestFit="1" customWidth="1"/>
    <col min="1305" max="1306" width="6" bestFit="1" customWidth="1"/>
    <col min="1307" max="1308" width="8" bestFit="1" customWidth="1"/>
    <col min="1309" max="1310" width="6" bestFit="1" customWidth="1"/>
    <col min="1311" max="1311" width="9" bestFit="1" customWidth="1"/>
    <col min="1312" max="1312" width="6" bestFit="1" customWidth="1"/>
    <col min="1313" max="1313" width="8" bestFit="1" customWidth="1"/>
    <col min="1314" max="1315" width="6" bestFit="1" customWidth="1"/>
    <col min="1316" max="1316" width="8" bestFit="1" customWidth="1"/>
    <col min="1317" max="1317" width="9" bestFit="1" customWidth="1"/>
    <col min="1318" max="1319" width="6" bestFit="1" customWidth="1"/>
    <col min="1320" max="1321" width="9" bestFit="1" customWidth="1"/>
    <col min="1322" max="1322" width="6" bestFit="1" customWidth="1"/>
    <col min="1323" max="1324" width="8" bestFit="1" customWidth="1"/>
    <col min="1325" max="1326" width="6" bestFit="1" customWidth="1"/>
    <col min="1327" max="1327" width="8" bestFit="1" customWidth="1"/>
    <col min="1328" max="1328" width="6" bestFit="1" customWidth="1"/>
    <col min="1329" max="1330" width="8" bestFit="1" customWidth="1"/>
    <col min="1331" max="1332" width="9" bestFit="1" customWidth="1"/>
    <col min="1333" max="1334" width="8" bestFit="1" customWidth="1"/>
    <col min="1335" max="1335" width="6" bestFit="1" customWidth="1"/>
    <col min="1336" max="1337" width="8" bestFit="1" customWidth="1"/>
    <col min="1338" max="1339" width="6" bestFit="1" customWidth="1"/>
    <col min="1340" max="1340" width="9" bestFit="1" customWidth="1"/>
    <col min="1341" max="1341" width="6" bestFit="1" customWidth="1"/>
    <col min="1342" max="1342" width="8" bestFit="1" customWidth="1"/>
    <col min="1343" max="1343" width="6" bestFit="1" customWidth="1"/>
    <col min="1344" max="1344" width="8" bestFit="1" customWidth="1"/>
    <col min="1345" max="1345" width="6" bestFit="1" customWidth="1"/>
    <col min="1346" max="1346" width="8" bestFit="1" customWidth="1"/>
    <col min="1347" max="1347" width="6" bestFit="1" customWidth="1"/>
    <col min="1348" max="1348" width="8" bestFit="1" customWidth="1"/>
    <col min="1349" max="1349" width="9" bestFit="1" customWidth="1"/>
    <col min="1350" max="1352" width="8" bestFit="1" customWidth="1"/>
    <col min="1353" max="1354" width="6" bestFit="1" customWidth="1"/>
    <col min="1355" max="1355" width="9" bestFit="1" customWidth="1"/>
    <col min="1356" max="1358" width="6" bestFit="1" customWidth="1"/>
    <col min="1359" max="1359" width="8" bestFit="1" customWidth="1"/>
    <col min="1360" max="1360" width="6" bestFit="1" customWidth="1"/>
    <col min="1361" max="1362" width="8" bestFit="1" customWidth="1"/>
    <col min="1363" max="1363" width="6" bestFit="1" customWidth="1"/>
    <col min="1364" max="1366" width="8" bestFit="1" customWidth="1"/>
    <col min="1367" max="1367" width="6" bestFit="1" customWidth="1"/>
    <col min="1368" max="1368" width="8" bestFit="1" customWidth="1"/>
    <col min="1369" max="1369" width="6" bestFit="1" customWidth="1"/>
    <col min="1370" max="1374" width="8" bestFit="1" customWidth="1"/>
    <col min="1375" max="1376" width="6" bestFit="1" customWidth="1"/>
    <col min="1377" max="1377" width="9" bestFit="1" customWidth="1"/>
    <col min="1378" max="1380" width="8" bestFit="1" customWidth="1"/>
    <col min="1381" max="1381" width="6" bestFit="1" customWidth="1"/>
    <col min="1382" max="1382" width="8" bestFit="1" customWidth="1"/>
    <col min="1383" max="1383" width="6" bestFit="1" customWidth="1"/>
    <col min="1384" max="1386" width="8" bestFit="1" customWidth="1"/>
    <col min="1387" max="1387" width="9" bestFit="1" customWidth="1"/>
    <col min="1388" max="1389" width="6" bestFit="1" customWidth="1"/>
    <col min="1390" max="1393" width="8" bestFit="1" customWidth="1"/>
    <col min="1394" max="1394" width="6" bestFit="1" customWidth="1"/>
    <col min="1395" max="1398" width="8" bestFit="1" customWidth="1"/>
    <col min="1399" max="1399" width="6" bestFit="1" customWidth="1"/>
    <col min="1400" max="1400" width="9" bestFit="1" customWidth="1"/>
    <col min="1401" max="1401" width="8" bestFit="1" customWidth="1"/>
    <col min="1402" max="1402" width="6" bestFit="1" customWidth="1"/>
    <col min="1403" max="1407" width="8" bestFit="1" customWidth="1"/>
    <col min="1408" max="1408" width="6" bestFit="1" customWidth="1"/>
    <col min="1409" max="1411" width="8" bestFit="1" customWidth="1"/>
    <col min="1412" max="1413" width="6" bestFit="1" customWidth="1"/>
    <col min="1414" max="1416" width="8" bestFit="1" customWidth="1"/>
    <col min="1417" max="1417" width="6" bestFit="1" customWidth="1"/>
    <col min="1418" max="1418" width="8" bestFit="1" customWidth="1"/>
    <col min="1419" max="1422" width="6" bestFit="1" customWidth="1"/>
    <col min="1423" max="1423" width="9" bestFit="1" customWidth="1"/>
    <col min="1424" max="1424" width="8" bestFit="1" customWidth="1"/>
    <col min="1425" max="1425" width="6" bestFit="1" customWidth="1"/>
    <col min="1426" max="1428" width="8" bestFit="1" customWidth="1"/>
    <col min="1429" max="1429" width="6" bestFit="1" customWidth="1"/>
    <col min="1430" max="1430" width="8" bestFit="1" customWidth="1"/>
    <col min="1431" max="1431" width="6" bestFit="1" customWidth="1"/>
    <col min="1432" max="1432" width="9" bestFit="1" customWidth="1"/>
    <col min="1433" max="1433" width="8" bestFit="1" customWidth="1"/>
    <col min="1434" max="1434" width="6" bestFit="1" customWidth="1"/>
    <col min="1435" max="1435" width="9" bestFit="1" customWidth="1"/>
    <col min="1436" max="1436" width="6" bestFit="1" customWidth="1"/>
    <col min="1437" max="1440" width="8" bestFit="1" customWidth="1"/>
    <col min="1441" max="1441" width="9" bestFit="1" customWidth="1"/>
    <col min="1442" max="1442" width="8" bestFit="1" customWidth="1"/>
    <col min="1443" max="1443" width="9" bestFit="1" customWidth="1"/>
    <col min="1444" max="1444" width="6" bestFit="1" customWidth="1"/>
    <col min="1445" max="1448" width="8" bestFit="1" customWidth="1"/>
    <col min="1449" max="1450" width="6" bestFit="1" customWidth="1"/>
    <col min="1451" max="1451" width="8" bestFit="1" customWidth="1"/>
    <col min="1452" max="1454" width="6" bestFit="1" customWidth="1"/>
    <col min="1455" max="1455" width="8" bestFit="1" customWidth="1"/>
    <col min="1456" max="1457" width="6" bestFit="1" customWidth="1"/>
    <col min="1458" max="1458" width="9" bestFit="1" customWidth="1"/>
    <col min="1459" max="1461" width="8" bestFit="1" customWidth="1"/>
    <col min="1462" max="1462" width="6" bestFit="1" customWidth="1"/>
    <col min="1463" max="1466" width="8" bestFit="1" customWidth="1"/>
    <col min="1467" max="1469" width="6" bestFit="1" customWidth="1"/>
    <col min="1470" max="1470" width="8" bestFit="1" customWidth="1"/>
    <col min="1471" max="1472" width="6" bestFit="1" customWidth="1"/>
    <col min="1473" max="1474" width="9" bestFit="1" customWidth="1"/>
    <col min="1475" max="1475" width="8" bestFit="1" customWidth="1"/>
    <col min="1476" max="1476" width="9" bestFit="1" customWidth="1"/>
    <col min="1477" max="1477" width="6" bestFit="1" customWidth="1"/>
    <col min="1478" max="1479" width="8" bestFit="1" customWidth="1"/>
    <col min="1480" max="1480" width="9" bestFit="1" customWidth="1"/>
    <col min="1481" max="1481" width="8" bestFit="1" customWidth="1"/>
    <col min="1482" max="1482" width="6" bestFit="1" customWidth="1"/>
    <col min="1483" max="1483" width="8" bestFit="1" customWidth="1"/>
    <col min="1484" max="1484" width="9" bestFit="1" customWidth="1"/>
    <col min="1485" max="1486" width="8" bestFit="1" customWidth="1"/>
    <col min="1487" max="1487" width="6" bestFit="1" customWidth="1"/>
    <col min="1488" max="1489" width="8" bestFit="1" customWidth="1"/>
    <col min="1490" max="1492" width="6" bestFit="1" customWidth="1"/>
    <col min="1493" max="1493" width="8" bestFit="1" customWidth="1"/>
    <col min="1494" max="1494" width="9" bestFit="1" customWidth="1"/>
    <col min="1495" max="1496" width="8" bestFit="1" customWidth="1"/>
    <col min="1497" max="1497" width="9" bestFit="1" customWidth="1"/>
    <col min="1498" max="1499" width="8" bestFit="1" customWidth="1"/>
    <col min="1500" max="1500" width="6" bestFit="1" customWidth="1"/>
    <col min="1501" max="1502" width="8" bestFit="1" customWidth="1"/>
    <col min="1503" max="1503" width="6" bestFit="1" customWidth="1"/>
    <col min="1504" max="1504" width="8" bestFit="1" customWidth="1"/>
    <col min="1505" max="1505" width="6" bestFit="1" customWidth="1"/>
    <col min="1506" max="1508" width="8" bestFit="1" customWidth="1"/>
    <col min="1509" max="1511" width="6" bestFit="1" customWidth="1"/>
    <col min="1512" max="1512" width="8" bestFit="1" customWidth="1"/>
    <col min="1513" max="1514" width="6" bestFit="1" customWidth="1"/>
    <col min="1515" max="1515" width="9" bestFit="1" customWidth="1"/>
    <col min="1516" max="1516" width="8" bestFit="1" customWidth="1"/>
    <col min="1517" max="1518" width="6" bestFit="1" customWidth="1"/>
    <col min="1519" max="1521" width="8" bestFit="1" customWidth="1"/>
    <col min="1522" max="1522" width="6" bestFit="1" customWidth="1"/>
    <col min="1523" max="1525" width="8" bestFit="1" customWidth="1"/>
    <col min="1526" max="1527" width="6" bestFit="1" customWidth="1"/>
    <col min="1528" max="1528" width="8" bestFit="1" customWidth="1"/>
    <col min="1529" max="1529" width="6" bestFit="1" customWidth="1"/>
    <col min="1530" max="1530" width="8" bestFit="1" customWidth="1"/>
    <col min="1531" max="1532" width="6" bestFit="1" customWidth="1"/>
    <col min="1533" max="1533" width="9" bestFit="1" customWidth="1"/>
    <col min="1534" max="1534" width="6" bestFit="1" customWidth="1"/>
    <col min="1535" max="1535" width="8" bestFit="1" customWidth="1"/>
    <col min="1536" max="1536" width="6" bestFit="1" customWidth="1"/>
    <col min="1537" max="1537" width="8" bestFit="1" customWidth="1"/>
    <col min="1538" max="1538" width="9" bestFit="1" customWidth="1"/>
    <col min="1539" max="1539" width="8" bestFit="1" customWidth="1"/>
    <col min="1540" max="1542" width="6" bestFit="1" customWidth="1"/>
    <col min="1543" max="1543" width="8" bestFit="1" customWidth="1"/>
    <col min="1544" max="1544" width="6" bestFit="1" customWidth="1"/>
    <col min="1545" max="1546" width="8" bestFit="1" customWidth="1"/>
    <col min="1547" max="1547" width="6" bestFit="1" customWidth="1"/>
    <col min="1548" max="1548" width="8" bestFit="1" customWidth="1"/>
    <col min="1549" max="1550" width="9" bestFit="1" customWidth="1"/>
    <col min="1551" max="1551" width="8" bestFit="1" customWidth="1"/>
    <col min="1552" max="1552" width="6" bestFit="1" customWidth="1"/>
    <col min="1553" max="1555" width="8" bestFit="1" customWidth="1"/>
    <col min="1556" max="1556" width="9" bestFit="1" customWidth="1"/>
    <col min="1557" max="1557" width="8" bestFit="1" customWidth="1"/>
    <col min="1558" max="1558" width="6" bestFit="1" customWidth="1"/>
    <col min="1559" max="1560" width="8" bestFit="1" customWidth="1"/>
    <col min="1561" max="1561" width="6" bestFit="1" customWidth="1"/>
    <col min="1562" max="1562" width="8" bestFit="1" customWidth="1"/>
    <col min="1563" max="1563" width="6" bestFit="1" customWidth="1"/>
    <col min="1564" max="1564" width="8" bestFit="1" customWidth="1"/>
    <col min="1565" max="1565" width="6" bestFit="1" customWidth="1"/>
    <col min="1566" max="1567" width="8" bestFit="1" customWidth="1"/>
    <col min="1568" max="1568" width="6" bestFit="1" customWidth="1"/>
    <col min="1569" max="1574" width="8" bestFit="1" customWidth="1"/>
    <col min="1575" max="1575" width="6" bestFit="1" customWidth="1"/>
    <col min="1576" max="1576" width="8" bestFit="1" customWidth="1"/>
    <col min="1577" max="1580" width="6" bestFit="1" customWidth="1"/>
    <col min="1581" max="1581" width="9" bestFit="1" customWidth="1"/>
    <col min="1582" max="1585" width="8" bestFit="1" customWidth="1"/>
    <col min="1586" max="1586" width="6" bestFit="1" customWidth="1"/>
    <col min="1587" max="1587" width="8" bestFit="1" customWidth="1"/>
    <col min="1588" max="1588" width="6" bestFit="1" customWidth="1"/>
    <col min="1589" max="1590" width="8" bestFit="1" customWidth="1"/>
    <col min="1591" max="1592" width="6" bestFit="1" customWidth="1"/>
    <col min="1593" max="1594" width="8" bestFit="1" customWidth="1"/>
    <col min="1595" max="1595" width="6" bestFit="1" customWidth="1"/>
    <col min="1596" max="1597" width="8" bestFit="1" customWidth="1"/>
    <col min="1598" max="1598" width="6" bestFit="1" customWidth="1"/>
    <col min="1599" max="1600" width="8" bestFit="1" customWidth="1"/>
    <col min="1601" max="1602" width="9" bestFit="1" customWidth="1"/>
    <col min="1603" max="1603" width="6" bestFit="1" customWidth="1"/>
    <col min="1604" max="1609" width="8" bestFit="1" customWidth="1"/>
    <col min="1610" max="1610" width="6" bestFit="1" customWidth="1"/>
    <col min="1611" max="1611" width="9" bestFit="1" customWidth="1"/>
    <col min="1612" max="1612" width="8" bestFit="1" customWidth="1"/>
    <col min="1613" max="1614" width="6" bestFit="1" customWidth="1"/>
    <col min="1615" max="1615" width="8" bestFit="1" customWidth="1"/>
    <col min="1616" max="1616" width="6" bestFit="1" customWidth="1"/>
    <col min="1617" max="1617" width="9" bestFit="1" customWidth="1"/>
    <col min="1618" max="1619" width="6" bestFit="1" customWidth="1"/>
    <col min="1620" max="1622" width="8" bestFit="1" customWidth="1"/>
    <col min="1623" max="1623" width="6" bestFit="1" customWidth="1"/>
    <col min="1624" max="1624" width="8" bestFit="1" customWidth="1"/>
    <col min="1625" max="1625" width="9" bestFit="1" customWidth="1"/>
    <col min="1626" max="1626" width="8" bestFit="1" customWidth="1"/>
    <col min="1627" max="1627" width="6" bestFit="1" customWidth="1"/>
    <col min="1628" max="1628" width="8" bestFit="1" customWidth="1"/>
    <col min="1629" max="1629" width="6" bestFit="1" customWidth="1"/>
    <col min="1630" max="1630" width="8" bestFit="1" customWidth="1"/>
    <col min="1631" max="1632" width="6" bestFit="1" customWidth="1"/>
    <col min="1633" max="1633" width="8" bestFit="1" customWidth="1"/>
    <col min="1634" max="1634" width="6" bestFit="1" customWidth="1"/>
    <col min="1635" max="1635" width="8" bestFit="1" customWidth="1"/>
    <col min="1636" max="1636" width="6" bestFit="1" customWidth="1"/>
    <col min="1637" max="1637" width="9" bestFit="1" customWidth="1"/>
    <col min="1638" max="1638" width="6" bestFit="1" customWidth="1"/>
    <col min="1639" max="1639" width="9" bestFit="1" customWidth="1"/>
    <col min="1640" max="1641" width="8" bestFit="1" customWidth="1"/>
    <col min="1642" max="1642" width="9" bestFit="1" customWidth="1"/>
    <col min="1643" max="1643" width="6" bestFit="1" customWidth="1"/>
    <col min="1644" max="1644" width="8" bestFit="1" customWidth="1"/>
    <col min="1645" max="1645" width="6" bestFit="1" customWidth="1"/>
    <col min="1646" max="1647" width="8" bestFit="1" customWidth="1"/>
    <col min="1648" max="1649" width="9" bestFit="1" customWidth="1"/>
    <col min="1650" max="1651" width="6" bestFit="1" customWidth="1"/>
    <col min="1652" max="1652" width="8" bestFit="1" customWidth="1"/>
    <col min="1653" max="1653" width="6" bestFit="1" customWidth="1"/>
    <col min="1654" max="1656" width="8" bestFit="1" customWidth="1"/>
    <col min="1657" max="1659" width="6" bestFit="1" customWidth="1"/>
    <col min="1660" max="1660" width="8" bestFit="1" customWidth="1"/>
    <col min="1661" max="1661" width="9" bestFit="1" customWidth="1"/>
    <col min="1662" max="1662" width="8" bestFit="1" customWidth="1"/>
    <col min="1663" max="1664" width="9" bestFit="1" customWidth="1"/>
    <col min="1665" max="1666" width="8" bestFit="1" customWidth="1"/>
    <col min="1667" max="1667" width="6" bestFit="1" customWidth="1"/>
    <col min="1668" max="1668" width="8" bestFit="1" customWidth="1"/>
    <col min="1669" max="1669" width="6" bestFit="1" customWidth="1"/>
    <col min="1670" max="1672" width="8" bestFit="1" customWidth="1"/>
    <col min="1673" max="1673" width="6" bestFit="1" customWidth="1"/>
    <col min="1674" max="1675" width="8" bestFit="1" customWidth="1"/>
    <col min="1676" max="1676" width="9" bestFit="1" customWidth="1"/>
    <col min="1677" max="1678" width="6" bestFit="1" customWidth="1"/>
    <col min="1679" max="1680" width="8" bestFit="1" customWidth="1"/>
    <col min="1681" max="1681" width="9" bestFit="1" customWidth="1"/>
    <col min="1682" max="1683" width="8" bestFit="1" customWidth="1"/>
    <col min="1684" max="1684" width="6" bestFit="1" customWidth="1"/>
    <col min="1685" max="1685" width="8" bestFit="1" customWidth="1"/>
    <col min="1686" max="1686" width="9" bestFit="1" customWidth="1"/>
    <col min="1687" max="1687" width="8" bestFit="1" customWidth="1"/>
    <col min="1688" max="1688" width="6" bestFit="1" customWidth="1"/>
    <col min="1689" max="1689" width="8" bestFit="1" customWidth="1"/>
    <col min="1690" max="1690" width="6" bestFit="1" customWidth="1"/>
    <col min="1691" max="1691" width="8" bestFit="1" customWidth="1"/>
    <col min="1692" max="1692" width="6" bestFit="1" customWidth="1"/>
    <col min="1693" max="1693" width="8" bestFit="1" customWidth="1"/>
    <col min="1694" max="1694" width="9" bestFit="1" customWidth="1"/>
    <col min="1695" max="1695" width="8" bestFit="1" customWidth="1"/>
    <col min="1696" max="1696" width="6" bestFit="1" customWidth="1"/>
    <col min="1697" max="1697" width="9" bestFit="1" customWidth="1"/>
    <col min="1698" max="1701" width="8" bestFit="1" customWidth="1"/>
    <col min="1702" max="1704" width="6" bestFit="1" customWidth="1"/>
    <col min="1705" max="1705" width="9" bestFit="1" customWidth="1"/>
    <col min="1706" max="1711" width="8" bestFit="1" customWidth="1"/>
    <col min="1712" max="1712" width="6" bestFit="1" customWidth="1"/>
    <col min="1713" max="1713" width="8" bestFit="1" customWidth="1"/>
    <col min="1714" max="1714" width="6" bestFit="1" customWidth="1"/>
    <col min="1715" max="1715" width="9" bestFit="1" customWidth="1"/>
    <col min="1716" max="1718" width="8" bestFit="1" customWidth="1"/>
    <col min="1719" max="1719" width="9" bestFit="1" customWidth="1"/>
    <col min="1720" max="1720" width="8" bestFit="1" customWidth="1"/>
    <col min="1721" max="1721" width="9" bestFit="1" customWidth="1"/>
    <col min="1722" max="1722" width="6" bestFit="1" customWidth="1"/>
    <col min="1723" max="1728" width="8" bestFit="1" customWidth="1"/>
    <col min="1729" max="1730" width="6" bestFit="1" customWidth="1"/>
    <col min="1731" max="1734" width="8" bestFit="1" customWidth="1"/>
    <col min="1735" max="1736" width="6" bestFit="1" customWidth="1"/>
    <col min="1737" max="1738" width="8" bestFit="1" customWidth="1"/>
    <col min="1739" max="1742" width="6" bestFit="1" customWidth="1"/>
    <col min="1743" max="1744" width="8" bestFit="1" customWidth="1"/>
    <col min="1745" max="1745" width="6" bestFit="1" customWidth="1"/>
    <col min="1746" max="1746" width="8" bestFit="1" customWidth="1"/>
    <col min="1747" max="1747" width="9" bestFit="1" customWidth="1"/>
    <col min="1748" max="1749" width="6" bestFit="1" customWidth="1"/>
    <col min="1750" max="1750" width="9" bestFit="1" customWidth="1"/>
    <col min="1751" max="1751" width="8" bestFit="1" customWidth="1"/>
    <col min="1752" max="1752" width="9" bestFit="1" customWidth="1"/>
    <col min="1753" max="1753" width="6" bestFit="1" customWidth="1"/>
    <col min="1754" max="1754" width="8" bestFit="1" customWidth="1"/>
    <col min="1755" max="1755" width="6" bestFit="1" customWidth="1"/>
    <col min="1756" max="1756" width="8" bestFit="1" customWidth="1"/>
    <col min="1757" max="1757" width="6" bestFit="1" customWidth="1"/>
    <col min="1758" max="1758" width="8" bestFit="1" customWidth="1"/>
    <col min="1759" max="1760" width="6" bestFit="1" customWidth="1"/>
    <col min="1761" max="1761" width="9" bestFit="1" customWidth="1"/>
    <col min="1762" max="1763" width="8" bestFit="1" customWidth="1"/>
    <col min="1764" max="1766" width="6" bestFit="1" customWidth="1"/>
    <col min="1767" max="1768" width="8" bestFit="1" customWidth="1"/>
    <col min="1769" max="1769" width="6" bestFit="1" customWidth="1"/>
    <col min="1770" max="1774" width="8" bestFit="1" customWidth="1"/>
    <col min="1775" max="1775" width="6" bestFit="1" customWidth="1"/>
    <col min="1776" max="1776" width="9" bestFit="1" customWidth="1"/>
    <col min="1777" max="1779" width="6" bestFit="1" customWidth="1"/>
    <col min="1780" max="1781" width="8" bestFit="1" customWidth="1"/>
    <col min="1782" max="1783" width="6" bestFit="1" customWidth="1"/>
    <col min="1784" max="1785" width="8" bestFit="1" customWidth="1"/>
    <col min="1786" max="1786" width="6" bestFit="1" customWidth="1"/>
    <col min="1787" max="1787" width="8" bestFit="1" customWidth="1"/>
    <col min="1788" max="1788" width="6" bestFit="1" customWidth="1"/>
    <col min="1789" max="1789" width="8" bestFit="1" customWidth="1"/>
    <col min="1790" max="1791" width="6" bestFit="1" customWidth="1"/>
    <col min="1792" max="1792" width="8" bestFit="1" customWidth="1"/>
    <col min="1793" max="1793" width="6" bestFit="1" customWidth="1"/>
    <col min="1794" max="1794" width="9" bestFit="1" customWidth="1"/>
    <col min="1795" max="1795" width="8" bestFit="1" customWidth="1"/>
    <col min="1796" max="1796" width="6" bestFit="1" customWidth="1"/>
    <col min="1797" max="1797" width="8" bestFit="1" customWidth="1"/>
    <col min="1798" max="1798" width="9" bestFit="1" customWidth="1"/>
    <col min="1799" max="1801" width="6" bestFit="1" customWidth="1"/>
    <col min="1802" max="1802" width="9" bestFit="1" customWidth="1"/>
    <col min="1803" max="1804" width="8" bestFit="1" customWidth="1"/>
    <col min="1805" max="1805" width="6" bestFit="1" customWidth="1"/>
    <col min="1806" max="1808" width="8" bestFit="1" customWidth="1"/>
    <col min="1809" max="1809" width="6" bestFit="1" customWidth="1"/>
    <col min="1810" max="1815" width="8" bestFit="1" customWidth="1"/>
    <col min="1816" max="1817" width="6" bestFit="1" customWidth="1"/>
    <col min="1818" max="1819" width="9" bestFit="1" customWidth="1"/>
    <col min="1820" max="1820" width="8" bestFit="1" customWidth="1"/>
    <col min="1821" max="1822" width="6" bestFit="1" customWidth="1"/>
    <col min="1823" max="1827" width="8" bestFit="1" customWidth="1"/>
    <col min="1828" max="1828" width="6" bestFit="1" customWidth="1"/>
    <col min="1829" max="1831" width="8" bestFit="1" customWidth="1"/>
    <col min="1832" max="1834" width="6" bestFit="1" customWidth="1"/>
    <col min="1835" max="1835" width="8" bestFit="1" customWidth="1"/>
    <col min="1836" max="1836" width="6" bestFit="1" customWidth="1"/>
    <col min="1837" max="1837" width="9" bestFit="1" customWidth="1"/>
    <col min="1838" max="1839" width="8" bestFit="1" customWidth="1"/>
    <col min="1840" max="1840" width="9" bestFit="1" customWidth="1"/>
    <col min="1841" max="1843" width="8" bestFit="1" customWidth="1"/>
    <col min="1844" max="1844" width="6" bestFit="1" customWidth="1"/>
    <col min="1845" max="1845" width="8" bestFit="1" customWidth="1"/>
    <col min="1846" max="1846" width="9" bestFit="1" customWidth="1"/>
    <col min="1847" max="1847" width="8" bestFit="1" customWidth="1"/>
    <col min="1848" max="1848" width="6" bestFit="1" customWidth="1"/>
    <col min="1849" max="1849" width="8" bestFit="1" customWidth="1"/>
    <col min="1850" max="1850" width="9" bestFit="1" customWidth="1"/>
    <col min="1851" max="1851" width="8" bestFit="1" customWidth="1"/>
    <col min="1852" max="1852" width="6" bestFit="1" customWidth="1"/>
    <col min="1853" max="1853" width="8" bestFit="1" customWidth="1"/>
    <col min="1854" max="1854" width="6" bestFit="1" customWidth="1"/>
    <col min="1855" max="1855" width="9" bestFit="1" customWidth="1"/>
    <col min="1856" max="1856" width="6" bestFit="1" customWidth="1"/>
    <col min="1857" max="1857" width="8" bestFit="1" customWidth="1"/>
    <col min="1858" max="1859" width="6" bestFit="1" customWidth="1"/>
    <col min="1860" max="1860" width="9" bestFit="1" customWidth="1"/>
    <col min="1861" max="1861" width="8" bestFit="1" customWidth="1"/>
    <col min="1862" max="1862" width="6" bestFit="1" customWidth="1"/>
    <col min="1863" max="1863" width="8" bestFit="1" customWidth="1"/>
    <col min="1864" max="1864" width="6" bestFit="1" customWidth="1"/>
    <col min="1865" max="1866" width="9" bestFit="1" customWidth="1"/>
    <col min="1867" max="1867" width="6" bestFit="1" customWidth="1"/>
    <col min="1868" max="1868" width="8" bestFit="1" customWidth="1"/>
    <col min="1869" max="1869" width="6" bestFit="1" customWidth="1"/>
    <col min="1870" max="1870" width="8" bestFit="1" customWidth="1"/>
    <col min="1871" max="1872" width="6" bestFit="1" customWidth="1"/>
    <col min="1873" max="1873" width="9" bestFit="1" customWidth="1"/>
    <col min="1874" max="1875" width="6" bestFit="1" customWidth="1"/>
    <col min="1876" max="1876" width="8" bestFit="1" customWidth="1"/>
    <col min="1877" max="1877" width="9" bestFit="1" customWidth="1"/>
    <col min="1878" max="1878" width="6" bestFit="1" customWidth="1"/>
    <col min="1879" max="1879" width="8" bestFit="1" customWidth="1"/>
    <col min="1880" max="1882" width="6" bestFit="1" customWidth="1"/>
    <col min="1883" max="1883" width="8" bestFit="1" customWidth="1"/>
    <col min="1884" max="1884" width="6" bestFit="1" customWidth="1"/>
    <col min="1885" max="1885" width="8" bestFit="1" customWidth="1"/>
    <col min="1886" max="1886" width="6" bestFit="1" customWidth="1"/>
    <col min="1887" max="1889" width="8" bestFit="1" customWidth="1"/>
    <col min="1890" max="1891" width="6" bestFit="1" customWidth="1"/>
    <col min="1892" max="1892" width="9" bestFit="1" customWidth="1"/>
    <col min="1893" max="1894" width="8" bestFit="1" customWidth="1"/>
    <col min="1895" max="1897" width="6" bestFit="1" customWidth="1"/>
    <col min="1898" max="1901" width="8" bestFit="1" customWidth="1"/>
    <col min="1902" max="1902" width="6" bestFit="1" customWidth="1"/>
    <col min="1903" max="1905" width="8" bestFit="1" customWidth="1"/>
    <col min="1906" max="1906" width="6" bestFit="1" customWidth="1"/>
    <col min="1907" max="1907" width="8" bestFit="1" customWidth="1"/>
    <col min="1908" max="1909" width="6" bestFit="1" customWidth="1"/>
    <col min="1910" max="1912" width="8" bestFit="1" customWidth="1"/>
    <col min="1913" max="1913" width="6" bestFit="1" customWidth="1"/>
    <col min="1914" max="1914" width="8" bestFit="1" customWidth="1"/>
    <col min="1915" max="1916" width="6" bestFit="1" customWidth="1"/>
    <col min="1917" max="1920" width="8" bestFit="1" customWidth="1"/>
    <col min="1921" max="1921" width="9" bestFit="1" customWidth="1"/>
    <col min="1922" max="1925" width="8" bestFit="1" customWidth="1"/>
    <col min="1926" max="1927" width="6" bestFit="1" customWidth="1"/>
    <col min="1928" max="1928" width="8" bestFit="1" customWidth="1"/>
    <col min="1929" max="1931" width="6" bestFit="1" customWidth="1"/>
    <col min="1932" max="1935" width="8" bestFit="1" customWidth="1"/>
    <col min="1936" max="1937" width="9" bestFit="1" customWidth="1"/>
    <col min="1938" max="1938" width="8" bestFit="1" customWidth="1"/>
    <col min="1939" max="1939" width="6" bestFit="1" customWidth="1"/>
    <col min="1940" max="1941" width="8" bestFit="1" customWidth="1"/>
    <col min="1942" max="1942" width="6" bestFit="1" customWidth="1"/>
    <col min="1943" max="1943" width="8" bestFit="1" customWidth="1"/>
    <col min="1944" max="1945" width="6" bestFit="1" customWidth="1"/>
    <col min="1946" max="1946" width="9" bestFit="1" customWidth="1"/>
    <col min="1947" max="1947" width="8" bestFit="1" customWidth="1"/>
    <col min="1948" max="1950" width="6" bestFit="1" customWidth="1"/>
    <col min="1951" max="1951" width="8" bestFit="1" customWidth="1"/>
    <col min="1952" max="1952" width="6" bestFit="1" customWidth="1"/>
    <col min="1953" max="1953" width="8" bestFit="1" customWidth="1"/>
    <col min="1954" max="1957" width="6" bestFit="1" customWidth="1"/>
    <col min="1958" max="1958" width="8" bestFit="1" customWidth="1"/>
    <col min="1959" max="1960" width="6" bestFit="1" customWidth="1"/>
    <col min="1961" max="1961" width="8" bestFit="1" customWidth="1"/>
    <col min="1962" max="1963" width="6" bestFit="1" customWidth="1"/>
    <col min="1964" max="1964" width="9" bestFit="1" customWidth="1"/>
    <col min="1965" max="1965" width="8" bestFit="1" customWidth="1"/>
    <col min="1966" max="1966" width="6" bestFit="1" customWidth="1"/>
    <col min="1967" max="1967" width="8" bestFit="1" customWidth="1"/>
    <col min="1968" max="1969" width="6" bestFit="1" customWidth="1"/>
    <col min="1970" max="1973" width="8" bestFit="1" customWidth="1"/>
    <col min="1974" max="1975" width="6" bestFit="1" customWidth="1"/>
    <col min="1976" max="1976" width="8" bestFit="1" customWidth="1"/>
    <col min="1977" max="1977" width="9" bestFit="1" customWidth="1"/>
    <col min="1978" max="1982" width="8" bestFit="1" customWidth="1"/>
    <col min="1983" max="1983" width="6" bestFit="1" customWidth="1"/>
    <col min="1984" max="1988" width="8" bestFit="1" customWidth="1"/>
    <col min="1989" max="1989" width="6" bestFit="1" customWidth="1"/>
    <col min="1990" max="1990" width="8" bestFit="1" customWidth="1"/>
    <col min="1991" max="1991" width="6" bestFit="1" customWidth="1"/>
    <col min="1992" max="1994" width="8" bestFit="1" customWidth="1"/>
    <col min="1995" max="1997" width="6" bestFit="1" customWidth="1"/>
    <col min="1998" max="2001" width="8" bestFit="1" customWidth="1"/>
    <col min="2002" max="2002" width="6" bestFit="1" customWidth="1"/>
    <col min="2003" max="2004" width="9" bestFit="1" customWidth="1"/>
    <col min="2005" max="2006" width="6" bestFit="1" customWidth="1"/>
    <col min="2007" max="2008" width="8" bestFit="1" customWidth="1"/>
    <col min="2009" max="2009" width="6" bestFit="1" customWidth="1"/>
    <col min="2010" max="2010" width="8" bestFit="1" customWidth="1"/>
    <col min="2011" max="2012" width="6" bestFit="1" customWidth="1"/>
    <col min="2013" max="2014" width="8" bestFit="1" customWidth="1"/>
    <col min="2015" max="2015" width="6" bestFit="1" customWidth="1"/>
    <col min="2016" max="2018" width="8" bestFit="1" customWidth="1"/>
    <col min="2019" max="2020" width="9" bestFit="1" customWidth="1"/>
    <col min="2021" max="2023" width="8" bestFit="1" customWidth="1"/>
    <col min="2024" max="2025" width="6" bestFit="1" customWidth="1"/>
    <col min="2026" max="2026" width="9" bestFit="1" customWidth="1"/>
    <col min="2027" max="2028" width="8" bestFit="1" customWidth="1"/>
    <col min="2029" max="2036" width="6" bestFit="1" customWidth="1"/>
    <col min="2037" max="2037" width="8" bestFit="1" customWidth="1"/>
    <col min="2038" max="2038" width="9" bestFit="1" customWidth="1"/>
    <col min="2039" max="2039" width="6" bestFit="1" customWidth="1"/>
    <col min="2040" max="2040" width="8" bestFit="1" customWidth="1"/>
    <col min="2041" max="2041" width="9" bestFit="1" customWidth="1"/>
    <col min="2042" max="2043" width="6" bestFit="1" customWidth="1"/>
    <col min="2044" max="2046" width="8" bestFit="1" customWidth="1"/>
    <col min="2047" max="2048" width="6" bestFit="1" customWidth="1"/>
    <col min="2049" max="2049" width="8" bestFit="1" customWidth="1"/>
    <col min="2050" max="2051" width="6" bestFit="1" customWidth="1"/>
    <col min="2052" max="2053" width="8" bestFit="1" customWidth="1"/>
    <col min="2054" max="2057" width="6" bestFit="1" customWidth="1"/>
    <col min="2058" max="2058" width="8" bestFit="1" customWidth="1"/>
    <col min="2059" max="2059" width="9" bestFit="1" customWidth="1"/>
    <col min="2060" max="2060" width="6" bestFit="1" customWidth="1"/>
    <col min="2061" max="2062" width="8" bestFit="1" customWidth="1"/>
    <col min="2063" max="2063" width="9" bestFit="1" customWidth="1"/>
    <col min="2064" max="2064" width="8" bestFit="1" customWidth="1"/>
    <col min="2065" max="2065" width="9" bestFit="1" customWidth="1"/>
    <col min="2066" max="2067" width="6" bestFit="1" customWidth="1"/>
    <col min="2068" max="2070" width="8" bestFit="1" customWidth="1"/>
    <col min="2071" max="2072" width="6" bestFit="1" customWidth="1"/>
    <col min="2073" max="2076" width="8" bestFit="1" customWidth="1"/>
    <col min="2077" max="2079" width="6" bestFit="1" customWidth="1"/>
    <col min="2080" max="2081" width="8" bestFit="1" customWidth="1"/>
    <col min="2082" max="2085" width="6" bestFit="1" customWidth="1"/>
    <col min="2086" max="2090" width="8" bestFit="1" customWidth="1"/>
    <col min="2091" max="2091" width="6" bestFit="1" customWidth="1"/>
    <col min="2092" max="2092" width="9" bestFit="1" customWidth="1"/>
    <col min="2093" max="2093" width="8" bestFit="1" customWidth="1"/>
    <col min="2094" max="2095" width="6" bestFit="1" customWidth="1"/>
    <col min="2096" max="2096" width="9" bestFit="1" customWidth="1"/>
    <col min="2097" max="2097" width="8" bestFit="1" customWidth="1"/>
    <col min="2098" max="2098" width="9" bestFit="1" customWidth="1"/>
    <col min="2099" max="2099" width="8" bestFit="1" customWidth="1"/>
    <col min="2100" max="2101" width="6" bestFit="1" customWidth="1"/>
    <col min="2102" max="2102" width="9" bestFit="1" customWidth="1"/>
    <col min="2103" max="2104" width="8" bestFit="1" customWidth="1"/>
    <col min="2105" max="2106" width="6" bestFit="1" customWidth="1"/>
    <col min="2107" max="2108" width="8" bestFit="1" customWidth="1"/>
    <col min="2109" max="2109" width="9" bestFit="1" customWidth="1"/>
    <col min="2110" max="2110" width="8" bestFit="1" customWidth="1"/>
    <col min="2111" max="2111" width="9" bestFit="1" customWidth="1"/>
    <col min="2112" max="2112" width="6" bestFit="1" customWidth="1"/>
    <col min="2113" max="2114" width="8" bestFit="1" customWidth="1"/>
    <col min="2115" max="2115" width="6" bestFit="1" customWidth="1"/>
    <col min="2116" max="2117" width="8" bestFit="1" customWidth="1"/>
    <col min="2118" max="2118" width="9" bestFit="1" customWidth="1"/>
    <col min="2119" max="2120" width="8" bestFit="1" customWidth="1"/>
    <col min="2121" max="2122" width="6" bestFit="1" customWidth="1"/>
    <col min="2123" max="2124" width="8" bestFit="1" customWidth="1"/>
    <col min="2125" max="2125" width="6" bestFit="1" customWidth="1"/>
    <col min="2126" max="2128" width="8" bestFit="1" customWidth="1"/>
    <col min="2129" max="2129" width="6" bestFit="1" customWidth="1"/>
    <col min="2130" max="2132" width="8" bestFit="1" customWidth="1"/>
    <col min="2133" max="2133" width="9" bestFit="1" customWidth="1"/>
    <col min="2134" max="2137" width="8" bestFit="1" customWidth="1"/>
    <col min="2138" max="2138" width="9" bestFit="1" customWidth="1"/>
    <col min="2139" max="2142" width="8" bestFit="1" customWidth="1"/>
    <col min="2143" max="2143" width="6" bestFit="1" customWidth="1"/>
    <col min="2144" max="2146" width="8" bestFit="1" customWidth="1"/>
    <col min="2147" max="2147" width="6" bestFit="1" customWidth="1"/>
    <col min="2148" max="2153" width="8" bestFit="1" customWidth="1"/>
    <col min="2154" max="2154" width="6" bestFit="1" customWidth="1"/>
    <col min="2155" max="2155" width="8" bestFit="1" customWidth="1"/>
    <col min="2156" max="2156" width="6" bestFit="1" customWidth="1"/>
    <col min="2157" max="2157" width="9" bestFit="1" customWidth="1"/>
    <col min="2158" max="2158" width="8" bestFit="1" customWidth="1"/>
    <col min="2159" max="2159" width="6" bestFit="1" customWidth="1"/>
    <col min="2160" max="2160" width="8" bestFit="1" customWidth="1"/>
    <col min="2161" max="2161" width="9" bestFit="1" customWidth="1"/>
    <col min="2162" max="2164" width="8" bestFit="1" customWidth="1"/>
    <col min="2165" max="2165" width="9" bestFit="1" customWidth="1"/>
    <col min="2166" max="2166" width="8" bestFit="1" customWidth="1"/>
    <col min="2167" max="2169" width="6" bestFit="1" customWidth="1"/>
    <col min="2170" max="2171" width="8" bestFit="1" customWidth="1"/>
    <col min="2172" max="2172" width="6" bestFit="1" customWidth="1"/>
    <col min="2173" max="2173" width="8" bestFit="1" customWidth="1"/>
    <col min="2174" max="2174" width="9" bestFit="1" customWidth="1"/>
    <col min="2175" max="2177" width="8" bestFit="1" customWidth="1"/>
    <col min="2178" max="2178" width="6" bestFit="1" customWidth="1"/>
    <col min="2179" max="2184" width="8" bestFit="1" customWidth="1"/>
    <col min="2185" max="2185" width="6" bestFit="1" customWidth="1"/>
    <col min="2186" max="2191" width="8" bestFit="1" customWidth="1"/>
    <col min="2192" max="2194" width="6" bestFit="1" customWidth="1"/>
    <col min="2195" max="2195" width="8" bestFit="1" customWidth="1"/>
    <col min="2196" max="2196" width="6" bestFit="1" customWidth="1"/>
    <col min="2197" max="2198" width="8" bestFit="1" customWidth="1"/>
    <col min="2199" max="2199" width="6" bestFit="1" customWidth="1"/>
    <col min="2200" max="2200" width="9" bestFit="1" customWidth="1"/>
    <col min="2201" max="2202" width="8" bestFit="1" customWidth="1"/>
    <col min="2203" max="2203" width="6" bestFit="1" customWidth="1"/>
    <col min="2204" max="2205" width="8" bestFit="1" customWidth="1"/>
    <col min="2206" max="2206" width="6" bestFit="1" customWidth="1"/>
    <col min="2207" max="2208" width="8" bestFit="1" customWidth="1"/>
    <col min="2209" max="2209" width="9" bestFit="1" customWidth="1"/>
    <col min="2210" max="2210" width="8" bestFit="1" customWidth="1"/>
    <col min="2211" max="2211" width="9" bestFit="1" customWidth="1"/>
    <col min="2212" max="2215" width="6" bestFit="1" customWidth="1"/>
    <col min="2216" max="2216" width="8" bestFit="1" customWidth="1"/>
    <col min="2217" max="2218" width="9" bestFit="1" customWidth="1"/>
    <col min="2219" max="2221" width="6" bestFit="1" customWidth="1"/>
    <col min="2222" max="2224" width="8" bestFit="1" customWidth="1"/>
    <col min="2225" max="2225" width="6" bestFit="1" customWidth="1"/>
    <col min="2226" max="2226" width="9" bestFit="1" customWidth="1"/>
    <col min="2227" max="2227" width="6" bestFit="1" customWidth="1"/>
    <col min="2228" max="2228" width="8" bestFit="1" customWidth="1"/>
    <col min="2229" max="2230" width="6" bestFit="1" customWidth="1"/>
    <col min="2231" max="2231" width="9" bestFit="1" customWidth="1"/>
    <col min="2232" max="2232" width="6" bestFit="1" customWidth="1"/>
    <col min="2233" max="2233" width="9" bestFit="1" customWidth="1"/>
    <col min="2234" max="2234" width="6" bestFit="1" customWidth="1"/>
    <col min="2235" max="2240" width="8" bestFit="1" customWidth="1"/>
    <col min="2241" max="2241" width="9" bestFit="1" customWidth="1"/>
    <col min="2242" max="2246" width="8" bestFit="1" customWidth="1"/>
    <col min="2247" max="2248" width="6" bestFit="1" customWidth="1"/>
    <col min="2249" max="2252" width="8" bestFit="1" customWidth="1"/>
    <col min="2253" max="2253" width="9" bestFit="1" customWidth="1"/>
    <col min="2254" max="2254" width="8" bestFit="1" customWidth="1"/>
    <col min="2255" max="2255" width="6" bestFit="1" customWidth="1"/>
    <col min="2256" max="2257" width="8" bestFit="1" customWidth="1"/>
    <col min="2258" max="2258" width="6" bestFit="1" customWidth="1"/>
    <col min="2259" max="2259" width="8" bestFit="1" customWidth="1"/>
    <col min="2260" max="2260" width="6" bestFit="1" customWidth="1"/>
    <col min="2261" max="2263" width="8" bestFit="1" customWidth="1"/>
    <col min="2264" max="2264" width="6" bestFit="1" customWidth="1"/>
    <col min="2265" max="2265" width="8" bestFit="1" customWidth="1"/>
    <col min="2266" max="2266" width="6" bestFit="1" customWidth="1"/>
    <col min="2267" max="2267" width="8" bestFit="1" customWidth="1"/>
    <col min="2268" max="2268" width="6" bestFit="1" customWidth="1"/>
    <col min="2269" max="2270" width="8" bestFit="1" customWidth="1"/>
    <col min="2271" max="2271" width="6" bestFit="1" customWidth="1"/>
    <col min="2272" max="2274" width="8" bestFit="1" customWidth="1"/>
    <col min="2275" max="2275" width="6" bestFit="1" customWidth="1"/>
    <col min="2276" max="2280" width="8" bestFit="1" customWidth="1"/>
    <col min="2281" max="2282" width="6" bestFit="1" customWidth="1"/>
    <col min="2283" max="2286" width="8" bestFit="1" customWidth="1"/>
    <col min="2287" max="2288" width="6" bestFit="1" customWidth="1"/>
    <col min="2289" max="2289" width="8" bestFit="1" customWidth="1"/>
    <col min="2290" max="2293" width="6" bestFit="1" customWidth="1"/>
    <col min="2294" max="2295" width="8" bestFit="1" customWidth="1"/>
    <col min="2296" max="2296" width="9" bestFit="1" customWidth="1"/>
    <col min="2297" max="2297" width="6" bestFit="1" customWidth="1"/>
    <col min="2298" max="2298" width="9" bestFit="1" customWidth="1"/>
    <col min="2299" max="2299" width="8" bestFit="1" customWidth="1"/>
    <col min="2300" max="2300" width="6" bestFit="1" customWidth="1"/>
    <col min="2301" max="2305" width="8" bestFit="1" customWidth="1"/>
    <col min="2306" max="2306" width="6" bestFit="1" customWidth="1"/>
    <col min="2307" max="2308" width="8" bestFit="1" customWidth="1"/>
    <col min="2309" max="2309" width="6" bestFit="1" customWidth="1"/>
    <col min="2310" max="2312" width="8" bestFit="1" customWidth="1"/>
    <col min="2313" max="2313" width="6" bestFit="1" customWidth="1"/>
    <col min="2314" max="2317" width="8" bestFit="1" customWidth="1"/>
    <col min="2318" max="2318" width="6" bestFit="1" customWidth="1"/>
    <col min="2319" max="2319" width="8" bestFit="1" customWidth="1"/>
    <col min="2320" max="2320" width="6" bestFit="1" customWidth="1"/>
    <col min="2321" max="2322" width="8" bestFit="1" customWidth="1"/>
    <col min="2323" max="2324" width="6" bestFit="1" customWidth="1"/>
    <col min="2325" max="2325" width="8" bestFit="1" customWidth="1"/>
    <col min="2326" max="2326" width="6" bestFit="1" customWidth="1"/>
    <col min="2327" max="2331" width="8" bestFit="1" customWidth="1"/>
    <col min="2332" max="2332" width="6" bestFit="1" customWidth="1"/>
    <col min="2333" max="2333" width="8" bestFit="1" customWidth="1"/>
    <col min="2334" max="2334" width="6" bestFit="1" customWidth="1"/>
    <col min="2335" max="2335" width="8" bestFit="1" customWidth="1"/>
    <col min="2336" max="2339" width="6" bestFit="1" customWidth="1"/>
    <col min="2340" max="2342" width="8" bestFit="1" customWidth="1"/>
    <col min="2343" max="2343" width="9" bestFit="1" customWidth="1"/>
    <col min="2344" max="2347" width="8" bestFit="1" customWidth="1"/>
    <col min="2348" max="2348" width="6" bestFit="1" customWidth="1"/>
    <col min="2349" max="2351" width="8" bestFit="1" customWidth="1"/>
    <col min="2352" max="2352" width="6" bestFit="1" customWidth="1"/>
    <col min="2353" max="2357" width="8" bestFit="1" customWidth="1"/>
    <col min="2358" max="2359" width="6" bestFit="1" customWidth="1"/>
    <col min="2360" max="2361" width="8" bestFit="1" customWidth="1"/>
    <col min="2362" max="2362" width="6" bestFit="1" customWidth="1"/>
    <col min="2363" max="2363" width="8" bestFit="1" customWidth="1"/>
    <col min="2364" max="2364" width="6" bestFit="1" customWidth="1"/>
    <col min="2365" max="2365" width="8" bestFit="1" customWidth="1"/>
    <col min="2366" max="2366" width="6" bestFit="1" customWidth="1"/>
    <col min="2367" max="2367" width="8" bestFit="1" customWidth="1"/>
    <col min="2368" max="2368" width="6" bestFit="1" customWidth="1"/>
    <col min="2369" max="2369" width="8" bestFit="1" customWidth="1"/>
    <col min="2370" max="2374" width="6" bestFit="1" customWidth="1"/>
    <col min="2375" max="2375" width="8" bestFit="1" customWidth="1"/>
    <col min="2376" max="2376" width="9" bestFit="1" customWidth="1"/>
    <col min="2377" max="2379" width="8" bestFit="1" customWidth="1"/>
    <col min="2380" max="2380" width="6" bestFit="1" customWidth="1"/>
    <col min="2381" max="2381" width="8" bestFit="1" customWidth="1"/>
    <col min="2382" max="2382" width="6" bestFit="1" customWidth="1"/>
    <col min="2383" max="2384" width="8" bestFit="1" customWidth="1"/>
    <col min="2385" max="2387" width="6" bestFit="1" customWidth="1"/>
    <col min="2388" max="2390" width="8" bestFit="1" customWidth="1"/>
    <col min="2391" max="2391" width="6" bestFit="1" customWidth="1"/>
    <col min="2392" max="2394" width="8" bestFit="1" customWidth="1"/>
    <col min="2395" max="2395" width="9" bestFit="1" customWidth="1"/>
    <col min="2396" max="2396" width="8" bestFit="1" customWidth="1"/>
    <col min="2397" max="2397" width="6" bestFit="1" customWidth="1"/>
    <col min="2398" max="2399" width="8" bestFit="1" customWidth="1"/>
    <col min="2400" max="2402" width="6" bestFit="1" customWidth="1"/>
    <col min="2403" max="2403" width="8" bestFit="1" customWidth="1"/>
    <col min="2404" max="2404" width="6" bestFit="1" customWidth="1"/>
    <col min="2405" max="2405" width="8" bestFit="1" customWidth="1"/>
    <col min="2406" max="2407" width="6" bestFit="1" customWidth="1"/>
    <col min="2408" max="2411" width="8" bestFit="1" customWidth="1"/>
    <col min="2412" max="2413" width="6" bestFit="1" customWidth="1"/>
    <col min="2414" max="2414" width="8" bestFit="1" customWidth="1"/>
    <col min="2415" max="2417" width="6" bestFit="1" customWidth="1"/>
    <col min="2418" max="2420" width="8" bestFit="1" customWidth="1"/>
    <col min="2421" max="2421" width="9" bestFit="1" customWidth="1"/>
    <col min="2422" max="2424" width="8" bestFit="1" customWidth="1"/>
    <col min="2425" max="2427" width="6" bestFit="1" customWidth="1"/>
    <col min="2428" max="2430" width="8" bestFit="1" customWidth="1"/>
    <col min="2431" max="2431" width="9" bestFit="1" customWidth="1"/>
    <col min="2432" max="2433" width="6" bestFit="1" customWidth="1"/>
    <col min="2434" max="2435" width="8" bestFit="1" customWidth="1"/>
    <col min="2436" max="2436" width="6" bestFit="1" customWidth="1"/>
    <col min="2437" max="2437" width="8" bestFit="1" customWidth="1"/>
    <col min="2438" max="2438" width="9" bestFit="1" customWidth="1"/>
    <col min="2439" max="2441" width="8" bestFit="1" customWidth="1"/>
    <col min="2442" max="2443" width="6" bestFit="1" customWidth="1"/>
    <col min="2444" max="2446" width="8" bestFit="1" customWidth="1"/>
    <col min="2447" max="2447" width="6" bestFit="1" customWidth="1"/>
    <col min="2448" max="2449" width="8" bestFit="1" customWidth="1"/>
    <col min="2450" max="2450" width="6" bestFit="1" customWidth="1"/>
    <col min="2451" max="2455" width="8" bestFit="1" customWidth="1"/>
    <col min="2456" max="2457" width="6" bestFit="1" customWidth="1"/>
    <col min="2458" max="2459" width="8" bestFit="1" customWidth="1"/>
    <col min="2460" max="2460" width="9" bestFit="1" customWidth="1"/>
    <col min="2461" max="2464" width="8" bestFit="1" customWidth="1"/>
    <col min="2465" max="2466" width="6" bestFit="1" customWidth="1"/>
    <col min="2467" max="2467" width="9" bestFit="1" customWidth="1"/>
    <col min="2468" max="2468" width="8" bestFit="1" customWidth="1"/>
    <col min="2469" max="2469" width="6" bestFit="1" customWidth="1"/>
    <col min="2470" max="2470" width="8" bestFit="1" customWidth="1"/>
    <col min="2471" max="2471" width="6" bestFit="1" customWidth="1"/>
    <col min="2472" max="2472" width="9" bestFit="1" customWidth="1"/>
    <col min="2473" max="2473" width="6" bestFit="1" customWidth="1"/>
    <col min="2474" max="2474" width="8" bestFit="1" customWidth="1"/>
    <col min="2475" max="2477" width="6" bestFit="1" customWidth="1"/>
    <col min="2478" max="2480" width="8" bestFit="1" customWidth="1"/>
    <col min="2481" max="2481" width="6" bestFit="1" customWidth="1"/>
    <col min="2482" max="2482" width="8" bestFit="1" customWidth="1"/>
    <col min="2483" max="2483" width="10" bestFit="1" customWidth="1"/>
    <col min="2484" max="2484" width="9" bestFit="1" customWidth="1"/>
    <col min="2485" max="2486" width="7" bestFit="1" customWidth="1"/>
    <col min="2487" max="2487" width="9" bestFit="1" customWidth="1"/>
    <col min="2488" max="2488" width="10" bestFit="1" customWidth="1"/>
    <col min="2489" max="2490" width="7" bestFit="1" customWidth="1"/>
    <col min="2491" max="2491" width="10" bestFit="1" customWidth="1"/>
    <col min="2492" max="2493" width="9" bestFit="1" customWidth="1"/>
    <col min="2494" max="2495" width="7" bestFit="1" customWidth="1"/>
    <col min="2496" max="2496" width="9" bestFit="1" customWidth="1"/>
    <col min="2497" max="2497" width="7" bestFit="1" customWidth="1"/>
    <col min="2498" max="2498" width="9" bestFit="1" customWidth="1"/>
    <col min="2499" max="2499" width="7" bestFit="1" customWidth="1"/>
    <col min="2500" max="2503" width="9" bestFit="1" customWidth="1"/>
    <col min="2504" max="2504" width="7" bestFit="1" customWidth="1"/>
    <col min="2505" max="2505" width="10" bestFit="1" customWidth="1"/>
    <col min="2506" max="2506" width="7" bestFit="1" customWidth="1"/>
    <col min="2507" max="2508" width="9" bestFit="1" customWidth="1"/>
    <col min="2509" max="2511" width="7" bestFit="1" customWidth="1"/>
    <col min="2512" max="2512" width="9" bestFit="1" customWidth="1"/>
    <col min="2513" max="2515" width="10" bestFit="1" customWidth="1"/>
    <col min="2516" max="2516" width="9" bestFit="1" customWidth="1"/>
    <col min="2517" max="2517" width="10" bestFit="1" customWidth="1"/>
    <col min="2518" max="2518" width="9" bestFit="1" customWidth="1"/>
    <col min="2519" max="2519" width="7" bestFit="1" customWidth="1"/>
    <col min="2520" max="2521" width="9" bestFit="1" customWidth="1"/>
    <col min="2522" max="2523" width="10" bestFit="1" customWidth="1"/>
    <col min="2524" max="2525" width="9" bestFit="1" customWidth="1"/>
    <col min="2526" max="2528" width="7" bestFit="1" customWidth="1"/>
    <col min="2529" max="2533" width="9" bestFit="1" customWidth="1"/>
    <col min="2534" max="2534" width="7" bestFit="1" customWidth="1"/>
    <col min="2535" max="2537" width="9" bestFit="1" customWidth="1"/>
    <col min="2538" max="2538" width="7" bestFit="1" customWidth="1"/>
    <col min="2539" max="2540" width="9" bestFit="1" customWidth="1"/>
    <col min="2541" max="2541" width="7" bestFit="1" customWidth="1"/>
    <col min="2542" max="2542" width="9" bestFit="1" customWidth="1"/>
    <col min="2543" max="2543" width="7" bestFit="1" customWidth="1"/>
    <col min="2544" max="2544" width="10" bestFit="1" customWidth="1"/>
    <col min="2545" max="2545" width="9" bestFit="1" customWidth="1"/>
    <col min="2546" max="2546" width="7" bestFit="1" customWidth="1"/>
    <col min="2547" max="2552" width="9" bestFit="1" customWidth="1"/>
    <col min="2553" max="2553" width="7" bestFit="1" customWidth="1"/>
    <col min="2554" max="2556" width="9" bestFit="1" customWidth="1"/>
    <col min="2557" max="2560" width="7" bestFit="1" customWidth="1"/>
    <col min="2561" max="2562" width="9" bestFit="1" customWidth="1"/>
    <col min="2563" max="2563" width="7" bestFit="1" customWidth="1"/>
    <col min="2564" max="2564" width="9" bestFit="1" customWidth="1"/>
    <col min="2565" max="2566" width="7" bestFit="1" customWidth="1"/>
    <col min="2567" max="2568" width="9" bestFit="1" customWidth="1"/>
    <col min="2569" max="2570" width="7" bestFit="1" customWidth="1"/>
    <col min="2571" max="2574" width="9" bestFit="1" customWidth="1"/>
    <col min="2575" max="2575" width="7" bestFit="1" customWidth="1"/>
    <col min="2576" max="2578" width="9" bestFit="1" customWidth="1"/>
    <col min="2579" max="2579" width="7" bestFit="1" customWidth="1"/>
    <col min="2580" max="2580" width="9" bestFit="1" customWidth="1"/>
    <col min="2581" max="2582" width="7" bestFit="1" customWidth="1"/>
    <col min="2583" max="2583" width="9" bestFit="1" customWidth="1"/>
    <col min="2584" max="2584" width="10" bestFit="1" customWidth="1"/>
    <col min="2585" max="2585" width="7" bestFit="1" customWidth="1"/>
    <col min="2586" max="2588" width="9" bestFit="1" customWidth="1"/>
    <col min="2589" max="2590" width="7" bestFit="1" customWidth="1"/>
    <col min="2591" max="2591" width="9" bestFit="1" customWidth="1"/>
    <col min="2592" max="2593" width="10" bestFit="1" customWidth="1"/>
    <col min="2594" max="2594" width="9" bestFit="1" customWidth="1"/>
    <col min="2595" max="2596" width="7" bestFit="1" customWidth="1"/>
    <col min="2597" max="2597" width="9" bestFit="1" customWidth="1"/>
    <col min="2598" max="2598" width="7" bestFit="1" customWidth="1"/>
    <col min="2599" max="2601" width="9" bestFit="1" customWidth="1"/>
    <col min="2602" max="2603" width="7" bestFit="1" customWidth="1"/>
    <col min="2604" max="2604" width="9" bestFit="1" customWidth="1"/>
    <col min="2605" max="2605" width="10" bestFit="1" customWidth="1"/>
    <col min="2606" max="2606" width="9" bestFit="1" customWidth="1"/>
    <col min="2607" max="2607" width="7" bestFit="1" customWidth="1"/>
    <col min="2608" max="2608" width="10" bestFit="1" customWidth="1"/>
    <col min="2609" max="2610" width="9" bestFit="1" customWidth="1"/>
    <col min="2611" max="2611" width="7" bestFit="1" customWidth="1"/>
    <col min="2612" max="2612" width="9" bestFit="1" customWidth="1"/>
    <col min="2613" max="2617" width="7" bestFit="1" customWidth="1"/>
    <col min="2618" max="2619" width="9" bestFit="1" customWidth="1"/>
    <col min="2620" max="2620" width="10" bestFit="1" customWidth="1"/>
    <col min="2621" max="2621" width="7" bestFit="1" customWidth="1"/>
    <col min="2622" max="2622" width="9" bestFit="1" customWidth="1"/>
    <col min="2623" max="2623" width="7" bestFit="1" customWidth="1"/>
    <col min="2624" max="2624" width="10" bestFit="1" customWidth="1"/>
    <col min="2625" max="2625" width="7" bestFit="1" customWidth="1"/>
    <col min="2626" max="2626" width="9" bestFit="1" customWidth="1"/>
    <col min="2627" max="2628" width="7" bestFit="1" customWidth="1"/>
    <col min="2629" max="2629" width="9" bestFit="1" customWidth="1"/>
    <col min="2630" max="2630" width="7" bestFit="1" customWidth="1"/>
    <col min="2631" max="2631" width="9" bestFit="1" customWidth="1"/>
    <col min="2632" max="2632" width="7" bestFit="1" customWidth="1"/>
    <col min="2633" max="2636" width="9" bestFit="1" customWidth="1"/>
    <col min="2637" max="2637" width="7" bestFit="1" customWidth="1"/>
    <col min="2638" max="2639" width="9" bestFit="1" customWidth="1"/>
    <col min="2640" max="2644" width="7" bestFit="1" customWidth="1"/>
    <col min="2645" max="2645" width="9" bestFit="1" customWidth="1"/>
    <col min="2646" max="2647" width="7" bestFit="1" customWidth="1"/>
    <col min="2648" max="2649" width="9" bestFit="1" customWidth="1"/>
    <col min="2650" max="2651" width="7" bestFit="1" customWidth="1"/>
    <col min="2652" max="2654" width="9" bestFit="1" customWidth="1"/>
    <col min="2655" max="2655" width="7" bestFit="1" customWidth="1"/>
    <col min="2656" max="2656" width="9" bestFit="1" customWidth="1"/>
    <col min="2657" max="2657" width="7" bestFit="1" customWidth="1"/>
    <col min="2658" max="2658" width="9" bestFit="1" customWidth="1"/>
    <col min="2659" max="2660" width="10" bestFit="1" customWidth="1"/>
    <col min="2661" max="2663" width="9" bestFit="1" customWidth="1"/>
    <col min="2664" max="2666" width="7" bestFit="1" customWidth="1"/>
    <col min="2667" max="2667" width="9" bestFit="1" customWidth="1"/>
    <col min="2668" max="2669" width="7" bestFit="1" customWidth="1"/>
    <col min="2670" max="2677" width="9" bestFit="1" customWidth="1"/>
    <col min="2678" max="2678" width="10" bestFit="1" customWidth="1"/>
    <col min="2679" max="2685" width="9" bestFit="1" customWidth="1"/>
    <col min="2686" max="2686" width="7" bestFit="1" customWidth="1"/>
    <col min="2687" max="2687" width="9" bestFit="1" customWidth="1"/>
    <col min="2688" max="2688" width="7" bestFit="1" customWidth="1"/>
    <col min="2689" max="2689" width="9" bestFit="1" customWidth="1"/>
    <col min="2690" max="2690" width="7" bestFit="1" customWidth="1"/>
    <col min="2691" max="2692" width="9" bestFit="1" customWidth="1"/>
    <col min="2693" max="2693" width="7" bestFit="1" customWidth="1"/>
    <col min="2694" max="2695" width="9" bestFit="1" customWidth="1"/>
    <col min="2696" max="2696" width="7" bestFit="1" customWidth="1"/>
    <col min="2697" max="2701" width="9" bestFit="1" customWidth="1"/>
    <col min="2702" max="2702" width="7" bestFit="1" customWidth="1"/>
    <col min="2703" max="2703" width="9" bestFit="1" customWidth="1"/>
    <col min="2704" max="2705" width="7" bestFit="1" customWidth="1"/>
    <col min="2706" max="2706" width="9" bestFit="1" customWidth="1"/>
    <col min="2707" max="2708" width="7" bestFit="1" customWidth="1"/>
    <col min="2709" max="2709" width="10" bestFit="1" customWidth="1"/>
    <col min="2710" max="2711" width="9" bestFit="1" customWidth="1"/>
    <col min="2712" max="2714" width="7" bestFit="1" customWidth="1"/>
    <col min="2715" max="2719" width="9" bestFit="1" customWidth="1"/>
    <col min="2720" max="2720" width="7" bestFit="1" customWidth="1"/>
    <col min="2721" max="2721" width="9" bestFit="1" customWidth="1"/>
    <col min="2722" max="2723" width="7" bestFit="1" customWidth="1"/>
    <col min="2724" max="2724" width="10" bestFit="1" customWidth="1"/>
    <col min="2725" max="2725" width="7" bestFit="1" customWidth="1"/>
    <col min="2726" max="2731" width="9" bestFit="1" customWidth="1"/>
    <col min="2732" max="2732" width="7" bestFit="1" customWidth="1"/>
    <col min="2733" max="2734" width="9" bestFit="1" customWidth="1"/>
    <col min="2735" max="2735" width="7" bestFit="1" customWidth="1"/>
    <col min="2736" max="2740" width="9" bestFit="1" customWidth="1"/>
    <col min="2741" max="2741" width="7" bestFit="1" customWidth="1"/>
    <col min="2742" max="2742" width="9" bestFit="1" customWidth="1"/>
    <col min="2743" max="2743" width="7" bestFit="1" customWidth="1"/>
    <col min="2744" max="2744" width="9" bestFit="1" customWidth="1"/>
    <col min="2745" max="2745" width="10" bestFit="1" customWidth="1"/>
    <col min="2746" max="2746" width="7" bestFit="1" customWidth="1"/>
    <col min="2747" max="2749" width="9" bestFit="1" customWidth="1"/>
    <col min="2750" max="2750" width="7" bestFit="1" customWidth="1"/>
    <col min="2751" max="2752" width="9" bestFit="1" customWidth="1"/>
    <col min="2753" max="2753" width="10" bestFit="1" customWidth="1"/>
    <col min="2754" max="2755" width="9" bestFit="1" customWidth="1"/>
    <col min="2756" max="2756" width="7" bestFit="1" customWidth="1"/>
    <col min="2757" max="2757" width="9" bestFit="1" customWidth="1"/>
    <col min="2758" max="2758" width="7" bestFit="1" customWidth="1"/>
    <col min="2759" max="2759" width="9" bestFit="1" customWidth="1"/>
    <col min="2760" max="2760" width="10" bestFit="1" customWidth="1"/>
    <col min="2761" max="2761" width="9" bestFit="1" customWidth="1"/>
    <col min="2762" max="2762" width="10" bestFit="1" customWidth="1"/>
    <col min="2763" max="2765" width="9" bestFit="1" customWidth="1"/>
    <col min="2766" max="2766" width="7" bestFit="1" customWidth="1"/>
    <col min="2767" max="2768" width="9" bestFit="1" customWidth="1"/>
    <col min="2769" max="2769" width="7" bestFit="1" customWidth="1"/>
    <col min="2770" max="2770" width="9" bestFit="1" customWidth="1"/>
    <col min="2771" max="2771" width="7" bestFit="1" customWidth="1"/>
    <col min="2772" max="2772" width="9" bestFit="1" customWidth="1"/>
    <col min="2773" max="2773" width="10" bestFit="1" customWidth="1"/>
    <col min="2774" max="2776" width="9" bestFit="1" customWidth="1"/>
    <col min="2777" max="2778" width="7" bestFit="1" customWidth="1"/>
    <col min="2779" max="2780" width="9" bestFit="1" customWidth="1"/>
    <col min="2781" max="2781" width="10" bestFit="1" customWidth="1"/>
    <col min="2782" max="2782" width="9" bestFit="1" customWidth="1"/>
    <col min="2783" max="2784" width="7" bestFit="1" customWidth="1"/>
    <col min="2785" max="2786" width="9" bestFit="1" customWidth="1"/>
    <col min="2787" max="2791" width="7" bestFit="1" customWidth="1"/>
    <col min="2792" max="2793" width="9" bestFit="1" customWidth="1"/>
    <col min="2794" max="2795" width="7" bestFit="1" customWidth="1"/>
    <col min="2796" max="2796" width="9" bestFit="1" customWidth="1"/>
    <col min="2797" max="2797" width="7" bestFit="1" customWidth="1"/>
    <col min="2798" max="2798" width="9" bestFit="1" customWidth="1"/>
    <col min="2799" max="2799" width="10" bestFit="1" customWidth="1"/>
    <col min="2800" max="2800" width="7" bestFit="1" customWidth="1"/>
    <col min="2801" max="2801" width="9" bestFit="1" customWidth="1"/>
    <col min="2802" max="2802" width="7" bestFit="1" customWidth="1"/>
    <col min="2803" max="2807" width="9" bestFit="1" customWidth="1"/>
    <col min="2808" max="2808" width="7" bestFit="1" customWidth="1"/>
    <col min="2809" max="2809" width="9" bestFit="1" customWidth="1"/>
    <col min="2810" max="2810" width="7" bestFit="1" customWidth="1"/>
    <col min="2811" max="2811" width="10" bestFit="1" customWidth="1"/>
    <col min="2812" max="2812" width="7" bestFit="1" customWidth="1"/>
    <col min="2813" max="2813" width="9" bestFit="1" customWidth="1"/>
    <col min="2814" max="2814" width="10" bestFit="1" customWidth="1"/>
    <col min="2815" max="2815" width="9" bestFit="1" customWidth="1"/>
    <col min="2816" max="2817" width="7" bestFit="1" customWidth="1"/>
    <col min="2818" max="2819" width="9" bestFit="1" customWidth="1"/>
    <col min="2820" max="2820" width="7" bestFit="1" customWidth="1"/>
    <col min="2821" max="2823" width="9" bestFit="1" customWidth="1"/>
    <col min="2824" max="2824" width="10" bestFit="1" customWidth="1"/>
    <col min="2825" max="2825" width="7" bestFit="1" customWidth="1"/>
    <col min="2826" max="2826" width="9" bestFit="1" customWidth="1"/>
    <col min="2827" max="2827" width="7" bestFit="1" customWidth="1"/>
    <col min="2828" max="2828" width="10" bestFit="1" customWidth="1"/>
    <col min="2829" max="2829" width="7" bestFit="1" customWidth="1"/>
    <col min="2830" max="2833" width="9" bestFit="1" customWidth="1"/>
    <col min="2834" max="2834" width="7" bestFit="1" customWidth="1"/>
    <col min="2835" max="2835" width="9" bestFit="1" customWidth="1"/>
    <col min="2836" max="2836" width="10" bestFit="1" customWidth="1"/>
    <col min="2837" max="2837" width="9" bestFit="1" customWidth="1"/>
    <col min="2838" max="2838" width="10" bestFit="1" customWidth="1"/>
    <col min="2839" max="2844" width="9" bestFit="1" customWidth="1"/>
    <col min="2845" max="2845" width="7" bestFit="1" customWidth="1"/>
    <col min="2846" max="2846" width="10" bestFit="1" customWidth="1"/>
    <col min="2847" max="2849" width="9" bestFit="1" customWidth="1"/>
    <col min="2850" max="2850" width="7" bestFit="1" customWidth="1"/>
    <col min="2851" max="2851" width="9" bestFit="1" customWidth="1"/>
    <col min="2852" max="2852" width="7" bestFit="1" customWidth="1"/>
    <col min="2853" max="2863" width="9" bestFit="1" customWidth="1"/>
    <col min="2864" max="2864" width="7" bestFit="1" customWidth="1"/>
    <col min="2865" max="2869" width="9" bestFit="1" customWidth="1"/>
    <col min="2870" max="2871" width="7" bestFit="1" customWidth="1"/>
    <col min="2872" max="2874" width="9" bestFit="1" customWidth="1"/>
    <col min="2875" max="2875" width="10" bestFit="1" customWidth="1"/>
    <col min="2876" max="2877" width="9" bestFit="1" customWidth="1"/>
    <col min="2878" max="2878" width="7" bestFit="1" customWidth="1"/>
    <col min="2879" max="2880" width="9" bestFit="1" customWidth="1"/>
    <col min="2881" max="2881" width="10" bestFit="1" customWidth="1"/>
    <col min="2882" max="2882" width="7" bestFit="1" customWidth="1"/>
    <col min="2883" max="2884" width="9" bestFit="1" customWidth="1"/>
    <col min="2885" max="2885" width="7" bestFit="1" customWidth="1"/>
    <col min="2886" max="2886" width="10" bestFit="1" customWidth="1"/>
    <col min="2887" max="2887" width="7" bestFit="1" customWidth="1"/>
    <col min="2888" max="2889" width="9" bestFit="1" customWidth="1"/>
    <col min="2890" max="2890" width="10" bestFit="1" customWidth="1"/>
    <col min="2891" max="2893" width="9" bestFit="1" customWidth="1"/>
    <col min="2894" max="2894" width="7" bestFit="1" customWidth="1"/>
    <col min="2895" max="2895" width="9" bestFit="1" customWidth="1"/>
    <col min="2896" max="2897" width="7" bestFit="1" customWidth="1"/>
    <col min="2898" max="2900" width="9" bestFit="1" customWidth="1"/>
    <col min="2901" max="2901" width="10" bestFit="1" customWidth="1"/>
    <col min="2902" max="2903" width="9" bestFit="1" customWidth="1"/>
    <col min="2904" max="2905" width="7" bestFit="1" customWidth="1"/>
    <col min="2906" max="2907" width="9" bestFit="1" customWidth="1"/>
    <col min="2908" max="2908" width="7" bestFit="1" customWidth="1"/>
    <col min="2909" max="2909" width="10" bestFit="1" customWidth="1"/>
    <col min="2910" max="2911" width="7" bestFit="1" customWidth="1"/>
    <col min="2912" max="2913" width="9" bestFit="1" customWidth="1"/>
    <col min="2914" max="2914" width="7" bestFit="1" customWidth="1"/>
    <col min="2915" max="2915" width="9" bestFit="1" customWidth="1"/>
    <col min="2916" max="2916" width="10" bestFit="1" customWidth="1"/>
    <col min="2917" max="2919" width="7" bestFit="1" customWidth="1"/>
    <col min="2920" max="2920" width="10" bestFit="1" customWidth="1"/>
    <col min="2921" max="2923" width="7" bestFit="1" customWidth="1"/>
    <col min="2924" max="2924" width="9" bestFit="1" customWidth="1"/>
    <col min="2925" max="2927" width="7" bestFit="1" customWidth="1"/>
    <col min="2928" max="2929" width="9" bestFit="1" customWidth="1"/>
    <col min="2930" max="2930" width="7" bestFit="1" customWidth="1"/>
    <col min="2931" max="2931" width="9" bestFit="1" customWidth="1"/>
    <col min="2932" max="2932" width="7" bestFit="1" customWidth="1"/>
    <col min="2933" max="2933" width="9" bestFit="1" customWidth="1"/>
    <col min="2934" max="2934" width="10" bestFit="1" customWidth="1"/>
    <col min="2935" max="2937" width="9" bestFit="1" customWidth="1"/>
    <col min="2938" max="2938" width="7" bestFit="1" customWidth="1"/>
    <col min="2939" max="2941" width="9" bestFit="1" customWidth="1"/>
    <col min="2942" max="2942" width="10" bestFit="1" customWidth="1"/>
    <col min="2943" max="2944" width="9" bestFit="1" customWidth="1"/>
    <col min="2945" max="2945" width="7" bestFit="1" customWidth="1"/>
    <col min="2946" max="2946" width="9" bestFit="1" customWidth="1"/>
    <col min="2947" max="2947" width="7" bestFit="1" customWidth="1"/>
    <col min="2948" max="2948" width="10" bestFit="1" customWidth="1"/>
    <col min="2949" max="2952" width="9" bestFit="1" customWidth="1"/>
    <col min="2953" max="2953" width="7" bestFit="1" customWidth="1"/>
    <col min="2954" max="2956" width="9" bestFit="1" customWidth="1"/>
    <col min="2957" max="2959" width="7" bestFit="1" customWidth="1"/>
    <col min="2960" max="2960" width="9" bestFit="1" customWidth="1"/>
    <col min="2961" max="2963" width="7" bestFit="1" customWidth="1"/>
    <col min="2964" max="2964" width="11.28515625" bestFit="1" customWidth="1"/>
    <col min="2965" max="2965" width="7.85546875" bestFit="1" customWidth="1"/>
    <col min="2966" max="2966" width="10.85546875" bestFit="1" customWidth="1"/>
    <col min="2967" max="2967" width="7.85546875" bestFit="1" customWidth="1"/>
    <col min="2968" max="2968" width="10.85546875" bestFit="1" customWidth="1"/>
    <col min="2969" max="2969" width="9.85546875" bestFit="1" customWidth="1"/>
    <col min="2970" max="2970" width="12.42578125" bestFit="1" customWidth="1"/>
    <col min="2971" max="2971" width="7.85546875" bestFit="1" customWidth="1"/>
    <col min="2972" max="2972" width="10.85546875" bestFit="1" customWidth="1"/>
    <col min="2973" max="2973" width="7.85546875" bestFit="1" customWidth="1"/>
    <col min="2974" max="2975" width="10.85546875" bestFit="1" customWidth="1"/>
    <col min="2976" max="2976" width="13.5703125" bestFit="1" customWidth="1"/>
    <col min="2977" max="2977" width="10.85546875" bestFit="1" customWidth="1"/>
    <col min="2978" max="2978" width="13.5703125" bestFit="1" customWidth="1"/>
    <col min="2979" max="2979" width="9.85546875" bestFit="1" customWidth="1"/>
    <col min="2980" max="2980" width="12.42578125" bestFit="1" customWidth="1"/>
    <col min="2981" max="2981" width="10.85546875" bestFit="1" customWidth="1"/>
    <col min="2982" max="2982" width="13.5703125" bestFit="1" customWidth="1"/>
    <col min="2983" max="2983" width="7.85546875" bestFit="1" customWidth="1"/>
    <col min="2984" max="2984" width="10.85546875" bestFit="1" customWidth="1"/>
    <col min="2985" max="2985" width="9.85546875" bestFit="1" customWidth="1"/>
    <col min="2986" max="2986" width="12.42578125" bestFit="1" customWidth="1"/>
    <col min="2987" max="2987" width="9.85546875" bestFit="1" customWidth="1"/>
    <col min="2988" max="2988" width="12.42578125" bestFit="1" customWidth="1"/>
    <col min="2989" max="2989" width="10.85546875" bestFit="1" customWidth="1"/>
    <col min="2990" max="2990" width="13.5703125" bestFit="1" customWidth="1"/>
    <col min="2991" max="2991" width="9.85546875" bestFit="1" customWidth="1"/>
    <col min="2992" max="2992" width="12.42578125" bestFit="1" customWidth="1"/>
    <col min="2993" max="2993" width="7.85546875" bestFit="1" customWidth="1"/>
    <col min="2994" max="2994" width="10.85546875" bestFit="1" customWidth="1"/>
    <col min="2995" max="2995" width="9.85546875" bestFit="1" customWidth="1"/>
    <col min="2996" max="2996" width="12.42578125" bestFit="1" customWidth="1"/>
    <col min="2997" max="2997" width="10.85546875" bestFit="1" customWidth="1"/>
    <col min="2998" max="2998" width="13.5703125" bestFit="1" customWidth="1"/>
    <col min="2999" max="2999" width="9.85546875" bestFit="1" customWidth="1"/>
    <col min="3000" max="3000" width="12.42578125" bestFit="1" customWidth="1"/>
    <col min="3001" max="3001" width="9.85546875" bestFit="1" customWidth="1"/>
    <col min="3002" max="3002" width="12.42578125" bestFit="1" customWidth="1"/>
    <col min="3003" max="3003" width="7.85546875" bestFit="1" customWidth="1"/>
    <col min="3004" max="3004" width="10.85546875" bestFit="1" customWidth="1"/>
    <col min="3005" max="3005" width="9.85546875" bestFit="1" customWidth="1"/>
    <col min="3006" max="3006" width="12.42578125" bestFit="1" customWidth="1"/>
    <col min="3007" max="3007" width="9.85546875" bestFit="1" customWidth="1"/>
    <col min="3008" max="3008" width="12.42578125" bestFit="1" customWidth="1"/>
    <col min="3009" max="3009" width="7.85546875" bestFit="1" customWidth="1"/>
    <col min="3010" max="3010" width="10.85546875" bestFit="1" customWidth="1"/>
    <col min="3011" max="3011" width="7.85546875" bestFit="1" customWidth="1"/>
    <col min="3012" max="3012" width="10.85546875" bestFit="1" customWidth="1"/>
    <col min="3013" max="3013" width="7.85546875" bestFit="1" customWidth="1"/>
    <col min="3014" max="3014" width="10.85546875" bestFit="1" customWidth="1"/>
    <col min="3015" max="3015" width="9.85546875" bestFit="1" customWidth="1"/>
    <col min="3016" max="3016" width="12.42578125" bestFit="1" customWidth="1"/>
    <col min="3017" max="3017" width="10.85546875" bestFit="1" customWidth="1"/>
    <col min="3018" max="3018" width="13.5703125" bestFit="1" customWidth="1"/>
    <col min="3019" max="3019" width="9.85546875" bestFit="1" customWidth="1"/>
    <col min="3020" max="3020" width="12.42578125" bestFit="1" customWidth="1"/>
    <col min="3021" max="3021" width="9.85546875" bestFit="1" customWidth="1"/>
    <col min="3022" max="3022" width="12.42578125" bestFit="1" customWidth="1"/>
    <col min="3023" max="3023" width="10.85546875" bestFit="1" customWidth="1"/>
    <col min="3024" max="3024" width="13.5703125" bestFit="1" customWidth="1"/>
    <col min="3025" max="3025" width="9.85546875" bestFit="1" customWidth="1"/>
    <col min="3026" max="3026" width="12.42578125" bestFit="1" customWidth="1"/>
    <col min="3027" max="3027" width="9.85546875" bestFit="1" customWidth="1"/>
    <col min="3028" max="3028" width="12.42578125" bestFit="1" customWidth="1"/>
    <col min="3029" max="3029" width="7.85546875" bestFit="1" customWidth="1"/>
    <col min="3030" max="3030" width="10.85546875" bestFit="1" customWidth="1"/>
    <col min="3031" max="3031" width="9.85546875" bestFit="1" customWidth="1"/>
    <col min="3032" max="3032" width="12.42578125" bestFit="1" customWidth="1"/>
    <col min="3033" max="3033" width="9.85546875" bestFit="1" customWidth="1"/>
    <col min="3034" max="3034" width="12.42578125" bestFit="1" customWidth="1"/>
    <col min="3035" max="3035" width="7.85546875" bestFit="1" customWidth="1"/>
    <col min="3036" max="3036" width="10.85546875" bestFit="1" customWidth="1"/>
    <col min="3037" max="3037" width="9.85546875" bestFit="1" customWidth="1"/>
    <col min="3038" max="3038" width="12.42578125" bestFit="1" customWidth="1"/>
    <col min="3039" max="3039" width="7.85546875" bestFit="1" customWidth="1"/>
    <col min="3040" max="3040" width="10.85546875" bestFit="1" customWidth="1"/>
    <col min="3041" max="3041" width="9.85546875" bestFit="1" customWidth="1"/>
    <col min="3042" max="3042" width="12.42578125" bestFit="1" customWidth="1"/>
    <col min="3043" max="3043" width="9.85546875" bestFit="1" customWidth="1"/>
    <col min="3044" max="3044" width="12.42578125" bestFit="1" customWidth="1"/>
    <col min="3045" max="3045" width="9.85546875" bestFit="1" customWidth="1"/>
    <col min="3046" max="3046" width="12.42578125" bestFit="1" customWidth="1"/>
    <col min="3047" max="3047" width="7.85546875" bestFit="1" customWidth="1"/>
    <col min="3048" max="3048" width="10.85546875" bestFit="1" customWidth="1"/>
    <col min="3049" max="3049" width="7.85546875" bestFit="1" customWidth="1"/>
    <col min="3050" max="3050" width="10.85546875" bestFit="1" customWidth="1"/>
    <col min="3051" max="3051" width="7.85546875" bestFit="1" customWidth="1"/>
    <col min="3052" max="3052" width="10.85546875" bestFit="1" customWidth="1"/>
    <col min="3053" max="3053" width="9.85546875" bestFit="1" customWidth="1"/>
    <col min="3054" max="3054" width="12.42578125" bestFit="1" customWidth="1"/>
    <col min="3055" max="3055" width="7.85546875" bestFit="1" customWidth="1"/>
    <col min="3056" max="3056" width="10.85546875" bestFit="1" customWidth="1"/>
    <col min="3057" max="3057" width="7.85546875" bestFit="1" customWidth="1"/>
    <col min="3058" max="3059" width="10.85546875" bestFit="1" customWidth="1"/>
    <col min="3060" max="3060" width="13.5703125" bestFit="1" customWidth="1"/>
    <col min="3061" max="3061" width="9.85546875" bestFit="1" customWidth="1"/>
    <col min="3062" max="3062" width="12.42578125" bestFit="1" customWidth="1"/>
    <col min="3063" max="3063" width="7.85546875" bestFit="1" customWidth="1"/>
    <col min="3064" max="3064" width="10.85546875" bestFit="1" customWidth="1"/>
    <col min="3065" max="3065" width="7.85546875" bestFit="1" customWidth="1"/>
    <col min="3066" max="3066" width="10.85546875" bestFit="1" customWidth="1"/>
    <col min="3067" max="3067" width="9.85546875" bestFit="1" customWidth="1"/>
    <col min="3068" max="3068" width="12.42578125" bestFit="1" customWidth="1"/>
    <col min="3069" max="3069" width="9.85546875" bestFit="1" customWidth="1"/>
    <col min="3070" max="3070" width="12.42578125" bestFit="1" customWidth="1"/>
    <col min="3071" max="3071" width="9.85546875" bestFit="1" customWidth="1"/>
    <col min="3072" max="3072" width="12.42578125" bestFit="1" customWidth="1"/>
    <col min="3073" max="3073" width="7.85546875" bestFit="1" customWidth="1"/>
    <col min="3074" max="3074" width="10.85546875" bestFit="1" customWidth="1"/>
    <col min="3075" max="3075" width="9.85546875" bestFit="1" customWidth="1"/>
    <col min="3076" max="3076" width="12.42578125" bestFit="1" customWidth="1"/>
    <col min="3077" max="3077" width="9.85546875" bestFit="1" customWidth="1"/>
    <col min="3078" max="3078" width="12.42578125" bestFit="1" customWidth="1"/>
    <col min="3079" max="3079" width="9.85546875" bestFit="1" customWidth="1"/>
    <col min="3080" max="3080" width="12.42578125" bestFit="1" customWidth="1"/>
    <col min="3081" max="3081" width="7.85546875" bestFit="1" customWidth="1"/>
    <col min="3082" max="3082" width="10.85546875" bestFit="1" customWidth="1"/>
    <col min="3083" max="3083" width="7.85546875" bestFit="1" customWidth="1"/>
    <col min="3084" max="3084" width="10.85546875" bestFit="1" customWidth="1"/>
    <col min="3085" max="3085" width="9.85546875" bestFit="1" customWidth="1"/>
    <col min="3086" max="3086" width="12.42578125" bestFit="1" customWidth="1"/>
    <col min="3087" max="3087" width="7.85546875" bestFit="1" customWidth="1"/>
    <col min="3088" max="3088" width="10.85546875" bestFit="1" customWidth="1"/>
    <col min="3089" max="3089" width="9.85546875" bestFit="1" customWidth="1"/>
    <col min="3090" max="3090" width="12.42578125" bestFit="1" customWidth="1"/>
    <col min="3091" max="3091" width="7.85546875" bestFit="1" customWidth="1"/>
    <col min="3092" max="3092" width="10.85546875" bestFit="1" customWidth="1"/>
    <col min="3093" max="3093" width="7.85546875" bestFit="1" customWidth="1"/>
    <col min="3094" max="3095" width="10.85546875" bestFit="1" customWidth="1"/>
    <col min="3096" max="3096" width="13.5703125" bestFit="1" customWidth="1"/>
    <col min="3097" max="3097" width="7.85546875" bestFit="1" customWidth="1"/>
    <col min="3098" max="3098" width="10.85546875" bestFit="1" customWidth="1"/>
    <col min="3099" max="3099" width="9.85546875" bestFit="1" customWidth="1"/>
    <col min="3100" max="3100" width="12.42578125" bestFit="1" customWidth="1"/>
    <col min="3101" max="3101" width="7.85546875" bestFit="1" customWidth="1"/>
    <col min="3102" max="3102" width="10.85546875" bestFit="1" customWidth="1"/>
    <col min="3103" max="3103" width="9.85546875" bestFit="1" customWidth="1"/>
    <col min="3104" max="3104" width="12.42578125" bestFit="1" customWidth="1"/>
    <col min="3105" max="3105" width="10.85546875" bestFit="1" customWidth="1"/>
    <col min="3106" max="3106" width="13.5703125" bestFit="1" customWidth="1"/>
    <col min="3107" max="3107" width="9.85546875" bestFit="1" customWidth="1"/>
    <col min="3108" max="3108" width="12.42578125" bestFit="1" customWidth="1"/>
    <col min="3109" max="3109" width="7.85546875" bestFit="1" customWidth="1"/>
    <col min="3110" max="3110" width="10.85546875" bestFit="1" customWidth="1"/>
    <col min="3111" max="3111" width="7.85546875" bestFit="1" customWidth="1"/>
    <col min="3112" max="3112" width="10.85546875" bestFit="1" customWidth="1"/>
    <col min="3113" max="3113" width="7.85546875" bestFit="1" customWidth="1"/>
    <col min="3114" max="3114" width="10.85546875" bestFit="1" customWidth="1"/>
    <col min="3115" max="3115" width="9.85546875" bestFit="1" customWidth="1"/>
    <col min="3116" max="3116" width="12.42578125" bestFit="1" customWidth="1"/>
    <col min="3117" max="3117" width="7.85546875" bestFit="1" customWidth="1"/>
    <col min="3118" max="3118" width="10.85546875" bestFit="1" customWidth="1"/>
    <col min="3119" max="3119" width="9.85546875" bestFit="1" customWidth="1"/>
    <col min="3120" max="3120" width="12.42578125" bestFit="1" customWidth="1"/>
    <col min="3121" max="3121" width="9.85546875" bestFit="1" customWidth="1"/>
    <col min="3122" max="3122" width="12.42578125" bestFit="1" customWidth="1"/>
    <col min="3123" max="3123" width="7.85546875" bestFit="1" customWidth="1"/>
    <col min="3124" max="3124" width="10.85546875" bestFit="1" customWidth="1"/>
    <col min="3125" max="3125" width="9.85546875" bestFit="1" customWidth="1"/>
    <col min="3126" max="3126" width="12.42578125" bestFit="1" customWidth="1"/>
    <col min="3127" max="3127" width="10.85546875" bestFit="1" customWidth="1"/>
    <col min="3128" max="3128" width="13.5703125" bestFit="1" customWidth="1"/>
    <col min="3129" max="3129" width="10.85546875" bestFit="1" customWidth="1"/>
    <col min="3130" max="3130" width="13.5703125" bestFit="1" customWidth="1"/>
    <col min="3131" max="3131" width="9.85546875" bestFit="1" customWidth="1"/>
    <col min="3132" max="3132" width="12.42578125" bestFit="1" customWidth="1"/>
    <col min="3133" max="3133" width="7.85546875" bestFit="1" customWidth="1"/>
    <col min="3134" max="3134" width="10.85546875" bestFit="1" customWidth="1"/>
    <col min="3135" max="3135" width="9.85546875" bestFit="1" customWidth="1"/>
    <col min="3136" max="3136" width="12.42578125" bestFit="1" customWidth="1"/>
    <col min="3137" max="3137" width="9.85546875" bestFit="1" customWidth="1"/>
    <col min="3138" max="3138" width="12.42578125" bestFit="1" customWidth="1"/>
    <col min="3139" max="3139" width="9.85546875" bestFit="1" customWidth="1"/>
    <col min="3140" max="3140" width="12.42578125" bestFit="1" customWidth="1"/>
    <col min="3141" max="3141" width="10.85546875" bestFit="1" customWidth="1"/>
    <col min="3142" max="3142" width="13.5703125" bestFit="1" customWidth="1"/>
    <col min="3143" max="3143" width="9.85546875" bestFit="1" customWidth="1"/>
    <col min="3144" max="3144" width="12.42578125" bestFit="1" customWidth="1"/>
    <col min="3145" max="3145" width="7.85546875" bestFit="1" customWidth="1"/>
    <col min="3146" max="3146" width="10.85546875" bestFit="1" customWidth="1"/>
    <col min="3147" max="3147" width="9.85546875" bestFit="1" customWidth="1"/>
    <col min="3148" max="3148" width="12.42578125" bestFit="1" customWidth="1"/>
    <col min="3149" max="3149" width="9.85546875" bestFit="1" customWidth="1"/>
    <col min="3150" max="3150" width="12.42578125" bestFit="1" customWidth="1"/>
    <col min="3151" max="3151" width="7.85546875" bestFit="1" customWidth="1"/>
    <col min="3152" max="3152" width="10.85546875" bestFit="1" customWidth="1"/>
    <col min="3153" max="3153" width="9.85546875" bestFit="1" customWidth="1"/>
    <col min="3154" max="3154" width="12.42578125" bestFit="1" customWidth="1"/>
    <col min="3155" max="3156" width="7.85546875" bestFit="1" customWidth="1"/>
    <col min="3157" max="3157" width="10.85546875" bestFit="1" customWidth="1"/>
    <col min="3158" max="3158" width="9.85546875" bestFit="1" customWidth="1"/>
    <col min="3159" max="3159" width="12.42578125" bestFit="1" customWidth="1"/>
    <col min="3160" max="3160" width="7.85546875" bestFit="1" customWidth="1"/>
    <col min="3161" max="3161" width="10.85546875" bestFit="1" customWidth="1"/>
    <col min="3162" max="3162" width="9.85546875" bestFit="1" customWidth="1"/>
    <col min="3163" max="3163" width="12.42578125" bestFit="1" customWidth="1"/>
    <col min="3164" max="3164" width="9.85546875" bestFit="1" customWidth="1"/>
    <col min="3165" max="3165" width="12.42578125" bestFit="1" customWidth="1"/>
    <col min="3166" max="3166" width="7.85546875" bestFit="1" customWidth="1"/>
    <col min="3167" max="3167" width="10.85546875" bestFit="1" customWidth="1"/>
    <col min="3168" max="3168" width="9.85546875" bestFit="1" customWidth="1"/>
    <col min="3169" max="3169" width="12.42578125" bestFit="1" customWidth="1"/>
    <col min="3170" max="3170" width="9.85546875" bestFit="1" customWidth="1"/>
    <col min="3171" max="3171" width="12.42578125" bestFit="1" customWidth="1"/>
    <col min="3172" max="3172" width="9.85546875" bestFit="1" customWidth="1"/>
    <col min="3173" max="3173" width="12.42578125" bestFit="1" customWidth="1"/>
    <col min="3174" max="3174" width="9.85546875" bestFit="1" customWidth="1"/>
    <col min="3175" max="3175" width="12.42578125" bestFit="1" customWidth="1"/>
    <col min="3176" max="3176" width="9.85546875" bestFit="1" customWidth="1"/>
    <col min="3177" max="3177" width="12.42578125" bestFit="1" customWidth="1"/>
    <col min="3178" max="3178" width="9.85546875" bestFit="1" customWidth="1"/>
    <col min="3179" max="3179" width="12.42578125" bestFit="1" customWidth="1"/>
    <col min="3180" max="3180" width="7.85546875" bestFit="1" customWidth="1"/>
    <col min="3181" max="3181" width="10.85546875" bestFit="1" customWidth="1"/>
    <col min="3182" max="3182" width="9.85546875" bestFit="1" customWidth="1"/>
    <col min="3183" max="3183" width="12.42578125" bestFit="1" customWidth="1"/>
    <col min="3184" max="3184" width="7.85546875" bestFit="1" customWidth="1"/>
    <col min="3185" max="3185" width="10.85546875" bestFit="1" customWidth="1"/>
    <col min="3186" max="3186" width="7.85546875" bestFit="1" customWidth="1"/>
    <col min="3187" max="3187" width="10.85546875" bestFit="1" customWidth="1"/>
    <col min="3188" max="3188" width="7.85546875" bestFit="1" customWidth="1"/>
    <col min="3189" max="3189" width="10.85546875" bestFit="1" customWidth="1"/>
    <col min="3190" max="3190" width="7.85546875" bestFit="1" customWidth="1"/>
    <col min="3191" max="3192" width="10.85546875" bestFit="1" customWidth="1"/>
    <col min="3193" max="3193" width="13.5703125" bestFit="1" customWidth="1"/>
    <col min="3194" max="3194" width="9.85546875" bestFit="1" customWidth="1"/>
    <col min="3195" max="3195" width="12.42578125" bestFit="1" customWidth="1"/>
    <col min="3196" max="3196" width="9.85546875" bestFit="1" customWidth="1"/>
    <col min="3197" max="3197" width="12.42578125" bestFit="1" customWidth="1"/>
    <col min="3198" max="3198" width="9.85546875" bestFit="1" customWidth="1"/>
    <col min="3199" max="3199" width="12.42578125" bestFit="1" customWidth="1"/>
    <col min="3200" max="3200" width="9.85546875" bestFit="1" customWidth="1"/>
    <col min="3201" max="3201" width="12.42578125" bestFit="1" customWidth="1"/>
    <col min="3202" max="3202" width="7.85546875" bestFit="1" customWidth="1"/>
    <col min="3203" max="3203" width="10.85546875" bestFit="1" customWidth="1"/>
    <col min="3204" max="3204" width="9.85546875" bestFit="1" customWidth="1"/>
    <col min="3205" max="3205" width="12.42578125" bestFit="1" customWidth="1"/>
    <col min="3206" max="3206" width="7.85546875" bestFit="1" customWidth="1"/>
    <col min="3207" max="3207" width="10.85546875" bestFit="1" customWidth="1"/>
    <col min="3208" max="3209" width="9.85546875" bestFit="1" customWidth="1"/>
    <col min="3210" max="3210" width="12.42578125" bestFit="1" customWidth="1"/>
    <col min="3211" max="3211" width="9.85546875" bestFit="1" customWidth="1"/>
    <col min="3212" max="3212" width="12.42578125" bestFit="1" customWidth="1"/>
    <col min="3213" max="3213" width="7.85546875" bestFit="1" customWidth="1"/>
    <col min="3214" max="3214" width="10.85546875" bestFit="1" customWidth="1"/>
    <col min="3215" max="3215" width="7.85546875" bestFit="1" customWidth="1"/>
    <col min="3216" max="3216" width="10.85546875" bestFit="1" customWidth="1"/>
    <col min="3217" max="3217" width="9.85546875" bestFit="1" customWidth="1"/>
    <col min="3218" max="3218" width="12.42578125" bestFit="1" customWidth="1"/>
    <col min="3219" max="3219" width="9.85546875" bestFit="1" customWidth="1"/>
    <col min="3220" max="3220" width="12.42578125" bestFit="1" customWidth="1"/>
    <col min="3221" max="3221" width="7.85546875" bestFit="1" customWidth="1"/>
    <col min="3222" max="3222" width="10.85546875" bestFit="1" customWidth="1"/>
    <col min="3223" max="3223" width="9.85546875" bestFit="1" customWidth="1"/>
    <col min="3224" max="3224" width="12.42578125" bestFit="1" customWidth="1"/>
    <col min="3225" max="3225" width="9.85546875" bestFit="1" customWidth="1"/>
    <col min="3226" max="3226" width="12.42578125" bestFit="1" customWidth="1"/>
    <col min="3227" max="3227" width="7.85546875" bestFit="1" customWidth="1"/>
    <col min="3228" max="3228" width="10.85546875" bestFit="1" customWidth="1"/>
    <col min="3229" max="3229" width="9.85546875" bestFit="1" customWidth="1"/>
    <col min="3230" max="3230" width="12.42578125" bestFit="1" customWidth="1"/>
    <col min="3231" max="3231" width="9.85546875" bestFit="1" customWidth="1"/>
    <col min="3232" max="3232" width="12.42578125" bestFit="1" customWidth="1"/>
    <col min="3233" max="3233" width="10.85546875" bestFit="1" customWidth="1"/>
    <col min="3234" max="3234" width="13.5703125" bestFit="1" customWidth="1"/>
    <col min="3235" max="3235" width="10.85546875" bestFit="1" customWidth="1"/>
    <col min="3236" max="3236" width="13.5703125" bestFit="1" customWidth="1"/>
    <col min="3237" max="3237" width="7.85546875" bestFit="1" customWidth="1"/>
    <col min="3238" max="3238" width="10.85546875" bestFit="1" customWidth="1"/>
    <col min="3239" max="3239" width="9.85546875" bestFit="1" customWidth="1"/>
    <col min="3240" max="3240" width="12.42578125" bestFit="1" customWidth="1"/>
    <col min="3241" max="3241" width="9.85546875" bestFit="1" customWidth="1"/>
    <col min="3242" max="3242" width="12.42578125" bestFit="1" customWidth="1"/>
    <col min="3243" max="3243" width="9.85546875" bestFit="1" customWidth="1"/>
    <col min="3244" max="3244" width="12.42578125" bestFit="1" customWidth="1"/>
    <col min="3245" max="3245" width="9.85546875" bestFit="1" customWidth="1"/>
    <col min="3246" max="3246" width="12.42578125" bestFit="1" customWidth="1"/>
    <col min="3247" max="3247" width="9.85546875" bestFit="1" customWidth="1"/>
    <col min="3248" max="3248" width="12.42578125" bestFit="1" customWidth="1"/>
    <col min="3249" max="3249" width="9.85546875" bestFit="1" customWidth="1"/>
    <col min="3250" max="3250" width="12.42578125" bestFit="1" customWidth="1"/>
    <col min="3251" max="3251" width="7.85546875" bestFit="1" customWidth="1"/>
    <col min="3252" max="3253" width="10.85546875" bestFit="1" customWidth="1"/>
    <col min="3254" max="3254" width="13.5703125" bestFit="1" customWidth="1"/>
    <col min="3255" max="3255" width="9.85546875" bestFit="1" customWidth="1"/>
    <col min="3256" max="3256" width="12.42578125" bestFit="1" customWidth="1"/>
    <col min="3257" max="3257" width="7.85546875" bestFit="1" customWidth="1"/>
    <col min="3258" max="3258" width="10.85546875" bestFit="1" customWidth="1"/>
    <col min="3259" max="3259" width="7.85546875" bestFit="1" customWidth="1"/>
    <col min="3260" max="3260" width="10.85546875" bestFit="1" customWidth="1"/>
    <col min="3261" max="3261" width="9.85546875" bestFit="1" customWidth="1"/>
    <col min="3262" max="3262" width="12.42578125" bestFit="1" customWidth="1"/>
    <col min="3263" max="3263" width="7.85546875" bestFit="1" customWidth="1"/>
    <col min="3264" max="3265" width="10.85546875" bestFit="1" customWidth="1"/>
    <col min="3266" max="3266" width="13.5703125" bestFit="1" customWidth="1"/>
    <col min="3267" max="3267" width="7.85546875" bestFit="1" customWidth="1"/>
    <col min="3268" max="3268" width="10.85546875" bestFit="1" customWidth="1"/>
    <col min="3269" max="3269" width="7.85546875" bestFit="1" customWidth="1"/>
    <col min="3270" max="3270" width="10.85546875" bestFit="1" customWidth="1"/>
    <col min="3271" max="3271" width="9.85546875" bestFit="1" customWidth="1"/>
    <col min="3272" max="3272" width="12.42578125" bestFit="1" customWidth="1"/>
    <col min="3273" max="3273" width="9.85546875" bestFit="1" customWidth="1"/>
    <col min="3274" max="3274" width="12.42578125" bestFit="1" customWidth="1"/>
    <col min="3275" max="3275" width="9.85546875" bestFit="1" customWidth="1"/>
    <col min="3276" max="3276" width="12.42578125" bestFit="1" customWidth="1"/>
    <col min="3277" max="3277" width="7.85546875" bestFit="1" customWidth="1"/>
    <col min="3278" max="3278" width="10.85546875" bestFit="1" customWidth="1"/>
    <col min="3279" max="3279" width="9.85546875" bestFit="1" customWidth="1"/>
    <col min="3280" max="3280" width="12.42578125" bestFit="1" customWidth="1"/>
    <col min="3281" max="3282" width="10.85546875" bestFit="1" customWidth="1"/>
    <col min="3283" max="3283" width="13.5703125" bestFit="1" customWidth="1"/>
    <col min="3284" max="3284" width="9.85546875" bestFit="1" customWidth="1"/>
    <col min="3285" max="3285" width="12.42578125" bestFit="1" customWidth="1"/>
    <col min="3286" max="3286" width="7.85546875" bestFit="1" customWidth="1"/>
    <col min="3287" max="3287" width="10.85546875" bestFit="1" customWidth="1"/>
    <col min="3288" max="3288" width="9.85546875" bestFit="1" customWidth="1"/>
    <col min="3289" max="3289" width="12.42578125" bestFit="1" customWidth="1"/>
    <col min="3290" max="3290" width="7.85546875" bestFit="1" customWidth="1"/>
    <col min="3291" max="3291" width="10.85546875" bestFit="1" customWidth="1"/>
    <col min="3292" max="3292" width="9.85546875" bestFit="1" customWidth="1"/>
    <col min="3293" max="3293" width="12.42578125" bestFit="1" customWidth="1"/>
    <col min="3294" max="3294" width="7.85546875" bestFit="1" customWidth="1"/>
    <col min="3295" max="3295" width="10.85546875" bestFit="1" customWidth="1"/>
    <col min="3296" max="3296" width="7.85546875" bestFit="1" customWidth="1"/>
    <col min="3297" max="3297" width="10.85546875" bestFit="1" customWidth="1"/>
    <col min="3298" max="3298" width="9.85546875" bestFit="1" customWidth="1"/>
    <col min="3299" max="3299" width="12.42578125" bestFit="1" customWidth="1"/>
    <col min="3300" max="3300" width="7.85546875" bestFit="1" customWidth="1"/>
    <col min="3301" max="3301" width="10.85546875" bestFit="1" customWidth="1"/>
    <col min="3302" max="3302" width="9.85546875" bestFit="1" customWidth="1"/>
    <col min="3303" max="3303" width="12.42578125" bestFit="1" customWidth="1"/>
    <col min="3304" max="3304" width="7.85546875" bestFit="1" customWidth="1"/>
    <col min="3305" max="3306" width="10.85546875" bestFit="1" customWidth="1"/>
    <col min="3307" max="3307" width="13.5703125" bestFit="1" customWidth="1"/>
    <col min="3308" max="3308" width="7.85546875" bestFit="1" customWidth="1"/>
    <col min="3309" max="3310" width="10.85546875" bestFit="1" customWidth="1"/>
    <col min="3311" max="3311" width="13.5703125" bestFit="1" customWidth="1"/>
    <col min="3312" max="3312" width="9.85546875" bestFit="1" customWidth="1"/>
    <col min="3313" max="3313" width="12.42578125" bestFit="1" customWidth="1"/>
    <col min="3314" max="3314" width="9.85546875" bestFit="1" customWidth="1"/>
    <col min="3315" max="3315" width="12.42578125" bestFit="1" customWidth="1"/>
    <col min="3316" max="3316" width="10.85546875" bestFit="1" customWidth="1"/>
    <col min="3317" max="3317" width="13.5703125" bestFit="1" customWidth="1"/>
    <col min="3318" max="3318" width="7.85546875" bestFit="1" customWidth="1"/>
    <col min="3319" max="3319" width="10.85546875" bestFit="1" customWidth="1"/>
    <col min="3320" max="3320" width="9.85546875" bestFit="1" customWidth="1"/>
    <col min="3321" max="3321" width="12.42578125" bestFit="1" customWidth="1"/>
    <col min="3322" max="3322" width="7.85546875" bestFit="1" customWidth="1"/>
    <col min="3323" max="3323" width="10.85546875" bestFit="1" customWidth="1"/>
    <col min="3324" max="3324" width="9.85546875" bestFit="1" customWidth="1"/>
    <col min="3325" max="3325" width="12.42578125" bestFit="1" customWidth="1"/>
    <col min="3326" max="3326" width="9.85546875" bestFit="1" customWidth="1"/>
    <col min="3327" max="3327" width="12.42578125" bestFit="1" customWidth="1"/>
    <col min="3328" max="3328" width="10.85546875" bestFit="1" customWidth="1"/>
    <col min="3329" max="3329" width="13.5703125" bestFit="1" customWidth="1"/>
    <col min="3330" max="3330" width="10.85546875" bestFit="1" customWidth="1"/>
    <col min="3331" max="3331" width="13.5703125" bestFit="1" customWidth="1"/>
    <col min="3332" max="3332" width="7.85546875" bestFit="1" customWidth="1"/>
    <col min="3333" max="3333" width="10.85546875" bestFit="1" customWidth="1"/>
    <col min="3334" max="3334" width="7.85546875" bestFit="1" customWidth="1"/>
    <col min="3335" max="3335" width="10.85546875" bestFit="1" customWidth="1"/>
    <col min="3336" max="3336" width="9.85546875" bestFit="1" customWidth="1"/>
    <col min="3337" max="3337" width="12.42578125" bestFit="1" customWidth="1"/>
    <col min="3338" max="3338" width="7.85546875" bestFit="1" customWidth="1"/>
    <col min="3339" max="3339" width="10.85546875" bestFit="1" customWidth="1"/>
    <col min="3340" max="3340" width="9.85546875" bestFit="1" customWidth="1"/>
    <col min="3341" max="3341" width="12.42578125" bestFit="1" customWidth="1"/>
    <col min="3342" max="3342" width="9.85546875" bestFit="1" customWidth="1"/>
    <col min="3343" max="3343" width="12.42578125" bestFit="1" customWidth="1"/>
    <col min="3344" max="3344" width="9.85546875" bestFit="1" customWidth="1"/>
    <col min="3345" max="3345" width="12.42578125" bestFit="1" customWidth="1"/>
    <col min="3346" max="3346" width="7.85546875" bestFit="1" customWidth="1"/>
    <col min="3347" max="3347" width="10.85546875" bestFit="1" customWidth="1"/>
    <col min="3348" max="3348" width="7.85546875" bestFit="1" customWidth="1"/>
    <col min="3349" max="3349" width="10.85546875" bestFit="1" customWidth="1"/>
    <col min="3350" max="3350" width="7.85546875" bestFit="1" customWidth="1"/>
    <col min="3351" max="3351" width="10.85546875" bestFit="1" customWidth="1"/>
    <col min="3352" max="3352" width="9.85546875" bestFit="1" customWidth="1"/>
    <col min="3353" max="3353" width="12.42578125" bestFit="1" customWidth="1"/>
    <col min="3354" max="3354" width="10.85546875" bestFit="1" customWidth="1"/>
    <col min="3355" max="3355" width="13.5703125" bestFit="1" customWidth="1"/>
    <col min="3356" max="3356" width="9.85546875" bestFit="1" customWidth="1"/>
    <col min="3357" max="3357" width="12.42578125" bestFit="1" customWidth="1"/>
    <col min="3358" max="3358" width="10.85546875" bestFit="1" customWidth="1"/>
    <col min="3359" max="3359" width="13.5703125" bestFit="1" customWidth="1"/>
    <col min="3360" max="3360" width="10.85546875" bestFit="1" customWidth="1"/>
    <col min="3361" max="3361" width="13.5703125" bestFit="1" customWidth="1"/>
    <col min="3362" max="3362" width="9.85546875" bestFit="1" customWidth="1"/>
    <col min="3363" max="3363" width="12.42578125" bestFit="1" customWidth="1"/>
    <col min="3364" max="3364" width="9.85546875" bestFit="1" customWidth="1"/>
    <col min="3365" max="3365" width="12.42578125" bestFit="1" customWidth="1"/>
    <col min="3366" max="3366" width="7.85546875" bestFit="1" customWidth="1"/>
    <col min="3367" max="3367" width="10.85546875" bestFit="1" customWidth="1"/>
    <col min="3368" max="3368" width="9.85546875" bestFit="1" customWidth="1"/>
    <col min="3369" max="3369" width="12.42578125" bestFit="1" customWidth="1"/>
    <col min="3370" max="3370" width="7.85546875" bestFit="1" customWidth="1"/>
    <col min="3371" max="3371" width="10.85546875" bestFit="1" customWidth="1"/>
    <col min="3372" max="3372" width="9.85546875" bestFit="1" customWidth="1"/>
    <col min="3373" max="3373" width="12.42578125" bestFit="1" customWidth="1"/>
    <col min="3374" max="3374" width="9.85546875" bestFit="1" customWidth="1"/>
    <col min="3375" max="3375" width="12.42578125" bestFit="1" customWidth="1"/>
    <col min="3376" max="3376" width="9.85546875" bestFit="1" customWidth="1"/>
    <col min="3377" max="3377" width="12.42578125" bestFit="1" customWidth="1"/>
    <col min="3378" max="3378" width="7.85546875" bestFit="1" customWidth="1"/>
    <col min="3379" max="3379" width="10.85546875" bestFit="1" customWidth="1"/>
    <col min="3380" max="3380" width="9.85546875" bestFit="1" customWidth="1"/>
    <col min="3381" max="3381" width="12.42578125" bestFit="1" customWidth="1"/>
    <col min="3382" max="3382" width="9.85546875" bestFit="1" customWidth="1"/>
    <col min="3383" max="3383" width="12.42578125" bestFit="1" customWidth="1"/>
    <col min="3384" max="3384" width="10.85546875" bestFit="1" customWidth="1"/>
    <col min="3385" max="3385" width="13.5703125" bestFit="1" customWidth="1"/>
    <col min="3386" max="3386" width="7.85546875" bestFit="1" customWidth="1"/>
    <col min="3387" max="3387" width="10.85546875" bestFit="1" customWidth="1"/>
    <col min="3388" max="3388" width="7.85546875" bestFit="1" customWidth="1"/>
    <col min="3389" max="3389" width="10.85546875" bestFit="1" customWidth="1"/>
    <col min="3390" max="3390" width="9.85546875" bestFit="1" customWidth="1"/>
    <col min="3391" max="3391" width="12.42578125" bestFit="1" customWidth="1"/>
    <col min="3392" max="3392" width="9.85546875" bestFit="1" customWidth="1"/>
    <col min="3393" max="3393" width="12.42578125" bestFit="1" customWidth="1"/>
    <col min="3394" max="3394" width="10.85546875" bestFit="1" customWidth="1"/>
    <col min="3395" max="3395" width="13.5703125" bestFit="1" customWidth="1"/>
    <col min="3396" max="3396" width="9.85546875" bestFit="1" customWidth="1"/>
    <col min="3397" max="3397" width="12.42578125" bestFit="1" customWidth="1"/>
    <col min="3398" max="3398" width="9.85546875" bestFit="1" customWidth="1"/>
    <col min="3399" max="3399" width="12.42578125" bestFit="1" customWidth="1"/>
    <col min="3400" max="3400" width="7.85546875" bestFit="1" customWidth="1"/>
    <col min="3401" max="3401" width="10.85546875" bestFit="1" customWidth="1"/>
    <col min="3402" max="3402" width="9.85546875" bestFit="1" customWidth="1"/>
    <col min="3403" max="3403" width="12.42578125" bestFit="1" customWidth="1"/>
    <col min="3404" max="3404" width="10.85546875" bestFit="1" customWidth="1"/>
    <col min="3405" max="3405" width="13.5703125" bestFit="1" customWidth="1"/>
    <col min="3406" max="3406" width="9.85546875" bestFit="1" customWidth="1"/>
    <col min="3407" max="3407" width="12.42578125" bestFit="1" customWidth="1"/>
    <col min="3408" max="3408" width="7.85546875" bestFit="1" customWidth="1"/>
    <col min="3409" max="3409" width="10.85546875" bestFit="1" customWidth="1"/>
    <col min="3410" max="3410" width="9.85546875" bestFit="1" customWidth="1"/>
    <col min="3411" max="3411" width="12.42578125" bestFit="1" customWidth="1"/>
    <col min="3412" max="3412" width="7.85546875" bestFit="1" customWidth="1"/>
    <col min="3413" max="3413" width="10.85546875" bestFit="1" customWidth="1"/>
    <col min="3414" max="3414" width="9.85546875" bestFit="1" customWidth="1"/>
    <col min="3415" max="3415" width="12.42578125" bestFit="1" customWidth="1"/>
    <col min="3416" max="3416" width="7.85546875" bestFit="1" customWidth="1"/>
    <col min="3417" max="3417" width="10.85546875" bestFit="1" customWidth="1"/>
    <col min="3418" max="3418" width="9.85546875" bestFit="1" customWidth="1"/>
    <col min="3419" max="3419" width="12.42578125" bestFit="1" customWidth="1"/>
    <col min="3420" max="3420" width="10.85546875" bestFit="1" customWidth="1"/>
    <col min="3421" max="3421" width="13.5703125" bestFit="1" customWidth="1"/>
    <col min="3422" max="3422" width="9.85546875" bestFit="1" customWidth="1"/>
    <col min="3423" max="3423" width="12.42578125" bestFit="1" customWidth="1"/>
    <col min="3424" max="3424" width="7.85546875" bestFit="1" customWidth="1"/>
    <col min="3425" max="3426" width="10.85546875" bestFit="1" customWidth="1"/>
    <col min="3427" max="3427" width="13.5703125" bestFit="1" customWidth="1"/>
    <col min="3428" max="3428" width="9.85546875" bestFit="1" customWidth="1"/>
    <col min="3429" max="3429" width="12.42578125" bestFit="1" customWidth="1"/>
    <col min="3430" max="3430" width="9.85546875" bestFit="1" customWidth="1"/>
    <col min="3431" max="3431" width="12.42578125" bestFit="1" customWidth="1"/>
    <col min="3432" max="3432" width="9.85546875" bestFit="1" customWidth="1"/>
    <col min="3433" max="3433" width="12.42578125" bestFit="1" customWidth="1"/>
    <col min="3434" max="3434" width="9.85546875" bestFit="1" customWidth="1"/>
    <col min="3435" max="3435" width="12.42578125" bestFit="1" customWidth="1"/>
    <col min="3436" max="3436" width="7.85546875" bestFit="1" customWidth="1"/>
    <col min="3437" max="3437" width="10.85546875" bestFit="1" customWidth="1"/>
    <col min="3438" max="3438" width="7.85546875" bestFit="1" customWidth="1"/>
    <col min="3439" max="3439" width="10.85546875" bestFit="1" customWidth="1"/>
    <col min="3440" max="3440" width="7.85546875" bestFit="1" customWidth="1"/>
    <col min="3441" max="3442" width="10.85546875" bestFit="1" customWidth="1"/>
    <col min="3443" max="3443" width="13.5703125" bestFit="1" customWidth="1"/>
    <col min="3444" max="3444" width="9.85546875" bestFit="1" customWidth="1"/>
    <col min="3445" max="3445" width="12.42578125" bestFit="1" customWidth="1"/>
    <col min="3446" max="3446" width="9.85546875" bestFit="1" customWidth="1"/>
    <col min="3447" max="3447" width="12.42578125" bestFit="1" customWidth="1"/>
    <col min="3448" max="3448" width="9.85546875" bestFit="1" customWidth="1"/>
    <col min="3449" max="3449" width="12.42578125" bestFit="1" customWidth="1"/>
    <col min="3450" max="3450" width="9.85546875" bestFit="1" customWidth="1"/>
    <col min="3451" max="3451" width="12.42578125" bestFit="1" customWidth="1"/>
    <col min="3452" max="3452" width="9.85546875" bestFit="1" customWidth="1"/>
    <col min="3453" max="3453" width="12.42578125" bestFit="1" customWidth="1"/>
    <col min="3454" max="3454" width="9.85546875" bestFit="1" customWidth="1"/>
    <col min="3455" max="3455" width="12.42578125" bestFit="1" customWidth="1"/>
    <col min="3456" max="3456" width="7.85546875" bestFit="1" customWidth="1"/>
    <col min="3457" max="3457" width="10.85546875" bestFit="1" customWidth="1"/>
    <col min="3458" max="3458" width="9.85546875" bestFit="1" customWidth="1"/>
    <col min="3459" max="3459" width="12.42578125" bestFit="1" customWidth="1"/>
    <col min="3460" max="3460" width="7.85546875" bestFit="1" customWidth="1"/>
    <col min="3461" max="3462" width="10.85546875" bestFit="1" customWidth="1"/>
    <col min="3463" max="3463" width="13.5703125" bestFit="1" customWidth="1"/>
    <col min="3464" max="3464" width="9.85546875" bestFit="1" customWidth="1"/>
    <col min="3465" max="3465" width="12.42578125" bestFit="1" customWidth="1"/>
    <col min="3466" max="3466" width="9.85546875" bestFit="1" customWidth="1"/>
    <col min="3467" max="3467" width="12.42578125" bestFit="1" customWidth="1"/>
    <col min="3468" max="3468" width="9.85546875" bestFit="1" customWidth="1"/>
    <col min="3469" max="3469" width="12.42578125" bestFit="1" customWidth="1"/>
    <col min="3470" max="3470" width="10.85546875" bestFit="1" customWidth="1"/>
    <col min="3471" max="3471" width="13.5703125" bestFit="1" customWidth="1"/>
    <col min="3472" max="3472" width="9.85546875" bestFit="1" customWidth="1"/>
    <col min="3473" max="3473" width="12.42578125" bestFit="1" customWidth="1"/>
    <col min="3474" max="3474" width="10.85546875" bestFit="1" customWidth="1"/>
    <col min="3475" max="3475" width="13.5703125" bestFit="1" customWidth="1"/>
    <col min="3476" max="3476" width="7.85546875" bestFit="1" customWidth="1"/>
    <col min="3477" max="3477" width="10.85546875" bestFit="1" customWidth="1"/>
    <col min="3478" max="3478" width="9.85546875" bestFit="1" customWidth="1"/>
    <col min="3479" max="3479" width="12.42578125" bestFit="1" customWidth="1"/>
    <col min="3480" max="3480" width="9.85546875" bestFit="1" customWidth="1"/>
    <col min="3481" max="3481" width="12.42578125" bestFit="1" customWidth="1"/>
    <col min="3482" max="3482" width="9.85546875" bestFit="1" customWidth="1"/>
    <col min="3483" max="3483" width="12.42578125" bestFit="1" customWidth="1"/>
    <col min="3484" max="3484" width="9.85546875" bestFit="1" customWidth="1"/>
    <col min="3485" max="3485" width="12.42578125" bestFit="1" customWidth="1"/>
    <col min="3486" max="3486" width="9.85546875" bestFit="1" customWidth="1"/>
    <col min="3487" max="3487" width="12.42578125" bestFit="1" customWidth="1"/>
    <col min="3488" max="3488" width="9.85546875" bestFit="1" customWidth="1"/>
    <col min="3489" max="3489" width="12.42578125" bestFit="1" customWidth="1"/>
    <col min="3490" max="3490" width="7.85546875" bestFit="1" customWidth="1"/>
    <col min="3491" max="3491" width="10.85546875" bestFit="1" customWidth="1"/>
    <col min="3492" max="3492" width="7.85546875" bestFit="1" customWidth="1"/>
    <col min="3493" max="3493" width="10.85546875" bestFit="1" customWidth="1"/>
    <col min="3494" max="3494" width="9.85546875" bestFit="1" customWidth="1"/>
    <col min="3495" max="3495" width="12.42578125" bestFit="1" customWidth="1"/>
    <col min="3496" max="3496" width="9.85546875" bestFit="1" customWidth="1"/>
    <col min="3497" max="3497" width="12.42578125" bestFit="1" customWidth="1"/>
    <col min="3498" max="3498" width="9.85546875" bestFit="1" customWidth="1"/>
    <col min="3499" max="3499" width="12.42578125" bestFit="1" customWidth="1"/>
    <col min="3500" max="3500" width="9.85546875" bestFit="1" customWidth="1"/>
    <col min="3501" max="3501" width="12.42578125" bestFit="1" customWidth="1"/>
    <col min="3502" max="3502" width="7.85546875" bestFit="1" customWidth="1"/>
    <col min="3503" max="3503" width="10.85546875" bestFit="1" customWidth="1"/>
    <col min="3504" max="3504" width="7.85546875" bestFit="1" customWidth="1"/>
    <col min="3505" max="3505" width="10.85546875" bestFit="1" customWidth="1"/>
    <col min="3506" max="3506" width="9.85546875" bestFit="1" customWidth="1"/>
    <col min="3507" max="3507" width="12.42578125" bestFit="1" customWidth="1"/>
    <col min="3508" max="3508" width="9.85546875" bestFit="1" customWidth="1"/>
    <col min="3509" max="3509" width="12.42578125" bestFit="1" customWidth="1"/>
    <col min="3510" max="3510" width="7.85546875" bestFit="1" customWidth="1"/>
    <col min="3511" max="3511" width="10.85546875" bestFit="1" customWidth="1"/>
    <col min="3512" max="3512" width="7.85546875" bestFit="1" customWidth="1"/>
    <col min="3513" max="3513" width="10.85546875" bestFit="1" customWidth="1"/>
    <col min="3514" max="3514" width="7.85546875" bestFit="1" customWidth="1"/>
    <col min="3515" max="3515" width="10.85546875" bestFit="1" customWidth="1"/>
    <col min="3516" max="3516" width="7.85546875" bestFit="1" customWidth="1"/>
    <col min="3517" max="3517" width="10.85546875" bestFit="1" customWidth="1"/>
    <col min="3518" max="3518" width="9.85546875" bestFit="1" customWidth="1"/>
    <col min="3519" max="3519" width="12.42578125" bestFit="1" customWidth="1"/>
    <col min="3520" max="3520" width="9.85546875" bestFit="1" customWidth="1"/>
    <col min="3521" max="3521" width="12.42578125" bestFit="1" customWidth="1"/>
    <col min="3522" max="3522" width="7.85546875" bestFit="1" customWidth="1"/>
    <col min="3523" max="3523" width="10.85546875" bestFit="1" customWidth="1"/>
    <col min="3524" max="3524" width="9.85546875" bestFit="1" customWidth="1"/>
    <col min="3525" max="3525" width="12.42578125" bestFit="1" customWidth="1"/>
    <col min="3526" max="3526" width="10.85546875" bestFit="1" customWidth="1"/>
    <col min="3527" max="3527" width="13.5703125" bestFit="1" customWidth="1"/>
    <col min="3528" max="3528" width="7.85546875" bestFit="1" customWidth="1"/>
    <col min="3529" max="3529" width="10.85546875" bestFit="1" customWidth="1"/>
    <col min="3530" max="3530" width="7.85546875" bestFit="1" customWidth="1"/>
    <col min="3531" max="3532" width="10.85546875" bestFit="1" customWidth="1"/>
    <col min="3533" max="3533" width="13.5703125" bestFit="1" customWidth="1"/>
    <col min="3534" max="3534" width="9.85546875" bestFit="1" customWidth="1"/>
    <col min="3535" max="3535" width="12.42578125" bestFit="1" customWidth="1"/>
    <col min="3536" max="3536" width="10.85546875" bestFit="1" customWidth="1"/>
    <col min="3537" max="3537" width="13.5703125" bestFit="1" customWidth="1"/>
    <col min="3538" max="3538" width="7.85546875" bestFit="1" customWidth="1"/>
    <col min="3539" max="3539" width="10.85546875" bestFit="1" customWidth="1"/>
    <col min="3540" max="3540" width="9.85546875" bestFit="1" customWidth="1"/>
    <col min="3541" max="3541" width="12.42578125" bestFit="1" customWidth="1"/>
    <col min="3542" max="3542" width="7.85546875" bestFit="1" customWidth="1"/>
    <col min="3543" max="3543" width="10.85546875" bestFit="1" customWidth="1"/>
    <col min="3544" max="3544" width="9.85546875" bestFit="1" customWidth="1"/>
    <col min="3545" max="3545" width="12.42578125" bestFit="1" customWidth="1"/>
    <col min="3546" max="3546" width="7.85546875" bestFit="1" customWidth="1"/>
    <col min="3547" max="3547" width="10.85546875" bestFit="1" customWidth="1"/>
    <col min="3548" max="3548" width="9.85546875" bestFit="1" customWidth="1"/>
    <col min="3549" max="3549" width="12.42578125" bestFit="1" customWidth="1"/>
    <col min="3550" max="3550" width="7.85546875" bestFit="1" customWidth="1"/>
    <col min="3551" max="3551" width="10.85546875" bestFit="1" customWidth="1"/>
    <col min="3552" max="3552" width="7.85546875" bestFit="1" customWidth="1"/>
    <col min="3553" max="3554" width="10.85546875" bestFit="1" customWidth="1"/>
    <col min="3555" max="3555" width="13.5703125" bestFit="1" customWidth="1"/>
    <col min="3556" max="3556" width="9.85546875" bestFit="1" customWidth="1"/>
    <col min="3557" max="3557" width="12.42578125" bestFit="1" customWidth="1"/>
    <col min="3558" max="3558" width="9.85546875" bestFit="1" customWidth="1"/>
    <col min="3559" max="3559" width="12.42578125" bestFit="1" customWidth="1"/>
    <col min="3560" max="3560" width="7.85546875" bestFit="1" customWidth="1"/>
    <col min="3561" max="3561" width="10.85546875" bestFit="1" customWidth="1"/>
    <col min="3562" max="3562" width="7.85546875" bestFit="1" customWidth="1"/>
    <col min="3563" max="3563" width="10.85546875" bestFit="1" customWidth="1"/>
    <col min="3564" max="3564" width="7.85546875" bestFit="1" customWidth="1"/>
    <col min="3565" max="3565" width="10.85546875" bestFit="1" customWidth="1"/>
    <col min="3566" max="3566" width="9.85546875" bestFit="1" customWidth="1"/>
    <col min="3567" max="3567" width="12.42578125" bestFit="1" customWidth="1"/>
    <col min="3568" max="3568" width="9.85546875" bestFit="1" customWidth="1"/>
    <col min="3569" max="3569" width="12.42578125" bestFit="1" customWidth="1"/>
    <col min="3570" max="3570" width="7.85546875" bestFit="1" customWidth="1"/>
    <col min="3571" max="3571" width="10.85546875" bestFit="1" customWidth="1"/>
    <col min="3572" max="3572" width="9.85546875" bestFit="1" customWidth="1"/>
    <col min="3573" max="3573" width="12.42578125" bestFit="1" customWidth="1"/>
    <col min="3574" max="3574" width="9.85546875" bestFit="1" customWidth="1"/>
    <col min="3575" max="3575" width="12.42578125" bestFit="1" customWidth="1"/>
    <col min="3576" max="3576" width="9.85546875" bestFit="1" customWidth="1"/>
    <col min="3577" max="3577" width="12.42578125" bestFit="1" customWidth="1"/>
    <col min="3578" max="3578" width="9.85546875" bestFit="1" customWidth="1"/>
    <col min="3579" max="3579" width="12.42578125" bestFit="1" customWidth="1"/>
    <col min="3580" max="3580" width="9.85546875" bestFit="1" customWidth="1"/>
    <col min="3581" max="3581" width="12.42578125" bestFit="1" customWidth="1"/>
    <col min="3582" max="3582" width="7.85546875" bestFit="1" customWidth="1"/>
    <col min="3583" max="3584" width="10.85546875" bestFit="1" customWidth="1"/>
    <col min="3585" max="3585" width="13.5703125" bestFit="1" customWidth="1"/>
    <col min="3586" max="3586" width="7.85546875" bestFit="1" customWidth="1"/>
    <col min="3587" max="3587" width="10.85546875" bestFit="1" customWidth="1"/>
    <col min="3588" max="3588" width="7.85546875" bestFit="1" customWidth="1"/>
    <col min="3589" max="3589" width="10.85546875" bestFit="1" customWidth="1"/>
    <col min="3590" max="3590" width="7.85546875" bestFit="1" customWidth="1"/>
    <col min="3591" max="3591" width="10.85546875" bestFit="1" customWidth="1"/>
    <col min="3592" max="3592" width="9.85546875" bestFit="1" customWidth="1"/>
    <col min="3593" max="3593" width="12.42578125" bestFit="1" customWidth="1"/>
    <col min="3594" max="3594" width="9.85546875" bestFit="1" customWidth="1"/>
    <col min="3595" max="3595" width="12.42578125" bestFit="1" customWidth="1"/>
    <col min="3596" max="3596" width="7.85546875" bestFit="1" customWidth="1"/>
    <col min="3597" max="3597" width="10.85546875" bestFit="1" customWidth="1"/>
    <col min="3598" max="3598" width="7.85546875" bestFit="1" customWidth="1"/>
    <col min="3599" max="3599" width="10.85546875" bestFit="1" customWidth="1"/>
    <col min="3600" max="3600" width="9.85546875" bestFit="1" customWidth="1"/>
    <col min="3601" max="3601" width="12.42578125" bestFit="1" customWidth="1"/>
    <col min="3602" max="3602" width="9.85546875" bestFit="1" customWidth="1"/>
    <col min="3603" max="3603" width="12.42578125" bestFit="1" customWidth="1"/>
    <col min="3604" max="3604" width="7.85546875" bestFit="1" customWidth="1"/>
    <col min="3605" max="3605" width="10.85546875" bestFit="1" customWidth="1"/>
    <col min="3606" max="3606" width="9.85546875" bestFit="1" customWidth="1"/>
    <col min="3607" max="3607" width="12.42578125" bestFit="1" customWidth="1"/>
    <col min="3608" max="3608" width="7.85546875" bestFit="1" customWidth="1"/>
    <col min="3609" max="3609" width="10.85546875" bestFit="1" customWidth="1"/>
    <col min="3610" max="3610" width="9.85546875" bestFit="1" customWidth="1"/>
    <col min="3611" max="3611" width="12.42578125" bestFit="1" customWidth="1"/>
    <col min="3612" max="3612" width="7.85546875" bestFit="1" customWidth="1"/>
    <col min="3613" max="3613" width="10.85546875" bestFit="1" customWidth="1"/>
    <col min="3614" max="3614" width="7.85546875" bestFit="1" customWidth="1"/>
    <col min="3615" max="3615" width="10.85546875" bestFit="1" customWidth="1"/>
    <col min="3616" max="3616" width="9.85546875" bestFit="1" customWidth="1"/>
    <col min="3617" max="3617" width="12.42578125" bestFit="1" customWidth="1"/>
    <col min="3618" max="3618" width="7.85546875" bestFit="1" customWidth="1"/>
    <col min="3619" max="3620" width="10.85546875" bestFit="1" customWidth="1"/>
    <col min="3621" max="3621" width="13.5703125" bestFit="1" customWidth="1"/>
    <col min="3622" max="3622" width="9.85546875" bestFit="1" customWidth="1"/>
    <col min="3623" max="3623" width="12.42578125" bestFit="1" customWidth="1"/>
    <col min="3624" max="3624" width="7.85546875" bestFit="1" customWidth="1"/>
    <col min="3625" max="3625" width="10.85546875" bestFit="1" customWidth="1"/>
    <col min="3626" max="3626" width="9.85546875" bestFit="1" customWidth="1"/>
    <col min="3627" max="3627" width="12.42578125" bestFit="1" customWidth="1"/>
    <col min="3628" max="3628" width="10.85546875" bestFit="1" customWidth="1"/>
    <col min="3629" max="3629" width="13.5703125" bestFit="1" customWidth="1"/>
    <col min="3630" max="3630" width="7.85546875" bestFit="1" customWidth="1"/>
    <col min="3631" max="3631" width="10.85546875" bestFit="1" customWidth="1"/>
    <col min="3632" max="3632" width="7.85546875" bestFit="1" customWidth="1"/>
    <col min="3633" max="3633" width="10.85546875" bestFit="1" customWidth="1"/>
    <col min="3634" max="3634" width="7.85546875" bestFit="1" customWidth="1"/>
    <col min="3635" max="3636" width="10.85546875" bestFit="1" customWidth="1"/>
    <col min="3637" max="3637" width="13.5703125" bestFit="1" customWidth="1"/>
    <col min="3638" max="3638" width="9.85546875" bestFit="1" customWidth="1"/>
    <col min="3639" max="3639" width="12.42578125" bestFit="1" customWidth="1"/>
    <col min="3640" max="3640" width="9.85546875" bestFit="1" customWidth="1"/>
    <col min="3641" max="3641" width="12.42578125" bestFit="1" customWidth="1"/>
    <col min="3642" max="3642" width="7.85546875" bestFit="1" customWidth="1"/>
    <col min="3643" max="3643" width="10.85546875" bestFit="1" customWidth="1"/>
    <col min="3644" max="3644" width="9.85546875" bestFit="1" customWidth="1"/>
    <col min="3645" max="3645" width="12.42578125" bestFit="1" customWidth="1"/>
    <col min="3646" max="3646" width="9.85546875" bestFit="1" customWidth="1"/>
    <col min="3647" max="3647" width="12.42578125" bestFit="1" customWidth="1"/>
    <col min="3648" max="3648" width="9.85546875" bestFit="1" customWidth="1"/>
    <col min="3649" max="3649" width="12.42578125" bestFit="1" customWidth="1"/>
    <col min="3650" max="3651" width="7.85546875" bestFit="1" customWidth="1"/>
    <col min="3652" max="3652" width="10.85546875" bestFit="1" customWidth="1"/>
    <col min="3653" max="3653" width="9.85546875" bestFit="1" customWidth="1"/>
    <col min="3654" max="3654" width="12.42578125" bestFit="1" customWidth="1"/>
    <col min="3655" max="3655" width="9.85546875" bestFit="1" customWidth="1"/>
    <col min="3656" max="3656" width="12.42578125" bestFit="1" customWidth="1"/>
    <col min="3657" max="3657" width="9.85546875" bestFit="1" customWidth="1"/>
    <col min="3658" max="3658" width="12.42578125" bestFit="1" customWidth="1"/>
    <col min="3659" max="3659" width="9.85546875" bestFit="1" customWidth="1"/>
    <col min="3660" max="3660" width="12.42578125" bestFit="1" customWidth="1"/>
    <col min="3661" max="3661" width="9.85546875" bestFit="1" customWidth="1"/>
    <col min="3662" max="3662" width="12.42578125" bestFit="1" customWidth="1"/>
    <col min="3663" max="3663" width="9.85546875" bestFit="1" customWidth="1"/>
    <col min="3664" max="3664" width="12.42578125" bestFit="1" customWidth="1"/>
    <col min="3665" max="3665" width="7.85546875" bestFit="1" customWidth="1"/>
    <col min="3666" max="3666" width="10.85546875" bestFit="1" customWidth="1"/>
    <col min="3667" max="3667" width="7.85546875" bestFit="1" customWidth="1"/>
    <col min="3668" max="3669" width="10.85546875" bestFit="1" customWidth="1"/>
    <col min="3670" max="3670" width="13.5703125" bestFit="1" customWidth="1"/>
    <col min="3671" max="3671" width="10.85546875" bestFit="1" customWidth="1"/>
    <col min="3672" max="3672" width="13.5703125" bestFit="1" customWidth="1"/>
    <col min="3673" max="3673" width="9.85546875" bestFit="1" customWidth="1"/>
    <col min="3674" max="3674" width="12.42578125" bestFit="1" customWidth="1"/>
    <col min="3675" max="3675" width="7.85546875" bestFit="1" customWidth="1"/>
    <col min="3676" max="3676" width="10.85546875" bestFit="1" customWidth="1"/>
    <col min="3677" max="3677" width="7.85546875" bestFit="1" customWidth="1"/>
    <col min="3678" max="3678" width="10.85546875" bestFit="1" customWidth="1"/>
    <col min="3679" max="3679" width="9.85546875" bestFit="1" customWidth="1"/>
    <col min="3680" max="3680" width="12.42578125" bestFit="1" customWidth="1"/>
    <col min="3681" max="3681" width="9.85546875" bestFit="1" customWidth="1"/>
    <col min="3682" max="3682" width="12.42578125" bestFit="1" customWidth="1"/>
    <col min="3683" max="3683" width="9.85546875" bestFit="1" customWidth="1"/>
    <col min="3684" max="3684" width="12.42578125" bestFit="1" customWidth="1"/>
    <col min="3685" max="3685" width="9.85546875" bestFit="1" customWidth="1"/>
    <col min="3686" max="3686" width="12.42578125" bestFit="1" customWidth="1"/>
    <col min="3687" max="3687" width="9.85546875" bestFit="1" customWidth="1"/>
    <col min="3688" max="3688" width="12.42578125" bestFit="1" customWidth="1"/>
    <col min="3689" max="3689" width="7.85546875" bestFit="1" customWidth="1"/>
    <col min="3690" max="3690" width="10.85546875" bestFit="1" customWidth="1"/>
    <col min="3691" max="3691" width="9.85546875" bestFit="1" customWidth="1"/>
    <col min="3692" max="3692" width="12.42578125" bestFit="1" customWidth="1"/>
    <col min="3693" max="3693" width="9.85546875" bestFit="1" customWidth="1"/>
    <col min="3694" max="3694" width="12.42578125" bestFit="1" customWidth="1"/>
    <col min="3695" max="3695" width="9.85546875" bestFit="1" customWidth="1"/>
    <col min="3696" max="3696" width="12.42578125" bestFit="1" customWidth="1"/>
    <col min="3697" max="3697" width="7.85546875" bestFit="1" customWidth="1"/>
    <col min="3698" max="3698" width="10.85546875" bestFit="1" customWidth="1"/>
    <col min="3699" max="3699" width="7.85546875" bestFit="1" customWidth="1"/>
    <col min="3700" max="3700" width="10.85546875" bestFit="1" customWidth="1"/>
    <col min="3701" max="3701" width="7.85546875" bestFit="1" customWidth="1"/>
    <col min="3702" max="3702" width="10.85546875" bestFit="1" customWidth="1"/>
    <col min="3703" max="3703" width="9.85546875" bestFit="1" customWidth="1"/>
    <col min="3704" max="3704" width="12.42578125" bestFit="1" customWidth="1"/>
    <col min="3705" max="3705" width="7.85546875" bestFit="1" customWidth="1"/>
    <col min="3706" max="3707" width="10.85546875" bestFit="1" customWidth="1"/>
    <col min="3708" max="3708" width="13.5703125" bestFit="1" customWidth="1"/>
    <col min="3709" max="3709" width="9.85546875" bestFit="1" customWidth="1"/>
    <col min="3710" max="3710" width="12.42578125" bestFit="1" customWidth="1"/>
    <col min="3711" max="3711" width="9.85546875" bestFit="1" customWidth="1"/>
    <col min="3712" max="3712" width="12.42578125" bestFit="1" customWidth="1"/>
    <col min="3713" max="3713" width="10.85546875" bestFit="1" customWidth="1"/>
    <col min="3714" max="3714" width="13.5703125" bestFit="1" customWidth="1"/>
    <col min="3715" max="3715" width="9.85546875" bestFit="1" customWidth="1"/>
    <col min="3716" max="3716" width="12.42578125" bestFit="1" customWidth="1"/>
    <col min="3717" max="3717" width="9.85546875" bestFit="1" customWidth="1"/>
    <col min="3718" max="3718" width="12.42578125" bestFit="1" customWidth="1"/>
    <col min="3719" max="3719" width="9.85546875" bestFit="1" customWidth="1"/>
    <col min="3720" max="3720" width="12.42578125" bestFit="1" customWidth="1"/>
    <col min="3721" max="3721" width="7.85546875" bestFit="1" customWidth="1"/>
    <col min="3722" max="3722" width="10.85546875" bestFit="1" customWidth="1"/>
    <col min="3723" max="3723" width="9.85546875" bestFit="1" customWidth="1"/>
    <col min="3724" max="3724" width="12.42578125" bestFit="1" customWidth="1"/>
    <col min="3725" max="3725" width="10.85546875" bestFit="1" customWidth="1"/>
    <col min="3726" max="3726" width="13.5703125" bestFit="1" customWidth="1"/>
    <col min="3727" max="3727" width="9.85546875" bestFit="1" customWidth="1"/>
    <col min="3728" max="3728" width="12.42578125" bestFit="1" customWidth="1"/>
    <col min="3729" max="3729" width="7.85546875" bestFit="1" customWidth="1"/>
    <col min="3730" max="3730" width="10.85546875" bestFit="1" customWidth="1"/>
    <col min="3731" max="3731" width="9.85546875" bestFit="1" customWidth="1"/>
    <col min="3732" max="3732" width="12.42578125" bestFit="1" customWidth="1"/>
    <col min="3733" max="3733" width="10.85546875" bestFit="1" customWidth="1"/>
    <col min="3734" max="3734" width="13.5703125" bestFit="1" customWidth="1"/>
    <col min="3735" max="3735" width="9.85546875" bestFit="1" customWidth="1"/>
    <col min="3736" max="3736" width="12.42578125" bestFit="1" customWidth="1"/>
    <col min="3737" max="3737" width="7.85546875" bestFit="1" customWidth="1"/>
    <col min="3738" max="3738" width="10.85546875" bestFit="1" customWidth="1"/>
    <col min="3739" max="3739" width="9.85546875" bestFit="1" customWidth="1"/>
    <col min="3740" max="3740" width="12.42578125" bestFit="1" customWidth="1"/>
    <col min="3741" max="3741" width="7.85546875" bestFit="1" customWidth="1"/>
    <col min="3742" max="3743" width="10.85546875" bestFit="1" customWidth="1"/>
    <col min="3744" max="3744" width="13.5703125" bestFit="1" customWidth="1"/>
    <col min="3745" max="3745" width="7.85546875" bestFit="1" customWidth="1"/>
    <col min="3746" max="3746" width="10.85546875" bestFit="1" customWidth="1"/>
    <col min="3747" max="3747" width="9.85546875" bestFit="1" customWidth="1"/>
    <col min="3748" max="3748" width="12.42578125" bestFit="1" customWidth="1"/>
    <col min="3749" max="3749" width="7.85546875" bestFit="1" customWidth="1"/>
    <col min="3750" max="3750" width="10.85546875" bestFit="1" customWidth="1"/>
    <col min="3751" max="3751" width="7.85546875" bestFit="1" customWidth="1"/>
    <col min="3752" max="3753" width="10.85546875" bestFit="1" customWidth="1"/>
    <col min="3754" max="3754" width="13.5703125" bestFit="1" customWidth="1"/>
    <col min="3755" max="3755" width="9.85546875" bestFit="1" customWidth="1"/>
    <col min="3756" max="3756" width="12.42578125" bestFit="1" customWidth="1"/>
    <col min="3757" max="3757" width="7.85546875" bestFit="1" customWidth="1"/>
    <col min="3758" max="3758" width="10.85546875" bestFit="1" customWidth="1"/>
    <col min="3759" max="3759" width="9.85546875" bestFit="1" customWidth="1"/>
    <col min="3760" max="3760" width="12.42578125" bestFit="1" customWidth="1"/>
    <col min="3761" max="3761" width="7.85546875" bestFit="1" customWidth="1"/>
    <col min="3762" max="3763" width="10.85546875" bestFit="1" customWidth="1"/>
    <col min="3764" max="3764" width="13.5703125" bestFit="1" customWidth="1"/>
    <col min="3765" max="3765" width="10.85546875" bestFit="1" customWidth="1"/>
    <col min="3766" max="3766" width="13.5703125" bestFit="1" customWidth="1"/>
    <col min="3767" max="3767" width="7.85546875" bestFit="1" customWidth="1"/>
    <col min="3768" max="3768" width="10.85546875" bestFit="1" customWidth="1"/>
    <col min="3769" max="3769" width="9.85546875" bestFit="1" customWidth="1"/>
    <col min="3770" max="3770" width="12.42578125" bestFit="1" customWidth="1"/>
    <col min="3771" max="3771" width="7.85546875" bestFit="1" customWidth="1"/>
    <col min="3772" max="3772" width="10.85546875" bestFit="1" customWidth="1"/>
    <col min="3773" max="3773" width="9.85546875" bestFit="1" customWidth="1"/>
    <col min="3774" max="3774" width="12.42578125" bestFit="1" customWidth="1"/>
    <col min="3775" max="3775" width="7.85546875" bestFit="1" customWidth="1"/>
    <col min="3776" max="3776" width="10.85546875" bestFit="1" customWidth="1"/>
    <col min="3777" max="3777" width="7.85546875" bestFit="1" customWidth="1"/>
    <col min="3778" max="3779" width="10.85546875" bestFit="1" customWidth="1"/>
    <col min="3780" max="3780" width="13.5703125" bestFit="1" customWidth="1"/>
    <col min="3781" max="3781" width="7.85546875" bestFit="1" customWidth="1"/>
    <col min="3782" max="3782" width="10.85546875" bestFit="1" customWidth="1"/>
    <col min="3783" max="3783" width="7.85546875" bestFit="1" customWidth="1"/>
    <col min="3784" max="3784" width="10.85546875" bestFit="1" customWidth="1"/>
    <col min="3785" max="3785" width="9.85546875" bestFit="1" customWidth="1"/>
    <col min="3786" max="3786" width="12.42578125" bestFit="1" customWidth="1"/>
    <col min="3787" max="3787" width="10.85546875" bestFit="1" customWidth="1"/>
    <col min="3788" max="3788" width="13.5703125" bestFit="1" customWidth="1"/>
    <col min="3789" max="3789" width="7.85546875" bestFit="1" customWidth="1"/>
    <col min="3790" max="3790" width="10.85546875" bestFit="1" customWidth="1"/>
    <col min="3791" max="3791" width="9.85546875" bestFit="1" customWidth="1"/>
    <col min="3792" max="3792" width="12.42578125" bestFit="1" customWidth="1"/>
    <col min="3793" max="3793" width="7.85546875" bestFit="1" customWidth="1"/>
    <col min="3794" max="3794" width="10.85546875" bestFit="1" customWidth="1"/>
    <col min="3795" max="3795" width="7.85546875" bestFit="1" customWidth="1"/>
    <col min="3796" max="3796" width="10.85546875" bestFit="1" customWidth="1"/>
    <col min="3797" max="3797" width="7.85546875" bestFit="1" customWidth="1"/>
    <col min="3798" max="3798" width="10.85546875" bestFit="1" customWidth="1"/>
    <col min="3799" max="3799" width="9.85546875" bestFit="1" customWidth="1"/>
    <col min="3800" max="3800" width="12.42578125" bestFit="1" customWidth="1"/>
    <col min="3801" max="3801" width="7.85546875" bestFit="1" customWidth="1"/>
    <col min="3802" max="3802" width="10.85546875" bestFit="1" customWidth="1"/>
    <col min="3803" max="3803" width="9.85546875" bestFit="1" customWidth="1"/>
    <col min="3804" max="3804" width="12.42578125" bestFit="1" customWidth="1"/>
    <col min="3805" max="3805" width="7.85546875" bestFit="1" customWidth="1"/>
    <col min="3806" max="3806" width="10.85546875" bestFit="1" customWidth="1"/>
    <col min="3807" max="3807" width="9.85546875" bestFit="1" customWidth="1"/>
    <col min="3808" max="3808" width="12.42578125" bestFit="1" customWidth="1"/>
    <col min="3809" max="3809" width="9.85546875" bestFit="1" customWidth="1"/>
    <col min="3810" max="3810" width="12.42578125" bestFit="1" customWidth="1"/>
    <col min="3811" max="3811" width="9.85546875" bestFit="1" customWidth="1"/>
    <col min="3812" max="3812" width="12.42578125" bestFit="1" customWidth="1"/>
    <col min="3813" max="3813" width="7.85546875" bestFit="1" customWidth="1"/>
    <col min="3814" max="3814" width="10.85546875" bestFit="1" customWidth="1"/>
    <col min="3815" max="3815" width="7.85546875" bestFit="1" customWidth="1"/>
    <col min="3816" max="3817" width="10.85546875" bestFit="1" customWidth="1"/>
    <col min="3818" max="3818" width="13.5703125" bestFit="1" customWidth="1"/>
    <col min="3819" max="3819" width="9.85546875" bestFit="1" customWidth="1"/>
    <col min="3820" max="3820" width="12.42578125" bestFit="1" customWidth="1"/>
    <col min="3821" max="3821" width="9.85546875" bestFit="1" customWidth="1"/>
    <col min="3822" max="3822" width="12.42578125" bestFit="1" customWidth="1"/>
    <col min="3823" max="3823" width="7.85546875" bestFit="1" customWidth="1"/>
    <col min="3824" max="3824" width="10.85546875" bestFit="1" customWidth="1"/>
    <col min="3825" max="3825" width="7.85546875" bestFit="1" customWidth="1"/>
    <col min="3826" max="3826" width="10.85546875" bestFit="1" customWidth="1"/>
    <col min="3827" max="3827" width="7.85546875" bestFit="1" customWidth="1"/>
    <col min="3828" max="3828" width="10.85546875" bestFit="1" customWidth="1"/>
    <col min="3829" max="3829" width="9.85546875" bestFit="1" customWidth="1"/>
    <col min="3830" max="3830" width="12.42578125" bestFit="1" customWidth="1"/>
    <col min="3831" max="3831" width="9.85546875" bestFit="1" customWidth="1"/>
    <col min="3832" max="3832" width="12.42578125" bestFit="1" customWidth="1"/>
    <col min="3833" max="3833" width="9.85546875" bestFit="1" customWidth="1"/>
    <col min="3834" max="3834" width="12.42578125" bestFit="1" customWidth="1"/>
    <col min="3835" max="3835" width="9.85546875" bestFit="1" customWidth="1"/>
    <col min="3836" max="3836" width="12.42578125" bestFit="1" customWidth="1"/>
    <col min="3837" max="3837" width="7.85546875" bestFit="1" customWidth="1"/>
    <col min="3838" max="3838" width="10.85546875" bestFit="1" customWidth="1"/>
    <col min="3839" max="3839" width="9.85546875" bestFit="1" customWidth="1"/>
    <col min="3840" max="3840" width="12.42578125" bestFit="1" customWidth="1"/>
    <col min="3841" max="3841" width="9.85546875" bestFit="1" customWidth="1"/>
    <col min="3842" max="3842" width="12.42578125" bestFit="1" customWidth="1"/>
    <col min="3843" max="3844" width="9.85546875" bestFit="1" customWidth="1"/>
    <col min="3845" max="3845" width="12.42578125" bestFit="1" customWidth="1"/>
    <col min="3846" max="3846" width="7.85546875" bestFit="1" customWidth="1"/>
    <col min="3847" max="3847" width="10.85546875" bestFit="1" customWidth="1"/>
    <col min="3848" max="3848" width="9.85546875" bestFit="1" customWidth="1"/>
    <col min="3849" max="3849" width="12.42578125" bestFit="1" customWidth="1"/>
    <col min="3850" max="3850" width="7.85546875" bestFit="1" customWidth="1"/>
    <col min="3851" max="3851" width="10.85546875" bestFit="1" customWidth="1"/>
    <col min="3852" max="3852" width="7.85546875" bestFit="1" customWidth="1"/>
    <col min="3853" max="3853" width="10.85546875" bestFit="1" customWidth="1"/>
    <col min="3854" max="3854" width="9.85546875" bestFit="1" customWidth="1"/>
    <col min="3855" max="3855" width="12.42578125" bestFit="1" customWidth="1"/>
    <col min="3856" max="3856" width="9.85546875" bestFit="1" customWidth="1"/>
    <col min="3857" max="3857" width="12.42578125" bestFit="1" customWidth="1"/>
    <col min="3858" max="3858" width="9.85546875" bestFit="1" customWidth="1"/>
    <col min="3859" max="3859" width="12.42578125" bestFit="1" customWidth="1"/>
    <col min="3860" max="3860" width="7.85546875" bestFit="1" customWidth="1"/>
    <col min="3861" max="3861" width="10.85546875" bestFit="1" customWidth="1"/>
    <col min="3862" max="3862" width="9.85546875" bestFit="1" customWidth="1"/>
    <col min="3863" max="3863" width="12.42578125" bestFit="1" customWidth="1"/>
    <col min="3864" max="3864" width="7.85546875" bestFit="1" customWidth="1"/>
    <col min="3865" max="3865" width="10.85546875" bestFit="1" customWidth="1"/>
    <col min="3866" max="3866" width="7.85546875" bestFit="1" customWidth="1"/>
    <col min="3867" max="3867" width="10.85546875" bestFit="1" customWidth="1"/>
    <col min="3868" max="3868" width="9.85546875" bestFit="1" customWidth="1"/>
    <col min="3869" max="3869" width="12.42578125" bestFit="1" customWidth="1"/>
    <col min="3870" max="3870" width="9.85546875" bestFit="1" customWidth="1"/>
    <col min="3871" max="3871" width="12.42578125" bestFit="1" customWidth="1"/>
    <col min="3872" max="3872" width="9.85546875" bestFit="1" customWidth="1"/>
    <col min="3873" max="3873" width="12.42578125" bestFit="1" customWidth="1"/>
    <col min="3874" max="3874" width="9.85546875" bestFit="1" customWidth="1"/>
    <col min="3875" max="3875" width="12.42578125" bestFit="1" customWidth="1"/>
    <col min="3876" max="3876" width="10.85546875" bestFit="1" customWidth="1"/>
    <col min="3877" max="3877" width="13.5703125" bestFit="1" customWidth="1"/>
    <col min="3878" max="3878" width="9.85546875" bestFit="1" customWidth="1"/>
    <col min="3879" max="3879" width="12.42578125" bestFit="1" customWidth="1"/>
    <col min="3880" max="3880" width="9.85546875" bestFit="1" customWidth="1"/>
    <col min="3881" max="3881" width="12.42578125" bestFit="1" customWidth="1"/>
    <col min="3882" max="3882" width="9.85546875" bestFit="1" customWidth="1"/>
    <col min="3883" max="3883" width="12.42578125" bestFit="1" customWidth="1"/>
    <col min="3884" max="3884" width="9.85546875" bestFit="1" customWidth="1"/>
    <col min="3885" max="3885" width="12.42578125" bestFit="1" customWidth="1"/>
    <col min="3886" max="3886" width="7.85546875" bestFit="1" customWidth="1"/>
    <col min="3887" max="3887" width="10.85546875" bestFit="1" customWidth="1"/>
    <col min="3888" max="3888" width="7.85546875" bestFit="1" customWidth="1"/>
    <col min="3889" max="3889" width="10.85546875" bestFit="1" customWidth="1"/>
    <col min="3890" max="3890" width="9.85546875" bestFit="1" customWidth="1"/>
    <col min="3891" max="3891" width="12.42578125" bestFit="1" customWidth="1"/>
    <col min="3892" max="3892" width="7.85546875" bestFit="1" customWidth="1"/>
    <col min="3893" max="3893" width="10.85546875" bestFit="1" customWidth="1"/>
    <col min="3894" max="3894" width="7.85546875" bestFit="1" customWidth="1"/>
    <col min="3895" max="3895" width="10.85546875" bestFit="1" customWidth="1"/>
    <col min="3896" max="3896" width="7.85546875" bestFit="1" customWidth="1"/>
    <col min="3897" max="3897" width="10.85546875" bestFit="1" customWidth="1"/>
    <col min="3898" max="3898" width="9.85546875" bestFit="1" customWidth="1"/>
    <col min="3899" max="3899" width="12.42578125" bestFit="1" customWidth="1"/>
    <col min="3900" max="3900" width="9.85546875" bestFit="1" customWidth="1"/>
    <col min="3901" max="3901" width="12.42578125" bestFit="1" customWidth="1"/>
    <col min="3902" max="3902" width="9.85546875" bestFit="1" customWidth="1"/>
    <col min="3903" max="3903" width="12.42578125" bestFit="1" customWidth="1"/>
    <col min="3904" max="3904" width="9.85546875" bestFit="1" customWidth="1"/>
    <col min="3905" max="3905" width="12.42578125" bestFit="1" customWidth="1"/>
    <col min="3906" max="3906" width="10.85546875" bestFit="1" customWidth="1"/>
    <col min="3907" max="3907" width="13.5703125" bestFit="1" customWidth="1"/>
    <col min="3908" max="3908" width="10.85546875" bestFit="1" customWidth="1"/>
    <col min="3909" max="3909" width="13.5703125" bestFit="1" customWidth="1"/>
    <col min="3910" max="3910" width="9.85546875" bestFit="1" customWidth="1"/>
    <col min="3911" max="3911" width="12.42578125" bestFit="1" customWidth="1"/>
    <col min="3912" max="3912" width="7.85546875" bestFit="1" customWidth="1"/>
    <col min="3913" max="3913" width="10.85546875" bestFit="1" customWidth="1"/>
    <col min="3914" max="3914" width="9.85546875" bestFit="1" customWidth="1"/>
    <col min="3915" max="3915" width="12.42578125" bestFit="1" customWidth="1"/>
    <col min="3916" max="3916" width="9.85546875" bestFit="1" customWidth="1"/>
    <col min="3917" max="3917" width="12.42578125" bestFit="1" customWidth="1"/>
    <col min="3918" max="3918" width="7.85546875" bestFit="1" customWidth="1"/>
    <col min="3919" max="3919" width="10.85546875" bestFit="1" customWidth="1"/>
    <col min="3920" max="3920" width="9.85546875" bestFit="1" customWidth="1"/>
    <col min="3921" max="3921" width="12.42578125" bestFit="1" customWidth="1"/>
    <col min="3922" max="3922" width="7.85546875" bestFit="1" customWidth="1"/>
    <col min="3923" max="3923" width="10.85546875" bestFit="1" customWidth="1"/>
    <col min="3924" max="3924" width="7.85546875" bestFit="1" customWidth="1"/>
    <col min="3925" max="3926" width="10.85546875" bestFit="1" customWidth="1"/>
    <col min="3927" max="3927" width="13.5703125" bestFit="1" customWidth="1"/>
    <col min="3928" max="3928" width="9.85546875" bestFit="1" customWidth="1"/>
    <col min="3929" max="3929" width="12.42578125" bestFit="1" customWidth="1"/>
    <col min="3930" max="3930" width="7.85546875" bestFit="1" customWidth="1"/>
    <col min="3931" max="3931" width="10.85546875" bestFit="1" customWidth="1"/>
    <col min="3932" max="3932" width="7.85546875" bestFit="1" customWidth="1"/>
    <col min="3933" max="3933" width="10.85546875" bestFit="1" customWidth="1"/>
    <col min="3934" max="3934" width="7.85546875" bestFit="1" customWidth="1"/>
    <col min="3935" max="3935" width="10.85546875" bestFit="1" customWidth="1"/>
    <col min="3936" max="3936" width="9.85546875" bestFit="1" customWidth="1"/>
    <col min="3937" max="3937" width="12.42578125" bestFit="1" customWidth="1"/>
    <col min="3938" max="3938" width="7.85546875" bestFit="1" customWidth="1"/>
    <col min="3939" max="3939" width="10.85546875" bestFit="1" customWidth="1"/>
    <col min="3940" max="3940" width="9.85546875" bestFit="1" customWidth="1"/>
    <col min="3941" max="3941" width="12.42578125" bestFit="1" customWidth="1"/>
    <col min="3942" max="3942" width="7.85546875" bestFit="1" customWidth="1"/>
    <col min="3943" max="3943" width="10.85546875" bestFit="1" customWidth="1"/>
    <col min="3944" max="3944" width="7.85546875" bestFit="1" customWidth="1"/>
    <col min="3945" max="3945" width="10.85546875" bestFit="1" customWidth="1"/>
    <col min="3946" max="3946" width="7.85546875" bestFit="1" customWidth="1"/>
    <col min="3947" max="3947" width="10.85546875" bestFit="1" customWidth="1"/>
    <col min="3948" max="3948" width="7.85546875" bestFit="1" customWidth="1"/>
    <col min="3949" max="3949" width="10.85546875" bestFit="1" customWidth="1"/>
    <col min="3950" max="3950" width="9.85546875" bestFit="1" customWidth="1"/>
    <col min="3951" max="3951" width="12.42578125" bestFit="1" customWidth="1"/>
    <col min="3952" max="3952" width="7.85546875" bestFit="1" customWidth="1"/>
    <col min="3953" max="3953" width="10.85546875" bestFit="1" customWidth="1"/>
    <col min="3954" max="3954" width="7.85546875" bestFit="1" customWidth="1"/>
    <col min="3955" max="3955" width="10.85546875" bestFit="1" customWidth="1"/>
    <col min="3956" max="3956" width="9.85546875" bestFit="1" customWidth="1"/>
    <col min="3957" max="3957" width="12.42578125" bestFit="1" customWidth="1"/>
    <col min="3958" max="3958" width="7.85546875" bestFit="1" customWidth="1"/>
    <col min="3959" max="3959" width="10.85546875" bestFit="1" customWidth="1"/>
    <col min="3960" max="3960" width="7.85546875" bestFit="1" customWidth="1"/>
    <col min="3961" max="3962" width="10.85546875" bestFit="1" customWidth="1"/>
    <col min="3963" max="3963" width="13.5703125" bestFit="1" customWidth="1"/>
    <col min="3964" max="3964" width="9.85546875" bestFit="1" customWidth="1"/>
    <col min="3965" max="3965" width="12.42578125" bestFit="1" customWidth="1"/>
    <col min="3966" max="3966" width="7.85546875" bestFit="1" customWidth="1"/>
    <col min="3967" max="3967" width="10.85546875" bestFit="1" customWidth="1"/>
    <col min="3968" max="3968" width="9.85546875" bestFit="1" customWidth="1"/>
    <col min="3969" max="3969" width="12.42578125" bestFit="1" customWidth="1"/>
    <col min="3970" max="3970" width="7.85546875" bestFit="1" customWidth="1"/>
    <col min="3971" max="3971" width="10.85546875" bestFit="1" customWidth="1"/>
    <col min="3972" max="3972" width="7.85546875" bestFit="1" customWidth="1"/>
    <col min="3973" max="3973" width="10.85546875" bestFit="1" customWidth="1"/>
    <col min="3974" max="3974" width="9.85546875" bestFit="1" customWidth="1"/>
    <col min="3975" max="3975" width="12.42578125" bestFit="1" customWidth="1"/>
    <col min="3976" max="3976" width="9.85546875" bestFit="1" customWidth="1"/>
    <col min="3977" max="3977" width="12.42578125" bestFit="1" customWidth="1"/>
    <col min="3978" max="3978" width="9.85546875" bestFit="1" customWidth="1"/>
    <col min="3979" max="3979" width="12.42578125" bestFit="1" customWidth="1"/>
    <col min="3980" max="3980" width="9.85546875" bestFit="1" customWidth="1"/>
    <col min="3981" max="3981" width="12.42578125" bestFit="1" customWidth="1"/>
    <col min="3982" max="3982" width="7.85546875" bestFit="1" customWidth="1"/>
    <col min="3983" max="3983" width="10.85546875" bestFit="1" customWidth="1"/>
    <col min="3984" max="3984" width="7.85546875" bestFit="1" customWidth="1"/>
    <col min="3985" max="3985" width="10.85546875" bestFit="1" customWidth="1"/>
    <col min="3986" max="3986" width="9.85546875" bestFit="1" customWidth="1"/>
    <col min="3987" max="3987" width="12.42578125" bestFit="1" customWidth="1"/>
    <col min="3988" max="3988" width="10.85546875" bestFit="1" customWidth="1"/>
    <col min="3989" max="3989" width="13.5703125" bestFit="1" customWidth="1"/>
    <col min="3990" max="3990" width="9.85546875" bestFit="1" customWidth="1"/>
    <col min="3991" max="3991" width="12.42578125" bestFit="1" customWidth="1"/>
    <col min="3992" max="3992" width="9.85546875" bestFit="1" customWidth="1"/>
    <col min="3993" max="3993" width="12.42578125" bestFit="1" customWidth="1"/>
    <col min="3994" max="3994" width="9.85546875" bestFit="1" customWidth="1"/>
    <col min="3995" max="3995" width="12.42578125" bestFit="1" customWidth="1"/>
    <col min="3996" max="3996" width="9.85546875" bestFit="1" customWidth="1"/>
    <col min="3997" max="3997" width="12.42578125" bestFit="1" customWidth="1"/>
    <col min="3998" max="3998" width="9.85546875" bestFit="1" customWidth="1"/>
    <col min="3999" max="3999" width="12.42578125" bestFit="1" customWidth="1"/>
    <col min="4000" max="4000" width="7.85546875" bestFit="1" customWidth="1"/>
    <col min="4001" max="4001" width="10.85546875" bestFit="1" customWidth="1"/>
    <col min="4002" max="4002" width="9.85546875" bestFit="1" customWidth="1"/>
    <col min="4003" max="4003" width="12.42578125" bestFit="1" customWidth="1"/>
    <col min="4004" max="4004" width="9.85546875" bestFit="1" customWidth="1"/>
    <col min="4005" max="4005" width="12.42578125" bestFit="1" customWidth="1"/>
    <col min="4006" max="4006" width="9.85546875" bestFit="1" customWidth="1"/>
    <col min="4007" max="4007" width="12.42578125" bestFit="1" customWidth="1"/>
    <col min="4008" max="4008" width="9.85546875" bestFit="1" customWidth="1"/>
    <col min="4009" max="4009" width="12.42578125" bestFit="1" customWidth="1"/>
    <col min="4010" max="4010" width="9.85546875" bestFit="1" customWidth="1"/>
    <col min="4011" max="4011" width="12.42578125" bestFit="1" customWidth="1"/>
    <col min="4012" max="4012" width="7.85546875" bestFit="1" customWidth="1"/>
    <col min="4013" max="4013" width="10.85546875" bestFit="1" customWidth="1"/>
    <col min="4014" max="4014" width="9.85546875" bestFit="1" customWidth="1"/>
    <col min="4015" max="4015" width="12.42578125" bestFit="1" customWidth="1"/>
    <col min="4016" max="4016" width="7.85546875" bestFit="1" customWidth="1"/>
    <col min="4017" max="4017" width="10.85546875" bestFit="1" customWidth="1"/>
    <col min="4018" max="4018" width="9.85546875" bestFit="1" customWidth="1"/>
    <col min="4019" max="4019" width="12.42578125" bestFit="1" customWidth="1"/>
    <col min="4020" max="4020" width="9.85546875" bestFit="1" customWidth="1"/>
    <col min="4021" max="4021" width="12.42578125" bestFit="1" customWidth="1"/>
    <col min="4022" max="4022" width="9.85546875" bestFit="1" customWidth="1"/>
    <col min="4023" max="4023" width="12.42578125" bestFit="1" customWidth="1"/>
    <col min="4024" max="4024" width="7.85546875" bestFit="1" customWidth="1"/>
    <col min="4025" max="4025" width="10.85546875" bestFit="1" customWidth="1"/>
    <col min="4026" max="4026" width="7.85546875" bestFit="1" customWidth="1"/>
    <col min="4027" max="4027" width="10.85546875" bestFit="1" customWidth="1"/>
    <col min="4028" max="4028" width="7.85546875" bestFit="1" customWidth="1"/>
    <col min="4029" max="4029" width="10.85546875" bestFit="1" customWidth="1"/>
    <col min="4030" max="4030" width="9.85546875" bestFit="1" customWidth="1"/>
    <col min="4031" max="4031" width="12.42578125" bestFit="1" customWidth="1"/>
    <col min="4032" max="4032" width="9.85546875" bestFit="1" customWidth="1"/>
    <col min="4033" max="4033" width="12.42578125" bestFit="1" customWidth="1"/>
    <col min="4034" max="4034" width="9.85546875" bestFit="1" customWidth="1"/>
    <col min="4035" max="4035" width="12.42578125" bestFit="1" customWidth="1"/>
    <col min="4036" max="4036" width="9.85546875" bestFit="1" customWidth="1"/>
    <col min="4037" max="4037" width="12.42578125" bestFit="1" customWidth="1"/>
    <col min="4038" max="4038" width="7.85546875" bestFit="1" customWidth="1"/>
    <col min="4039" max="4040" width="10.85546875" bestFit="1" customWidth="1"/>
    <col min="4041" max="4041" width="13.5703125" bestFit="1" customWidth="1"/>
    <col min="4042" max="4042" width="10.85546875" bestFit="1" customWidth="1"/>
    <col min="4043" max="4043" width="13.5703125" bestFit="1" customWidth="1"/>
    <col min="4044" max="4044" width="7.85546875" bestFit="1" customWidth="1"/>
    <col min="4045" max="4045" width="10.85546875" bestFit="1" customWidth="1"/>
    <col min="4046" max="4046" width="7.85546875" bestFit="1" customWidth="1"/>
    <col min="4047" max="4047" width="10.85546875" bestFit="1" customWidth="1"/>
    <col min="4048" max="4048" width="9.85546875" bestFit="1" customWidth="1"/>
    <col min="4049" max="4049" width="12.42578125" bestFit="1" customWidth="1"/>
    <col min="4050" max="4050" width="9.85546875" bestFit="1" customWidth="1"/>
    <col min="4051" max="4051" width="12.42578125" bestFit="1" customWidth="1"/>
    <col min="4052" max="4052" width="7.85546875" bestFit="1" customWidth="1"/>
    <col min="4053" max="4053" width="10.85546875" bestFit="1" customWidth="1"/>
    <col min="4054" max="4054" width="9.85546875" bestFit="1" customWidth="1"/>
    <col min="4055" max="4055" width="12.42578125" bestFit="1" customWidth="1"/>
    <col min="4056" max="4056" width="7.85546875" bestFit="1" customWidth="1"/>
    <col min="4057" max="4057" width="10.85546875" bestFit="1" customWidth="1"/>
    <col min="4058" max="4058" width="7.85546875" bestFit="1" customWidth="1"/>
    <col min="4059" max="4059" width="10.85546875" bestFit="1" customWidth="1"/>
    <col min="4060" max="4060" width="9.85546875" bestFit="1" customWidth="1"/>
    <col min="4061" max="4061" width="12.42578125" bestFit="1" customWidth="1"/>
    <col min="4062" max="4062" width="9.85546875" bestFit="1" customWidth="1"/>
    <col min="4063" max="4063" width="12.42578125" bestFit="1" customWidth="1"/>
    <col min="4064" max="4064" width="7.85546875" bestFit="1" customWidth="1"/>
    <col min="4065" max="4065" width="10.85546875" bestFit="1" customWidth="1"/>
    <col min="4066" max="4066" width="9.85546875" bestFit="1" customWidth="1"/>
    <col min="4067" max="4067" width="12.42578125" bestFit="1" customWidth="1"/>
    <col min="4068" max="4068" width="9.85546875" bestFit="1" customWidth="1"/>
    <col min="4069" max="4069" width="12.42578125" bestFit="1" customWidth="1"/>
    <col min="4070" max="4070" width="9.85546875" bestFit="1" customWidth="1"/>
    <col min="4071" max="4071" width="12.42578125" bestFit="1" customWidth="1"/>
    <col min="4072" max="4072" width="10.85546875" bestFit="1" customWidth="1"/>
    <col min="4073" max="4073" width="13.5703125" bestFit="1" customWidth="1"/>
    <col min="4074" max="4074" width="10.85546875" bestFit="1" customWidth="1"/>
    <col min="4075" max="4075" width="13.5703125" bestFit="1" customWidth="1"/>
    <col min="4076" max="4076" width="9.85546875" bestFit="1" customWidth="1"/>
    <col min="4077" max="4077" width="12.42578125" bestFit="1" customWidth="1"/>
    <col min="4078" max="4078" width="9.85546875" bestFit="1" customWidth="1"/>
    <col min="4079" max="4079" width="12.42578125" bestFit="1" customWidth="1"/>
    <col min="4080" max="4080" width="9.85546875" bestFit="1" customWidth="1"/>
    <col min="4081" max="4081" width="12.42578125" bestFit="1" customWidth="1"/>
    <col min="4082" max="4082" width="7.85546875" bestFit="1" customWidth="1"/>
    <col min="4083" max="4083" width="10.85546875" bestFit="1" customWidth="1"/>
    <col min="4084" max="4084" width="7.85546875" bestFit="1" customWidth="1"/>
    <col min="4085" max="4086" width="10.85546875" bestFit="1" customWidth="1"/>
    <col min="4087" max="4087" width="13.5703125" bestFit="1" customWidth="1"/>
    <col min="4088" max="4088" width="9.85546875" bestFit="1" customWidth="1"/>
    <col min="4089" max="4089" width="12.42578125" bestFit="1" customWidth="1"/>
    <col min="4090" max="4090" width="9.85546875" bestFit="1" customWidth="1"/>
    <col min="4091" max="4091" width="12.42578125" bestFit="1" customWidth="1"/>
    <col min="4092" max="4093" width="7.85546875" bestFit="1" customWidth="1"/>
    <col min="4094" max="4094" width="10.85546875" bestFit="1" customWidth="1"/>
    <col min="4095" max="4095" width="7.85546875" bestFit="1" customWidth="1"/>
    <col min="4096" max="4096" width="10.85546875" bestFit="1" customWidth="1"/>
    <col min="4097" max="4097" width="7.85546875" bestFit="1" customWidth="1"/>
    <col min="4098" max="4098" width="10.85546875" bestFit="1" customWidth="1"/>
    <col min="4099" max="4099" width="7.85546875" bestFit="1" customWidth="1"/>
    <col min="4100" max="4100" width="10.85546875" bestFit="1" customWidth="1"/>
    <col min="4101" max="4101" width="7.85546875" bestFit="1" customWidth="1"/>
    <col min="4102" max="4102" width="10.85546875" bestFit="1" customWidth="1"/>
    <col min="4103" max="4103" width="7.85546875" bestFit="1" customWidth="1"/>
    <col min="4104" max="4104" width="10.85546875" bestFit="1" customWidth="1"/>
    <col min="4105" max="4105" width="7.85546875" bestFit="1" customWidth="1"/>
    <col min="4106" max="4106" width="10.85546875" bestFit="1" customWidth="1"/>
    <col min="4107" max="4107" width="7.85546875" bestFit="1" customWidth="1"/>
    <col min="4108" max="4108" width="10.85546875" bestFit="1" customWidth="1"/>
    <col min="4109" max="4109" width="9.85546875" bestFit="1" customWidth="1"/>
    <col min="4110" max="4110" width="12.42578125" bestFit="1" customWidth="1"/>
    <col min="4111" max="4111" width="10.85546875" bestFit="1" customWidth="1"/>
    <col min="4112" max="4112" width="13.5703125" bestFit="1" customWidth="1"/>
    <col min="4113" max="4113" width="7.85546875" bestFit="1" customWidth="1"/>
    <col min="4114" max="4114" width="10.85546875" bestFit="1" customWidth="1"/>
    <col min="4115" max="4115" width="9.85546875" bestFit="1" customWidth="1"/>
    <col min="4116" max="4116" width="12.42578125" bestFit="1" customWidth="1"/>
    <col min="4117" max="4117" width="10.85546875" bestFit="1" customWidth="1"/>
    <col min="4118" max="4118" width="13.5703125" bestFit="1" customWidth="1"/>
    <col min="4119" max="4119" width="7.85546875" bestFit="1" customWidth="1"/>
    <col min="4120" max="4120" width="10.85546875" bestFit="1" customWidth="1"/>
    <col min="4121" max="4121" width="7.85546875" bestFit="1" customWidth="1"/>
    <col min="4122" max="4122" width="10.85546875" bestFit="1" customWidth="1"/>
    <col min="4123" max="4123" width="9.85546875" bestFit="1" customWidth="1"/>
    <col min="4124" max="4124" width="12.42578125" bestFit="1" customWidth="1"/>
    <col min="4125" max="4125" width="9.85546875" bestFit="1" customWidth="1"/>
    <col min="4126" max="4126" width="12.42578125" bestFit="1" customWidth="1"/>
    <col min="4127" max="4127" width="9.85546875" bestFit="1" customWidth="1"/>
    <col min="4128" max="4128" width="12.42578125" bestFit="1" customWidth="1"/>
    <col min="4129" max="4129" width="7.85546875" bestFit="1" customWidth="1"/>
    <col min="4130" max="4130" width="10.85546875" bestFit="1" customWidth="1"/>
    <col min="4131" max="4131" width="7.85546875" bestFit="1" customWidth="1"/>
    <col min="4132" max="4132" width="10.85546875" bestFit="1" customWidth="1"/>
    <col min="4133" max="4133" width="9.85546875" bestFit="1" customWidth="1"/>
    <col min="4134" max="4134" width="12.42578125" bestFit="1" customWidth="1"/>
    <col min="4135" max="4135" width="7.85546875" bestFit="1" customWidth="1"/>
    <col min="4136" max="4136" width="10.85546875" bestFit="1" customWidth="1"/>
    <col min="4137" max="4137" width="7.85546875" bestFit="1" customWidth="1"/>
    <col min="4138" max="4138" width="10.85546875" bestFit="1" customWidth="1"/>
    <col min="4139" max="4139" width="9.85546875" bestFit="1" customWidth="1"/>
    <col min="4140" max="4140" width="12.42578125" bestFit="1" customWidth="1"/>
    <col min="4141" max="4141" width="9.85546875" bestFit="1" customWidth="1"/>
    <col min="4142" max="4142" width="12.42578125" bestFit="1" customWidth="1"/>
    <col min="4143" max="4143" width="7.85546875" bestFit="1" customWidth="1"/>
    <col min="4144" max="4144" width="10.85546875" bestFit="1" customWidth="1"/>
    <col min="4145" max="4145" width="7.85546875" bestFit="1" customWidth="1"/>
    <col min="4146" max="4146" width="10.85546875" bestFit="1" customWidth="1"/>
    <col min="4147" max="4147" width="7.85546875" bestFit="1" customWidth="1"/>
    <col min="4148" max="4148" width="10.85546875" bestFit="1" customWidth="1"/>
    <col min="4149" max="4149" width="7.85546875" bestFit="1" customWidth="1"/>
    <col min="4150" max="4150" width="10.85546875" bestFit="1" customWidth="1"/>
    <col min="4151" max="4151" width="9.85546875" bestFit="1" customWidth="1"/>
    <col min="4152" max="4152" width="12.42578125" bestFit="1" customWidth="1"/>
    <col min="4153" max="4153" width="10.85546875" bestFit="1" customWidth="1"/>
    <col min="4154" max="4154" width="13.5703125" bestFit="1" customWidth="1"/>
    <col min="4155" max="4155" width="7.85546875" bestFit="1" customWidth="1"/>
    <col min="4156" max="4156" width="10.85546875" bestFit="1" customWidth="1"/>
    <col min="4157" max="4157" width="9.85546875" bestFit="1" customWidth="1"/>
    <col min="4158" max="4158" width="12.42578125" bestFit="1" customWidth="1"/>
    <col min="4159" max="4159" width="9.85546875" bestFit="1" customWidth="1"/>
    <col min="4160" max="4160" width="12.42578125" bestFit="1" customWidth="1"/>
    <col min="4161" max="4161" width="10.85546875" bestFit="1" customWidth="1"/>
    <col min="4162" max="4162" width="13.5703125" bestFit="1" customWidth="1"/>
    <col min="4163" max="4163" width="9.85546875" bestFit="1" customWidth="1"/>
    <col min="4164" max="4164" width="12.42578125" bestFit="1" customWidth="1"/>
    <col min="4165" max="4165" width="10.85546875" bestFit="1" customWidth="1"/>
    <col min="4166" max="4166" width="13.5703125" bestFit="1" customWidth="1"/>
    <col min="4167" max="4167" width="7.85546875" bestFit="1" customWidth="1"/>
    <col min="4168" max="4168" width="10.85546875" bestFit="1" customWidth="1"/>
    <col min="4169" max="4169" width="7.85546875" bestFit="1" customWidth="1"/>
    <col min="4170" max="4170" width="10.85546875" bestFit="1" customWidth="1"/>
    <col min="4171" max="4171" width="9.85546875" bestFit="1" customWidth="1"/>
    <col min="4172" max="4172" width="12.42578125" bestFit="1" customWidth="1"/>
    <col min="4173" max="4173" width="9.85546875" bestFit="1" customWidth="1"/>
    <col min="4174" max="4174" width="12.42578125" bestFit="1" customWidth="1"/>
    <col min="4175" max="4175" width="9.85546875" bestFit="1" customWidth="1"/>
    <col min="4176" max="4176" width="12.42578125" bestFit="1" customWidth="1"/>
    <col min="4177" max="4177" width="7.85546875" bestFit="1" customWidth="1"/>
    <col min="4178" max="4178" width="10.85546875" bestFit="1" customWidth="1"/>
    <col min="4179" max="4179" width="7.85546875" bestFit="1" customWidth="1"/>
    <col min="4180" max="4180" width="10.85546875" bestFit="1" customWidth="1"/>
    <col min="4181" max="4181" width="9.85546875" bestFit="1" customWidth="1"/>
    <col min="4182" max="4182" width="12.42578125" bestFit="1" customWidth="1"/>
    <col min="4183" max="4183" width="9.85546875" bestFit="1" customWidth="1"/>
    <col min="4184" max="4184" width="12.42578125" bestFit="1" customWidth="1"/>
    <col min="4185" max="4185" width="9.85546875" bestFit="1" customWidth="1"/>
    <col min="4186" max="4186" width="12.42578125" bestFit="1" customWidth="1"/>
    <col min="4187" max="4187" width="9.85546875" bestFit="1" customWidth="1"/>
    <col min="4188" max="4188" width="12.42578125" bestFit="1" customWidth="1"/>
    <col min="4189" max="4189" width="7.85546875" bestFit="1" customWidth="1"/>
    <col min="4190" max="4190" width="10.85546875" bestFit="1" customWidth="1"/>
    <col min="4191" max="4191" width="7.85546875" bestFit="1" customWidth="1"/>
    <col min="4192" max="4192" width="10.85546875" bestFit="1" customWidth="1"/>
    <col min="4193" max="4193" width="7.85546875" bestFit="1" customWidth="1"/>
    <col min="4194" max="4194" width="10.85546875" bestFit="1" customWidth="1"/>
    <col min="4195" max="4195" width="9.85546875" bestFit="1" customWidth="1"/>
    <col min="4196" max="4196" width="12.42578125" bestFit="1" customWidth="1"/>
    <col min="4197" max="4197" width="9.85546875" bestFit="1" customWidth="1"/>
    <col min="4198" max="4198" width="12.42578125" bestFit="1" customWidth="1"/>
    <col min="4199" max="4199" width="7.85546875" bestFit="1" customWidth="1"/>
    <col min="4200" max="4200" width="10.85546875" bestFit="1" customWidth="1"/>
    <col min="4201" max="4201" width="7.85546875" bestFit="1" customWidth="1"/>
    <col min="4202" max="4202" width="10.85546875" bestFit="1" customWidth="1"/>
    <col min="4203" max="4203" width="7.85546875" bestFit="1" customWidth="1"/>
    <col min="4204" max="4204" width="10.85546875" bestFit="1" customWidth="1"/>
    <col min="4205" max="4205" width="7.85546875" bestFit="1" customWidth="1"/>
    <col min="4206" max="4206" width="10.85546875" bestFit="1" customWidth="1"/>
    <col min="4207" max="4207" width="9.85546875" bestFit="1" customWidth="1"/>
    <col min="4208" max="4208" width="12.42578125" bestFit="1" customWidth="1"/>
    <col min="4209" max="4209" width="9.85546875" bestFit="1" customWidth="1"/>
    <col min="4210" max="4210" width="12.42578125" bestFit="1" customWidth="1"/>
    <col min="4211" max="4211" width="9.85546875" bestFit="1" customWidth="1"/>
    <col min="4212" max="4212" width="12.42578125" bestFit="1" customWidth="1"/>
    <col min="4213" max="4213" width="9.85546875" bestFit="1" customWidth="1"/>
    <col min="4214" max="4214" width="12.42578125" bestFit="1" customWidth="1"/>
    <col min="4215" max="4215" width="9.85546875" bestFit="1" customWidth="1"/>
    <col min="4216" max="4216" width="12.42578125" bestFit="1" customWidth="1"/>
    <col min="4217" max="4217" width="7.85546875" bestFit="1" customWidth="1"/>
    <col min="4218" max="4219" width="10.85546875" bestFit="1" customWidth="1"/>
    <col min="4220" max="4220" width="13.5703125" bestFit="1" customWidth="1"/>
    <col min="4221" max="4221" width="9.85546875" bestFit="1" customWidth="1"/>
    <col min="4222" max="4222" width="12.42578125" bestFit="1" customWidth="1"/>
    <col min="4223" max="4223" width="7.85546875" bestFit="1" customWidth="1"/>
    <col min="4224" max="4224" width="10.85546875" bestFit="1" customWidth="1"/>
    <col min="4225" max="4225" width="7.85546875" bestFit="1" customWidth="1"/>
    <col min="4226" max="4227" width="10.85546875" bestFit="1" customWidth="1"/>
    <col min="4228" max="4228" width="13.5703125" bestFit="1" customWidth="1"/>
    <col min="4229" max="4229" width="9.85546875" bestFit="1" customWidth="1"/>
    <col min="4230" max="4230" width="12.42578125" bestFit="1" customWidth="1"/>
    <col min="4231" max="4231" width="10.85546875" bestFit="1" customWidth="1"/>
    <col min="4232" max="4232" width="13.5703125" bestFit="1" customWidth="1"/>
    <col min="4233" max="4233" width="9.85546875" bestFit="1" customWidth="1"/>
    <col min="4234" max="4234" width="12.42578125" bestFit="1" customWidth="1"/>
    <col min="4235" max="4235" width="7.85546875" bestFit="1" customWidth="1"/>
    <col min="4236" max="4236" width="10.85546875" bestFit="1" customWidth="1"/>
    <col min="4237" max="4237" width="7.85546875" bestFit="1" customWidth="1"/>
    <col min="4238" max="4239" width="10.85546875" bestFit="1" customWidth="1"/>
    <col min="4240" max="4240" width="13.5703125" bestFit="1" customWidth="1"/>
    <col min="4241" max="4241" width="9.85546875" bestFit="1" customWidth="1"/>
    <col min="4242" max="4242" width="12.42578125" bestFit="1" customWidth="1"/>
    <col min="4243" max="4243" width="9.85546875" bestFit="1" customWidth="1"/>
    <col min="4244" max="4244" width="12.42578125" bestFit="1" customWidth="1"/>
    <col min="4245" max="4245" width="7.85546875" bestFit="1" customWidth="1"/>
    <col min="4246" max="4246" width="10.85546875" bestFit="1" customWidth="1"/>
    <col min="4247" max="4247" width="7.85546875" bestFit="1" customWidth="1"/>
    <col min="4248" max="4248" width="10.85546875" bestFit="1" customWidth="1"/>
    <col min="4249" max="4249" width="9.85546875" bestFit="1" customWidth="1"/>
    <col min="4250" max="4250" width="12.42578125" bestFit="1" customWidth="1"/>
    <col min="4251" max="4251" width="9.85546875" bestFit="1" customWidth="1"/>
    <col min="4252" max="4252" width="12.42578125" bestFit="1" customWidth="1"/>
    <col min="4253" max="4253" width="10.85546875" bestFit="1" customWidth="1"/>
    <col min="4254" max="4254" width="13.5703125" bestFit="1" customWidth="1"/>
    <col min="4255" max="4255" width="9.85546875" bestFit="1" customWidth="1"/>
    <col min="4256" max="4256" width="12.42578125" bestFit="1" customWidth="1"/>
    <col min="4257" max="4257" width="10.85546875" bestFit="1" customWidth="1"/>
    <col min="4258" max="4258" width="13.5703125" bestFit="1" customWidth="1"/>
    <col min="4259" max="4259" width="7.85546875" bestFit="1" customWidth="1"/>
    <col min="4260" max="4260" width="10.85546875" bestFit="1" customWidth="1"/>
    <col min="4261" max="4261" width="9.85546875" bestFit="1" customWidth="1"/>
    <col min="4262" max="4262" width="12.42578125" bestFit="1" customWidth="1"/>
    <col min="4263" max="4263" width="9.85546875" bestFit="1" customWidth="1"/>
    <col min="4264" max="4264" width="12.42578125" bestFit="1" customWidth="1"/>
    <col min="4265" max="4265" width="7.85546875" bestFit="1" customWidth="1"/>
    <col min="4266" max="4266" width="10.85546875" bestFit="1" customWidth="1"/>
    <col min="4267" max="4267" width="9.85546875" bestFit="1" customWidth="1"/>
    <col min="4268" max="4268" width="12.42578125" bestFit="1" customWidth="1"/>
    <col min="4269" max="4269" width="9.85546875" bestFit="1" customWidth="1"/>
    <col min="4270" max="4270" width="12.42578125" bestFit="1" customWidth="1"/>
    <col min="4271" max="4271" width="10.85546875" bestFit="1" customWidth="1"/>
    <col min="4272" max="4272" width="13.5703125" bestFit="1" customWidth="1"/>
    <col min="4273" max="4273" width="9.85546875" bestFit="1" customWidth="1"/>
    <col min="4274" max="4274" width="12.42578125" bestFit="1" customWidth="1"/>
    <col min="4275" max="4275" width="9.85546875" bestFit="1" customWidth="1"/>
    <col min="4276" max="4276" width="12.42578125" bestFit="1" customWidth="1"/>
    <col min="4277" max="4277" width="7.85546875" bestFit="1" customWidth="1"/>
    <col min="4278" max="4278" width="10.85546875" bestFit="1" customWidth="1"/>
    <col min="4279" max="4279" width="7.85546875" bestFit="1" customWidth="1"/>
    <col min="4280" max="4280" width="10.85546875" bestFit="1" customWidth="1"/>
    <col min="4281" max="4281" width="9.85546875" bestFit="1" customWidth="1"/>
    <col min="4282" max="4282" width="12.42578125" bestFit="1" customWidth="1"/>
    <col min="4283" max="4283" width="9.85546875" bestFit="1" customWidth="1"/>
    <col min="4284" max="4284" width="12.42578125" bestFit="1" customWidth="1"/>
    <col min="4285" max="4285" width="7.85546875" bestFit="1" customWidth="1"/>
    <col min="4286" max="4286" width="10.85546875" bestFit="1" customWidth="1"/>
    <col min="4287" max="4287" width="9.85546875" bestFit="1" customWidth="1"/>
    <col min="4288" max="4288" width="12.42578125" bestFit="1" customWidth="1"/>
    <col min="4289" max="4289" width="9.85546875" bestFit="1" customWidth="1"/>
    <col min="4290" max="4290" width="12.42578125" bestFit="1" customWidth="1"/>
    <col min="4291" max="4291" width="9.85546875" bestFit="1" customWidth="1"/>
    <col min="4292" max="4292" width="12.42578125" bestFit="1" customWidth="1"/>
    <col min="4293" max="4293" width="7.85546875" bestFit="1" customWidth="1"/>
    <col min="4294" max="4294" width="10.85546875" bestFit="1" customWidth="1"/>
    <col min="4295" max="4295" width="9.85546875" bestFit="1" customWidth="1"/>
    <col min="4296" max="4296" width="12.42578125" bestFit="1" customWidth="1"/>
    <col min="4297" max="4297" width="9.85546875" bestFit="1" customWidth="1"/>
    <col min="4298" max="4298" width="12.42578125" bestFit="1" customWidth="1"/>
    <col min="4299" max="4299" width="9.85546875" bestFit="1" customWidth="1"/>
    <col min="4300" max="4300" width="12.42578125" bestFit="1" customWidth="1"/>
    <col min="4301" max="4301" width="10.85546875" bestFit="1" customWidth="1"/>
    <col min="4302" max="4302" width="13.5703125" bestFit="1" customWidth="1"/>
    <col min="4303" max="4303" width="9.85546875" bestFit="1" customWidth="1"/>
    <col min="4304" max="4304" width="12.42578125" bestFit="1" customWidth="1"/>
    <col min="4305" max="4305" width="9.85546875" bestFit="1" customWidth="1"/>
    <col min="4306" max="4306" width="12.42578125" bestFit="1" customWidth="1"/>
    <col min="4307" max="4307" width="9.85546875" bestFit="1" customWidth="1"/>
    <col min="4308" max="4308" width="12.42578125" bestFit="1" customWidth="1"/>
    <col min="4309" max="4309" width="9.85546875" bestFit="1" customWidth="1"/>
    <col min="4310" max="4310" width="12.42578125" bestFit="1" customWidth="1"/>
    <col min="4311" max="4311" width="10.85546875" bestFit="1" customWidth="1"/>
    <col min="4312" max="4312" width="13.5703125" bestFit="1" customWidth="1"/>
    <col min="4313" max="4313" width="9.85546875" bestFit="1" customWidth="1"/>
    <col min="4314" max="4314" width="12.42578125" bestFit="1" customWidth="1"/>
    <col min="4315" max="4315" width="9.85546875" bestFit="1" customWidth="1"/>
    <col min="4316" max="4316" width="12.42578125" bestFit="1" customWidth="1"/>
    <col min="4317" max="4317" width="9.85546875" bestFit="1" customWidth="1"/>
    <col min="4318" max="4318" width="12.42578125" bestFit="1" customWidth="1"/>
    <col min="4319" max="4319" width="9.85546875" bestFit="1" customWidth="1"/>
    <col min="4320" max="4320" width="12.42578125" bestFit="1" customWidth="1"/>
    <col min="4321" max="4321" width="7.85546875" bestFit="1" customWidth="1"/>
    <col min="4322" max="4322" width="10.85546875" bestFit="1" customWidth="1"/>
    <col min="4323" max="4323" width="9.85546875" bestFit="1" customWidth="1"/>
    <col min="4324" max="4324" width="12.42578125" bestFit="1" customWidth="1"/>
    <col min="4325" max="4325" width="9.85546875" bestFit="1" customWidth="1"/>
    <col min="4326" max="4326" width="12.42578125" bestFit="1" customWidth="1"/>
    <col min="4327" max="4327" width="9.85546875" bestFit="1" customWidth="1"/>
    <col min="4328" max="4328" width="12.42578125" bestFit="1" customWidth="1"/>
    <col min="4329" max="4329" width="7.85546875" bestFit="1" customWidth="1"/>
    <col min="4330" max="4330" width="10.85546875" bestFit="1" customWidth="1"/>
    <col min="4331" max="4331" width="9.85546875" bestFit="1" customWidth="1"/>
    <col min="4332" max="4332" width="12.42578125" bestFit="1" customWidth="1"/>
    <col min="4333" max="4333" width="9.85546875" bestFit="1" customWidth="1"/>
    <col min="4334" max="4334" width="12.42578125" bestFit="1" customWidth="1"/>
    <col min="4335" max="4335" width="9.85546875" bestFit="1" customWidth="1"/>
    <col min="4336" max="4336" width="12.42578125" bestFit="1" customWidth="1"/>
    <col min="4337" max="4337" width="9.85546875" bestFit="1" customWidth="1"/>
    <col min="4338" max="4338" width="12.42578125" bestFit="1" customWidth="1"/>
    <col min="4339" max="4339" width="9.85546875" bestFit="1" customWidth="1"/>
    <col min="4340" max="4340" width="12.42578125" bestFit="1" customWidth="1"/>
    <col min="4341" max="4341" width="9.85546875" bestFit="1" customWidth="1"/>
    <col min="4342" max="4342" width="12.42578125" bestFit="1" customWidth="1"/>
    <col min="4343" max="4343" width="7.85546875" bestFit="1" customWidth="1"/>
    <col min="4344" max="4344" width="10.85546875" bestFit="1" customWidth="1"/>
    <col min="4345" max="4345" width="9.85546875" bestFit="1" customWidth="1"/>
    <col min="4346" max="4346" width="12.42578125" bestFit="1" customWidth="1"/>
    <col min="4347" max="4347" width="7.85546875" bestFit="1" customWidth="1"/>
    <col min="4348" max="4349" width="10.85546875" bestFit="1" customWidth="1"/>
    <col min="4350" max="4350" width="13.5703125" bestFit="1" customWidth="1"/>
    <col min="4351" max="4351" width="9.85546875" bestFit="1" customWidth="1"/>
    <col min="4352" max="4352" width="12.42578125" bestFit="1" customWidth="1"/>
    <col min="4353" max="4353" width="7.85546875" bestFit="1" customWidth="1"/>
    <col min="4354" max="4354" width="10.85546875" bestFit="1" customWidth="1"/>
    <col min="4355" max="4355" width="9.85546875" bestFit="1" customWidth="1"/>
    <col min="4356" max="4356" width="12.42578125" bestFit="1" customWidth="1"/>
    <col min="4357" max="4357" width="10.85546875" bestFit="1" customWidth="1"/>
    <col min="4358" max="4358" width="13.5703125" bestFit="1" customWidth="1"/>
    <col min="4359" max="4359" width="9.85546875" bestFit="1" customWidth="1"/>
    <col min="4360" max="4360" width="12.42578125" bestFit="1" customWidth="1"/>
    <col min="4361" max="4361" width="9.85546875" bestFit="1" customWidth="1"/>
    <col min="4362" max="4362" width="12.42578125" bestFit="1" customWidth="1"/>
    <col min="4363" max="4363" width="9.85546875" bestFit="1" customWidth="1"/>
    <col min="4364" max="4364" width="12.42578125" bestFit="1" customWidth="1"/>
    <col min="4365" max="4365" width="10.85546875" bestFit="1" customWidth="1"/>
    <col min="4366" max="4366" width="13.5703125" bestFit="1" customWidth="1"/>
    <col min="4367" max="4367" width="9.85546875" bestFit="1" customWidth="1"/>
    <col min="4368" max="4368" width="12.42578125" bestFit="1" customWidth="1"/>
    <col min="4369" max="4369" width="7.85546875" bestFit="1" customWidth="1"/>
    <col min="4370" max="4370" width="10.85546875" bestFit="1" customWidth="1"/>
    <col min="4371" max="4371" width="7.85546875" bestFit="1" customWidth="1"/>
    <col min="4372" max="4372" width="10.85546875" bestFit="1" customWidth="1"/>
    <col min="4373" max="4373" width="7.85546875" bestFit="1" customWidth="1"/>
    <col min="4374" max="4374" width="10.85546875" bestFit="1" customWidth="1"/>
    <col min="4375" max="4375" width="9.85546875" bestFit="1" customWidth="1"/>
    <col min="4376" max="4376" width="12.42578125" bestFit="1" customWidth="1"/>
    <col min="4377" max="4377" width="9.85546875" bestFit="1" customWidth="1"/>
    <col min="4378" max="4378" width="12.42578125" bestFit="1" customWidth="1"/>
    <col min="4379" max="4379" width="7.85546875" bestFit="1" customWidth="1"/>
    <col min="4380" max="4380" width="10.85546875" bestFit="1" customWidth="1"/>
    <col min="4381" max="4381" width="9.85546875" bestFit="1" customWidth="1"/>
    <col min="4382" max="4382" width="12.42578125" bestFit="1" customWidth="1"/>
    <col min="4383" max="4383" width="10.85546875" bestFit="1" customWidth="1"/>
    <col min="4384" max="4384" width="13.5703125" bestFit="1" customWidth="1"/>
    <col min="4385" max="4385" width="9.85546875" bestFit="1" customWidth="1"/>
    <col min="4386" max="4386" width="12.42578125" bestFit="1" customWidth="1"/>
    <col min="4387" max="4387" width="9.85546875" bestFit="1" customWidth="1"/>
    <col min="4388" max="4388" width="12.42578125" bestFit="1" customWidth="1"/>
    <col min="4389" max="4389" width="9.85546875" bestFit="1" customWidth="1"/>
    <col min="4390" max="4390" width="12.42578125" bestFit="1" customWidth="1"/>
    <col min="4391" max="4391" width="7.85546875" bestFit="1" customWidth="1"/>
    <col min="4392" max="4392" width="10.85546875" bestFit="1" customWidth="1"/>
    <col min="4393" max="4393" width="9.85546875" bestFit="1" customWidth="1"/>
    <col min="4394" max="4394" width="12.42578125" bestFit="1" customWidth="1"/>
    <col min="4395" max="4395" width="9.85546875" bestFit="1" customWidth="1"/>
    <col min="4396" max="4396" width="12.42578125" bestFit="1" customWidth="1"/>
    <col min="4397" max="4397" width="9.85546875" bestFit="1" customWidth="1"/>
    <col min="4398" max="4398" width="12.42578125" bestFit="1" customWidth="1"/>
    <col min="4399" max="4399" width="9.85546875" bestFit="1" customWidth="1"/>
    <col min="4400" max="4400" width="12.42578125" bestFit="1" customWidth="1"/>
    <col min="4401" max="4401" width="9.85546875" bestFit="1" customWidth="1"/>
    <col min="4402" max="4402" width="12.42578125" bestFit="1" customWidth="1"/>
    <col min="4403" max="4403" width="9.85546875" bestFit="1" customWidth="1"/>
    <col min="4404" max="4404" width="12.42578125" bestFit="1" customWidth="1"/>
    <col min="4405" max="4405" width="7.85546875" bestFit="1" customWidth="1"/>
    <col min="4406" max="4406" width="10.85546875" bestFit="1" customWidth="1"/>
    <col min="4407" max="4407" width="9.85546875" bestFit="1" customWidth="1"/>
    <col min="4408" max="4408" width="12.42578125" bestFit="1" customWidth="1"/>
    <col min="4409" max="4409" width="9.85546875" bestFit="1" customWidth="1"/>
    <col min="4410" max="4410" width="12.42578125" bestFit="1" customWidth="1"/>
    <col min="4411" max="4411" width="9.85546875" bestFit="1" customWidth="1"/>
    <col min="4412" max="4412" width="12.42578125" bestFit="1" customWidth="1"/>
    <col min="4413" max="4413" width="9.85546875" bestFit="1" customWidth="1"/>
    <col min="4414" max="4414" width="12.42578125" bestFit="1" customWidth="1"/>
    <col min="4415" max="4415" width="9.85546875" bestFit="1" customWidth="1"/>
    <col min="4416" max="4416" width="12.42578125" bestFit="1" customWidth="1"/>
    <col min="4417" max="4417" width="9.85546875" bestFit="1" customWidth="1"/>
    <col min="4418" max="4418" width="12.42578125" bestFit="1" customWidth="1"/>
    <col min="4419" max="4419" width="7.85546875" bestFit="1" customWidth="1"/>
    <col min="4420" max="4420" width="10.85546875" bestFit="1" customWidth="1"/>
    <col min="4421" max="4421" width="7.85546875" bestFit="1" customWidth="1"/>
    <col min="4422" max="4422" width="10.85546875" bestFit="1" customWidth="1"/>
    <col min="4423" max="4423" width="7.85546875" bestFit="1" customWidth="1"/>
    <col min="4424" max="4424" width="10.85546875" bestFit="1" customWidth="1"/>
    <col min="4425" max="4425" width="9.85546875" bestFit="1" customWidth="1"/>
    <col min="4426" max="4426" width="12.42578125" bestFit="1" customWidth="1"/>
    <col min="4427" max="4427" width="7.85546875" bestFit="1" customWidth="1"/>
    <col min="4428" max="4428" width="10.85546875" bestFit="1" customWidth="1"/>
    <col min="4429" max="4429" width="9.85546875" bestFit="1" customWidth="1"/>
    <col min="4430" max="4430" width="12.42578125" bestFit="1" customWidth="1"/>
    <col min="4431" max="4431" width="9.85546875" bestFit="1" customWidth="1"/>
    <col min="4432" max="4432" width="12.42578125" bestFit="1" customWidth="1"/>
    <col min="4433" max="4433" width="7.85546875" bestFit="1" customWidth="1"/>
    <col min="4434" max="4435" width="10.85546875" bestFit="1" customWidth="1"/>
    <col min="4436" max="4436" width="13.5703125" bestFit="1" customWidth="1"/>
    <col min="4437" max="4437" width="9.85546875" bestFit="1" customWidth="1"/>
    <col min="4438" max="4438" width="12.42578125" bestFit="1" customWidth="1"/>
    <col min="4439" max="4439" width="9.85546875" bestFit="1" customWidth="1"/>
    <col min="4440" max="4440" width="12.42578125" bestFit="1" customWidth="1"/>
    <col min="4441" max="4441" width="7.85546875" bestFit="1" customWidth="1"/>
    <col min="4442" max="4442" width="10.85546875" bestFit="1" customWidth="1"/>
    <col min="4443" max="4443" width="9.85546875" bestFit="1" customWidth="1"/>
    <col min="4444" max="4444" width="12.42578125" bestFit="1" customWidth="1"/>
    <col min="4445" max="4445" width="9.85546875" bestFit="1" customWidth="1"/>
    <col min="4446" max="4446" width="12.42578125" bestFit="1" customWidth="1"/>
    <col min="4447" max="4447" width="7.85546875" bestFit="1" customWidth="1"/>
    <col min="4448" max="4448" width="10.85546875" bestFit="1" customWidth="1"/>
    <col min="4449" max="4449" width="9.85546875" bestFit="1" customWidth="1"/>
    <col min="4450" max="4450" width="12.42578125" bestFit="1" customWidth="1"/>
    <col min="4451" max="4451" width="9.85546875" bestFit="1" customWidth="1"/>
    <col min="4452" max="4452" width="12.42578125" bestFit="1" customWidth="1"/>
    <col min="4453" max="4453" width="10.85546875" bestFit="1" customWidth="1"/>
    <col min="4454" max="4454" width="13.5703125" bestFit="1" customWidth="1"/>
    <col min="4455" max="4455" width="9.85546875" bestFit="1" customWidth="1"/>
    <col min="4456" max="4456" width="12.42578125" bestFit="1" customWidth="1"/>
    <col min="4457" max="4457" width="10.85546875" bestFit="1" customWidth="1"/>
    <col min="4458" max="4458" width="13.5703125" bestFit="1" customWidth="1"/>
    <col min="4459" max="4459" width="7.85546875" bestFit="1" customWidth="1"/>
    <col min="4460" max="4460" width="10.85546875" bestFit="1" customWidth="1"/>
    <col min="4461" max="4461" width="7.85546875" bestFit="1" customWidth="1"/>
    <col min="4462" max="4462" width="10.85546875" bestFit="1" customWidth="1"/>
    <col min="4463" max="4463" width="7.85546875" bestFit="1" customWidth="1"/>
    <col min="4464" max="4464" width="10.85546875" bestFit="1" customWidth="1"/>
    <col min="4465" max="4465" width="7.85546875" bestFit="1" customWidth="1"/>
    <col min="4466" max="4466" width="10.85546875" bestFit="1" customWidth="1"/>
    <col min="4467" max="4467" width="9.85546875" bestFit="1" customWidth="1"/>
    <col min="4468" max="4468" width="12.42578125" bestFit="1" customWidth="1"/>
    <col min="4469" max="4469" width="10.85546875" bestFit="1" customWidth="1"/>
    <col min="4470" max="4470" width="13.5703125" bestFit="1" customWidth="1"/>
    <col min="4471" max="4471" width="10.85546875" bestFit="1" customWidth="1"/>
    <col min="4472" max="4472" width="13.5703125" bestFit="1" customWidth="1"/>
    <col min="4473" max="4473" width="7.85546875" bestFit="1" customWidth="1"/>
    <col min="4474" max="4474" width="10.85546875" bestFit="1" customWidth="1"/>
    <col min="4475" max="4475" width="7.85546875" bestFit="1" customWidth="1"/>
    <col min="4476" max="4476" width="10.85546875" bestFit="1" customWidth="1"/>
    <col min="4477" max="4477" width="7.85546875" bestFit="1" customWidth="1"/>
    <col min="4478" max="4478" width="10.85546875" bestFit="1" customWidth="1"/>
    <col min="4479" max="4479" width="9.85546875" bestFit="1" customWidth="1"/>
    <col min="4480" max="4480" width="12.42578125" bestFit="1" customWidth="1"/>
    <col min="4481" max="4481" width="9.85546875" bestFit="1" customWidth="1"/>
    <col min="4482" max="4482" width="12.42578125" bestFit="1" customWidth="1"/>
    <col min="4483" max="4483" width="9.85546875" bestFit="1" customWidth="1"/>
    <col min="4484" max="4484" width="12.42578125" bestFit="1" customWidth="1"/>
    <col min="4485" max="4485" width="7.85546875" bestFit="1" customWidth="1"/>
    <col min="4486" max="4487" width="10.85546875" bestFit="1" customWidth="1"/>
    <col min="4488" max="4488" width="13.5703125" bestFit="1" customWidth="1"/>
    <col min="4489" max="4489" width="7.85546875" bestFit="1" customWidth="1"/>
    <col min="4490" max="4490" width="10.85546875" bestFit="1" customWidth="1"/>
    <col min="4491" max="4491" width="9.85546875" bestFit="1" customWidth="1"/>
    <col min="4492" max="4492" width="12.42578125" bestFit="1" customWidth="1"/>
    <col min="4493" max="4493" width="7.85546875" bestFit="1" customWidth="1"/>
    <col min="4494" max="4494" width="10.85546875" bestFit="1" customWidth="1"/>
    <col min="4495" max="4495" width="7.85546875" bestFit="1" customWidth="1"/>
    <col min="4496" max="4497" width="10.85546875" bestFit="1" customWidth="1"/>
    <col min="4498" max="4498" width="13.5703125" bestFit="1" customWidth="1"/>
    <col min="4499" max="4499" width="7.85546875" bestFit="1" customWidth="1"/>
    <col min="4500" max="4501" width="10.85546875" bestFit="1" customWidth="1"/>
    <col min="4502" max="4502" width="13.5703125" bestFit="1" customWidth="1"/>
    <col min="4503" max="4503" width="7.85546875" bestFit="1" customWidth="1"/>
    <col min="4504" max="4504" width="10.85546875" bestFit="1" customWidth="1"/>
    <col min="4505" max="4505" width="9.85546875" bestFit="1" customWidth="1"/>
    <col min="4506" max="4506" width="12.42578125" bestFit="1" customWidth="1"/>
    <col min="4507" max="4507" width="9.85546875" bestFit="1" customWidth="1"/>
    <col min="4508" max="4508" width="12.42578125" bestFit="1" customWidth="1"/>
    <col min="4509" max="4509" width="9.85546875" bestFit="1" customWidth="1"/>
    <col min="4510" max="4510" width="12.42578125" bestFit="1" customWidth="1"/>
    <col min="4511" max="4511" width="9.85546875" bestFit="1" customWidth="1"/>
    <col min="4512" max="4512" width="12.42578125" bestFit="1" customWidth="1"/>
    <col min="4513" max="4513" width="9.85546875" bestFit="1" customWidth="1"/>
    <col min="4514" max="4514" width="12.42578125" bestFit="1" customWidth="1"/>
    <col min="4515" max="4515" width="9.85546875" bestFit="1" customWidth="1"/>
    <col min="4516" max="4516" width="12.42578125" bestFit="1" customWidth="1"/>
    <col min="4517" max="4517" width="10.85546875" bestFit="1" customWidth="1"/>
    <col min="4518" max="4518" width="13.5703125" bestFit="1" customWidth="1"/>
    <col min="4519" max="4519" width="9.85546875" bestFit="1" customWidth="1"/>
    <col min="4520" max="4520" width="12.42578125" bestFit="1" customWidth="1"/>
    <col min="4521" max="4521" width="9.85546875" bestFit="1" customWidth="1"/>
    <col min="4522" max="4522" width="12.42578125" bestFit="1" customWidth="1"/>
    <col min="4523" max="4523" width="9.85546875" bestFit="1" customWidth="1"/>
    <col min="4524" max="4524" width="12.42578125" bestFit="1" customWidth="1"/>
    <col min="4525" max="4525" width="9.85546875" bestFit="1" customWidth="1"/>
    <col min="4526" max="4526" width="12.42578125" bestFit="1" customWidth="1"/>
    <col min="4527" max="4527" width="9.85546875" bestFit="1" customWidth="1"/>
    <col min="4528" max="4528" width="12.42578125" bestFit="1" customWidth="1"/>
    <col min="4529" max="4529" width="7.85546875" bestFit="1" customWidth="1"/>
    <col min="4530" max="4530" width="10.85546875" bestFit="1" customWidth="1"/>
    <col min="4531" max="4531" width="7.85546875" bestFit="1" customWidth="1"/>
    <col min="4532" max="4532" width="10.85546875" bestFit="1" customWidth="1"/>
    <col min="4533" max="4533" width="9.85546875" bestFit="1" customWidth="1"/>
    <col min="4534" max="4534" width="12.42578125" bestFit="1" customWidth="1"/>
    <col min="4535" max="4535" width="9.85546875" bestFit="1" customWidth="1"/>
    <col min="4536" max="4536" width="12.42578125" bestFit="1" customWidth="1"/>
    <col min="4537" max="4537" width="9.85546875" bestFit="1" customWidth="1"/>
    <col min="4538" max="4538" width="12.42578125" bestFit="1" customWidth="1"/>
    <col min="4539" max="4539" width="9.85546875" bestFit="1" customWidth="1"/>
    <col min="4540" max="4540" width="12.42578125" bestFit="1" customWidth="1"/>
    <col min="4541" max="4541" width="10.85546875" bestFit="1" customWidth="1"/>
    <col min="4542" max="4542" width="13.5703125" bestFit="1" customWidth="1"/>
    <col min="4543" max="4543" width="9.85546875" bestFit="1" customWidth="1"/>
    <col min="4544" max="4544" width="12.42578125" bestFit="1" customWidth="1"/>
    <col min="4545" max="4545" width="7.85546875" bestFit="1" customWidth="1"/>
    <col min="4546" max="4546" width="10.85546875" bestFit="1" customWidth="1"/>
    <col min="4547" max="4547" width="9.85546875" bestFit="1" customWidth="1"/>
    <col min="4548" max="4548" width="12.42578125" bestFit="1" customWidth="1"/>
    <col min="4549" max="4549" width="9.85546875" bestFit="1" customWidth="1"/>
    <col min="4550" max="4550" width="12.42578125" bestFit="1" customWidth="1"/>
    <col min="4551" max="4551" width="7.85546875" bestFit="1" customWidth="1"/>
    <col min="4552" max="4552" width="10.85546875" bestFit="1" customWidth="1"/>
    <col min="4553" max="4553" width="9.85546875" bestFit="1" customWidth="1"/>
    <col min="4554" max="4554" width="12.42578125" bestFit="1" customWidth="1"/>
    <col min="4555" max="4555" width="7.85546875" bestFit="1" customWidth="1"/>
    <col min="4556" max="4556" width="10.85546875" bestFit="1" customWidth="1"/>
    <col min="4557" max="4557" width="9.85546875" bestFit="1" customWidth="1"/>
    <col min="4558" max="4558" width="12.42578125" bestFit="1" customWidth="1"/>
    <col min="4559" max="4559" width="9.85546875" bestFit="1" customWidth="1"/>
    <col min="4560" max="4560" width="12.42578125" bestFit="1" customWidth="1"/>
    <col min="4561" max="4561" width="9.85546875" bestFit="1" customWidth="1"/>
    <col min="4562" max="4562" width="12.42578125" bestFit="1" customWidth="1"/>
    <col min="4563" max="4563" width="7.85546875" bestFit="1" customWidth="1"/>
    <col min="4564" max="4564" width="10.85546875" bestFit="1" customWidth="1"/>
    <col min="4565" max="4565" width="9.85546875" bestFit="1" customWidth="1"/>
    <col min="4566" max="4566" width="12.42578125" bestFit="1" customWidth="1"/>
    <col min="4567" max="4567" width="7.85546875" bestFit="1" customWidth="1"/>
    <col min="4568" max="4568" width="10.85546875" bestFit="1" customWidth="1"/>
    <col min="4569" max="4569" width="9.85546875" bestFit="1" customWidth="1"/>
    <col min="4570" max="4570" width="12.42578125" bestFit="1" customWidth="1"/>
    <col min="4571" max="4571" width="7.85546875" bestFit="1" customWidth="1"/>
    <col min="4572" max="4572" width="10.85546875" bestFit="1" customWidth="1"/>
    <col min="4573" max="4573" width="9.85546875" bestFit="1" customWidth="1"/>
    <col min="4574" max="4574" width="12.42578125" bestFit="1" customWidth="1"/>
    <col min="4575" max="4575" width="9.85546875" bestFit="1" customWidth="1"/>
    <col min="4576" max="4576" width="12.42578125" bestFit="1" customWidth="1"/>
    <col min="4577" max="4577" width="7.85546875" bestFit="1" customWidth="1"/>
    <col min="4578" max="4578" width="10.85546875" bestFit="1" customWidth="1"/>
    <col min="4579" max="4579" width="9.85546875" bestFit="1" customWidth="1"/>
    <col min="4580" max="4580" width="12.42578125" bestFit="1" customWidth="1"/>
    <col min="4581" max="4581" width="9.85546875" bestFit="1" customWidth="1"/>
    <col min="4582" max="4582" width="12.42578125" bestFit="1" customWidth="1"/>
    <col min="4583" max="4583" width="9.85546875" bestFit="1" customWidth="1"/>
    <col min="4584" max="4584" width="12.42578125" bestFit="1" customWidth="1"/>
    <col min="4585" max="4585" width="7.85546875" bestFit="1" customWidth="1"/>
    <col min="4586" max="4586" width="10.85546875" bestFit="1" customWidth="1"/>
    <col min="4587" max="4587" width="9.85546875" bestFit="1" customWidth="1"/>
    <col min="4588" max="4588" width="12.42578125" bestFit="1" customWidth="1"/>
    <col min="4589" max="4589" width="9.85546875" bestFit="1" customWidth="1"/>
    <col min="4590" max="4590" width="12.42578125" bestFit="1" customWidth="1"/>
    <col min="4591" max="4591" width="9.85546875" bestFit="1" customWidth="1"/>
    <col min="4592" max="4592" width="12.42578125" bestFit="1" customWidth="1"/>
    <col min="4593" max="4593" width="9.85546875" bestFit="1" customWidth="1"/>
    <col min="4594" max="4594" width="12.42578125" bestFit="1" customWidth="1"/>
    <col min="4595" max="4595" width="9.85546875" bestFit="1" customWidth="1"/>
    <col min="4596" max="4596" width="12.42578125" bestFit="1" customWidth="1"/>
    <col min="4597" max="4597" width="7.85546875" bestFit="1" customWidth="1"/>
    <col min="4598" max="4598" width="10.85546875" bestFit="1" customWidth="1"/>
    <col min="4599" max="4599" width="7.85546875" bestFit="1" customWidth="1"/>
    <col min="4600" max="4600" width="10.85546875" bestFit="1" customWidth="1"/>
    <col min="4601" max="4601" width="9.85546875" bestFit="1" customWidth="1"/>
    <col min="4602" max="4602" width="12.42578125" bestFit="1" customWidth="1"/>
    <col min="4603" max="4603" width="9.85546875" bestFit="1" customWidth="1"/>
    <col min="4604" max="4604" width="12.42578125" bestFit="1" customWidth="1"/>
    <col min="4605" max="4605" width="9.85546875" bestFit="1" customWidth="1"/>
    <col min="4606" max="4606" width="12.42578125" bestFit="1" customWidth="1"/>
    <col min="4607" max="4607" width="9.85546875" bestFit="1" customWidth="1"/>
    <col min="4608" max="4608" width="12.42578125" bestFit="1" customWidth="1"/>
    <col min="4609" max="4609" width="7.85546875" bestFit="1" customWidth="1"/>
    <col min="4610" max="4610" width="10.85546875" bestFit="1" customWidth="1"/>
    <col min="4611" max="4611" width="7.85546875" bestFit="1" customWidth="1"/>
    <col min="4612" max="4612" width="10.85546875" bestFit="1" customWidth="1"/>
    <col min="4613" max="4613" width="9.85546875" bestFit="1" customWidth="1"/>
    <col min="4614" max="4614" width="12.42578125" bestFit="1" customWidth="1"/>
    <col min="4615" max="4615" width="7.85546875" bestFit="1" customWidth="1"/>
    <col min="4616" max="4616" width="10.85546875" bestFit="1" customWidth="1"/>
    <col min="4617" max="4617" width="7.85546875" bestFit="1" customWidth="1"/>
    <col min="4618" max="4618" width="10.85546875" bestFit="1" customWidth="1"/>
    <col min="4619" max="4619" width="7.85546875" bestFit="1" customWidth="1"/>
    <col min="4620" max="4620" width="10.85546875" bestFit="1" customWidth="1"/>
    <col min="4621" max="4621" width="7.85546875" bestFit="1" customWidth="1"/>
    <col min="4622" max="4622" width="10.85546875" bestFit="1" customWidth="1"/>
    <col min="4623" max="4623" width="9.85546875" bestFit="1" customWidth="1"/>
    <col min="4624" max="4624" width="12.42578125" bestFit="1" customWidth="1"/>
    <col min="4625" max="4625" width="9.85546875" bestFit="1" customWidth="1"/>
    <col min="4626" max="4626" width="12.42578125" bestFit="1" customWidth="1"/>
    <col min="4627" max="4627" width="10.85546875" bestFit="1" customWidth="1"/>
    <col min="4628" max="4628" width="13.5703125" bestFit="1" customWidth="1"/>
    <col min="4629" max="4629" width="7.85546875" bestFit="1" customWidth="1"/>
    <col min="4630" max="4631" width="10.85546875" bestFit="1" customWidth="1"/>
    <col min="4632" max="4632" width="13.5703125" bestFit="1" customWidth="1"/>
    <col min="4633" max="4633" width="9.85546875" bestFit="1" customWidth="1"/>
    <col min="4634" max="4634" width="12.42578125" bestFit="1" customWidth="1"/>
    <col min="4635" max="4635" width="7.85546875" bestFit="1" customWidth="1"/>
    <col min="4636" max="4636" width="10.85546875" bestFit="1" customWidth="1"/>
    <col min="4637" max="4637" width="9.85546875" bestFit="1" customWidth="1"/>
    <col min="4638" max="4638" width="12.42578125" bestFit="1" customWidth="1"/>
    <col min="4639" max="4639" width="9.85546875" bestFit="1" customWidth="1"/>
    <col min="4640" max="4640" width="12.42578125" bestFit="1" customWidth="1"/>
    <col min="4641" max="4641" width="9.85546875" bestFit="1" customWidth="1"/>
    <col min="4642" max="4642" width="12.42578125" bestFit="1" customWidth="1"/>
    <col min="4643" max="4643" width="9.85546875" bestFit="1" customWidth="1"/>
    <col min="4644" max="4644" width="12.42578125" bestFit="1" customWidth="1"/>
    <col min="4645" max="4645" width="9.85546875" bestFit="1" customWidth="1"/>
    <col min="4646" max="4646" width="12.42578125" bestFit="1" customWidth="1"/>
    <col min="4647" max="4647" width="7.85546875" bestFit="1" customWidth="1"/>
    <col min="4648" max="4648" width="10.85546875" bestFit="1" customWidth="1"/>
    <col min="4649" max="4649" width="9.85546875" bestFit="1" customWidth="1"/>
    <col min="4650" max="4650" width="12.42578125" bestFit="1" customWidth="1"/>
    <col min="4651" max="4651" width="9.85546875" bestFit="1" customWidth="1"/>
    <col min="4652" max="4652" width="12.42578125" bestFit="1" customWidth="1"/>
    <col min="4653" max="4653" width="7.85546875" bestFit="1" customWidth="1"/>
    <col min="4654" max="4654" width="10.85546875" bestFit="1" customWidth="1"/>
    <col min="4655" max="4655" width="9.85546875" bestFit="1" customWidth="1"/>
    <col min="4656" max="4656" width="12.42578125" bestFit="1" customWidth="1"/>
    <col min="4657" max="4657" width="9.85546875" bestFit="1" customWidth="1"/>
    <col min="4658" max="4658" width="12.42578125" bestFit="1" customWidth="1"/>
    <col min="4659" max="4659" width="9.85546875" bestFit="1" customWidth="1"/>
    <col min="4660" max="4660" width="12.42578125" bestFit="1" customWidth="1"/>
    <col min="4661" max="4661" width="7.85546875" bestFit="1" customWidth="1"/>
    <col min="4662" max="4662" width="10.85546875" bestFit="1" customWidth="1"/>
    <col min="4663" max="4663" width="9.85546875" bestFit="1" customWidth="1"/>
    <col min="4664" max="4664" width="12.42578125" bestFit="1" customWidth="1"/>
    <col min="4665" max="4665" width="9.85546875" bestFit="1" customWidth="1"/>
    <col min="4666" max="4666" width="12.42578125" bestFit="1" customWidth="1"/>
    <col min="4667" max="4667" width="9.85546875" bestFit="1" customWidth="1"/>
    <col min="4668" max="4668" width="12.42578125" bestFit="1" customWidth="1"/>
    <col min="4669" max="4669" width="9.85546875" bestFit="1" customWidth="1"/>
    <col min="4670" max="4670" width="12.42578125" bestFit="1" customWidth="1"/>
    <col min="4671" max="4671" width="7.85546875" bestFit="1" customWidth="1"/>
    <col min="4672" max="4672" width="10.85546875" bestFit="1" customWidth="1"/>
    <col min="4673" max="4673" width="9.85546875" bestFit="1" customWidth="1"/>
    <col min="4674" max="4674" width="12.42578125" bestFit="1" customWidth="1"/>
    <col min="4675" max="4675" width="7.85546875" bestFit="1" customWidth="1"/>
    <col min="4676" max="4676" width="10.85546875" bestFit="1" customWidth="1"/>
    <col min="4677" max="4677" width="9.85546875" bestFit="1" customWidth="1"/>
    <col min="4678" max="4678" width="12.42578125" bestFit="1" customWidth="1"/>
    <col min="4679" max="4679" width="9.85546875" bestFit="1" customWidth="1"/>
    <col min="4680" max="4680" width="12.42578125" bestFit="1" customWidth="1"/>
    <col min="4681" max="4681" width="7.85546875" bestFit="1" customWidth="1"/>
    <col min="4682" max="4682" width="10.85546875" bestFit="1" customWidth="1"/>
    <col min="4683" max="4683" width="7.85546875" bestFit="1" customWidth="1"/>
    <col min="4684" max="4684" width="10.85546875" bestFit="1" customWidth="1"/>
    <col min="4685" max="4685" width="9.85546875" bestFit="1" customWidth="1"/>
    <col min="4686" max="4686" width="12.42578125" bestFit="1" customWidth="1"/>
    <col min="4687" max="4687" width="7.85546875" bestFit="1" customWidth="1"/>
    <col min="4688" max="4688" width="10.85546875" bestFit="1" customWidth="1"/>
    <col min="4689" max="4689" width="9.85546875" bestFit="1" customWidth="1"/>
    <col min="4690" max="4690" width="12.42578125" bestFit="1" customWidth="1"/>
    <col min="4691" max="4691" width="9.85546875" bestFit="1" customWidth="1"/>
    <col min="4692" max="4692" width="12.42578125" bestFit="1" customWidth="1"/>
    <col min="4693" max="4693" width="9.85546875" bestFit="1" customWidth="1"/>
    <col min="4694" max="4694" width="12.42578125" bestFit="1" customWidth="1"/>
    <col min="4695" max="4695" width="9.85546875" bestFit="1" customWidth="1"/>
    <col min="4696" max="4696" width="12.42578125" bestFit="1" customWidth="1"/>
    <col min="4697" max="4697" width="9.85546875" bestFit="1" customWidth="1"/>
    <col min="4698" max="4698" width="12.42578125" bestFit="1" customWidth="1"/>
    <col min="4699" max="4699" width="7.85546875" bestFit="1" customWidth="1"/>
    <col min="4700" max="4700" width="10.85546875" bestFit="1" customWidth="1"/>
    <col min="4701" max="4701" width="9.85546875" bestFit="1" customWidth="1"/>
    <col min="4702" max="4702" width="12.42578125" bestFit="1" customWidth="1"/>
    <col min="4703" max="4703" width="7.85546875" bestFit="1" customWidth="1"/>
    <col min="4704" max="4704" width="10.85546875" bestFit="1" customWidth="1"/>
    <col min="4705" max="4705" width="9.85546875" bestFit="1" customWidth="1"/>
    <col min="4706" max="4706" width="12.42578125" bestFit="1" customWidth="1"/>
    <col min="4707" max="4707" width="7.85546875" bestFit="1" customWidth="1"/>
    <col min="4708" max="4708" width="10.85546875" bestFit="1" customWidth="1"/>
    <col min="4709" max="4709" width="7.85546875" bestFit="1" customWidth="1"/>
    <col min="4710" max="4710" width="10.85546875" bestFit="1" customWidth="1"/>
    <col min="4711" max="4711" width="7.85546875" bestFit="1" customWidth="1"/>
    <col min="4712" max="4712" width="10.85546875" bestFit="1" customWidth="1"/>
    <col min="4713" max="4713" width="7.85546875" bestFit="1" customWidth="1"/>
    <col min="4714" max="4714" width="10.85546875" bestFit="1" customWidth="1"/>
    <col min="4715" max="4715" width="9.85546875" bestFit="1" customWidth="1"/>
    <col min="4716" max="4716" width="12.42578125" bestFit="1" customWidth="1"/>
    <col min="4717" max="4717" width="9.85546875" bestFit="1" customWidth="1"/>
    <col min="4718" max="4718" width="12.42578125" bestFit="1" customWidth="1"/>
    <col min="4719" max="4719" width="9.85546875" bestFit="1" customWidth="1"/>
    <col min="4720" max="4720" width="12.42578125" bestFit="1" customWidth="1"/>
    <col min="4721" max="4721" width="10.85546875" bestFit="1" customWidth="1"/>
    <col min="4722" max="4722" width="13.5703125" bestFit="1" customWidth="1"/>
    <col min="4723" max="4723" width="9.85546875" bestFit="1" customWidth="1"/>
    <col min="4724" max="4724" width="12.42578125" bestFit="1" customWidth="1"/>
    <col min="4725" max="4725" width="9.85546875" bestFit="1" customWidth="1"/>
    <col min="4726" max="4726" width="12.42578125" bestFit="1" customWidth="1"/>
    <col min="4727" max="4727" width="9.85546875" bestFit="1" customWidth="1"/>
    <col min="4728" max="4728" width="12.42578125" bestFit="1" customWidth="1"/>
    <col min="4729" max="4729" width="9.85546875" bestFit="1" customWidth="1"/>
    <col min="4730" max="4730" width="12.42578125" bestFit="1" customWidth="1"/>
    <col min="4731" max="4731" width="7.85546875" bestFit="1" customWidth="1"/>
    <col min="4732" max="4732" width="10.85546875" bestFit="1" customWidth="1"/>
    <col min="4733" max="4733" width="9.85546875" bestFit="1" customWidth="1"/>
    <col min="4734" max="4734" width="12.42578125" bestFit="1" customWidth="1"/>
    <col min="4735" max="4735" width="9.85546875" bestFit="1" customWidth="1"/>
    <col min="4736" max="4736" width="12.42578125" bestFit="1" customWidth="1"/>
    <col min="4737" max="4737" width="9.85546875" bestFit="1" customWidth="1"/>
    <col min="4738" max="4738" width="12.42578125" bestFit="1" customWidth="1"/>
    <col min="4739" max="4739" width="7.85546875" bestFit="1" customWidth="1"/>
    <col min="4740" max="4740" width="10.85546875" bestFit="1" customWidth="1"/>
    <col min="4741" max="4741" width="9.85546875" bestFit="1" customWidth="1"/>
    <col min="4742" max="4742" width="12.42578125" bestFit="1" customWidth="1"/>
    <col min="4743" max="4743" width="9.85546875" bestFit="1" customWidth="1"/>
    <col min="4744" max="4744" width="12.42578125" bestFit="1" customWidth="1"/>
    <col min="4745" max="4745" width="9.85546875" bestFit="1" customWidth="1"/>
    <col min="4746" max="4746" width="12.42578125" bestFit="1" customWidth="1"/>
    <col min="4747" max="4747" width="9.85546875" bestFit="1" customWidth="1"/>
    <col min="4748" max="4748" width="12.42578125" bestFit="1" customWidth="1"/>
    <col min="4749" max="4749" width="9.85546875" bestFit="1" customWidth="1"/>
    <col min="4750" max="4750" width="12.42578125" bestFit="1" customWidth="1"/>
    <col min="4751" max="4751" width="7.85546875" bestFit="1" customWidth="1"/>
    <col min="4752" max="4752" width="10.85546875" bestFit="1" customWidth="1"/>
    <col min="4753" max="4753" width="7.85546875" bestFit="1" customWidth="1"/>
    <col min="4754" max="4754" width="10.85546875" bestFit="1" customWidth="1"/>
    <col min="4755" max="4755" width="9.85546875" bestFit="1" customWidth="1"/>
    <col min="4756" max="4756" width="12.42578125" bestFit="1" customWidth="1"/>
    <col min="4757" max="4757" width="9.85546875" bestFit="1" customWidth="1"/>
    <col min="4758" max="4758" width="12.42578125" bestFit="1" customWidth="1"/>
    <col min="4759" max="4759" width="7.85546875" bestFit="1" customWidth="1"/>
    <col min="4760" max="4760" width="10.85546875" bestFit="1" customWidth="1"/>
    <col min="4761" max="4761" width="9.85546875" bestFit="1" customWidth="1"/>
    <col min="4762" max="4762" width="12.42578125" bestFit="1" customWidth="1"/>
    <col min="4763" max="4763" width="7.85546875" bestFit="1" customWidth="1"/>
    <col min="4764" max="4764" width="10.85546875" bestFit="1" customWidth="1"/>
    <col min="4765" max="4765" width="9.85546875" bestFit="1" customWidth="1"/>
    <col min="4766" max="4766" width="12.42578125" bestFit="1" customWidth="1"/>
    <col min="4767" max="4767" width="7.85546875" bestFit="1" customWidth="1"/>
    <col min="4768" max="4768" width="10.85546875" bestFit="1" customWidth="1"/>
    <col min="4769" max="4769" width="9.85546875" bestFit="1" customWidth="1"/>
    <col min="4770" max="4770" width="12.42578125" bestFit="1" customWidth="1"/>
    <col min="4771" max="4771" width="7.85546875" bestFit="1" customWidth="1"/>
    <col min="4772" max="4772" width="10.85546875" bestFit="1" customWidth="1"/>
    <col min="4773" max="4773" width="9.85546875" bestFit="1" customWidth="1"/>
    <col min="4774" max="4774" width="12.42578125" bestFit="1" customWidth="1"/>
    <col min="4775" max="4775" width="7.85546875" bestFit="1" customWidth="1"/>
    <col min="4776" max="4776" width="10.85546875" bestFit="1" customWidth="1"/>
    <col min="4777" max="4777" width="7.85546875" bestFit="1" customWidth="1"/>
    <col min="4778" max="4778" width="10.85546875" bestFit="1" customWidth="1"/>
    <col min="4779" max="4779" width="7.85546875" bestFit="1" customWidth="1"/>
    <col min="4780" max="4780" width="10.85546875" bestFit="1" customWidth="1"/>
    <col min="4781" max="4781" width="7.85546875" bestFit="1" customWidth="1"/>
    <col min="4782" max="4782" width="10.85546875" bestFit="1" customWidth="1"/>
    <col min="4783" max="4783" width="7.85546875" bestFit="1" customWidth="1"/>
    <col min="4784" max="4784" width="10.85546875" bestFit="1" customWidth="1"/>
    <col min="4785" max="4785" width="9.85546875" bestFit="1" customWidth="1"/>
    <col min="4786" max="4786" width="12.42578125" bestFit="1" customWidth="1"/>
    <col min="4787" max="4787" width="10.85546875" bestFit="1" customWidth="1"/>
    <col min="4788" max="4788" width="13.5703125" bestFit="1" customWidth="1"/>
    <col min="4789" max="4789" width="9.85546875" bestFit="1" customWidth="1"/>
    <col min="4790" max="4790" width="12.42578125" bestFit="1" customWidth="1"/>
    <col min="4791" max="4791" width="9.85546875" bestFit="1" customWidth="1"/>
    <col min="4792" max="4792" width="12.42578125" bestFit="1" customWidth="1"/>
    <col min="4793" max="4793" width="9.85546875" bestFit="1" customWidth="1"/>
    <col min="4794" max="4794" width="12.42578125" bestFit="1" customWidth="1"/>
    <col min="4795" max="4795" width="7.85546875" bestFit="1" customWidth="1"/>
    <col min="4796" max="4796" width="10.85546875" bestFit="1" customWidth="1"/>
    <col min="4797" max="4797" width="9.85546875" bestFit="1" customWidth="1"/>
    <col min="4798" max="4798" width="12.42578125" bestFit="1" customWidth="1"/>
    <col min="4799" max="4799" width="7.85546875" bestFit="1" customWidth="1"/>
    <col min="4800" max="4800" width="10.85546875" bestFit="1" customWidth="1"/>
    <col min="4801" max="4801" width="9.85546875" bestFit="1" customWidth="1"/>
    <col min="4802" max="4802" width="12.42578125" bestFit="1" customWidth="1"/>
    <col min="4803" max="4803" width="9.85546875" bestFit="1" customWidth="1"/>
    <col min="4804" max="4804" width="12.42578125" bestFit="1" customWidth="1"/>
    <col min="4805" max="4805" width="7.85546875" bestFit="1" customWidth="1"/>
    <col min="4806" max="4806" width="10.85546875" bestFit="1" customWidth="1"/>
    <col min="4807" max="4807" width="7.85546875" bestFit="1" customWidth="1"/>
    <col min="4808" max="4808" width="10.85546875" bestFit="1" customWidth="1"/>
    <col min="4809" max="4809" width="7.85546875" bestFit="1" customWidth="1"/>
    <col min="4810" max="4810" width="10.85546875" bestFit="1" customWidth="1"/>
    <col min="4811" max="4811" width="9.85546875" bestFit="1" customWidth="1"/>
    <col min="4812" max="4812" width="12.42578125" bestFit="1" customWidth="1"/>
    <col min="4813" max="4813" width="9.85546875" bestFit="1" customWidth="1"/>
    <col min="4814" max="4814" width="12.42578125" bestFit="1" customWidth="1"/>
    <col min="4815" max="4815" width="9.85546875" bestFit="1" customWidth="1"/>
    <col min="4816" max="4816" width="12.42578125" bestFit="1" customWidth="1"/>
    <col min="4817" max="4817" width="7.85546875" bestFit="1" customWidth="1"/>
    <col min="4818" max="4818" width="10.85546875" bestFit="1" customWidth="1"/>
    <col min="4819" max="4819" width="9.85546875" bestFit="1" customWidth="1"/>
    <col min="4820" max="4820" width="12.42578125" bestFit="1" customWidth="1"/>
    <col min="4821" max="4821" width="9.85546875" bestFit="1" customWidth="1"/>
    <col min="4822" max="4822" width="12.42578125" bestFit="1" customWidth="1"/>
    <col min="4823" max="4823" width="9.85546875" bestFit="1" customWidth="1"/>
    <col min="4824" max="4824" width="12.42578125" bestFit="1" customWidth="1"/>
    <col min="4825" max="4825" width="10.85546875" bestFit="1" customWidth="1"/>
    <col min="4826" max="4826" width="13.5703125" bestFit="1" customWidth="1"/>
    <col min="4827" max="4827" width="9.85546875" bestFit="1" customWidth="1"/>
    <col min="4828" max="4828" width="12.42578125" bestFit="1" customWidth="1"/>
    <col min="4829" max="4829" width="7.85546875" bestFit="1" customWidth="1"/>
    <col min="4830" max="4830" width="10.85546875" bestFit="1" customWidth="1"/>
    <col min="4831" max="4831" width="9.85546875" bestFit="1" customWidth="1"/>
    <col min="4832" max="4832" width="12.42578125" bestFit="1" customWidth="1"/>
    <col min="4833" max="4833" width="9.85546875" bestFit="1" customWidth="1"/>
    <col min="4834" max="4834" width="12.42578125" bestFit="1" customWidth="1"/>
    <col min="4835" max="4835" width="7.85546875" bestFit="1" customWidth="1"/>
    <col min="4836" max="4836" width="10.85546875" bestFit="1" customWidth="1"/>
    <col min="4837" max="4837" width="7.85546875" bestFit="1" customWidth="1"/>
    <col min="4838" max="4838" width="10.85546875" bestFit="1" customWidth="1"/>
    <col min="4839" max="4839" width="7.85546875" bestFit="1" customWidth="1"/>
    <col min="4840" max="4840" width="10.85546875" bestFit="1" customWidth="1"/>
    <col min="4841" max="4841" width="9.85546875" bestFit="1" customWidth="1"/>
    <col min="4842" max="4842" width="12.42578125" bestFit="1" customWidth="1"/>
    <col min="4843" max="4843" width="7.85546875" bestFit="1" customWidth="1"/>
    <col min="4844" max="4844" width="10.85546875" bestFit="1" customWidth="1"/>
    <col min="4845" max="4845" width="9.85546875" bestFit="1" customWidth="1"/>
    <col min="4846" max="4846" width="12.42578125" bestFit="1" customWidth="1"/>
    <col min="4847" max="4847" width="7.85546875" bestFit="1" customWidth="1"/>
    <col min="4848" max="4848" width="10.85546875" bestFit="1" customWidth="1"/>
    <col min="4849" max="4849" width="7.85546875" bestFit="1" customWidth="1"/>
    <col min="4850" max="4850" width="10.85546875" bestFit="1" customWidth="1"/>
    <col min="4851" max="4851" width="9.85546875" bestFit="1" customWidth="1"/>
    <col min="4852" max="4852" width="12.42578125" bestFit="1" customWidth="1"/>
    <col min="4853" max="4853" width="9.85546875" bestFit="1" customWidth="1"/>
    <col min="4854" max="4854" width="12.42578125" bestFit="1" customWidth="1"/>
    <col min="4855" max="4855" width="9.85546875" bestFit="1" customWidth="1"/>
    <col min="4856" max="4856" width="12.42578125" bestFit="1" customWidth="1"/>
    <col min="4857" max="4857" width="9.85546875" bestFit="1" customWidth="1"/>
    <col min="4858" max="4858" width="12.42578125" bestFit="1" customWidth="1"/>
    <col min="4859" max="4859" width="7.85546875" bestFit="1" customWidth="1"/>
    <col min="4860" max="4860" width="10.85546875" bestFit="1" customWidth="1"/>
    <col min="4861" max="4861" width="7.85546875" bestFit="1" customWidth="1"/>
    <col min="4862" max="4862" width="10.85546875" bestFit="1" customWidth="1"/>
    <col min="4863" max="4863" width="9.85546875" bestFit="1" customWidth="1"/>
    <col min="4864" max="4864" width="12.42578125" bestFit="1" customWidth="1"/>
    <col min="4865" max="4865" width="7.85546875" bestFit="1" customWidth="1"/>
    <col min="4866" max="4866" width="10.85546875" bestFit="1" customWidth="1"/>
    <col min="4867" max="4867" width="7.85546875" bestFit="1" customWidth="1"/>
    <col min="4868" max="4868" width="10.85546875" bestFit="1" customWidth="1"/>
    <col min="4869" max="4869" width="7.85546875" bestFit="1" customWidth="1"/>
    <col min="4870" max="4870" width="10.85546875" bestFit="1" customWidth="1"/>
    <col min="4871" max="4871" width="9.85546875" bestFit="1" customWidth="1"/>
    <col min="4872" max="4872" width="12.42578125" bestFit="1" customWidth="1"/>
    <col min="4873" max="4873" width="9.85546875" bestFit="1" customWidth="1"/>
    <col min="4874" max="4874" width="12.42578125" bestFit="1" customWidth="1"/>
    <col min="4875" max="4875" width="9.85546875" bestFit="1" customWidth="1"/>
    <col min="4876" max="4876" width="12.42578125" bestFit="1" customWidth="1"/>
    <col min="4877" max="4877" width="10.85546875" bestFit="1" customWidth="1"/>
    <col min="4878" max="4878" width="13.5703125" bestFit="1" customWidth="1"/>
    <col min="4879" max="4879" width="9.85546875" bestFit="1" customWidth="1"/>
    <col min="4880" max="4880" width="12.42578125" bestFit="1" customWidth="1"/>
    <col min="4881" max="4881" width="9.85546875" bestFit="1" customWidth="1"/>
    <col min="4882" max="4882" width="12.42578125" bestFit="1" customWidth="1"/>
    <col min="4883" max="4883" width="9.85546875" bestFit="1" customWidth="1"/>
    <col min="4884" max="4884" width="12.42578125" bestFit="1" customWidth="1"/>
    <col min="4885" max="4885" width="7.85546875" bestFit="1" customWidth="1"/>
    <col min="4886" max="4886" width="10.85546875" bestFit="1" customWidth="1"/>
    <col min="4887" max="4887" width="7.85546875" bestFit="1" customWidth="1"/>
    <col min="4888" max="4888" width="10.85546875" bestFit="1" customWidth="1"/>
    <col min="4889" max="4889" width="7.85546875" bestFit="1" customWidth="1"/>
    <col min="4890" max="4890" width="10.85546875" bestFit="1" customWidth="1"/>
    <col min="4891" max="4891" width="9.85546875" bestFit="1" customWidth="1"/>
    <col min="4892" max="4892" width="12.42578125" bestFit="1" customWidth="1"/>
    <col min="4893" max="4893" width="9.85546875" bestFit="1" customWidth="1"/>
    <col min="4894" max="4894" width="12.42578125" bestFit="1" customWidth="1"/>
    <col min="4895" max="4895" width="9.85546875" bestFit="1" customWidth="1"/>
    <col min="4896" max="4896" width="12.42578125" bestFit="1" customWidth="1"/>
    <col min="4897" max="4897" width="10.85546875" bestFit="1" customWidth="1"/>
    <col min="4898" max="4898" width="13.5703125" bestFit="1" customWidth="1"/>
    <col min="4899" max="4899" width="7.85546875" bestFit="1" customWidth="1"/>
    <col min="4900" max="4900" width="10.85546875" bestFit="1" customWidth="1"/>
    <col min="4901" max="4901" width="7.85546875" bestFit="1" customWidth="1"/>
    <col min="4902" max="4902" width="10.85546875" bestFit="1" customWidth="1"/>
    <col min="4903" max="4903" width="9.85546875" bestFit="1" customWidth="1"/>
    <col min="4904" max="4904" width="12.42578125" bestFit="1" customWidth="1"/>
    <col min="4905" max="4905" width="9.85546875" bestFit="1" customWidth="1"/>
    <col min="4906" max="4906" width="12.42578125" bestFit="1" customWidth="1"/>
    <col min="4907" max="4907" width="7.85546875" bestFit="1" customWidth="1"/>
    <col min="4908" max="4908" width="10.85546875" bestFit="1" customWidth="1"/>
    <col min="4909" max="4909" width="9.85546875" bestFit="1" customWidth="1"/>
    <col min="4910" max="4910" width="12.42578125" bestFit="1" customWidth="1"/>
    <col min="4911" max="4911" width="10.85546875" bestFit="1" customWidth="1"/>
    <col min="4912" max="4912" width="13.5703125" bestFit="1" customWidth="1"/>
    <col min="4913" max="4913" width="9.85546875" bestFit="1" customWidth="1"/>
    <col min="4914" max="4914" width="12.42578125" bestFit="1" customWidth="1"/>
    <col min="4915" max="4915" width="9.85546875" bestFit="1" customWidth="1"/>
    <col min="4916" max="4916" width="12.42578125" bestFit="1" customWidth="1"/>
    <col min="4917" max="4917" width="9.85546875" bestFit="1" customWidth="1"/>
    <col min="4918" max="4918" width="12.42578125" bestFit="1" customWidth="1"/>
    <col min="4919" max="4919" width="7.85546875" bestFit="1" customWidth="1"/>
    <col min="4920" max="4920" width="10.85546875" bestFit="1" customWidth="1"/>
    <col min="4921" max="4921" width="7.85546875" bestFit="1" customWidth="1"/>
    <col min="4922" max="4922" width="10.85546875" bestFit="1" customWidth="1"/>
    <col min="4923" max="4923" width="9.85546875" bestFit="1" customWidth="1"/>
    <col min="4924" max="4924" width="12.42578125" bestFit="1" customWidth="1"/>
    <col min="4925" max="4925" width="9.85546875" bestFit="1" customWidth="1"/>
    <col min="4926" max="4926" width="12.42578125" bestFit="1" customWidth="1"/>
    <col min="4927" max="4927" width="9.85546875" bestFit="1" customWidth="1"/>
    <col min="4928" max="4928" width="12.42578125" bestFit="1" customWidth="1"/>
    <col min="4929" max="4929" width="7.85546875" bestFit="1" customWidth="1"/>
    <col min="4930" max="4930" width="10.85546875" bestFit="1" customWidth="1"/>
    <col min="4931" max="4931" width="9.85546875" bestFit="1" customWidth="1"/>
    <col min="4932" max="4932" width="12.42578125" bestFit="1" customWidth="1"/>
    <col min="4933" max="4933" width="9.85546875" bestFit="1" customWidth="1"/>
    <col min="4934" max="4934" width="12.42578125" bestFit="1" customWidth="1"/>
    <col min="4935" max="4935" width="7.85546875" bestFit="1" customWidth="1"/>
    <col min="4936" max="4936" width="10.85546875" bestFit="1" customWidth="1"/>
    <col min="4937" max="4937" width="9.85546875" bestFit="1" customWidth="1"/>
    <col min="4938" max="4938" width="12.42578125" bestFit="1" customWidth="1"/>
    <col min="4939" max="4939" width="9.85546875" bestFit="1" customWidth="1"/>
    <col min="4940" max="4940" width="12.42578125" bestFit="1" customWidth="1"/>
    <col min="4941" max="4941" width="9.85546875" bestFit="1" customWidth="1"/>
    <col min="4942" max="4942" width="12.42578125" bestFit="1" customWidth="1"/>
    <col min="4943" max="4943" width="9.85546875" bestFit="1" customWidth="1"/>
    <col min="4944" max="4944" width="12.42578125" bestFit="1" customWidth="1"/>
    <col min="4945" max="4945" width="9.85546875" bestFit="1" customWidth="1"/>
    <col min="4946" max="4946" width="12.42578125" bestFit="1" customWidth="1"/>
    <col min="4947" max="4947" width="7.85546875" bestFit="1" customWidth="1"/>
    <col min="4948" max="4948" width="10.85546875" bestFit="1" customWidth="1"/>
    <col min="4949" max="4949" width="7.85546875" bestFit="1" customWidth="1"/>
    <col min="4950" max="4950" width="10.85546875" bestFit="1" customWidth="1"/>
    <col min="4951" max="4951" width="9.85546875" bestFit="1" customWidth="1"/>
    <col min="4952" max="4952" width="12.42578125" bestFit="1" customWidth="1"/>
    <col min="4953" max="4953" width="9.85546875" bestFit="1" customWidth="1"/>
    <col min="4954" max="4954" width="12.42578125" bestFit="1" customWidth="1"/>
    <col min="4955" max="4955" width="10.85546875" bestFit="1" customWidth="1"/>
    <col min="4956" max="4956" width="13.5703125" bestFit="1" customWidth="1"/>
    <col min="4957" max="4957" width="9.85546875" bestFit="1" customWidth="1"/>
    <col min="4958" max="4958" width="12.42578125" bestFit="1" customWidth="1"/>
    <col min="4959" max="4959" width="9.85546875" bestFit="1" customWidth="1"/>
    <col min="4960" max="4960" width="12.42578125" bestFit="1" customWidth="1"/>
    <col min="4961" max="4961" width="9.85546875" bestFit="1" customWidth="1"/>
    <col min="4962" max="4962" width="12.42578125" bestFit="1" customWidth="1"/>
    <col min="4963" max="4963" width="9.85546875" bestFit="1" customWidth="1"/>
    <col min="4964" max="4964" width="12.42578125" bestFit="1" customWidth="1"/>
    <col min="4965" max="4965" width="7.85546875" bestFit="1" customWidth="1"/>
    <col min="4966" max="4966" width="10.85546875" bestFit="1" customWidth="1"/>
    <col min="4967" max="4967" width="7.85546875" bestFit="1" customWidth="1"/>
    <col min="4968" max="4969" width="10.85546875" bestFit="1" customWidth="1"/>
    <col min="4970" max="4970" width="13.5703125" bestFit="1" customWidth="1"/>
    <col min="4971" max="4971" width="9.85546875" bestFit="1" customWidth="1"/>
    <col min="4972" max="4972" width="12.42578125" bestFit="1" customWidth="1"/>
    <col min="4973" max="4973" width="7.85546875" bestFit="1" customWidth="1"/>
    <col min="4974" max="4974" width="10.85546875" bestFit="1" customWidth="1"/>
    <col min="4975" max="4975" width="9.85546875" bestFit="1" customWidth="1"/>
    <col min="4976" max="4976" width="12.42578125" bestFit="1" customWidth="1"/>
    <col min="4977" max="4977" width="7.85546875" bestFit="1" customWidth="1"/>
    <col min="4978" max="4979" width="10.85546875" bestFit="1" customWidth="1"/>
    <col min="4980" max="4980" width="13.5703125" bestFit="1" customWidth="1"/>
    <col min="4981" max="4981" width="7.85546875" bestFit="1" customWidth="1"/>
    <col min="4982" max="4982" width="10.85546875" bestFit="1" customWidth="1"/>
    <col min="4983" max="4983" width="9.85546875" bestFit="1" customWidth="1"/>
    <col min="4984" max="4984" width="12.42578125" bestFit="1" customWidth="1"/>
    <col min="4985" max="4985" width="7.85546875" bestFit="1" customWidth="1"/>
    <col min="4986" max="4986" width="10.85546875" bestFit="1" customWidth="1"/>
    <col min="4987" max="4987" width="7.85546875" bestFit="1" customWidth="1"/>
    <col min="4988" max="4988" width="10.85546875" bestFit="1" customWidth="1"/>
    <col min="4989" max="4989" width="7.85546875" bestFit="1" customWidth="1"/>
    <col min="4990" max="4990" width="10.85546875" bestFit="1" customWidth="1"/>
    <col min="4991" max="4991" width="9.85546875" bestFit="1" customWidth="1"/>
    <col min="4992" max="4992" width="12.42578125" bestFit="1" customWidth="1"/>
    <col min="4993" max="4993" width="9.85546875" bestFit="1" customWidth="1"/>
    <col min="4994" max="4994" width="12.42578125" bestFit="1" customWidth="1"/>
    <col min="4995" max="4995" width="9.85546875" bestFit="1" customWidth="1"/>
    <col min="4996" max="4996" width="12.42578125" bestFit="1" customWidth="1"/>
    <col min="4997" max="4997" width="7.85546875" bestFit="1" customWidth="1"/>
    <col min="4998" max="4998" width="10.85546875" bestFit="1" customWidth="1"/>
    <col min="4999" max="4999" width="9.85546875" bestFit="1" customWidth="1"/>
    <col min="5000" max="5000" width="12.42578125" bestFit="1" customWidth="1"/>
    <col min="5001" max="5001" width="11.85546875" bestFit="1" customWidth="1"/>
    <col min="5002" max="5002" width="14.5703125" bestFit="1" customWidth="1"/>
    <col min="5003" max="5003" width="10.85546875" bestFit="1" customWidth="1"/>
    <col min="5004" max="5004" width="13.5703125" bestFit="1" customWidth="1"/>
    <col min="5005" max="5005" width="8.85546875" bestFit="1" customWidth="1"/>
    <col min="5006" max="5006" width="11.85546875" bestFit="1" customWidth="1"/>
    <col min="5007" max="5007" width="8.85546875" bestFit="1" customWidth="1"/>
    <col min="5008" max="5008" width="11.85546875" bestFit="1" customWidth="1"/>
    <col min="5009" max="5009" width="10.85546875" bestFit="1" customWidth="1"/>
    <col min="5010" max="5010" width="13.5703125" bestFit="1" customWidth="1"/>
    <col min="5011" max="5011" width="11.85546875" bestFit="1" customWidth="1"/>
    <col min="5012" max="5012" width="14.5703125" bestFit="1" customWidth="1"/>
    <col min="5013" max="5013" width="8.85546875" bestFit="1" customWidth="1"/>
    <col min="5014" max="5014" width="11.85546875" bestFit="1" customWidth="1"/>
    <col min="5015" max="5015" width="8.85546875" bestFit="1" customWidth="1"/>
    <col min="5016" max="5017" width="11.85546875" bestFit="1" customWidth="1"/>
    <col min="5018" max="5018" width="14.5703125" bestFit="1" customWidth="1"/>
    <col min="5019" max="5019" width="10.85546875" bestFit="1" customWidth="1"/>
    <col min="5020" max="5020" width="13.5703125" bestFit="1" customWidth="1"/>
    <col min="5021" max="5021" width="10.85546875" bestFit="1" customWidth="1"/>
    <col min="5022" max="5022" width="13.5703125" bestFit="1" customWidth="1"/>
    <col min="5023" max="5023" width="8.85546875" bestFit="1" customWidth="1"/>
    <col min="5024" max="5024" width="11.85546875" bestFit="1" customWidth="1"/>
    <col min="5025" max="5025" width="8.85546875" bestFit="1" customWidth="1"/>
    <col min="5026" max="5026" width="11.85546875" bestFit="1" customWidth="1"/>
    <col min="5027" max="5027" width="10.85546875" bestFit="1" customWidth="1"/>
    <col min="5028" max="5028" width="13.5703125" bestFit="1" customWidth="1"/>
    <col min="5029" max="5029" width="8.85546875" bestFit="1" customWidth="1"/>
    <col min="5030" max="5030" width="11.85546875" bestFit="1" customWidth="1"/>
    <col min="5031" max="5031" width="10.85546875" bestFit="1" customWidth="1"/>
    <col min="5032" max="5032" width="13.5703125" bestFit="1" customWidth="1"/>
    <col min="5033" max="5033" width="8.85546875" bestFit="1" customWidth="1"/>
    <col min="5034" max="5034" width="11.85546875" bestFit="1" customWidth="1"/>
    <col min="5035" max="5035" width="10.85546875" bestFit="1" customWidth="1"/>
    <col min="5036" max="5036" width="13.5703125" bestFit="1" customWidth="1"/>
    <col min="5037" max="5037" width="10.85546875" bestFit="1" customWidth="1"/>
    <col min="5038" max="5038" width="13.5703125" bestFit="1" customWidth="1"/>
    <col min="5039" max="5039" width="10.85546875" bestFit="1" customWidth="1"/>
    <col min="5040" max="5040" width="13.5703125" bestFit="1" customWidth="1"/>
    <col min="5041" max="5041" width="10.85546875" bestFit="1" customWidth="1"/>
    <col min="5042" max="5042" width="13.5703125" bestFit="1" customWidth="1"/>
    <col min="5043" max="5043" width="8.85546875" bestFit="1" customWidth="1"/>
    <col min="5044" max="5045" width="11.85546875" bestFit="1" customWidth="1"/>
    <col min="5046" max="5046" width="14.5703125" bestFit="1" customWidth="1"/>
    <col min="5047" max="5047" width="8.85546875" bestFit="1" customWidth="1"/>
    <col min="5048" max="5048" width="11.85546875" bestFit="1" customWidth="1"/>
    <col min="5049" max="5049" width="10.85546875" bestFit="1" customWidth="1"/>
    <col min="5050" max="5050" width="13.5703125" bestFit="1" customWidth="1"/>
    <col min="5051" max="5051" width="10.85546875" bestFit="1" customWidth="1"/>
    <col min="5052" max="5052" width="13.5703125" bestFit="1" customWidth="1"/>
    <col min="5053" max="5053" width="8.85546875" bestFit="1" customWidth="1"/>
    <col min="5054" max="5054" width="11.85546875" bestFit="1" customWidth="1"/>
    <col min="5055" max="5055" width="8.85546875" bestFit="1" customWidth="1"/>
    <col min="5056" max="5056" width="11.85546875" bestFit="1" customWidth="1"/>
    <col min="5057" max="5057" width="8.85546875" bestFit="1" customWidth="1"/>
    <col min="5058" max="5058" width="11.85546875" bestFit="1" customWidth="1"/>
    <col min="5059" max="5059" width="10.85546875" bestFit="1" customWidth="1"/>
    <col min="5060" max="5060" width="13.5703125" bestFit="1" customWidth="1"/>
    <col min="5061" max="5061" width="11.85546875" bestFit="1" customWidth="1"/>
    <col min="5062" max="5062" width="14.5703125" bestFit="1" customWidth="1"/>
    <col min="5063" max="5063" width="11.85546875" bestFit="1" customWidth="1"/>
    <col min="5064" max="5064" width="14.5703125" bestFit="1" customWidth="1"/>
    <col min="5065" max="5065" width="11.85546875" bestFit="1" customWidth="1"/>
    <col min="5066" max="5066" width="14.5703125" bestFit="1" customWidth="1"/>
    <col min="5067" max="5067" width="10.85546875" bestFit="1" customWidth="1"/>
    <col min="5068" max="5068" width="13.5703125" bestFit="1" customWidth="1"/>
    <col min="5069" max="5069" width="11.85546875" bestFit="1" customWidth="1"/>
    <col min="5070" max="5070" width="14.5703125" bestFit="1" customWidth="1"/>
    <col min="5071" max="5071" width="10.85546875" bestFit="1" customWidth="1"/>
    <col min="5072" max="5072" width="13.5703125" bestFit="1" customWidth="1"/>
    <col min="5073" max="5073" width="8.85546875" bestFit="1" customWidth="1"/>
    <col min="5074" max="5074" width="11.85546875" bestFit="1" customWidth="1"/>
    <col min="5075" max="5075" width="10.85546875" bestFit="1" customWidth="1"/>
    <col min="5076" max="5076" width="13.5703125" bestFit="1" customWidth="1"/>
    <col min="5077" max="5077" width="10.85546875" bestFit="1" customWidth="1"/>
    <col min="5078" max="5078" width="13.5703125" bestFit="1" customWidth="1"/>
    <col min="5079" max="5079" width="11.85546875" bestFit="1" customWidth="1"/>
    <col min="5080" max="5080" width="14.5703125" bestFit="1" customWidth="1"/>
    <col min="5081" max="5081" width="11.85546875" bestFit="1" customWidth="1"/>
    <col min="5082" max="5082" width="14.5703125" bestFit="1" customWidth="1"/>
    <col min="5083" max="5083" width="10.85546875" bestFit="1" customWidth="1"/>
    <col min="5084" max="5084" width="13.5703125" bestFit="1" customWidth="1"/>
    <col min="5085" max="5085" width="10.85546875" bestFit="1" customWidth="1"/>
    <col min="5086" max="5086" width="13.5703125" bestFit="1" customWidth="1"/>
    <col min="5087" max="5087" width="8.85546875" bestFit="1" customWidth="1"/>
    <col min="5088" max="5088" width="11.85546875" bestFit="1" customWidth="1"/>
    <col min="5089" max="5089" width="8.85546875" bestFit="1" customWidth="1"/>
    <col min="5090" max="5090" width="11.85546875" bestFit="1" customWidth="1"/>
    <col min="5091" max="5091" width="8.85546875" bestFit="1" customWidth="1"/>
    <col min="5092" max="5092" width="11.85546875" bestFit="1" customWidth="1"/>
    <col min="5093" max="5093" width="10.85546875" bestFit="1" customWidth="1"/>
    <col min="5094" max="5094" width="13.5703125" bestFit="1" customWidth="1"/>
    <col min="5095" max="5095" width="10.85546875" bestFit="1" customWidth="1"/>
    <col min="5096" max="5096" width="13.5703125" bestFit="1" customWidth="1"/>
    <col min="5097" max="5097" width="10.85546875" bestFit="1" customWidth="1"/>
    <col min="5098" max="5098" width="13.5703125" bestFit="1" customWidth="1"/>
    <col min="5099" max="5099" width="10.85546875" bestFit="1" customWidth="1"/>
    <col min="5100" max="5100" width="13.5703125" bestFit="1" customWidth="1"/>
    <col min="5101" max="5101" width="10.85546875" bestFit="1" customWidth="1"/>
    <col min="5102" max="5102" width="13.5703125" bestFit="1" customWidth="1"/>
    <col min="5103" max="5103" width="8.85546875" bestFit="1" customWidth="1"/>
    <col min="5104" max="5104" width="11.85546875" bestFit="1" customWidth="1"/>
    <col min="5105" max="5105" width="10.85546875" bestFit="1" customWidth="1"/>
    <col min="5106" max="5106" width="13.5703125" bestFit="1" customWidth="1"/>
    <col min="5107" max="5107" width="10.85546875" bestFit="1" customWidth="1"/>
    <col min="5108" max="5108" width="13.5703125" bestFit="1" customWidth="1"/>
    <col min="5109" max="5109" width="10.85546875" bestFit="1" customWidth="1"/>
    <col min="5110" max="5110" width="13.5703125" bestFit="1" customWidth="1"/>
    <col min="5111" max="5111" width="8.85546875" bestFit="1" customWidth="1"/>
    <col min="5112" max="5112" width="11.85546875" bestFit="1" customWidth="1"/>
    <col min="5113" max="5113" width="10.85546875" bestFit="1" customWidth="1"/>
    <col min="5114" max="5114" width="13.5703125" bestFit="1" customWidth="1"/>
    <col min="5115" max="5115" width="10.85546875" bestFit="1" customWidth="1"/>
    <col min="5116" max="5116" width="13.5703125" bestFit="1" customWidth="1"/>
    <col min="5117" max="5117" width="8.85546875" bestFit="1" customWidth="1"/>
    <col min="5118" max="5118" width="11.85546875" bestFit="1" customWidth="1"/>
    <col min="5119" max="5119" width="10.85546875" bestFit="1" customWidth="1"/>
    <col min="5120" max="5120" width="13.5703125" bestFit="1" customWidth="1"/>
    <col min="5121" max="5121" width="8.85546875" bestFit="1" customWidth="1"/>
    <col min="5122" max="5123" width="11.85546875" bestFit="1" customWidth="1"/>
    <col min="5124" max="5124" width="14.5703125" bestFit="1" customWidth="1"/>
    <col min="5125" max="5125" width="10.85546875" bestFit="1" customWidth="1"/>
    <col min="5126" max="5126" width="13.5703125" bestFit="1" customWidth="1"/>
    <col min="5127" max="5127" width="8.85546875" bestFit="1" customWidth="1"/>
    <col min="5128" max="5128" width="11.85546875" bestFit="1" customWidth="1"/>
    <col min="5129" max="5129" width="10.85546875" bestFit="1" customWidth="1"/>
    <col min="5130" max="5130" width="13.5703125" bestFit="1" customWidth="1"/>
    <col min="5131" max="5131" width="10.85546875" bestFit="1" customWidth="1"/>
    <col min="5132" max="5132" width="13.5703125" bestFit="1" customWidth="1"/>
    <col min="5133" max="5133" width="10.85546875" bestFit="1" customWidth="1"/>
    <col min="5134" max="5134" width="13.5703125" bestFit="1" customWidth="1"/>
    <col min="5135" max="5135" width="10.85546875" bestFit="1" customWidth="1"/>
    <col min="5136" max="5136" width="13.5703125" bestFit="1" customWidth="1"/>
    <col min="5137" max="5137" width="10.85546875" bestFit="1" customWidth="1"/>
    <col min="5138" max="5138" width="13.5703125" bestFit="1" customWidth="1"/>
    <col min="5139" max="5139" width="10.85546875" bestFit="1" customWidth="1"/>
    <col min="5140" max="5140" width="13.5703125" bestFit="1" customWidth="1"/>
    <col min="5141" max="5141" width="8.85546875" bestFit="1" customWidth="1"/>
    <col min="5142" max="5142" width="11.85546875" bestFit="1" customWidth="1"/>
    <col min="5143" max="5143" width="10.85546875" bestFit="1" customWidth="1"/>
    <col min="5144" max="5144" width="13.5703125" bestFit="1" customWidth="1"/>
    <col min="5145" max="5145" width="10.85546875" bestFit="1" customWidth="1"/>
    <col min="5146" max="5146" width="13.5703125" bestFit="1" customWidth="1"/>
    <col min="5147" max="5147" width="10.85546875" bestFit="1" customWidth="1"/>
    <col min="5148" max="5148" width="13.5703125" bestFit="1" customWidth="1"/>
    <col min="5149" max="5149" width="8.85546875" bestFit="1" customWidth="1"/>
    <col min="5150" max="5150" width="11.85546875" bestFit="1" customWidth="1"/>
    <col min="5151" max="5151" width="8.85546875" bestFit="1" customWidth="1"/>
    <col min="5152" max="5152" width="11.85546875" bestFit="1" customWidth="1"/>
    <col min="5153" max="5153" width="8.85546875" bestFit="1" customWidth="1"/>
    <col min="5154" max="5154" width="11.85546875" bestFit="1" customWidth="1"/>
    <col min="5155" max="5155" width="8.85546875" bestFit="1" customWidth="1"/>
    <col min="5156" max="5156" width="11.85546875" bestFit="1" customWidth="1"/>
    <col min="5157" max="5157" width="10.85546875" bestFit="1" customWidth="1"/>
    <col min="5158" max="5158" width="13.5703125" bestFit="1" customWidth="1"/>
    <col min="5159" max="5159" width="10.85546875" bestFit="1" customWidth="1"/>
    <col min="5160" max="5160" width="13.5703125" bestFit="1" customWidth="1"/>
    <col min="5161" max="5161" width="8.85546875" bestFit="1" customWidth="1"/>
    <col min="5162" max="5162" width="11.85546875" bestFit="1" customWidth="1"/>
    <col min="5163" max="5163" width="10.85546875" bestFit="1" customWidth="1"/>
    <col min="5164" max="5164" width="13.5703125" bestFit="1" customWidth="1"/>
    <col min="5165" max="5165" width="8.85546875" bestFit="1" customWidth="1"/>
    <col min="5166" max="5166" width="11.85546875" bestFit="1" customWidth="1"/>
    <col min="5167" max="5167" width="8.85546875" bestFit="1" customWidth="1"/>
    <col min="5168" max="5168" width="11.85546875" bestFit="1" customWidth="1"/>
    <col min="5169" max="5169" width="10.85546875" bestFit="1" customWidth="1"/>
    <col min="5170" max="5170" width="13.5703125" bestFit="1" customWidth="1"/>
    <col min="5171" max="5171" width="10.85546875" bestFit="1" customWidth="1"/>
    <col min="5172" max="5172" width="13.5703125" bestFit="1" customWidth="1"/>
    <col min="5173" max="5173" width="8.85546875" bestFit="1" customWidth="1"/>
    <col min="5174" max="5174" width="11.85546875" bestFit="1" customWidth="1"/>
    <col min="5175" max="5175" width="8.85546875" bestFit="1" customWidth="1"/>
    <col min="5176" max="5176" width="11.85546875" bestFit="1" customWidth="1"/>
    <col min="5177" max="5177" width="10.85546875" bestFit="1" customWidth="1"/>
    <col min="5178" max="5178" width="13.5703125" bestFit="1" customWidth="1"/>
    <col min="5179" max="5179" width="10.85546875" bestFit="1" customWidth="1"/>
    <col min="5180" max="5180" width="13.5703125" bestFit="1" customWidth="1"/>
    <col min="5181" max="5181" width="10.85546875" bestFit="1" customWidth="1"/>
    <col min="5182" max="5182" width="13.5703125" bestFit="1" customWidth="1"/>
    <col min="5183" max="5183" width="10.85546875" bestFit="1" customWidth="1"/>
    <col min="5184" max="5184" width="13.5703125" bestFit="1" customWidth="1"/>
    <col min="5185" max="5185" width="8.85546875" bestFit="1" customWidth="1"/>
    <col min="5186" max="5186" width="11.85546875" bestFit="1" customWidth="1"/>
    <col min="5187" max="5187" width="10.85546875" bestFit="1" customWidth="1"/>
    <col min="5188" max="5188" width="13.5703125" bestFit="1" customWidth="1"/>
    <col min="5189" max="5189" width="10.85546875" bestFit="1" customWidth="1"/>
    <col min="5190" max="5190" width="13.5703125" bestFit="1" customWidth="1"/>
    <col min="5191" max="5191" width="10.85546875" bestFit="1" customWidth="1"/>
    <col min="5192" max="5192" width="13.5703125" bestFit="1" customWidth="1"/>
    <col min="5193" max="5193" width="8.85546875" bestFit="1" customWidth="1"/>
    <col min="5194" max="5194" width="11.85546875" bestFit="1" customWidth="1"/>
    <col min="5195" max="5195" width="10.85546875" bestFit="1" customWidth="1"/>
    <col min="5196" max="5196" width="13.5703125" bestFit="1" customWidth="1"/>
    <col min="5197" max="5197" width="8.85546875" bestFit="1" customWidth="1"/>
    <col min="5198" max="5198" width="11.85546875" bestFit="1" customWidth="1"/>
    <col min="5199" max="5199" width="8.85546875" bestFit="1" customWidth="1"/>
    <col min="5200" max="5200" width="11.85546875" bestFit="1" customWidth="1"/>
    <col min="5201" max="5201" width="10.85546875" bestFit="1" customWidth="1"/>
    <col min="5202" max="5202" width="13.5703125" bestFit="1" customWidth="1"/>
    <col min="5203" max="5203" width="11.85546875" bestFit="1" customWidth="1"/>
    <col min="5204" max="5204" width="14.5703125" bestFit="1" customWidth="1"/>
    <col min="5205" max="5205" width="8.85546875" bestFit="1" customWidth="1"/>
    <col min="5206" max="5206" width="11.85546875" bestFit="1" customWidth="1"/>
    <col min="5207" max="5207" width="10.85546875" bestFit="1" customWidth="1"/>
    <col min="5208" max="5208" width="13.5703125" bestFit="1" customWidth="1"/>
    <col min="5209" max="5209" width="10.85546875" bestFit="1" customWidth="1"/>
    <col min="5210" max="5210" width="13.5703125" bestFit="1" customWidth="1"/>
    <col min="5211" max="5211" width="10.85546875" bestFit="1" customWidth="1"/>
    <col min="5212" max="5212" width="13.5703125" bestFit="1" customWidth="1"/>
    <col min="5213" max="5213" width="8.85546875" bestFit="1" customWidth="1"/>
    <col min="5214" max="5214" width="11.85546875" bestFit="1" customWidth="1"/>
    <col min="5215" max="5215" width="8.85546875" bestFit="1" customWidth="1"/>
    <col min="5216" max="5216" width="11.85546875" bestFit="1" customWidth="1"/>
    <col min="5217" max="5217" width="10.85546875" bestFit="1" customWidth="1"/>
    <col min="5218" max="5218" width="13.5703125" bestFit="1" customWidth="1"/>
    <col min="5219" max="5219" width="11.85546875" bestFit="1" customWidth="1"/>
    <col min="5220" max="5220" width="14.5703125" bestFit="1" customWidth="1"/>
    <col min="5221" max="5221" width="11.85546875" bestFit="1" customWidth="1"/>
    <col min="5222" max="5222" width="14.5703125" bestFit="1" customWidth="1"/>
    <col min="5223" max="5223" width="10.85546875" bestFit="1" customWidth="1"/>
    <col min="5224" max="5224" width="13.5703125" bestFit="1" customWidth="1"/>
    <col min="5225" max="5225" width="8.85546875" bestFit="1" customWidth="1"/>
    <col min="5226" max="5226" width="11.85546875" bestFit="1" customWidth="1"/>
    <col min="5227" max="5227" width="8.85546875" bestFit="1" customWidth="1"/>
    <col min="5228" max="5228" width="11.85546875" bestFit="1" customWidth="1"/>
    <col min="5229" max="5229" width="10.85546875" bestFit="1" customWidth="1"/>
    <col min="5230" max="5230" width="13.5703125" bestFit="1" customWidth="1"/>
    <col min="5231" max="5231" width="8.85546875" bestFit="1" customWidth="1"/>
    <col min="5232" max="5232" width="11.85546875" bestFit="1" customWidth="1"/>
    <col min="5233" max="5233" width="10.85546875" bestFit="1" customWidth="1"/>
    <col min="5234" max="5234" width="13.5703125" bestFit="1" customWidth="1"/>
    <col min="5235" max="5235" width="10.85546875" bestFit="1" customWidth="1"/>
    <col min="5236" max="5236" width="13.5703125" bestFit="1" customWidth="1"/>
    <col min="5237" max="5237" width="10.85546875" bestFit="1" customWidth="1"/>
    <col min="5238" max="5238" width="13.5703125" bestFit="1" customWidth="1"/>
    <col min="5239" max="5239" width="8.85546875" bestFit="1" customWidth="1"/>
    <col min="5240" max="5240" width="11.85546875" bestFit="1" customWidth="1"/>
    <col min="5241" max="5241" width="8.85546875" bestFit="1" customWidth="1"/>
    <col min="5242" max="5242" width="11.85546875" bestFit="1" customWidth="1"/>
    <col min="5243" max="5243" width="10.85546875" bestFit="1" customWidth="1"/>
    <col min="5244" max="5244" width="13.5703125" bestFit="1" customWidth="1"/>
    <col min="5245" max="5245" width="11.85546875" bestFit="1" customWidth="1"/>
    <col min="5246" max="5246" width="14.5703125" bestFit="1" customWidth="1"/>
    <col min="5247" max="5247" width="10.85546875" bestFit="1" customWidth="1"/>
    <col min="5248" max="5248" width="13.5703125" bestFit="1" customWidth="1"/>
    <col min="5249" max="5249" width="8.85546875" bestFit="1" customWidth="1"/>
    <col min="5250" max="5251" width="11.85546875" bestFit="1" customWidth="1"/>
    <col min="5252" max="5252" width="14.5703125" bestFit="1" customWidth="1"/>
    <col min="5253" max="5253" width="10.85546875" bestFit="1" customWidth="1"/>
    <col min="5254" max="5254" width="13.5703125" bestFit="1" customWidth="1"/>
    <col min="5255" max="5255" width="10.85546875" bestFit="1" customWidth="1"/>
    <col min="5256" max="5256" width="13.5703125" bestFit="1" customWidth="1"/>
    <col min="5257" max="5257" width="8.85546875" bestFit="1" customWidth="1"/>
    <col min="5258" max="5258" width="11.85546875" bestFit="1" customWidth="1"/>
    <col min="5259" max="5259" width="10.85546875" bestFit="1" customWidth="1"/>
    <col min="5260" max="5260" width="13.5703125" bestFit="1" customWidth="1"/>
    <col min="5261" max="5261" width="8.85546875" bestFit="1" customWidth="1"/>
    <col min="5262" max="5262" width="11.85546875" bestFit="1" customWidth="1"/>
    <col min="5263" max="5263" width="8.85546875" bestFit="1" customWidth="1"/>
    <col min="5264" max="5264" width="11.85546875" bestFit="1" customWidth="1"/>
    <col min="5265" max="5265" width="8.85546875" bestFit="1" customWidth="1"/>
    <col min="5266" max="5266" width="11.85546875" bestFit="1" customWidth="1"/>
    <col min="5267" max="5267" width="8.85546875" bestFit="1" customWidth="1"/>
    <col min="5268" max="5268" width="11.85546875" bestFit="1" customWidth="1"/>
    <col min="5269" max="5269" width="8.85546875" bestFit="1" customWidth="1"/>
    <col min="5270" max="5270" width="11.85546875" bestFit="1" customWidth="1"/>
    <col min="5271" max="5271" width="10.85546875" bestFit="1" customWidth="1"/>
    <col min="5272" max="5272" width="13.5703125" bestFit="1" customWidth="1"/>
    <col min="5273" max="5273" width="10.85546875" bestFit="1" customWidth="1"/>
    <col min="5274" max="5274" width="13.5703125" bestFit="1" customWidth="1"/>
    <col min="5275" max="5275" width="11.85546875" bestFit="1" customWidth="1"/>
    <col min="5276" max="5276" width="14.5703125" bestFit="1" customWidth="1"/>
    <col min="5277" max="5277" width="8.85546875" bestFit="1" customWidth="1"/>
    <col min="5278" max="5278" width="11.85546875" bestFit="1" customWidth="1"/>
    <col min="5279" max="5279" width="10.85546875" bestFit="1" customWidth="1"/>
    <col min="5280" max="5280" width="13.5703125" bestFit="1" customWidth="1"/>
    <col min="5281" max="5281" width="8.85546875" bestFit="1" customWidth="1"/>
    <col min="5282" max="5283" width="11.85546875" bestFit="1" customWidth="1"/>
    <col min="5284" max="5284" width="14.5703125" bestFit="1" customWidth="1"/>
    <col min="5285" max="5285" width="8.85546875" bestFit="1" customWidth="1"/>
    <col min="5286" max="5286" width="11.85546875" bestFit="1" customWidth="1"/>
    <col min="5287" max="5287" width="10.85546875" bestFit="1" customWidth="1"/>
    <col min="5288" max="5288" width="13.5703125" bestFit="1" customWidth="1"/>
    <col min="5289" max="5289" width="8.85546875" bestFit="1" customWidth="1"/>
    <col min="5290" max="5290" width="11.85546875" bestFit="1" customWidth="1"/>
    <col min="5291" max="5291" width="8.85546875" bestFit="1" customWidth="1"/>
    <col min="5292" max="5292" width="11.85546875" bestFit="1" customWidth="1"/>
    <col min="5293" max="5293" width="10.85546875" bestFit="1" customWidth="1"/>
    <col min="5294" max="5294" width="13.5703125" bestFit="1" customWidth="1"/>
    <col min="5295" max="5295" width="8.85546875" bestFit="1" customWidth="1"/>
    <col min="5296" max="5296" width="11.85546875" bestFit="1" customWidth="1"/>
    <col min="5297" max="5297" width="10.85546875" bestFit="1" customWidth="1"/>
    <col min="5298" max="5298" width="13.5703125" bestFit="1" customWidth="1"/>
    <col min="5299" max="5299" width="8.85546875" bestFit="1" customWidth="1"/>
    <col min="5300" max="5300" width="11.85546875" bestFit="1" customWidth="1"/>
    <col min="5301" max="5301" width="10.85546875" bestFit="1" customWidth="1"/>
    <col min="5302" max="5302" width="13.5703125" bestFit="1" customWidth="1"/>
    <col min="5303" max="5303" width="10.85546875" bestFit="1" customWidth="1"/>
    <col min="5304" max="5304" width="13.5703125" bestFit="1" customWidth="1"/>
    <col min="5305" max="5305" width="10.85546875" bestFit="1" customWidth="1"/>
    <col min="5306" max="5306" width="13.5703125" bestFit="1" customWidth="1"/>
    <col min="5307" max="5307" width="10.85546875" bestFit="1" customWidth="1"/>
    <col min="5308" max="5308" width="13.5703125" bestFit="1" customWidth="1"/>
    <col min="5309" max="5309" width="8.85546875" bestFit="1" customWidth="1"/>
    <col min="5310" max="5310" width="11.85546875" bestFit="1" customWidth="1"/>
    <col min="5311" max="5311" width="10.85546875" bestFit="1" customWidth="1"/>
    <col min="5312" max="5312" width="13.5703125" bestFit="1" customWidth="1"/>
    <col min="5313" max="5313" width="10.85546875" bestFit="1" customWidth="1"/>
    <col min="5314" max="5314" width="13.5703125" bestFit="1" customWidth="1"/>
    <col min="5315" max="5315" width="8.85546875" bestFit="1" customWidth="1"/>
    <col min="5316" max="5316" width="11.85546875" bestFit="1" customWidth="1"/>
    <col min="5317" max="5317" width="8.85546875" bestFit="1" customWidth="1"/>
    <col min="5318" max="5318" width="11.85546875" bestFit="1" customWidth="1"/>
    <col min="5319" max="5319" width="8.85546875" bestFit="1" customWidth="1"/>
    <col min="5320" max="5320" width="11.85546875" bestFit="1" customWidth="1"/>
    <col min="5321" max="5321" width="8.85546875" bestFit="1" customWidth="1"/>
    <col min="5322" max="5322" width="11.85546875" bestFit="1" customWidth="1"/>
    <col min="5323" max="5323" width="8.85546875" bestFit="1" customWidth="1"/>
    <col min="5324" max="5324" width="11.85546875" bestFit="1" customWidth="1"/>
    <col min="5325" max="5325" width="10.85546875" bestFit="1" customWidth="1"/>
    <col min="5326" max="5326" width="13.5703125" bestFit="1" customWidth="1"/>
    <col min="5327" max="5327" width="8.85546875" bestFit="1" customWidth="1"/>
    <col min="5328" max="5328" width="11.85546875" bestFit="1" customWidth="1"/>
    <col min="5329" max="5329" width="8.85546875" bestFit="1" customWidth="1"/>
    <col min="5330" max="5330" width="11.85546875" bestFit="1" customWidth="1"/>
    <col min="5331" max="5331" width="10.85546875" bestFit="1" customWidth="1"/>
    <col min="5332" max="5332" width="13.5703125" bestFit="1" customWidth="1"/>
    <col min="5333" max="5333" width="10.85546875" bestFit="1" customWidth="1"/>
    <col min="5334" max="5334" width="13.5703125" bestFit="1" customWidth="1"/>
    <col min="5335" max="5335" width="8.85546875" bestFit="1" customWidth="1"/>
    <col min="5336" max="5336" width="11.85546875" bestFit="1" customWidth="1"/>
    <col min="5337" max="5337" width="8.85546875" bestFit="1" customWidth="1"/>
    <col min="5338" max="5338" width="11.85546875" bestFit="1" customWidth="1"/>
    <col min="5339" max="5339" width="10.85546875" bestFit="1" customWidth="1"/>
    <col min="5340" max="5340" width="13.5703125" bestFit="1" customWidth="1"/>
    <col min="5341" max="5341" width="10.85546875" bestFit="1" customWidth="1"/>
    <col min="5342" max="5342" width="13.5703125" bestFit="1" customWidth="1"/>
    <col min="5343" max="5343" width="10.85546875" bestFit="1" customWidth="1"/>
    <col min="5344" max="5344" width="13.5703125" bestFit="1" customWidth="1"/>
    <col min="5345" max="5345" width="8.85546875" bestFit="1" customWidth="1"/>
    <col min="5346" max="5346" width="11.85546875" bestFit="1" customWidth="1"/>
    <col min="5347" max="5347" width="10.85546875" bestFit="1" customWidth="1"/>
    <col min="5348" max="5348" width="13.5703125" bestFit="1" customWidth="1"/>
    <col min="5349" max="5349" width="8.85546875" bestFit="1" customWidth="1"/>
    <col min="5350" max="5350" width="11.85546875" bestFit="1" customWidth="1"/>
    <col min="5351" max="5351" width="10.85546875" bestFit="1" customWidth="1"/>
    <col min="5352" max="5352" width="13.5703125" bestFit="1" customWidth="1"/>
    <col min="5353" max="5353" width="11.85546875" bestFit="1" customWidth="1"/>
    <col min="5354" max="5354" width="14.5703125" bestFit="1" customWidth="1"/>
    <col min="5355" max="5355" width="11.85546875" bestFit="1" customWidth="1"/>
    <col min="5356" max="5356" width="14.5703125" bestFit="1" customWidth="1"/>
    <col min="5357" max="5357" width="10.85546875" bestFit="1" customWidth="1"/>
    <col min="5358" max="5358" width="13.5703125" bestFit="1" customWidth="1"/>
    <col min="5359" max="5359" width="10.85546875" bestFit="1" customWidth="1"/>
    <col min="5360" max="5360" width="13.5703125" bestFit="1" customWidth="1"/>
    <col min="5361" max="5361" width="10.85546875" bestFit="1" customWidth="1"/>
    <col min="5362" max="5362" width="13.5703125" bestFit="1" customWidth="1"/>
    <col min="5363" max="5363" width="8.85546875" bestFit="1" customWidth="1"/>
    <col min="5364" max="5364" width="11.85546875" bestFit="1" customWidth="1"/>
    <col min="5365" max="5365" width="8.85546875" bestFit="1" customWidth="1"/>
    <col min="5366" max="5366" width="11.85546875" bestFit="1" customWidth="1"/>
    <col min="5367" max="5367" width="8.85546875" bestFit="1" customWidth="1"/>
    <col min="5368" max="5368" width="11.85546875" bestFit="1" customWidth="1"/>
    <col min="5369" max="5369" width="10.85546875" bestFit="1" customWidth="1"/>
    <col min="5370" max="5370" width="13.5703125" bestFit="1" customWidth="1"/>
    <col min="5371" max="5371" width="8.85546875" bestFit="1" customWidth="1"/>
    <col min="5372" max="5372" width="11.85546875" bestFit="1" customWidth="1"/>
    <col min="5373" max="5373" width="8.85546875" bestFit="1" customWidth="1"/>
    <col min="5374" max="5374" width="11.85546875" bestFit="1" customWidth="1"/>
    <col min="5375" max="5375" width="10.85546875" bestFit="1" customWidth="1"/>
    <col min="5376" max="5376" width="13.5703125" bestFit="1" customWidth="1"/>
    <col min="5377" max="5377" width="10.85546875" bestFit="1" customWidth="1"/>
    <col min="5378" max="5378" width="13.5703125" bestFit="1" customWidth="1"/>
    <col min="5379" max="5379" width="10.85546875" bestFit="1" customWidth="1"/>
    <col min="5380" max="5380" width="13.5703125" bestFit="1" customWidth="1"/>
    <col min="5381" max="5381" width="10.85546875" bestFit="1" customWidth="1"/>
    <col min="5382" max="5382" width="13.5703125" bestFit="1" customWidth="1"/>
    <col min="5383" max="5383" width="10.85546875" bestFit="1" customWidth="1"/>
    <col min="5384" max="5384" width="13.5703125" bestFit="1" customWidth="1"/>
    <col min="5385" max="5385" width="10.85546875" bestFit="1" customWidth="1"/>
    <col min="5386" max="5386" width="13.5703125" bestFit="1" customWidth="1"/>
    <col min="5387" max="5387" width="10.85546875" bestFit="1" customWidth="1"/>
    <col min="5388" max="5388" width="13.5703125" bestFit="1" customWidth="1"/>
    <col min="5389" max="5389" width="10.85546875" bestFit="1" customWidth="1"/>
    <col min="5390" max="5390" width="13.5703125" bestFit="1" customWidth="1"/>
    <col min="5391" max="5391" width="11.85546875" bestFit="1" customWidth="1"/>
    <col min="5392" max="5392" width="14.5703125" bestFit="1" customWidth="1"/>
    <col min="5393" max="5393" width="10.85546875" bestFit="1" customWidth="1"/>
    <col min="5394" max="5394" width="13.5703125" bestFit="1" customWidth="1"/>
    <col min="5395" max="5395" width="10.85546875" bestFit="1" customWidth="1"/>
    <col min="5396" max="5396" width="13.5703125" bestFit="1" customWidth="1"/>
    <col min="5397" max="5397" width="10.85546875" bestFit="1" customWidth="1"/>
    <col min="5398" max="5398" width="13.5703125" bestFit="1" customWidth="1"/>
    <col min="5399" max="5399" width="10.85546875" bestFit="1" customWidth="1"/>
    <col min="5400" max="5400" width="13.5703125" bestFit="1" customWidth="1"/>
    <col min="5401" max="5401" width="10.85546875" bestFit="1" customWidth="1"/>
    <col min="5402" max="5402" width="13.5703125" bestFit="1" customWidth="1"/>
    <col min="5403" max="5403" width="10.85546875" bestFit="1" customWidth="1"/>
    <col min="5404" max="5404" width="13.5703125" bestFit="1" customWidth="1"/>
    <col min="5405" max="5405" width="10.85546875" bestFit="1" customWidth="1"/>
    <col min="5406" max="5406" width="13.5703125" bestFit="1" customWidth="1"/>
    <col min="5407" max="5407" width="8.85546875" bestFit="1" customWidth="1"/>
    <col min="5408" max="5408" width="11.85546875" bestFit="1" customWidth="1"/>
    <col min="5409" max="5409" width="10.85546875" bestFit="1" customWidth="1"/>
    <col min="5410" max="5410" width="13.5703125" bestFit="1" customWidth="1"/>
    <col min="5411" max="5411" width="8.85546875" bestFit="1" customWidth="1"/>
    <col min="5412" max="5412" width="11.85546875" bestFit="1" customWidth="1"/>
    <col min="5413" max="5413" width="10.85546875" bestFit="1" customWidth="1"/>
    <col min="5414" max="5414" width="13.5703125" bestFit="1" customWidth="1"/>
    <col min="5415" max="5415" width="8.85546875" bestFit="1" customWidth="1"/>
    <col min="5416" max="5416" width="11.85546875" bestFit="1" customWidth="1"/>
    <col min="5417" max="5417" width="10.85546875" bestFit="1" customWidth="1"/>
    <col min="5418" max="5418" width="13.5703125" bestFit="1" customWidth="1"/>
    <col min="5419" max="5419" width="10.85546875" bestFit="1" customWidth="1"/>
    <col min="5420" max="5420" width="13.5703125" bestFit="1" customWidth="1"/>
    <col min="5421" max="5421" width="8.85546875" bestFit="1" customWidth="1"/>
    <col min="5422" max="5422" width="11.85546875" bestFit="1" customWidth="1"/>
    <col min="5423" max="5423" width="10.85546875" bestFit="1" customWidth="1"/>
    <col min="5424" max="5424" width="13.5703125" bestFit="1" customWidth="1"/>
    <col min="5425" max="5425" width="10.85546875" bestFit="1" customWidth="1"/>
    <col min="5426" max="5426" width="13.5703125" bestFit="1" customWidth="1"/>
    <col min="5427" max="5427" width="8.85546875" bestFit="1" customWidth="1"/>
    <col min="5428" max="5428" width="11.85546875" bestFit="1" customWidth="1"/>
    <col min="5429" max="5429" width="10.85546875" bestFit="1" customWidth="1"/>
    <col min="5430" max="5430" width="13.5703125" bestFit="1" customWidth="1"/>
    <col min="5431" max="5431" width="10.85546875" bestFit="1" customWidth="1"/>
    <col min="5432" max="5432" width="13.5703125" bestFit="1" customWidth="1"/>
    <col min="5433" max="5433" width="10.85546875" bestFit="1" customWidth="1"/>
    <col min="5434" max="5434" width="13.5703125" bestFit="1" customWidth="1"/>
    <col min="5435" max="5435" width="10.85546875" bestFit="1" customWidth="1"/>
    <col min="5436" max="5436" width="13.5703125" bestFit="1" customWidth="1"/>
    <col min="5437" max="5437" width="10.85546875" bestFit="1" customWidth="1"/>
    <col min="5438" max="5438" width="13.5703125" bestFit="1" customWidth="1"/>
    <col min="5439" max="5439" width="8.85546875" bestFit="1" customWidth="1"/>
    <col min="5440" max="5440" width="11.85546875" bestFit="1" customWidth="1"/>
    <col min="5441" max="5441" width="10.85546875" bestFit="1" customWidth="1"/>
    <col min="5442" max="5442" width="13.5703125" bestFit="1" customWidth="1"/>
    <col min="5443" max="5443" width="8.85546875" bestFit="1" customWidth="1"/>
    <col min="5444" max="5444" width="11.85546875" bestFit="1" customWidth="1"/>
    <col min="5445" max="5445" width="8.85546875" bestFit="1" customWidth="1"/>
    <col min="5446" max="5446" width="11.85546875" bestFit="1" customWidth="1"/>
    <col min="5447" max="5447" width="10.85546875" bestFit="1" customWidth="1"/>
    <col min="5448" max="5448" width="13.5703125" bestFit="1" customWidth="1"/>
    <col min="5449" max="5449" width="8.85546875" bestFit="1" customWidth="1"/>
    <col min="5450" max="5450" width="11.85546875" bestFit="1" customWidth="1"/>
    <col min="5451" max="5451" width="8.85546875" bestFit="1" customWidth="1"/>
    <col min="5452" max="5453" width="11.85546875" bestFit="1" customWidth="1"/>
    <col min="5454" max="5454" width="14.5703125" bestFit="1" customWidth="1"/>
    <col min="5455" max="5455" width="10.85546875" bestFit="1" customWidth="1"/>
    <col min="5456" max="5456" width="13.5703125" bestFit="1" customWidth="1"/>
    <col min="5457" max="5457" width="10.85546875" bestFit="1" customWidth="1"/>
    <col min="5458" max="5458" width="13.5703125" bestFit="1" customWidth="1"/>
    <col min="5459" max="5459" width="8.85546875" bestFit="1" customWidth="1"/>
    <col min="5460" max="5460" width="11.85546875" bestFit="1" customWidth="1"/>
    <col min="5461" max="5461" width="8.85546875" bestFit="1" customWidth="1"/>
    <col min="5462" max="5462" width="11.85546875" bestFit="1" customWidth="1"/>
    <col min="5463" max="5463" width="8.85546875" bestFit="1" customWidth="1"/>
    <col min="5464" max="5464" width="11.85546875" bestFit="1" customWidth="1"/>
    <col min="5465" max="5465" width="10.85546875" bestFit="1" customWidth="1"/>
    <col min="5466" max="5466" width="13.5703125" bestFit="1" customWidth="1"/>
    <col min="5467" max="5467" width="10.85546875" bestFit="1" customWidth="1"/>
    <col min="5468" max="5468" width="13.5703125" bestFit="1" customWidth="1"/>
    <col min="5469" max="5469" width="10.85546875" bestFit="1" customWidth="1"/>
    <col min="5470" max="5470" width="13.5703125" bestFit="1" customWidth="1"/>
    <col min="5471" max="5471" width="10.85546875" bestFit="1" customWidth="1"/>
    <col min="5472" max="5472" width="13.5703125" bestFit="1" customWidth="1"/>
    <col min="5473" max="5473" width="10.85546875" bestFit="1" customWidth="1"/>
    <col min="5474" max="5474" width="13.5703125" bestFit="1" customWidth="1"/>
    <col min="5475" max="5475" width="8.85546875" bestFit="1" customWidth="1"/>
    <col min="5476" max="5476" width="11.85546875" bestFit="1" customWidth="1"/>
    <col min="5477" max="5477" width="10.85546875" bestFit="1" customWidth="1"/>
    <col min="5478" max="5478" width="13.5703125" bestFit="1" customWidth="1"/>
    <col min="5479" max="5479" width="8.85546875" bestFit="1" customWidth="1"/>
    <col min="5480" max="5480" width="11.85546875" bestFit="1" customWidth="1"/>
    <col min="5481" max="5481" width="8.85546875" bestFit="1" customWidth="1"/>
    <col min="5482" max="5483" width="11.85546875" bestFit="1" customWidth="1"/>
    <col min="5484" max="5484" width="14.5703125" bestFit="1" customWidth="1"/>
    <col min="5485" max="5485" width="8.85546875" bestFit="1" customWidth="1"/>
    <col min="5486" max="5486" width="11.85546875" bestFit="1" customWidth="1"/>
    <col min="5487" max="5487" width="10.85546875" bestFit="1" customWidth="1"/>
    <col min="5488" max="5488" width="13.5703125" bestFit="1" customWidth="1"/>
    <col min="5489" max="5489" width="10.85546875" bestFit="1" customWidth="1"/>
    <col min="5490" max="5490" width="13.5703125" bestFit="1" customWidth="1"/>
    <col min="5491" max="5491" width="10.85546875" bestFit="1" customWidth="1"/>
    <col min="5492" max="5492" width="13.5703125" bestFit="1" customWidth="1"/>
    <col min="5493" max="5493" width="10.85546875" bestFit="1" customWidth="1"/>
    <col min="5494" max="5494" width="13.5703125" bestFit="1" customWidth="1"/>
    <col min="5495" max="5495" width="10.85546875" bestFit="1" customWidth="1"/>
    <col min="5496" max="5496" width="13.5703125" bestFit="1" customWidth="1"/>
    <col min="5497" max="5497" width="10.85546875" bestFit="1" customWidth="1"/>
    <col min="5498" max="5498" width="13.5703125" bestFit="1" customWidth="1"/>
    <col min="5499" max="5499" width="8.85546875" bestFit="1" customWidth="1"/>
    <col min="5500" max="5500" width="11.85546875" bestFit="1" customWidth="1"/>
    <col min="5501" max="5501" width="10.85546875" bestFit="1" customWidth="1"/>
    <col min="5502" max="5502" width="13.5703125" bestFit="1" customWidth="1"/>
    <col min="5503" max="5503" width="10.85546875" bestFit="1" customWidth="1"/>
    <col min="5504" max="5504" width="13.5703125" bestFit="1" customWidth="1"/>
    <col min="5505" max="5505" width="8.85546875" bestFit="1" customWidth="1"/>
    <col min="5506" max="5506" width="11.85546875" bestFit="1" customWidth="1"/>
    <col min="5507" max="5507" width="10.85546875" bestFit="1" customWidth="1"/>
    <col min="5508" max="5508" width="13.5703125" bestFit="1" customWidth="1"/>
    <col min="5509" max="5509" width="10.85546875" bestFit="1" customWidth="1"/>
    <col min="5510" max="5510" width="13.5703125" bestFit="1" customWidth="1"/>
    <col min="5511" max="5511" width="10.85546875" bestFit="1" customWidth="1"/>
    <col min="5512" max="5512" width="13.5703125" bestFit="1" customWidth="1"/>
    <col min="5513" max="5513" width="10.85546875" bestFit="1" customWidth="1"/>
    <col min="5514" max="5514" width="13.5703125" bestFit="1" customWidth="1"/>
    <col min="5515" max="5515" width="10.85546875" bestFit="1" customWidth="1"/>
    <col min="5516" max="5516" width="13.5703125" bestFit="1" customWidth="1"/>
    <col min="5517" max="5517" width="8.85546875" bestFit="1" customWidth="1"/>
    <col min="5518" max="5518" width="11.85546875" bestFit="1" customWidth="1"/>
    <col min="5519" max="5519" width="10.85546875" bestFit="1" customWidth="1"/>
    <col min="5520" max="5520" width="13.5703125" bestFit="1" customWidth="1"/>
    <col min="5521" max="5521" width="8.85546875" bestFit="1" customWidth="1"/>
    <col min="5522" max="5522" width="11.85546875" bestFit="1" customWidth="1"/>
    <col min="5523" max="5523" width="10.85546875" bestFit="1" customWidth="1"/>
    <col min="5524" max="5524" width="13.5703125" bestFit="1" customWidth="1"/>
    <col min="5525" max="5525" width="11.85546875" bestFit="1" customWidth="1"/>
    <col min="5526" max="5526" width="14.5703125" bestFit="1" customWidth="1"/>
    <col min="5527" max="5527" width="8.85546875" bestFit="1" customWidth="1"/>
    <col min="5528" max="5528" width="11.85546875" bestFit="1" customWidth="1"/>
    <col min="5529" max="5529" width="10.85546875" bestFit="1" customWidth="1"/>
    <col min="5530" max="5530" width="13.5703125" bestFit="1" customWidth="1"/>
    <col min="5531" max="5531" width="10.85546875" bestFit="1" customWidth="1"/>
    <col min="5532" max="5532" width="13.5703125" bestFit="1" customWidth="1"/>
    <col min="5533" max="5533" width="10.85546875" bestFit="1" customWidth="1"/>
    <col min="5534" max="5534" width="13.5703125" bestFit="1" customWidth="1"/>
    <col min="5535" max="5535" width="8.85546875" bestFit="1" customWidth="1"/>
    <col min="5536" max="5536" width="11.85546875" bestFit="1" customWidth="1"/>
    <col min="5537" max="5537" width="10.85546875" bestFit="1" customWidth="1"/>
    <col min="5538" max="5538" width="13.5703125" bestFit="1" customWidth="1"/>
    <col min="5539" max="5539" width="10.85546875" bestFit="1" customWidth="1"/>
    <col min="5540" max="5540" width="13.5703125" bestFit="1" customWidth="1"/>
    <col min="5541" max="5541" width="11.85546875" bestFit="1" customWidth="1"/>
    <col min="5542" max="5542" width="14.5703125" bestFit="1" customWidth="1"/>
    <col min="5543" max="5543" width="10.85546875" bestFit="1" customWidth="1"/>
    <col min="5544" max="5544" width="13.5703125" bestFit="1" customWidth="1"/>
    <col min="5545" max="5545" width="10.85546875" bestFit="1" customWidth="1"/>
    <col min="5546" max="5546" width="13.5703125" bestFit="1" customWidth="1"/>
    <col min="5547" max="5547" width="8.85546875" bestFit="1" customWidth="1"/>
    <col min="5548" max="5548" width="11.85546875" bestFit="1" customWidth="1"/>
    <col min="5549" max="5549" width="10.85546875" bestFit="1" customWidth="1"/>
    <col min="5550" max="5550" width="13.5703125" bestFit="1" customWidth="1"/>
    <col min="5551" max="5551" width="8.85546875" bestFit="1" customWidth="1"/>
    <col min="5552" max="5552" width="11.85546875" bestFit="1" customWidth="1"/>
    <col min="5553" max="5553" width="10.85546875" bestFit="1" customWidth="1"/>
    <col min="5554" max="5554" width="13.5703125" bestFit="1" customWidth="1"/>
    <col min="5555" max="5555" width="11.85546875" bestFit="1" customWidth="1"/>
    <col min="5556" max="5556" width="14.5703125" bestFit="1" customWidth="1"/>
    <col min="5557" max="5557" width="10.85546875" bestFit="1" customWidth="1"/>
    <col min="5558" max="5558" width="13.5703125" bestFit="1" customWidth="1"/>
    <col min="5559" max="5559" width="11.85546875" bestFit="1" customWidth="1"/>
    <col min="5560" max="5560" width="14.5703125" bestFit="1" customWidth="1"/>
    <col min="5561" max="5561" width="10.85546875" bestFit="1" customWidth="1"/>
    <col min="5562" max="5562" width="13.5703125" bestFit="1" customWidth="1"/>
    <col min="5563" max="5563" width="10.85546875" bestFit="1" customWidth="1"/>
    <col min="5564" max="5564" width="13.5703125" bestFit="1" customWidth="1"/>
    <col min="5565" max="5565" width="10.85546875" bestFit="1" customWidth="1"/>
    <col min="5566" max="5566" width="13.5703125" bestFit="1" customWidth="1"/>
    <col min="5567" max="5567" width="8.85546875" bestFit="1" customWidth="1"/>
    <col min="5568" max="5568" width="11.85546875" bestFit="1" customWidth="1"/>
    <col min="5569" max="5569" width="10.85546875" bestFit="1" customWidth="1"/>
    <col min="5570" max="5570" width="13.5703125" bestFit="1" customWidth="1"/>
    <col min="5571" max="5571" width="10.85546875" bestFit="1" customWidth="1"/>
    <col min="5572" max="5572" width="13.5703125" bestFit="1" customWidth="1"/>
    <col min="5573" max="5573" width="8.85546875" bestFit="1" customWidth="1"/>
    <col min="5574" max="5574" width="11.85546875" bestFit="1" customWidth="1"/>
    <col min="5575" max="5575" width="10.85546875" bestFit="1" customWidth="1"/>
    <col min="5576" max="5576" width="13.5703125" bestFit="1" customWidth="1"/>
    <col min="5577" max="5577" width="8.85546875" bestFit="1" customWidth="1"/>
    <col min="5578" max="5578" width="11.85546875" bestFit="1" customWidth="1"/>
    <col min="5579" max="5579" width="10.85546875" bestFit="1" customWidth="1"/>
    <col min="5580" max="5580" width="13.5703125" bestFit="1" customWidth="1"/>
    <col min="5581" max="5581" width="11.85546875" bestFit="1" customWidth="1"/>
    <col min="5582" max="5582" width="14.5703125" bestFit="1" customWidth="1"/>
    <col min="5583" max="5583" width="10.85546875" bestFit="1" customWidth="1"/>
    <col min="5584" max="5584" width="13.5703125" bestFit="1" customWidth="1"/>
    <col min="5585" max="5585" width="10.85546875" bestFit="1" customWidth="1"/>
    <col min="5586" max="5586" width="13.5703125" bestFit="1" customWidth="1"/>
    <col min="5587" max="5587" width="10.85546875" bestFit="1" customWidth="1"/>
    <col min="5588" max="5588" width="13.5703125" bestFit="1" customWidth="1"/>
    <col min="5589" max="5589" width="8.85546875" bestFit="1" customWidth="1"/>
    <col min="5590" max="5590" width="11.85546875" bestFit="1" customWidth="1"/>
    <col min="5591" max="5591" width="8.85546875" bestFit="1" customWidth="1"/>
    <col min="5592" max="5592" width="11.85546875" bestFit="1" customWidth="1"/>
    <col min="5593" max="5593" width="10.85546875" bestFit="1" customWidth="1"/>
    <col min="5594" max="5594" width="13.5703125" bestFit="1" customWidth="1"/>
    <col min="5595" max="5595" width="10.85546875" bestFit="1" customWidth="1"/>
    <col min="5596" max="5596" width="13.5703125" bestFit="1" customWidth="1"/>
    <col min="5597" max="5597" width="11.85546875" bestFit="1" customWidth="1"/>
    <col min="5598" max="5598" width="14.5703125" bestFit="1" customWidth="1"/>
    <col min="5599" max="5599" width="10.85546875" bestFit="1" customWidth="1"/>
    <col min="5600" max="5600" width="13.5703125" bestFit="1" customWidth="1"/>
    <col min="5601" max="5601" width="8.85546875" bestFit="1" customWidth="1"/>
    <col min="5602" max="5602" width="11.85546875" bestFit="1" customWidth="1"/>
    <col min="5603" max="5603" width="8.85546875" bestFit="1" customWidth="1"/>
    <col min="5604" max="5604" width="11.85546875" bestFit="1" customWidth="1"/>
    <col min="5605" max="5605" width="10.85546875" bestFit="1" customWidth="1"/>
    <col min="5606" max="5606" width="13.5703125" bestFit="1" customWidth="1"/>
    <col min="5607" max="5607" width="10.85546875" bestFit="1" customWidth="1"/>
    <col min="5608" max="5608" width="13.5703125" bestFit="1" customWidth="1"/>
    <col min="5609" max="5609" width="8.85546875" bestFit="1" customWidth="1"/>
    <col min="5610" max="5610" width="11.85546875" bestFit="1" customWidth="1"/>
    <col min="5611" max="5611" width="8.85546875" bestFit="1" customWidth="1"/>
    <col min="5612" max="5612" width="11.85546875" bestFit="1" customWidth="1"/>
    <col min="5613" max="5613" width="8.85546875" bestFit="1" customWidth="1"/>
    <col min="5614" max="5614" width="11.85546875" bestFit="1" customWidth="1"/>
    <col min="5615" max="5615" width="8.85546875" bestFit="1" customWidth="1"/>
    <col min="5616" max="5616" width="11.85546875" bestFit="1" customWidth="1"/>
    <col min="5617" max="5617" width="8.85546875" bestFit="1" customWidth="1"/>
    <col min="5618" max="5618" width="11.85546875" bestFit="1" customWidth="1"/>
    <col min="5619" max="5619" width="10.85546875" bestFit="1" customWidth="1"/>
    <col min="5620" max="5620" width="13.5703125" bestFit="1" customWidth="1"/>
    <col min="5621" max="5621" width="10.85546875" bestFit="1" customWidth="1"/>
    <col min="5622" max="5622" width="13.5703125" bestFit="1" customWidth="1"/>
    <col min="5623" max="5623" width="8.85546875" bestFit="1" customWidth="1"/>
    <col min="5624" max="5624" width="11.85546875" bestFit="1" customWidth="1"/>
    <col min="5625" max="5625" width="8.85546875" bestFit="1" customWidth="1"/>
    <col min="5626" max="5626" width="11.85546875" bestFit="1" customWidth="1"/>
    <col min="5627" max="5627" width="10.85546875" bestFit="1" customWidth="1"/>
    <col min="5628" max="5628" width="13.5703125" bestFit="1" customWidth="1"/>
    <col min="5629" max="5629" width="8.85546875" bestFit="1" customWidth="1"/>
    <col min="5630" max="5630" width="11.85546875" bestFit="1" customWidth="1"/>
    <col min="5631" max="5631" width="10.85546875" bestFit="1" customWidth="1"/>
    <col min="5632" max="5632" width="13.5703125" bestFit="1" customWidth="1"/>
    <col min="5633" max="5633" width="11.85546875" bestFit="1" customWidth="1"/>
    <col min="5634" max="5634" width="14.5703125" bestFit="1" customWidth="1"/>
    <col min="5635" max="5635" width="8.85546875" bestFit="1" customWidth="1"/>
    <col min="5636" max="5636" width="11.85546875" bestFit="1" customWidth="1"/>
    <col min="5637" max="5637" width="10.85546875" bestFit="1" customWidth="1"/>
    <col min="5638" max="5638" width="13.5703125" bestFit="1" customWidth="1"/>
    <col min="5639" max="5639" width="8.85546875" bestFit="1" customWidth="1"/>
    <col min="5640" max="5640" width="11.85546875" bestFit="1" customWidth="1"/>
    <col min="5641" max="5641" width="10.85546875" bestFit="1" customWidth="1"/>
    <col min="5642" max="5642" width="13.5703125" bestFit="1" customWidth="1"/>
    <col min="5643" max="5643" width="10.85546875" bestFit="1" customWidth="1"/>
    <col min="5644" max="5644" width="13.5703125" bestFit="1" customWidth="1"/>
    <col min="5645" max="5645" width="10.85546875" bestFit="1" customWidth="1"/>
    <col min="5646" max="5646" width="13.5703125" bestFit="1" customWidth="1"/>
    <col min="5647" max="5647" width="10.85546875" bestFit="1" customWidth="1"/>
    <col min="5648" max="5648" width="13.5703125" bestFit="1" customWidth="1"/>
    <col min="5649" max="5649" width="10.85546875" bestFit="1" customWidth="1"/>
    <col min="5650" max="5650" width="13.5703125" bestFit="1" customWidth="1"/>
    <col min="5651" max="5651" width="8.85546875" bestFit="1" customWidth="1"/>
    <col min="5652" max="5652" width="11.85546875" bestFit="1" customWidth="1"/>
    <col min="5653" max="5653" width="10.85546875" bestFit="1" customWidth="1"/>
    <col min="5654" max="5654" width="13.5703125" bestFit="1" customWidth="1"/>
    <col min="5655" max="5655" width="8.85546875" bestFit="1" customWidth="1"/>
    <col min="5656" max="5657" width="11.85546875" bestFit="1" customWidth="1"/>
    <col min="5658" max="5658" width="14.5703125" bestFit="1" customWidth="1"/>
    <col min="5659" max="5659" width="8.85546875" bestFit="1" customWidth="1"/>
    <col min="5660" max="5660" width="11.85546875" bestFit="1" customWidth="1"/>
    <col min="5661" max="5661" width="10.85546875" bestFit="1" customWidth="1"/>
    <col min="5662" max="5662" width="13.5703125" bestFit="1" customWidth="1"/>
    <col min="5663" max="5663" width="11.85546875" bestFit="1" customWidth="1"/>
    <col min="5664" max="5664" width="14.5703125" bestFit="1" customWidth="1"/>
    <col min="5665" max="5665" width="10.85546875" bestFit="1" customWidth="1"/>
    <col min="5666" max="5666" width="13.5703125" bestFit="1" customWidth="1"/>
    <col min="5667" max="5667" width="8.85546875" bestFit="1" customWidth="1"/>
    <col min="5668" max="5668" width="11.85546875" bestFit="1" customWidth="1"/>
    <col min="5669" max="5669" width="8.85546875" bestFit="1" customWidth="1"/>
    <col min="5670" max="5670" width="11.85546875" bestFit="1" customWidth="1"/>
    <col min="5671" max="5671" width="10.85546875" bestFit="1" customWidth="1"/>
    <col min="5672" max="5672" width="13.5703125" bestFit="1" customWidth="1"/>
    <col min="5673" max="5673" width="10.85546875" bestFit="1" customWidth="1"/>
    <col min="5674" max="5674" width="13.5703125" bestFit="1" customWidth="1"/>
    <col min="5675" max="5675" width="8.85546875" bestFit="1" customWidth="1"/>
    <col min="5676" max="5676" width="11.85546875" bestFit="1" customWidth="1"/>
    <col min="5677" max="5677" width="10.85546875" bestFit="1" customWidth="1"/>
    <col min="5678" max="5678" width="13.5703125" bestFit="1" customWidth="1"/>
    <col min="5679" max="5679" width="10.85546875" bestFit="1" customWidth="1"/>
    <col min="5680" max="5680" width="13.5703125" bestFit="1" customWidth="1"/>
    <col min="5681" max="5681" width="10.85546875" bestFit="1" customWidth="1"/>
    <col min="5682" max="5682" width="13.5703125" bestFit="1" customWidth="1"/>
    <col min="5683" max="5683" width="11.85546875" bestFit="1" customWidth="1"/>
    <col min="5684" max="5684" width="14.5703125" bestFit="1" customWidth="1"/>
    <col min="5685" max="5685" width="8.85546875" bestFit="1" customWidth="1"/>
    <col min="5686" max="5686" width="11.85546875" bestFit="1" customWidth="1"/>
    <col min="5687" max="5687" width="10.85546875" bestFit="1" customWidth="1"/>
    <col min="5688" max="5688" width="13.5703125" bestFit="1" customWidth="1"/>
    <col min="5689" max="5689" width="8.85546875" bestFit="1" customWidth="1"/>
    <col min="5690" max="5691" width="11.85546875" bestFit="1" customWidth="1"/>
    <col min="5692" max="5692" width="14.5703125" bestFit="1" customWidth="1"/>
    <col min="5693" max="5693" width="8.85546875" bestFit="1" customWidth="1"/>
    <col min="5694" max="5694" width="11.85546875" bestFit="1" customWidth="1"/>
    <col min="5695" max="5695" width="10.85546875" bestFit="1" customWidth="1"/>
    <col min="5696" max="5696" width="13.5703125" bestFit="1" customWidth="1"/>
    <col min="5697" max="5697" width="10.85546875" bestFit="1" customWidth="1"/>
    <col min="5698" max="5698" width="13.5703125" bestFit="1" customWidth="1"/>
    <col min="5699" max="5699" width="10.85546875" bestFit="1" customWidth="1"/>
    <col min="5700" max="5700" width="13.5703125" bestFit="1" customWidth="1"/>
    <col min="5701" max="5701" width="10.85546875" bestFit="1" customWidth="1"/>
    <col min="5702" max="5702" width="13.5703125" bestFit="1" customWidth="1"/>
    <col min="5703" max="5703" width="8.85546875" bestFit="1" customWidth="1"/>
    <col min="5704" max="5704" width="11.85546875" bestFit="1" customWidth="1"/>
    <col min="5705" max="5705" width="10.85546875" bestFit="1" customWidth="1"/>
    <col min="5706" max="5706" width="13.5703125" bestFit="1" customWidth="1"/>
    <col min="5707" max="5707" width="11.85546875" bestFit="1" customWidth="1"/>
    <col min="5708" max="5708" width="14.5703125" bestFit="1" customWidth="1"/>
    <col min="5709" max="5709" width="10.85546875" bestFit="1" customWidth="1"/>
    <col min="5710" max="5710" width="13.5703125" bestFit="1" customWidth="1"/>
    <col min="5711" max="5711" width="11.85546875" bestFit="1" customWidth="1"/>
    <col min="5712" max="5712" width="14.5703125" bestFit="1" customWidth="1"/>
    <col min="5713" max="5713" width="10.85546875" bestFit="1" customWidth="1"/>
    <col min="5714" max="5714" width="13.5703125" bestFit="1" customWidth="1"/>
    <col min="5715" max="5715" width="10.85546875" bestFit="1" customWidth="1"/>
    <col min="5716" max="5716" width="13.5703125" bestFit="1" customWidth="1"/>
    <col min="5717" max="5717" width="10.85546875" bestFit="1" customWidth="1"/>
    <col min="5718" max="5718" width="13.5703125" bestFit="1" customWidth="1"/>
    <col min="5719" max="5719" width="10.85546875" bestFit="1" customWidth="1"/>
    <col min="5720" max="5720" width="13.5703125" bestFit="1" customWidth="1"/>
    <col min="5721" max="5721" width="10.85546875" bestFit="1" customWidth="1"/>
    <col min="5722" max="5722" width="13.5703125" bestFit="1" customWidth="1"/>
    <col min="5723" max="5723" width="10.85546875" bestFit="1" customWidth="1"/>
    <col min="5724" max="5724" width="13.5703125" bestFit="1" customWidth="1"/>
    <col min="5725" max="5725" width="8.85546875" bestFit="1" customWidth="1"/>
    <col min="5726" max="5727" width="11.85546875" bestFit="1" customWidth="1"/>
    <col min="5728" max="5728" width="14.5703125" bestFit="1" customWidth="1"/>
    <col min="5729" max="5729" width="10.85546875" bestFit="1" customWidth="1"/>
    <col min="5730" max="5730" width="13.5703125" bestFit="1" customWidth="1"/>
    <col min="5731" max="5731" width="10.85546875" bestFit="1" customWidth="1"/>
    <col min="5732" max="5732" width="13.5703125" bestFit="1" customWidth="1"/>
    <col min="5733" max="5733" width="10.85546875" bestFit="1" customWidth="1"/>
    <col min="5734" max="5734" width="13.5703125" bestFit="1" customWidth="1"/>
    <col min="5735" max="5735" width="8.85546875" bestFit="1" customWidth="1"/>
    <col min="5736" max="5736" width="11.85546875" bestFit="1" customWidth="1"/>
    <col min="5737" max="5737" width="10.85546875" bestFit="1" customWidth="1"/>
    <col min="5738" max="5738" width="13.5703125" bestFit="1" customWidth="1"/>
    <col min="5739" max="5739" width="8.85546875" bestFit="1" customWidth="1"/>
    <col min="5740" max="5740" width="11.85546875" bestFit="1" customWidth="1"/>
    <col min="5741" max="5741" width="10.85546875" bestFit="1" customWidth="1"/>
    <col min="5742" max="5742" width="13.5703125" bestFit="1" customWidth="1"/>
    <col min="5743" max="5743" width="10.85546875" bestFit="1" customWidth="1"/>
    <col min="5744" max="5744" width="13.5703125" bestFit="1" customWidth="1"/>
    <col min="5745" max="5745" width="10.85546875" bestFit="1" customWidth="1"/>
    <col min="5746" max="5746" width="13.5703125" bestFit="1" customWidth="1"/>
    <col min="5747" max="5747" width="10.85546875" bestFit="1" customWidth="1"/>
    <col min="5748" max="5748" width="13.5703125" bestFit="1" customWidth="1"/>
    <col min="5749" max="5749" width="10.85546875" bestFit="1" customWidth="1"/>
    <col min="5750" max="5750" width="13.5703125" bestFit="1" customWidth="1"/>
    <col min="5751" max="5751" width="10.85546875" bestFit="1" customWidth="1"/>
    <col min="5752" max="5752" width="13.5703125" bestFit="1" customWidth="1"/>
    <col min="5753" max="5753" width="10.85546875" bestFit="1" customWidth="1"/>
    <col min="5754" max="5754" width="13.5703125" bestFit="1" customWidth="1"/>
    <col min="5755" max="5755" width="10.85546875" bestFit="1" customWidth="1"/>
    <col min="5756" max="5756" width="13.5703125" bestFit="1" customWidth="1"/>
    <col min="5757" max="5757" width="10.85546875" bestFit="1" customWidth="1"/>
    <col min="5758" max="5758" width="13.5703125" bestFit="1" customWidth="1"/>
    <col min="5759" max="5759" width="10.85546875" bestFit="1" customWidth="1"/>
    <col min="5760" max="5760" width="13.5703125" bestFit="1" customWidth="1"/>
    <col min="5761" max="5761" width="10.85546875" bestFit="1" customWidth="1"/>
    <col min="5762" max="5762" width="13.5703125" bestFit="1" customWidth="1"/>
    <col min="5763" max="5763" width="8.85546875" bestFit="1" customWidth="1"/>
    <col min="5764" max="5764" width="11.85546875" bestFit="1" customWidth="1"/>
    <col min="5765" max="5765" width="10.85546875" bestFit="1" customWidth="1"/>
    <col min="5766" max="5766" width="13.5703125" bestFit="1" customWidth="1"/>
    <col min="5767" max="5767" width="10.85546875" bestFit="1" customWidth="1"/>
    <col min="5768" max="5768" width="13.5703125" bestFit="1" customWidth="1"/>
    <col min="5769" max="5769" width="10.85546875" bestFit="1" customWidth="1"/>
    <col min="5770" max="5770" width="13.5703125" bestFit="1" customWidth="1"/>
    <col min="5771" max="5771" width="10.85546875" bestFit="1" customWidth="1"/>
    <col min="5772" max="5772" width="13.5703125" bestFit="1" customWidth="1"/>
    <col min="5773" max="5773" width="10.85546875" bestFit="1" customWidth="1"/>
    <col min="5774" max="5774" width="13.5703125" bestFit="1" customWidth="1"/>
    <col min="5775" max="5775" width="8.85546875" bestFit="1" customWidth="1"/>
    <col min="5776" max="5776" width="11.85546875" bestFit="1" customWidth="1"/>
    <col min="5777" max="5777" width="8.85546875" bestFit="1" customWidth="1"/>
    <col min="5778" max="5778" width="11.85546875" bestFit="1" customWidth="1"/>
    <col min="5779" max="5779" width="10.85546875" bestFit="1" customWidth="1"/>
    <col min="5780" max="5780" width="13.5703125" bestFit="1" customWidth="1"/>
    <col min="5781" max="5781" width="10.85546875" bestFit="1" customWidth="1"/>
    <col min="5782" max="5782" width="13.5703125" bestFit="1" customWidth="1"/>
    <col min="5783" max="5783" width="10.85546875" bestFit="1" customWidth="1"/>
    <col min="5784" max="5784" width="13.5703125" bestFit="1" customWidth="1"/>
    <col min="5785" max="5785" width="11.85546875" bestFit="1" customWidth="1"/>
    <col min="5786" max="5786" width="14.5703125" bestFit="1" customWidth="1"/>
    <col min="5787" max="5787" width="10.85546875" bestFit="1" customWidth="1"/>
    <col min="5788" max="5788" width="13.5703125" bestFit="1" customWidth="1"/>
    <col min="5789" max="5789" width="10.85546875" bestFit="1" customWidth="1"/>
    <col min="5790" max="5790" width="13.5703125" bestFit="1" customWidth="1"/>
    <col min="5791" max="5791" width="8.85546875" bestFit="1" customWidth="1"/>
    <col min="5792" max="5792" width="11.85546875" bestFit="1" customWidth="1"/>
    <col min="5793" max="5793" width="10.85546875" bestFit="1" customWidth="1"/>
    <col min="5794" max="5794" width="13.5703125" bestFit="1" customWidth="1"/>
    <col min="5795" max="5795" width="10.85546875" bestFit="1" customWidth="1"/>
    <col min="5796" max="5796" width="13.5703125" bestFit="1" customWidth="1"/>
    <col min="5797" max="5797" width="11.85546875" bestFit="1" customWidth="1"/>
    <col min="5798" max="5798" width="14.5703125" bestFit="1" customWidth="1"/>
    <col min="5799" max="5799" width="8.85546875" bestFit="1" customWidth="1"/>
    <col min="5800" max="5800" width="11.85546875" bestFit="1" customWidth="1"/>
    <col min="5801" max="5801" width="10.85546875" bestFit="1" customWidth="1"/>
    <col min="5802" max="5802" width="13.5703125" bestFit="1" customWidth="1"/>
    <col min="5803" max="5803" width="10.85546875" bestFit="1" customWidth="1"/>
    <col min="5804" max="5804" width="13.5703125" bestFit="1" customWidth="1"/>
    <col min="5805" max="5805" width="8.85546875" bestFit="1" customWidth="1"/>
    <col min="5806" max="5807" width="11.85546875" bestFit="1" customWidth="1"/>
    <col min="5808" max="5808" width="14.5703125" bestFit="1" customWidth="1"/>
    <col min="5809" max="5809" width="8.85546875" bestFit="1" customWidth="1"/>
    <col min="5810" max="5810" width="11.85546875" bestFit="1" customWidth="1"/>
    <col min="5811" max="5811" width="10.85546875" bestFit="1" customWidth="1"/>
    <col min="5812" max="5812" width="13.5703125" bestFit="1" customWidth="1"/>
    <col min="5813" max="5813" width="10.85546875" bestFit="1" customWidth="1"/>
    <col min="5814" max="5814" width="13.5703125" bestFit="1" customWidth="1"/>
    <col min="5815" max="5815" width="11.85546875" bestFit="1" customWidth="1"/>
    <col min="5816" max="5816" width="14.5703125" bestFit="1" customWidth="1"/>
    <col min="5817" max="5817" width="10.85546875" bestFit="1" customWidth="1"/>
    <col min="5818" max="5818" width="13.5703125" bestFit="1" customWidth="1"/>
    <col min="5819" max="5819" width="10.85546875" bestFit="1" customWidth="1"/>
    <col min="5820" max="5820" width="13.5703125" bestFit="1" customWidth="1"/>
    <col min="5821" max="5821" width="10.85546875" bestFit="1" customWidth="1"/>
    <col min="5822" max="5822" width="13.5703125" bestFit="1" customWidth="1"/>
    <col min="5823" max="5823" width="8.85546875" bestFit="1" customWidth="1"/>
    <col min="5824" max="5824" width="11.85546875" bestFit="1" customWidth="1"/>
    <col min="5825" max="5825" width="10.85546875" bestFit="1" customWidth="1"/>
    <col min="5826" max="5826" width="13.5703125" bestFit="1" customWidth="1"/>
    <col min="5827" max="5827" width="8.85546875" bestFit="1" customWidth="1"/>
    <col min="5828" max="5828" width="11.85546875" bestFit="1" customWidth="1"/>
    <col min="5829" max="5829" width="8.85546875" bestFit="1" customWidth="1"/>
    <col min="5830" max="5830" width="11.85546875" bestFit="1" customWidth="1"/>
    <col min="5831" max="5831" width="10.85546875" bestFit="1" customWidth="1"/>
    <col min="5832" max="5832" width="13.5703125" bestFit="1" customWidth="1"/>
    <col min="5833" max="5833" width="10.85546875" bestFit="1" customWidth="1"/>
    <col min="5834" max="5834" width="13.5703125" bestFit="1" customWidth="1"/>
    <col min="5835" max="5835" width="10.85546875" bestFit="1" customWidth="1"/>
    <col min="5836" max="5836" width="13.5703125" bestFit="1" customWidth="1"/>
    <col min="5837" max="5837" width="11.85546875" bestFit="1" customWidth="1"/>
    <col min="5838" max="5838" width="14.5703125" bestFit="1" customWidth="1"/>
    <col min="5839" max="5839" width="10.85546875" bestFit="1" customWidth="1"/>
    <col min="5840" max="5840" width="13.5703125" bestFit="1" customWidth="1"/>
    <col min="5841" max="5841" width="10.85546875" bestFit="1" customWidth="1"/>
    <col min="5842" max="5842" width="13.5703125" bestFit="1" customWidth="1"/>
    <col min="5843" max="5843" width="8.85546875" bestFit="1" customWidth="1"/>
    <col min="5844" max="5844" width="11.85546875" bestFit="1" customWidth="1"/>
    <col min="5845" max="5845" width="8.85546875" bestFit="1" customWidth="1"/>
    <col min="5846" max="5846" width="11.85546875" bestFit="1" customWidth="1"/>
    <col min="5847" max="5847" width="10.85546875" bestFit="1" customWidth="1"/>
    <col min="5848" max="5848" width="13.5703125" bestFit="1" customWidth="1"/>
    <col min="5849" max="5849" width="10.85546875" bestFit="1" customWidth="1"/>
    <col min="5850" max="5850" width="13.5703125" bestFit="1" customWidth="1"/>
    <col min="5851" max="5851" width="8.85546875" bestFit="1" customWidth="1"/>
    <col min="5852" max="5853" width="11.85546875" bestFit="1" customWidth="1"/>
    <col min="5854" max="5854" width="14.5703125" bestFit="1" customWidth="1"/>
    <col min="5855" max="5855" width="8.85546875" bestFit="1" customWidth="1"/>
    <col min="5856" max="5856" width="11.85546875" bestFit="1" customWidth="1"/>
    <col min="5857" max="5857" width="8.85546875" bestFit="1" customWidth="1"/>
    <col min="5858" max="5858" width="11.85546875" bestFit="1" customWidth="1"/>
    <col min="5859" max="5859" width="10.85546875" bestFit="1" customWidth="1"/>
    <col min="5860" max="5860" width="13.5703125" bestFit="1" customWidth="1"/>
    <col min="5861" max="5861" width="10.85546875" bestFit="1" customWidth="1"/>
    <col min="5862" max="5862" width="13.5703125" bestFit="1" customWidth="1"/>
    <col min="5863" max="5863" width="8.85546875" bestFit="1" customWidth="1"/>
    <col min="5864" max="5864" width="11.85546875" bestFit="1" customWidth="1"/>
    <col min="5865" max="5865" width="10.85546875" bestFit="1" customWidth="1"/>
    <col min="5866" max="5866" width="13.5703125" bestFit="1" customWidth="1"/>
    <col min="5867" max="5867" width="11.85546875" bestFit="1" customWidth="1"/>
    <col min="5868" max="5868" width="14.5703125" bestFit="1" customWidth="1"/>
    <col min="5869" max="5869" width="8.85546875" bestFit="1" customWidth="1"/>
    <col min="5870" max="5870" width="11.85546875" bestFit="1" customWidth="1"/>
    <col min="5871" max="5871" width="8.85546875" bestFit="1" customWidth="1"/>
    <col min="5872" max="5872" width="11.85546875" bestFit="1" customWidth="1"/>
    <col min="5873" max="5873" width="8.85546875" bestFit="1" customWidth="1"/>
    <col min="5874" max="5875" width="11.85546875" bestFit="1" customWidth="1"/>
    <col min="5876" max="5876" width="14.5703125" bestFit="1" customWidth="1"/>
    <col min="5877" max="5877" width="8.85546875" bestFit="1" customWidth="1"/>
    <col min="5878" max="5878" width="11.85546875" bestFit="1" customWidth="1"/>
    <col min="5879" max="5879" width="8.85546875" bestFit="1" customWidth="1"/>
    <col min="5880" max="5880" width="11.85546875" bestFit="1" customWidth="1"/>
    <col min="5881" max="5881" width="8.85546875" bestFit="1" customWidth="1"/>
    <col min="5882" max="5882" width="11.85546875" bestFit="1" customWidth="1"/>
    <col min="5883" max="5883" width="10.85546875" bestFit="1" customWidth="1"/>
    <col min="5884" max="5884" width="13.5703125" bestFit="1" customWidth="1"/>
    <col min="5885" max="5885" width="8.85546875" bestFit="1" customWidth="1"/>
    <col min="5886" max="5886" width="11.85546875" bestFit="1" customWidth="1"/>
    <col min="5887" max="5887" width="8.85546875" bestFit="1" customWidth="1"/>
    <col min="5888" max="5888" width="11.85546875" bestFit="1" customWidth="1"/>
    <col min="5889" max="5889" width="8.85546875" bestFit="1" customWidth="1"/>
    <col min="5890" max="5890" width="11.85546875" bestFit="1" customWidth="1"/>
    <col min="5891" max="5891" width="10.85546875" bestFit="1" customWidth="1"/>
    <col min="5892" max="5892" width="13.5703125" bestFit="1" customWidth="1"/>
    <col min="5893" max="5893" width="10.85546875" bestFit="1" customWidth="1"/>
    <col min="5894" max="5894" width="13.5703125" bestFit="1" customWidth="1"/>
    <col min="5895" max="5895" width="8.85546875" bestFit="1" customWidth="1"/>
    <col min="5896" max="5896" width="11.85546875" bestFit="1" customWidth="1"/>
    <col min="5897" max="5897" width="10.85546875" bestFit="1" customWidth="1"/>
    <col min="5898" max="5898" width="13.5703125" bestFit="1" customWidth="1"/>
    <col min="5899" max="5899" width="8.85546875" bestFit="1" customWidth="1"/>
    <col min="5900" max="5900" width="11.85546875" bestFit="1" customWidth="1"/>
    <col min="5901" max="5901" width="10.85546875" bestFit="1" customWidth="1"/>
    <col min="5902" max="5902" width="13.5703125" bestFit="1" customWidth="1"/>
    <col min="5903" max="5903" width="11.85546875" bestFit="1" customWidth="1"/>
    <col min="5904" max="5904" width="14.5703125" bestFit="1" customWidth="1"/>
    <col min="5905" max="5905" width="10.85546875" bestFit="1" customWidth="1"/>
    <col min="5906" max="5906" width="13.5703125" bestFit="1" customWidth="1"/>
    <col min="5907" max="5907" width="10.85546875" bestFit="1" customWidth="1"/>
    <col min="5908" max="5908" width="13.5703125" bestFit="1" customWidth="1"/>
    <col min="5909" max="5909" width="10.85546875" bestFit="1" customWidth="1"/>
    <col min="5910" max="5910" width="13.5703125" bestFit="1" customWidth="1"/>
    <col min="5911" max="5911" width="8.85546875" bestFit="1" customWidth="1"/>
    <col min="5912" max="5912" width="11.85546875" bestFit="1" customWidth="1"/>
    <col min="5913" max="5913" width="10.85546875" bestFit="1" customWidth="1"/>
    <col min="5914" max="5914" width="13.5703125" bestFit="1" customWidth="1"/>
    <col min="5915" max="5915" width="10.85546875" bestFit="1" customWidth="1"/>
    <col min="5916" max="5916" width="13.5703125" bestFit="1" customWidth="1"/>
    <col min="5917" max="5917" width="10.85546875" bestFit="1" customWidth="1"/>
    <col min="5918" max="5918" width="13.5703125" bestFit="1" customWidth="1"/>
    <col min="5919" max="5919" width="11.85546875" bestFit="1" customWidth="1"/>
    <col min="5920" max="5920" width="14.5703125" bestFit="1" customWidth="1"/>
    <col min="5921" max="5921" width="10.85546875" bestFit="1" customWidth="1"/>
    <col min="5922" max="5922" width="13.5703125" bestFit="1" customWidth="1"/>
    <col min="5923" max="5923" width="10.85546875" bestFit="1" customWidth="1"/>
    <col min="5924" max="5924" width="13.5703125" bestFit="1" customWidth="1"/>
    <col min="5925" max="5925" width="8.85546875" bestFit="1" customWidth="1"/>
    <col min="5926" max="5926" width="11.85546875" bestFit="1" customWidth="1"/>
    <col min="5927" max="5927" width="10.85546875" bestFit="1" customWidth="1"/>
    <col min="5928" max="5928" width="13.5703125" bestFit="1" customWidth="1"/>
    <col min="5929" max="5929" width="8.85546875" bestFit="1" customWidth="1"/>
    <col min="5930" max="5931" width="11.85546875" bestFit="1" customWidth="1"/>
    <col min="5932" max="5932" width="14.5703125" bestFit="1" customWidth="1"/>
    <col min="5933" max="5933" width="10.85546875" bestFit="1" customWidth="1"/>
    <col min="5934" max="5934" width="13.5703125" bestFit="1" customWidth="1"/>
    <col min="5935" max="5935" width="10.85546875" bestFit="1" customWidth="1"/>
    <col min="5936" max="5936" width="13.5703125" bestFit="1" customWidth="1"/>
    <col min="5937" max="5937" width="10.85546875" bestFit="1" customWidth="1"/>
    <col min="5938" max="5938" width="13.5703125" bestFit="1" customWidth="1"/>
    <col min="5939" max="5939" width="10.85546875" bestFit="1" customWidth="1"/>
    <col min="5940" max="5940" width="13.5703125" bestFit="1" customWidth="1"/>
    <col min="5941" max="5941" width="8.85546875" bestFit="1" customWidth="1"/>
    <col min="5942" max="5942" width="11.85546875" bestFit="1" customWidth="1"/>
    <col min="5943" max="5943" width="10.85546875" bestFit="1" customWidth="1"/>
    <col min="5944" max="5944" width="13.5703125" bestFit="1" customWidth="1"/>
    <col min="5945" max="5945" width="10.85546875" bestFit="1" customWidth="1"/>
    <col min="5946" max="5946" width="13.5703125" bestFit="1" customWidth="1"/>
    <col min="5947" max="5947" width="10.85546875" bestFit="1" customWidth="1"/>
    <col min="5948" max="5948" width="13.5703125" bestFit="1" customWidth="1"/>
    <col min="5949" max="5949" width="8.85546875" bestFit="1" customWidth="1"/>
    <col min="5950" max="5950" width="11.85546875" bestFit="1" customWidth="1"/>
    <col min="5951" max="5951" width="8.85546875" bestFit="1" customWidth="1"/>
    <col min="5952" max="5952" width="11.85546875" bestFit="1" customWidth="1"/>
    <col min="5953" max="5953" width="8.85546875" bestFit="1" customWidth="1"/>
    <col min="5954" max="5954" width="11.85546875" bestFit="1" customWidth="1"/>
    <col min="5955" max="5955" width="10.85546875" bestFit="1" customWidth="1"/>
    <col min="5956" max="5956" width="13.5703125" bestFit="1" customWidth="1"/>
    <col min="5957" max="5957" width="8.85546875" bestFit="1" customWidth="1"/>
    <col min="5958" max="5958" width="11.85546875" bestFit="1" customWidth="1"/>
    <col min="5959" max="5959" width="8.85546875" bestFit="1" customWidth="1"/>
    <col min="5960" max="5960" width="11.85546875" bestFit="1" customWidth="1"/>
    <col min="5961" max="5961" width="8.85546875" bestFit="1" customWidth="1"/>
    <col min="5962" max="5962" width="11.85546875" bestFit="1" customWidth="1"/>
    <col min="5963" max="5963" width="11.28515625" bestFit="1" customWidth="1"/>
  </cols>
  <sheetData>
    <row r="3" spans="1:2" x14ac:dyDescent="0.25">
      <c r="A3" s="4" t="s">
        <v>115</v>
      </c>
    </row>
    <row r="4" spans="1:2" x14ac:dyDescent="0.25">
      <c r="A4" s="5" t="s">
        <v>113</v>
      </c>
      <c r="B4" s="34">
        <v>3000</v>
      </c>
    </row>
    <row r="5" spans="1:2" x14ac:dyDescent="0.25">
      <c r="A5" s="5" t="s">
        <v>91</v>
      </c>
      <c r="B5" s="29">
        <v>153735736.34999979</v>
      </c>
    </row>
    <row r="6" spans="1:2" x14ac:dyDescent="0.25">
      <c r="A6" s="5" t="s">
        <v>112</v>
      </c>
      <c r="B6" s="30">
        <v>13473</v>
      </c>
    </row>
    <row r="7" spans="1:2" x14ac:dyDescent="0.25">
      <c r="A7" s="5" t="s">
        <v>114</v>
      </c>
      <c r="B7" s="30">
        <v>51245.245449999929</v>
      </c>
    </row>
  </sheetData>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01"/>
  <sheetViews>
    <sheetView topLeftCell="A2" workbookViewId="0">
      <selection activeCell="F17" sqref="F17"/>
    </sheetView>
  </sheetViews>
  <sheetFormatPr defaultRowHeight="15" x14ac:dyDescent="0.25"/>
  <cols>
    <col min="1" max="1" width="13.5703125" bestFit="1" customWidth="1"/>
    <col min="2" max="2" width="18.28515625" bestFit="1" customWidth="1"/>
    <col min="3" max="4" width="11.7109375" bestFit="1" customWidth="1"/>
    <col min="5" max="5" width="16.5703125" bestFit="1" customWidth="1"/>
    <col min="6" max="6" width="15.5703125" bestFit="1" customWidth="1"/>
    <col min="7" max="7" width="12.85546875" bestFit="1" customWidth="1"/>
    <col min="8" max="8" width="23.28515625" bestFit="1" customWidth="1"/>
    <col min="9" max="9" width="13.28515625" bestFit="1" customWidth="1"/>
    <col min="10" max="10" width="14.85546875" bestFit="1" customWidth="1"/>
    <col min="11" max="11" width="13.28515625" bestFit="1" customWidth="1"/>
    <col min="12" max="12" width="13.42578125" bestFit="1" customWidth="1"/>
    <col min="13" max="13" width="10" bestFit="1" customWidth="1"/>
    <col min="14" max="14" width="10.5703125" bestFit="1" customWidth="1"/>
    <col min="15" max="15" width="21.85546875" bestFit="1" customWidth="1"/>
    <col min="16" max="16" width="16.28515625" bestFit="1" customWidth="1"/>
  </cols>
  <sheetData>
    <row r="1" spans="1:16"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x14ac:dyDescent="0.25">
      <c r="A2">
        <v>1</v>
      </c>
      <c r="B2" s="2">
        <v>45760</v>
      </c>
      <c r="C2" t="s">
        <v>16</v>
      </c>
      <c r="D2" t="s">
        <v>24</v>
      </c>
      <c r="E2" t="s">
        <v>28</v>
      </c>
      <c r="F2" t="s">
        <v>35</v>
      </c>
      <c r="G2" t="s">
        <v>70</v>
      </c>
      <c r="H2" t="s">
        <v>73</v>
      </c>
      <c r="I2">
        <v>8</v>
      </c>
      <c r="J2">
        <v>2215</v>
      </c>
      <c r="K2">
        <v>0.05</v>
      </c>
      <c r="L2">
        <v>16834</v>
      </c>
      <c r="M2">
        <v>10052.36</v>
      </c>
      <c r="N2">
        <v>6781.64</v>
      </c>
      <c r="O2" t="s">
        <v>76</v>
      </c>
      <c r="P2" t="s">
        <v>81</v>
      </c>
    </row>
    <row r="3" spans="1:16" x14ac:dyDescent="0.25">
      <c r="A3">
        <v>2</v>
      </c>
      <c r="B3" s="2">
        <v>45761</v>
      </c>
      <c r="C3" t="s">
        <v>17</v>
      </c>
      <c r="D3" t="s">
        <v>25</v>
      </c>
      <c r="E3" t="s">
        <v>29</v>
      </c>
      <c r="F3" t="s">
        <v>36</v>
      </c>
      <c r="G3" t="s">
        <v>70</v>
      </c>
      <c r="H3" t="s">
        <v>73</v>
      </c>
      <c r="I3">
        <v>8</v>
      </c>
      <c r="J3">
        <v>11496</v>
      </c>
      <c r="K3">
        <v>0.1</v>
      </c>
      <c r="L3">
        <v>82771.199999999997</v>
      </c>
      <c r="M3">
        <v>49334.36</v>
      </c>
      <c r="N3">
        <v>33436.839999999997</v>
      </c>
      <c r="O3" t="s">
        <v>77</v>
      </c>
      <c r="P3" t="s">
        <v>82</v>
      </c>
    </row>
    <row r="4" spans="1:16" x14ac:dyDescent="0.25">
      <c r="A4">
        <v>3</v>
      </c>
      <c r="B4" s="2">
        <v>45762</v>
      </c>
      <c r="C4" t="s">
        <v>18</v>
      </c>
      <c r="D4" t="s">
        <v>26</v>
      </c>
      <c r="E4" t="s">
        <v>30</v>
      </c>
      <c r="F4" t="s">
        <v>37</v>
      </c>
      <c r="G4" t="s">
        <v>71</v>
      </c>
      <c r="H4" t="s">
        <v>73</v>
      </c>
      <c r="I4">
        <v>5</v>
      </c>
      <c r="J4">
        <v>5390</v>
      </c>
      <c r="K4">
        <v>0.2</v>
      </c>
      <c r="L4">
        <v>21560</v>
      </c>
      <c r="M4">
        <v>17609.59</v>
      </c>
      <c r="N4">
        <v>3950.41</v>
      </c>
      <c r="O4" t="s">
        <v>76</v>
      </c>
      <c r="P4" t="s">
        <v>81</v>
      </c>
    </row>
    <row r="5" spans="1:16" x14ac:dyDescent="0.25">
      <c r="A5">
        <v>4</v>
      </c>
      <c r="B5" s="2">
        <v>45763</v>
      </c>
      <c r="C5" t="s">
        <v>19</v>
      </c>
      <c r="D5" t="s">
        <v>26</v>
      </c>
      <c r="E5" t="s">
        <v>31</v>
      </c>
      <c r="F5" t="s">
        <v>38</v>
      </c>
      <c r="G5" t="s">
        <v>72</v>
      </c>
      <c r="H5" t="s">
        <v>73</v>
      </c>
      <c r="I5">
        <v>5</v>
      </c>
      <c r="J5">
        <v>2353</v>
      </c>
      <c r="K5">
        <v>0.1</v>
      </c>
      <c r="L5">
        <v>10588.5</v>
      </c>
      <c r="M5">
        <v>6912.86</v>
      </c>
      <c r="N5">
        <v>3675.64</v>
      </c>
      <c r="O5" t="s">
        <v>78</v>
      </c>
      <c r="P5" t="s">
        <v>82</v>
      </c>
    </row>
    <row r="6" spans="1:16" x14ac:dyDescent="0.25">
      <c r="A6">
        <v>5</v>
      </c>
      <c r="B6" s="2">
        <v>45764</v>
      </c>
      <c r="C6" t="s">
        <v>20</v>
      </c>
      <c r="D6" t="s">
        <v>26</v>
      </c>
      <c r="E6" t="s">
        <v>32</v>
      </c>
      <c r="F6" t="s">
        <v>39</v>
      </c>
      <c r="G6" t="s">
        <v>72</v>
      </c>
      <c r="H6" t="s">
        <v>74</v>
      </c>
      <c r="I6">
        <v>4</v>
      </c>
      <c r="J6">
        <v>5497</v>
      </c>
      <c r="K6">
        <v>0.1</v>
      </c>
      <c r="L6">
        <v>19789.2</v>
      </c>
      <c r="M6">
        <v>14285.33</v>
      </c>
      <c r="N6">
        <v>5503.87</v>
      </c>
      <c r="O6" t="s">
        <v>76</v>
      </c>
      <c r="P6" t="s">
        <v>81</v>
      </c>
    </row>
    <row r="7" spans="1:16" x14ac:dyDescent="0.25">
      <c r="A7">
        <v>6</v>
      </c>
      <c r="B7" s="2">
        <v>45765</v>
      </c>
      <c r="C7" t="s">
        <v>21</v>
      </c>
      <c r="D7" t="s">
        <v>24</v>
      </c>
      <c r="E7" t="s">
        <v>30</v>
      </c>
      <c r="F7" t="s">
        <v>40</v>
      </c>
      <c r="G7" t="s">
        <v>70</v>
      </c>
      <c r="H7" t="s">
        <v>75</v>
      </c>
      <c r="I7">
        <v>4</v>
      </c>
      <c r="J7">
        <v>10071</v>
      </c>
      <c r="K7">
        <v>0.05</v>
      </c>
      <c r="L7">
        <v>38269.800000000003</v>
      </c>
      <c r="M7">
        <v>24754.86</v>
      </c>
      <c r="N7">
        <v>13514.94</v>
      </c>
      <c r="O7" t="s">
        <v>77</v>
      </c>
      <c r="P7" t="s">
        <v>83</v>
      </c>
    </row>
    <row r="8" spans="1:16" x14ac:dyDescent="0.25">
      <c r="A8">
        <v>7</v>
      </c>
      <c r="B8" s="2">
        <v>45766</v>
      </c>
      <c r="C8" t="s">
        <v>16</v>
      </c>
      <c r="D8" t="s">
        <v>24</v>
      </c>
      <c r="E8" t="s">
        <v>33</v>
      </c>
      <c r="F8" t="s">
        <v>41</v>
      </c>
      <c r="G8" t="s">
        <v>70</v>
      </c>
      <c r="H8" t="s">
        <v>73</v>
      </c>
      <c r="I8">
        <v>2</v>
      </c>
      <c r="J8">
        <v>25162</v>
      </c>
      <c r="K8">
        <v>0.05</v>
      </c>
      <c r="L8">
        <v>47807.8</v>
      </c>
      <c r="M8">
        <v>31424.57</v>
      </c>
      <c r="N8">
        <v>16383.23</v>
      </c>
      <c r="O8" t="s">
        <v>77</v>
      </c>
      <c r="P8" t="s">
        <v>84</v>
      </c>
    </row>
    <row r="9" spans="1:16" x14ac:dyDescent="0.25">
      <c r="A9">
        <v>8</v>
      </c>
      <c r="B9" s="2">
        <v>45767</v>
      </c>
      <c r="C9" t="s">
        <v>20</v>
      </c>
      <c r="D9" t="s">
        <v>26</v>
      </c>
      <c r="E9" t="s">
        <v>29</v>
      </c>
      <c r="F9" t="s">
        <v>42</v>
      </c>
      <c r="G9" t="s">
        <v>70</v>
      </c>
      <c r="H9" t="s">
        <v>75</v>
      </c>
      <c r="I9">
        <v>1</v>
      </c>
      <c r="J9">
        <v>5534</v>
      </c>
      <c r="K9">
        <v>0</v>
      </c>
      <c r="L9">
        <v>5534</v>
      </c>
      <c r="M9">
        <v>3240.73</v>
      </c>
      <c r="N9">
        <v>2293.27</v>
      </c>
      <c r="O9" t="s">
        <v>79</v>
      </c>
      <c r="P9" t="s">
        <v>82</v>
      </c>
    </row>
    <row r="10" spans="1:16" x14ac:dyDescent="0.25">
      <c r="A10">
        <v>9</v>
      </c>
      <c r="B10" s="2">
        <v>45768</v>
      </c>
      <c r="C10" t="s">
        <v>22</v>
      </c>
      <c r="D10" t="s">
        <v>24</v>
      </c>
      <c r="E10" t="s">
        <v>34</v>
      </c>
      <c r="F10" t="s">
        <v>43</v>
      </c>
      <c r="G10" t="s">
        <v>71</v>
      </c>
      <c r="H10" t="s">
        <v>74</v>
      </c>
      <c r="I10">
        <v>7</v>
      </c>
      <c r="J10">
        <v>3464</v>
      </c>
      <c r="K10">
        <v>0.15</v>
      </c>
      <c r="L10">
        <v>20610.8</v>
      </c>
      <c r="M10">
        <v>16832.419999999998</v>
      </c>
      <c r="N10">
        <v>3778.38</v>
      </c>
      <c r="O10" t="s">
        <v>80</v>
      </c>
      <c r="P10" t="s">
        <v>82</v>
      </c>
    </row>
    <row r="11" spans="1:16" x14ac:dyDescent="0.25">
      <c r="A11">
        <v>10</v>
      </c>
      <c r="B11" s="2">
        <v>45769</v>
      </c>
      <c r="C11" t="s">
        <v>20</v>
      </c>
      <c r="D11" t="s">
        <v>26</v>
      </c>
      <c r="E11" t="s">
        <v>29</v>
      </c>
      <c r="F11" t="s">
        <v>42</v>
      </c>
      <c r="G11" t="s">
        <v>71</v>
      </c>
      <c r="H11" t="s">
        <v>74</v>
      </c>
      <c r="I11">
        <v>8</v>
      </c>
      <c r="J11">
        <v>10829</v>
      </c>
      <c r="K11">
        <v>0</v>
      </c>
      <c r="L11">
        <v>86632</v>
      </c>
      <c r="M11">
        <v>59858</v>
      </c>
      <c r="N11">
        <v>26774</v>
      </c>
      <c r="O11" t="s">
        <v>77</v>
      </c>
      <c r="P11" t="s">
        <v>85</v>
      </c>
    </row>
    <row r="12" spans="1:16" x14ac:dyDescent="0.25">
      <c r="A12">
        <v>11</v>
      </c>
      <c r="B12" s="2">
        <v>45770</v>
      </c>
      <c r="C12" t="s">
        <v>21</v>
      </c>
      <c r="D12" t="s">
        <v>24</v>
      </c>
      <c r="E12" t="s">
        <v>30</v>
      </c>
      <c r="F12" t="s">
        <v>44</v>
      </c>
      <c r="G12" t="s">
        <v>72</v>
      </c>
      <c r="H12" t="s">
        <v>75</v>
      </c>
      <c r="I12">
        <v>1</v>
      </c>
      <c r="J12">
        <v>15045</v>
      </c>
      <c r="K12">
        <v>0</v>
      </c>
      <c r="L12">
        <v>15045</v>
      </c>
      <c r="M12">
        <v>9535.4</v>
      </c>
      <c r="N12">
        <v>5509.6</v>
      </c>
      <c r="O12" t="s">
        <v>78</v>
      </c>
      <c r="P12" t="s">
        <v>84</v>
      </c>
    </row>
    <row r="13" spans="1:16" x14ac:dyDescent="0.25">
      <c r="A13">
        <v>12</v>
      </c>
      <c r="B13" s="2">
        <v>45771</v>
      </c>
      <c r="C13" t="s">
        <v>20</v>
      </c>
      <c r="D13" t="s">
        <v>26</v>
      </c>
      <c r="E13" t="s">
        <v>30</v>
      </c>
      <c r="F13" t="s">
        <v>37</v>
      </c>
      <c r="G13" t="s">
        <v>70</v>
      </c>
      <c r="H13" t="s">
        <v>75</v>
      </c>
      <c r="I13">
        <v>1</v>
      </c>
      <c r="J13">
        <v>2354</v>
      </c>
      <c r="K13">
        <v>0.05</v>
      </c>
      <c r="L13">
        <v>2236.3000000000002</v>
      </c>
      <c r="M13">
        <v>1637.99</v>
      </c>
      <c r="N13">
        <v>598.30999999999995</v>
      </c>
      <c r="O13" t="s">
        <v>77</v>
      </c>
      <c r="P13" t="s">
        <v>86</v>
      </c>
    </row>
    <row r="14" spans="1:16" x14ac:dyDescent="0.25">
      <c r="A14">
        <v>13</v>
      </c>
      <c r="B14" s="2">
        <v>45772</v>
      </c>
      <c r="C14" t="s">
        <v>19</v>
      </c>
      <c r="D14" t="s">
        <v>26</v>
      </c>
      <c r="E14" t="s">
        <v>29</v>
      </c>
      <c r="F14" t="s">
        <v>45</v>
      </c>
      <c r="G14" t="s">
        <v>70</v>
      </c>
      <c r="H14" t="s">
        <v>75</v>
      </c>
      <c r="I14">
        <v>4</v>
      </c>
      <c r="J14">
        <v>11864</v>
      </c>
      <c r="K14">
        <v>0.1</v>
      </c>
      <c r="L14">
        <v>42710.400000000001</v>
      </c>
      <c r="M14">
        <v>33297.81</v>
      </c>
      <c r="N14">
        <v>9412.59</v>
      </c>
      <c r="O14" t="s">
        <v>80</v>
      </c>
      <c r="P14" t="s">
        <v>84</v>
      </c>
    </row>
    <row r="15" spans="1:16" x14ac:dyDescent="0.25">
      <c r="A15">
        <v>14</v>
      </c>
      <c r="B15" s="2">
        <v>45773</v>
      </c>
      <c r="C15" t="s">
        <v>21</v>
      </c>
      <c r="D15" t="s">
        <v>24</v>
      </c>
      <c r="E15" t="s">
        <v>33</v>
      </c>
      <c r="F15" t="s">
        <v>46</v>
      </c>
      <c r="G15" t="s">
        <v>71</v>
      </c>
      <c r="H15" t="s">
        <v>74</v>
      </c>
      <c r="I15">
        <v>8</v>
      </c>
      <c r="J15">
        <v>11180</v>
      </c>
      <c r="K15">
        <v>0.15</v>
      </c>
      <c r="L15">
        <v>76024</v>
      </c>
      <c r="M15">
        <v>58764.86</v>
      </c>
      <c r="N15">
        <v>17259.14</v>
      </c>
      <c r="O15" t="s">
        <v>78</v>
      </c>
      <c r="P15" t="s">
        <v>85</v>
      </c>
    </row>
    <row r="16" spans="1:16" x14ac:dyDescent="0.25">
      <c r="A16">
        <v>15</v>
      </c>
      <c r="B16" s="2">
        <v>45774</v>
      </c>
      <c r="C16" t="s">
        <v>19</v>
      </c>
      <c r="D16" t="s">
        <v>26</v>
      </c>
      <c r="E16" t="s">
        <v>31</v>
      </c>
      <c r="F16" t="s">
        <v>47</v>
      </c>
      <c r="G16" t="s">
        <v>70</v>
      </c>
      <c r="H16" t="s">
        <v>75</v>
      </c>
      <c r="I16">
        <v>8</v>
      </c>
      <c r="J16">
        <v>2149</v>
      </c>
      <c r="K16">
        <v>0.1</v>
      </c>
      <c r="L16">
        <v>15472.8</v>
      </c>
      <c r="M16">
        <v>10241.129999999999</v>
      </c>
      <c r="N16">
        <v>5231.67</v>
      </c>
      <c r="O16" t="s">
        <v>77</v>
      </c>
      <c r="P16" t="s">
        <v>82</v>
      </c>
    </row>
    <row r="17" spans="1:16" x14ac:dyDescent="0.25">
      <c r="A17">
        <v>16</v>
      </c>
      <c r="B17" s="2">
        <v>45775</v>
      </c>
      <c r="C17" t="s">
        <v>23</v>
      </c>
      <c r="D17" t="s">
        <v>27</v>
      </c>
      <c r="E17" t="s">
        <v>30</v>
      </c>
      <c r="F17" t="s">
        <v>40</v>
      </c>
      <c r="G17" t="s">
        <v>72</v>
      </c>
      <c r="H17" t="s">
        <v>73</v>
      </c>
      <c r="I17">
        <v>3</v>
      </c>
      <c r="J17">
        <v>34211</v>
      </c>
      <c r="K17">
        <v>0.1</v>
      </c>
      <c r="L17">
        <v>92369.7</v>
      </c>
      <c r="M17">
        <v>50957.62</v>
      </c>
      <c r="N17">
        <v>41412.080000000002</v>
      </c>
      <c r="O17" t="s">
        <v>78</v>
      </c>
      <c r="P17" t="s">
        <v>87</v>
      </c>
    </row>
    <row r="18" spans="1:16" x14ac:dyDescent="0.25">
      <c r="A18">
        <v>17</v>
      </c>
      <c r="B18" s="2">
        <v>45776</v>
      </c>
      <c r="C18" t="s">
        <v>22</v>
      </c>
      <c r="D18" t="s">
        <v>24</v>
      </c>
      <c r="E18" t="s">
        <v>30</v>
      </c>
      <c r="F18" t="s">
        <v>40</v>
      </c>
      <c r="G18" t="s">
        <v>71</v>
      </c>
      <c r="H18" t="s">
        <v>75</v>
      </c>
      <c r="I18">
        <v>1</v>
      </c>
      <c r="J18">
        <v>39967</v>
      </c>
      <c r="K18">
        <v>0.1</v>
      </c>
      <c r="L18">
        <v>35970.300000000003</v>
      </c>
      <c r="M18">
        <v>28341.37</v>
      </c>
      <c r="N18">
        <v>7628.93</v>
      </c>
      <c r="O18" t="s">
        <v>77</v>
      </c>
      <c r="P18" t="s">
        <v>87</v>
      </c>
    </row>
    <row r="19" spans="1:16" x14ac:dyDescent="0.25">
      <c r="A19">
        <v>18</v>
      </c>
      <c r="B19" s="2">
        <v>45777</v>
      </c>
      <c r="C19" t="s">
        <v>19</v>
      </c>
      <c r="D19" t="s">
        <v>26</v>
      </c>
      <c r="E19" t="s">
        <v>29</v>
      </c>
      <c r="F19" t="s">
        <v>45</v>
      </c>
      <c r="G19" t="s">
        <v>70</v>
      </c>
      <c r="H19" t="s">
        <v>75</v>
      </c>
      <c r="I19">
        <v>3</v>
      </c>
      <c r="J19">
        <v>7422</v>
      </c>
      <c r="K19">
        <v>0.15</v>
      </c>
      <c r="L19">
        <v>18926.099999999999</v>
      </c>
      <c r="M19">
        <v>11847</v>
      </c>
      <c r="N19">
        <v>7079.1</v>
      </c>
      <c r="O19" t="s">
        <v>79</v>
      </c>
      <c r="P19" t="s">
        <v>86</v>
      </c>
    </row>
    <row r="20" spans="1:16" x14ac:dyDescent="0.25">
      <c r="A20">
        <v>19</v>
      </c>
      <c r="B20" s="2">
        <v>45778</v>
      </c>
      <c r="C20" t="s">
        <v>18</v>
      </c>
      <c r="D20" t="s">
        <v>26</v>
      </c>
      <c r="E20" t="s">
        <v>29</v>
      </c>
      <c r="F20" t="s">
        <v>45</v>
      </c>
      <c r="G20" t="s">
        <v>71</v>
      </c>
      <c r="H20" t="s">
        <v>75</v>
      </c>
      <c r="I20">
        <v>6</v>
      </c>
      <c r="J20">
        <v>2727</v>
      </c>
      <c r="K20">
        <v>0.2</v>
      </c>
      <c r="L20">
        <v>13089.6</v>
      </c>
      <c r="M20">
        <v>11361.7</v>
      </c>
      <c r="N20">
        <v>1727.9</v>
      </c>
      <c r="O20" t="s">
        <v>76</v>
      </c>
      <c r="P20" t="s">
        <v>88</v>
      </c>
    </row>
    <row r="21" spans="1:16" x14ac:dyDescent="0.25">
      <c r="A21">
        <v>20</v>
      </c>
      <c r="B21" s="2">
        <v>45779</v>
      </c>
      <c r="C21" t="s">
        <v>19</v>
      </c>
      <c r="D21" t="s">
        <v>26</v>
      </c>
      <c r="E21" t="s">
        <v>32</v>
      </c>
      <c r="F21" t="s">
        <v>48</v>
      </c>
      <c r="G21" t="s">
        <v>72</v>
      </c>
      <c r="H21" t="s">
        <v>75</v>
      </c>
      <c r="I21">
        <v>2</v>
      </c>
      <c r="J21">
        <v>1769</v>
      </c>
      <c r="K21">
        <v>0.1</v>
      </c>
      <c r="L21">
        <v>3184.2</v>
      </c>
      <c r="M21">
        <v>2791.64</v>
      </c>
      <c r="N21">
        <v>392.56</v>
      </c>
      <c r="O21" t="s">
        <v>77</v>
      </c>
      <c r="P21" t="s">
        <v>81</v>
      </c>
    </row>
    <row r="22" spans="1:16" x14ac:dyDescent="0.25">
      <c r="A22">
        <v>21</v>
      </c>
      <c r="B22" s="2">
        <v>45780</v>
      </c>
      <c r="C22" t="s">
        <v>17</v>
      </c>
      <c r="D22" t="s">
        <v>25</v>
      </c>
      <c r="E22" t="s">
        <v>30</v>
      </c>
      <c r="F22" t="s">
        <v>37</v>
      </c>
      <c r="G22" t="s">
        <v>71</v>
      </c>
      <c r="H22" t="s">
        <v>74</v>
      </c>
      <c r="I22">
        <v>6</v>
      </c>
      <c r="J22">
        <v>56248</v>
      </c>
      <c r="K22">
        <v>0</v>
      </c>
      <c r="L22">
        <v>337488</v>
      </c>
      <c r="M22">
        <v>186195.84</v>
      </c>
      <c r="N22">
        <v>151292.16</v>
      </c>
      <c r="O22" t="s">
        <v>80</v>
      </c>
      <c r="P22" t="s">
        <v>84</v>
      </c>
    </row>
    <row r="23" spans="1:16" x14ac:dyDescent="0.25">
      <c r="A23">
        <v>22</v>
      </c>
      <c r="B23" s="2">
        <v>45781</v>
      </c>
      <c r="C23" t="s">
        <v>23</v>
      </c>
      <c r="D23" t="s">
        <v>27</v>
      </c>
      <c r="E23" t="s">
        <v>32</v>
      </c>
      <c r="F23" t="s">
        <v>49</v>
      </c>
      <c r="G23" t="s">
        <v>71</v>
      </c>
      <c r="H23" t="s">
        <v>74</v>
      </c>
      <c r="I23">
        <v>1</v>
      </c>
      <c r="J23">
        <v>18158</v>
      </c>
      <c r="K23">
        <v>0.05</v>
      </c>
      <c r="L23">
        <v>17250.099999999999</v>
      </c>
      <c r="M23">
        <v>12544.91</v>
      </c>
      <c r="N23">
        <v>4705.1899999999996</v>
      </c>
      <c r="O23" t="s">
        <v>76</v>
      </c>
      <c r="P23" t="s">
        <v>82</v>
      </c>
    </row>
    <row r="24" spans="1:16" x14ac:dyDescent="0.25">
      <c r="A24">
        <v>23</v>
      </c>
      <c r="B24" s="2">
        <v>45782</v>
      </c>
      <c r="C24" t="s">
        <v>22</v>
      </c>
      <c r="D24" t="s">
        <v>24</v>
      </c>
      <c r="E24" t="s">
        <v>31</v>
      </c>
      <c r="F24" t="s">
        <v>50</v>
      </c>
      <c r="G24" t="s">
        <v>70</v>
      </c>
      <c r="H24" t="s">
        <v>75</v>
      </c>
      <c r="I24">
        <v>8</v>
      </c>
      <c r="J24">
        <v>368</v>
      </c>
      <c r="K24">
        <v>0.05</v>
      </c>
      <c r="L24">
        <v>2796.8</v>
      </c>
      <c r="M24">
        <v>2272.15</v>
      </c>
      <c r="N24">
        <v>524.65</v>
      </c>
      <c r="O24" t="s">
        <v>80</v>
      </c>
      <c r="P24" t="s">
        <v>81</v>
      </c>
    </row>
    <row r="25" spans="1:16" x14ac:dyDescent="0.25">
      <c r="A25">
        <v>24</v>
      </c>
      <c r="B25" s="2">
        <v>46003</v>
      </c>
      <c r="C25" t="s">
        <v>20</v>
      </c>
      <c r="D25" t="s">
        <v>26</v>
      </c>
      <c r="E25" t="s">
        <v>34</v>
      </c>
      <c r="F25" t="s">
        <v>51</v>
      </c>
      <c r="G25" t="s">
        <v>71</v>
      </c>
      <c r="H25" t="s">
        <v>75</v>
      </c>
      <c r="I25">
        <v>4</v>
      </c>
      <c r="J25">
        <v>709</v>
      </c>
      <c r="K25">
        <v>0.15</v>
      </c>
      <c r="L25">
        <v>2410.6</v>
      </c>
      <c r="M25">
        <v>1833.57</v>
      </c>
      <c r="N25">
        <v>577.03</v>
      </c>
      <c r="O25" t="s">
        <v>76</v>
      </c>
      <c r="P25" t="s">
        <v>87</v>
      </c>
    </row>
    <row r="26" spans="1:16" x14ac:dyDescent="0.25">
      <c r="A26">
        <v>25</v>
      </c>
      <c r="B26" s="1">
        <v>46006</v>
      </c>
      <c r="C26" t="s">
        <v>23</v>
      </c>
      <c r="D26" t="s">
        <v>27</v>
      </c>
      <c r="E26" t="s">
        <v>31</v>
      </c>
      <c r="F26" t="s">
        <v>47</v>
      </c>
      <c r="G26" t="s">
        <v>71</v>
      </c>
      <c r="H26" t="s">
        <v>73</v>
      </c>
      <c r="I26">
        <v>8</v>
      </c>
      <c r="J26">
        <v>1343</v>
      </c>
      <c r="K26">
        <v>0.05</v>
      </c>
      <c r="L26">
        <v>10206.799999999999</v>
      </c>
      <c r="M26">
        <v>8912.9699999999993</v>
      </c>
      <c r="N26">
        <v>1293.83</v>
      </c>
      <c r="O26" t="s">
        <v>78</v>
      </c>
      <c r="P26" t="s">
        <v>86</v>
      </c>
    </row>
    <row r="27" spans="1:16" x14ac:dyDescent="0.25">
      <c r="A27">
        <v>26</v>
      </c>
      <c r="B27" s="1">
        <v>45998</v>
      </c>
      <c r="C27" t="s">
        <v>23</v>
      </c>
      <c r="D27" t="s">
        <v>27</v>
      </c>
      <c r="E27" t="s">
        <v>30</v>
      </c>
      <c r="F27" t="s">
        <v>44</v>
      </c>
      <c r="G27" t="s">
        <v>70</v>
      </c>
      <c r="H27" t="s">
        <v>73</v>
      </c>
      <c r="I27">
        <v>7</v>
      </c>
      <c r="J27">
        <v>24549</v>
      </c>
      <c r="K27">
        <v>0.1</v>
      </c>
      <c r="L27">
        <v>154658.70000000001</v>
      </c>
      <c r="M27">
        <v>116493.71</v>
      </c>
      <c r="N27">
        <v>38164.99</v>
      </c>
      <c r="O27" t="s">
        <v>79</v>
      </c>
      <c r="P27" t="s">
        <v>82</v>
      </c>
    </row>
    <row r="28" spans="1:16" x14ac:dyDescent="0.25">
      <c r="A28">
        <v>27</v>
      </c>
      <c r="B28" s="1">
        <v>45817</v>
      </c>
      <c r="C28" t="s">
        <v>18</v>
      </c>
      <c r="D28" t="s">
        <v>26</v>
      </c>
      <c r="E28" t="s">
        <v>31</v>
      </c>
      <c r="F28" t="s">
        <v>47</v>
      </c>
      <c r="G28" t="s">
        <v>71</v>
      </c>
      <c r="H28" t="s">
        <v>74</v>
      </c>
      <c r="I28">
        <v>3</v>
      </c>
      <c r="J28">
        <v>1736</v>
      </c>
      <c r="K28">
        <v>0.1</v>
      </c>
      <c r="L28">
        <v>4687.2</v>
      </c>
      <c r="M28">
        <v>2897.65</v>
      </c>
      <c r="N28">
        <v>1789.55</v>
      </c>
      <c r="O28" t="s">
        <v>80</v>
      </c>
      <c r="P28" t="s">
        <v>85</v>
      </c>
    </row>
    <row r="29" spans="1:16" x14ac:dyDescent="0.25">
      <c r="A29">
        <v>28</v>
      </c>
      <c r="B29" s="1">
        <v>45959</v>
      </c>
      <c r="C29" t="s">
        <v>20</v>
      </c>
      <c r="D29" t="s">
        <v>26</v>
      </c>
      <c r="E29" t="s">
        <v>33</v>
      </c>
      <c r="F29" t="s">
        <v>52</v>
      </c>
      <c r="G29" t="s">
        <v>71</v>
      </c>
      <c r="H29" t="s">
        <v>73</v>
      </c>
      <c r="I29">
        <v>3</v>
      </c>
      <c r="J29">
        <v>17805</v>
      </c>
      <c r="K29">
        <v>0.05</v>
      </c>
      <c r="L29">
        <v>50744.25</v>
      </c>
      <c r="M29">
        <v>29888.080000000002</v>
      </c>
      <c r="N29">
        <v>20856.169999999998</v>
      </c>
      <c r="O29" t="s">
        <v>76</v>
      </c>
      <c r="P29" t="s">
        <v>84</v>
      </c>
    </row>
    <row r="30" spans="1:16" x14ac:dyDescent="0.25">
      <c r="A30">
        <v>29</v>
      </c>
      <c r="B30" s="1">
        <v>45874</v>
      </c>
      <c r="C30" t="s">
        <v>16</v>
      </c>
      <c r="D30" t="s">
        <v>24</v>
      </c>
      <c r="E30" t="s">
        <v>30</v>
      </c>
      <c r="F30" t="s">
        <v>40</v>
      </c>
      <c r="G30" t="s">
        <v>70</v>
      </c>
      <c r="H30" t="s">
        <v>73</v>
      </c>
      <c r="I30">
        <v>2</v>
      </c>
      <c r="J30">
        <v>40256</v>
      </c>
      <c r="K30">
        <v>0.05</v>
      </c>
      <c r="L30">
        <v>76486.399999999994</v>
      </c>
      <c r="M30">
        <v>61664.58</v>
      </c>
      <c r="N30">
        <v>14821.82</v>
      </c>
      <c r="O30" t="s">
        <v>76</v>
      </c>
      <c r="P30" t="s">
        <v>82</v>
      </c>
    </row>
    <row r="31" spans="1:16" x14ac:dyDescent="0.25">
      <c r="A31">
        <v>30</v>
      </c>
      <c r="B31" s="1">
        <v>45840</v>
      </c>
      <c r="C31" t="s">
        <v>16</v>
      </c>
      <c r="D31" t="s">
        <v>24</v>
      </c>
      <c r="E31" t="s">
        <v>30</v>
      </c>
      <c r="F31" t="s">
        <v>37</v>
      </c>
      <c r="G31" t="s">
        <v>71</v>
      </c>
      <c r="H31" t="s">
        <v>74</v>
      </c>
      <c r="I31">
        <v>1</v>
      </c>
      <c r="J31">
        <v>56569</v>
      </c>
      <c r="K31">
        <v>0.05</v>
      </c>
      <c r="L31">
        <v>53740.55</v>
      </c>
      <c r="M31">
        <v>31330.47</v>
      </c>
      <c r="N31">
        <v>22410.080000000002</v>
      </c>
      <c r="O31" t="s">
        <v>77</v>
      </c>
      <c r="P31" t="s">
        <v>82</v>
      </c>
    </row>
    <row r="32" spans="1:16" x14ac:dyDescent="0.25">
      <c r="A32">
        <v>31</v>
      </c>
      <c r="B32" s="1">
        <v>45922</v>
      </c>
      <c r="C32" t="s">
        <v>19</v>
      </c>
      <c r="D32" t="s">
        <v>26</v>
      </c>
      <c r="E32" t="s">
        <v>29</v>
      </c>
      <c r="F32" t="s">
        <v>53</v>
      </c>
      <c r="G32" t="s">
        <v>71</v>
      </c>
      <c r="H32" t="s">
        <v>75</v>
      </c>
      <c r="I32">
        <v>3</v>
      </c>
      <c r="J32">
        <v>7666</v>
      </c>
      <c r="K32">
        <v>0.05</v>
      </c>
      <c r="L32">
        <v>21848.1</v>
      </c>
      <c r="M32">
        <v>16865.23</v>
      </c>
      <c r="N32">
        <v>4982.87</v>
      </c>
      <c r="O32" t="s">
        <v>79</v>
      </c>
      <c r="P32" t="s">
        <v>85</v>
      </c>
    </row>
    <row r="33" spans="1:16" x14ac:dyDescent="0.25">
      <c r="A33">
        <v>32</v>
      </c>
      <c r="B33" s="1">
        <v>45766</v>
      </c>
      <c r="C33" t="s">
        <v>18</v>
      </c>
      <c r="D33" t="s">
        <v>26</v>
      </c>
      <c r="E33" t="s">
        <v>32</v>
      </c>
      <c r="F33" t="s">
        <v>39</v>
      </c>
      <c r="G33" t="s">
        <v>70</v>
      </c>
      <c r="H33" t="s">
        <v>73</v>
      </c>
      <c r="I33">
        <v>5</v>
      </c>
      <c r="J33">
        <v>6534</v>
      </c>
      <c r="K33">
        <v>0.1</v>
      </c>
      <c r="L33">
        <v>29403</v>
      </c>
      <c r="M33">
        <v>17152.84</v>
      </c>
      <c r="N33">
        <v>12250.16</v>
      </c>
      <c r="O33" t="s">
        <v>76</v>
      </c>
      <c r="P33" t="s">
        <v>86</v>
      </c>
    </row>
    <row r="34" spans="1:16" x14ac:dyDescent="0.25">
      <c r="A34">
        <v>33</v>
      </c>
      <c r="B34" s="1">
        <v>45827</v>
      </c>
      <c r="C34" t="s">
        <v>23</v>
      </c>
      <c r="D34" t="s">
        <v>27</v>
      </c>
      <c r="E34" t="s">
        <v>33</v>
      </c>
      <c r="F34" t="s">
        <v>52</v>
      </c>
      <c r="G34" t="s">
        <v>72</v>
      </c>
      <c r="H34" t="s">
        <v>75</v>
      </c>
      <c r="I34">
        <v>2</v>
      </c>
      <c r="J34">
        <v>44848</v>
      </c>
      <c r="K34">
        <v>0.15</v>
      </c>
      <c r="L34">
        <v>76241.600000000006</v>
      </c>
      <c r="M34">
        <v>66740.399999999994</v>
      </c>
      <c r="N34">
        <v>9501.2000000000007</v>
      </c>
      <c r="O34" t="s">
        <v>77</v>
      </c>
      <c r="P34" t="s">
        <v>88</v>
      </c>
    </row>
    <row r="35" spans="1:16" x14ac:dyDescent="0.25">
      <c r="A35">
        <v>34</v>
      </c>
      <c r="B35" s="1">
        <v>46021</v>
      </c>
      <c r="C35" t="s">
        <v>21</v>
      </c>
      <c r="D35" t="s">
        <v>24</v>
      </c>
      <c r="E35" t="s">
        <v>33</v>
      </c>
      <c r="F35" t="s">
        <v>52</v>
      </c>
      <c r="G35" t="s">
        <v>70</v>
      </c>
      <c r="H35" t="s">
        <v>74</v>
      </c>
      <c r="I35">
        <v>2</v>
      </c>
      <c r="J35">
        <v>23152</v>
      </c>
      <c r="K35">
        <v>0.1</v>
      </c>
      <c r="L35">
        <v>41673.599999999999</v>
      </c>
      <c r="M35">
        <v>33471.160000000003</v>
      </c>
      <c r="N35">
        <v>8202.44</v>
      </c>
      <c r="O35" t="s">
        <v>79</v>
      </c>
      <c r="P35" t="s">
        <v>84</v>
      </c>
    </row>
    <row r="36" spans="1:16" x14ac:dyDescent="0.25">
      <c r="A36">
        <v>35</v>
      </c>
      <c r="B36" s="1">
        <v>46005</v>
      </c>
      <c r="C36" t="s">
        <v>18</v>
      </c>
      <c r="D36" t="s">
        <v>26</v>
      </c>
      <c r="E36" t="s">
        <v>28</v>
      </c>
      <c r="F36" t="s">
        <v>54</v>
      </c>
      <c r="G36" t="s">
        <v>71</v>
      </c>
      <c r="H36" t="s">
        <v>75</v>
      </c>
      <c r="I36">
        <v>1</v>
      </c>
      <c r="J36">
        <v>2185</v>
      </c>
      <c r="K36">
        <v>0</v>
      </c>
      <c r="L36">
        <v>2185</v>
      </c>
      <c r="M36">
        <v>1901.08</v>
      </c>
      <c r="N36">
        <v>283.92</v>
      </c>
      <c r="O36" t="s">
        <v>76</v>
      </c>
      <c r="P36" t="s">
        <v>86</v>
      </c>
    </row>
    <row r="37" spans="1:16" x14ac:dyDescent="0.25">
      <c r="A37">
        <v>36</v>
      </c>
      <c r="B37" s="1">
        <v>45870</v>
      </c>
      <c r="C37" t="s">
        <v>18</v>
      </c>
      <c r="D37" t="s">
        <v>26</v>
      </c>
      <c r="E37" t="s">
        <v>34</v>
      </c>
      <c r="F37" t="s">
        <v>55</v>
      </c>
      <c r="G37" t="s">
        <v>72</v>
      </c>
      <c r="H37" t="s">
        <v>73</v>
      </c>
      <c r="I37">
        <v>3</v>
      </c>
      <c r="J37">
        <v>1406</v>
      </c>
      <c r="K37">
        <v>0.05</v>
      </c>
      <c r="L37">
        <v>4007.1</v>
      </c>
      <c r="M37">
        <v>3520.74</v>
      </c>
      <c r="N37">
        <v>486.36</v>
      </c>
      <c r="O37" t="s">
        <v>77</v>
      </c>
      <c r="P37" t="s">
        <v>86</v>
      </c>
    </row>
    <row r="38" spans="1:16" x14ac:dyDescent="0.25">
      <c r="A38">
        <v>37</v>
      </c>
      <c r="B38" s="1">
        <v>45669</v>
      </c>
      <c r="C38" t="s">
        <v>18</v>
      </c>
      <c r="D38" t="s">
        <v>26</v>
      </c>
      <c r="E38" t="s">
        <v>29</v>
      </c>
      <c r="F38" t="s">
        <v>53</v>
      </c>
      <c r="G38" t="s">
        <v>71</v>
      </c>
      <c r="H38" t="s">
        <v>74</v>
      </c>
      <c r="I38">
        <v>8</v>
      </c>
      <c r="J38">
        <v>7219</v>
      </c>
      <c r="K38">
        <v>0.05</v>
      </c>
      <c r="L38">
        <v>54864.4</v>
      </c>
      <c r="M38">
        <v>34328.67</v>
      </c>
      <c r="N38">
        <v>20535.73</v>
      </c>
      <c r="O38" t="s">
        <v>80</v>
      </c>
      <c r="P38" t="s">
        <v>86</v>
      </c>
    </row>
    <row r="39" spans="1:16" x14ac:dyDescent="0.25">
      <c r="A39">
        <v>38</v>
      </c>
      <c r="B39" s="1">
        <v>45802</v>
      </c>
      <c r="C39" t="s">
        <v>19</v>
      </c>
      <c r="D39" t="s">
        <v>26</v>
      </c>
      <c r="E39" t="s">
        <v>34</v>
      </c>
      <c r="F39" t="s">
        <v>55</v>
      </c>
      <c r="G39" t="s">
        <v>72</v>
      </c>
      <c r="H39" t="s">
        <v>73</v>
      </c>
      <c r="I39">
        <v>5</v>
      </c>
      <c r="J39">
        <v>3474</v>
      </c>
      <c r="K39">
        <v>0.1</v>
      </c>
      <c r="L39">
        <v>15633</v>
      </c>
      <c r="M39">
        <v>13340.08</v>
      </c>
      <c r="N39">
        <v>2292.92</v>
      </c>
      <c r="O39" t="s">
        <v>78</v>
      </c>
      <c r="P39" t="s">
        <v>84</v>
      </c>
    </row>
    <row r="40" spans="1:16" x14ac:dyDescent="0.25">
      <c r="A40">
        <v>39</v>
      </c>
      <c r="B40" s="1">
        <v>46022</v>
      </c>
      <c r="C40" t="s">
        <v>20</v>
      </c>
      <c r="D40" t="s">
        <v>26</v>
      </c>
      <c r="E40" t="s">
        <v>30</v>
      </c>
      <c r="F40" t="s">
        <v>56</v>
      </c>
      <c r="G40" t="s">
        <v>71</v>
      </c>
      <c r="H40" t="s">
        <v>74</v>
      </c>
      <c r="I40">
        <v>2</v>
      </c>
      <c r="J40">
        <v>9915</v>
      </c>
      <c r="K40">
        <v>0.05</v>
      </c>
      <c r="L40">
        <v>18838.5</v>
      </c>
      <c r="M40">
        <v>15515.84</v>
      </c>
      <c r="N40">
        <v>3322.66</v>
      </c>
      <c r="O40" t="s">
        <v>79</v>
      </c>
      <c r="P40" t="s">
        <v>81</v>
      </c>
    </row>
    <row r="41" spans="1:16" x14ac:dyDescent="0.25">
      <c r="A41">
        <v>40</v>
      </c>
      <c r="B41" s="1">
        <v>45762</v>
      </c>
      <c r="C41" t="s">
        <v>23</v>
      </c>
      <c r="D41" t="s">
        <v>27</v>
      </c>
      <c r="E41" t="s">
        <v>30</v>
      </c>
      <c r="F41" t="s">
        <v>44</v>
      </c>
      <c r="G41" t="s">
        <v>72</v>
      </c>
      <c r="H41" t="s">
        <v>74</v>
      </c>
      <c r="I41">
        <v>8</v>
      </c>
      <c r="J41">
        <v>49426</v>
      </c>
      <c r="K41">
        <v>0.15</v>
      </c>
      <c r="L41">
        <v>336096.8</v>
      </c>
      <c r="M41">
        <v>212287.1</v>
      </c>
      <c r="N41">
        <v>123809.7</v>
      </c>
      <c r="O41" t="s">
        <v>79</v>
      </c>
      <c r="P41" t="s">
        <v>84</v>
      </c>
    </row>
    <row r="42" spans="1:16" x14ac:dyDescent="0.25">
      <c r="A42">
        <v>41</v>
      </c>
      <c r="B42" s="1">
        <v>45830</v>
      </c>
      <c r="C42" t="s">
        <v>21</v>
      </c>
      <c r="D42" t="s">
        <v>24</v>
      </c>
      <c r="E42" t="s">
        <v>29</v>
      </c>
      <c r="F42" t="s">
        <v>57</v>
      </c>
      <c r="G42" t="s">
        <v>72</v>
      </c>
      <c r="H42" t="s">
        <v>74</v>
      </c>
      <c r="I42">
        <v>1</v>
      </c>
      <c r="J42">
        <v>649</v>
      </c>
      <c r="K42">
        <v>0.05</v>
      </c>
      <c r="L42">
        <v>616.54999999999995</v>
      </c>
      <c r="M42">
        <v>508.25</v>
      </c>
      <c r="N42">
        <v>108.3</v>
      </c>
      <c r="O42" t="s">
        <v>80</v>
      </c>
      <c r="P42" t="s">
        <v>88</v>
      </c>
    </row>
    <row r="43" spans="1:16" x14ac:dyDescent="0.25">
      <c r="A43">
        <v>42</v>
      </c>
      <c r="B43" s="1">
        <v>45879</v>
      </c>
      <c r="C43" t="s">
        <v>16</v>
      </c>
      <c r="D43" t="s">
        <v>24</v>
      </c>
      <c r="E43" t="s">
        <v>30</v>
      </c>
      <c r="F43" t="s">
        <v>44</v>
      </c>
      <c r="G43" t="s">
        <v>71</v>
      </c>
      <c r="H43" t="s">
        <v>73</v>
      </c>
      <c r="I43">
        <v>5</v>
      </c>
      <c r="J43">
        <v>38941</v>
      </c>
      <c r="K43">
        <v>0.05</v>
      </c>
      <c r="L43">
        <v>184969.75</v>
      </c>
      <c r="M43">
        <v>156923.23000000001</v>
      </c>
      <c r="N43">
        <v>28046.52</v>
      </c>
      <c r="O43" t="s">
        <v>79</v>
      </c>
      <c r="P43" t="s">
        <v>86</v>
      </c>
    </row>
    <row r="44" spans="1:16" x14ac:dyDescent="0.25">
      <c r="A44">
        <v>43</v>
      </c>
      <c r="B44" s="1">
        <v>45992</v>
      </c>
      <c r="C44" t="s">
        <v>23</v>
      </c>
      <c r="D44" t="s">
        <v>27</v>
      </c>
      <c r="E44" t="s">
        <v>28</v>
      </c>
      <c r="F44" t="s">
        <v>58</v>
      </c>
      <c r="G44" t="s">
        <v>71</v>
      </c>
      <c r="H44" t="s">
        <v>73</v>
      </c>
      <c r="I44">
        <v>3</v>
      </c>
      <c r="J44">
        <v>1955</v>
      </c>
      <c r="K44">
        <v>0.05</v>
      </c>
      <c r="L44">
        <v>5571.75</v>
      </c>
      <c r="M44">
        <v>4866.43</v>
      </c>
      <c r="N44">
        <v>705.32</v>
      </c>
      <c r="O44" t="s">
        <v>76</v>
      </c>
      <c r="P44" t="s">
        <v>87</v>
      </c>
    </row>
    <row r="45" spans="1:16" x14ac:dyDescent="0.25">
      <c r="A45">
        <v>44</v>
      </c>
      <c r="B45" s="1">
        <v>45892</v>
      </c>
      <c r="C45" t="s">
        <v>21</v>
      </c>
      <c r="D45" t="s">
        <v>24</v>
      </c>
      <c r="E45" t="s">
        <v>33</v>
      </c>
      <c r="F45" t="s">
        <v>59</v>
      </c>
      <c r="G45" t="s">
        <v>70</v>
      </c>
      <c r="H45" t="s">
        <v>75</v>
      </c>
      <c r="I45">
        <v>7</v>
      </c>
      <c r="J45">
        <v>17683</v>
      </c>
      <c r="K45">
        <v>0</v>
      </c>
      <c r="L45">
        <v>123781</v>
      </c>
      <c r="M45">
        <v>82199.27</v>
      </c>
      <c r="N45">
        <v>41581.730000000003</v>
      </c>
      <c r="O45" t="s">
        <v>77</v>
      </c>
      <c r="P45" t="s">
        <v>88</v>
      </c>
    </row>
    <row r="46" spans="1:16" x14ac:dyDescent="0.25">
      <c r="A46">
        <v>45</v>
      </c>
      <c r="B46" s="1">
        <v>45817</v>
      </c>
      <c r="C46" t="s">
        <v>20</v>
      </c>
      <c r="D46" t="s">
        <v>26</v>
      </c>
      <c r="E46" t="s">
        <v>32</v>
      </c>
      <c r="F46" t="s">
        <v>49</v>
      </c>
      <c r="G46" t="s">
        <v>72</v>
      </c>
      <c r="H46" t="s">
        <v>73</v>
      </c>
      <c r="I46">
        <v>3</v>
      </c>
      <c r="J46">
        <v>22708</v>
      </c>
      <c r="K46">
        <v>0.1</v>
      </c>
      <c r="L46">
        <v>61311.6</v>
      </c>
      <c r="M46">
        <v>44534.28</v>
      </c>
      <c r="N46">
        <v>16777.32</v>
      </c>
      <c r="O46" t="s">
        <v>78</v>
      </c>
      <c r="P46" t="s">
        <v>83</v>
      </c>
    </row>
    <row r="47" spans="1:16" x14ac:dyDescent="0.25">
      <c r="A47">
        <v>46</v>
      </c>
      <c r="B47" s="1">
        <v>45735</v>
      </c>
      <c r="C47" t="s">
        <v>23</v>
      </c>
      <c r="D47" t="s">
        <v>27</v>
      </c>
      <c r="E47" t="s">
        <v>33</v>
      </c>
      <c r="F47" t="s">
        <v>60</v>
      </c>
      <c r="G47" t="s">
        <v>72</v>
      </c>
      <c r="H47" t="s">
        <v>74</v>
      </c>
      <c r="I47">
        <v>2</v>
      </c>
      <c r="J47">
        <v>7740</v>
      </c>
      <c r="K47">
        <v>0.15</v>
      </c>
      <c r="L47">
        <v>13158</v>
      </c>
      <c r="M47">
        <v>7502.11</v>
      </c>
      <c r="N47">
        <v>5655.89</v>
      </c>
      <c r="O47" t="s">
        <v>79</v>
      </c>
      <c r="P47" t="s">
        <v>84</v>
      </c>
    </row>
    <row r="48" spans="1:16" x14ac:dyDescent="0.25">
      <c r="A48">
        <v>47</v>
      </c>
      <c r="B48" s="1">
        <v>45910</v>
      </c>
      <c r="C48" t="s">
        <v>18</v>
      </c>
      <c r="D48" t="s">
        <v>26</v>
      </c>
      <c r="E48" t="s">
        <v>28</v>
      </c>
      <c r="F48" t="s">
        <v>58</v>
      </c>
      <c r="G48" t="s">
        <v>70</v>
      </c>
      <c r="H48" t="s">
        <v>74</v>
      </c>
      <c r="I48">
        <v>4</v>
      </c>
      <c r="J48">
        <v>1106</v>
      </c>
      <c r="K48">
        <v>0.15</v>
      </c>
      <c r="L48">
        <v>3760.4</v>
      </c>
      <c r="M48">
        <v>2703.18</v>
      </c>
      <c r="N48">
        <v>1057.22</v>
      </c>
      <c r="O48" t="s">
        <v>78</v>
      </c>
      <c r="P48" t="s">
        <v>81</v>
      </c>
    </row>
    <row r="49" spans="1:16" x14ac:dyDescent="0.25">
      <c r="A49">
        <v>48</v>
      </c>
      <c r="B49" s="1">
        <v>45951</v>
      </c>
      <c r="C49" t="s">
        <v>21</v>
      </c>
      <c r="D49" t="s">
        <v>24</v>
      </c>
      <c r="E49" t="s">
        <v>28</v>
      </c>
      <c r="F49" t="s">
        <v>61</v>
      </c>
      <c r="G49" t="s">
        <v>72</v>
      </c>
      <c r="H49" t="s">
        <v>75</v>
      </c>
      <c r="I49">
        <v>7</v>
      </c>
      <c r="J49">
        <v>2272</v>
      </c>
      <c r="K49">
        <v>0.05</v>
      </c>
      <c r="L49">
        <v>15108.8</v>
      </c>
      <c r="M49">
        <v>10673.01</v>
      </c>
      <c r="N49">
        <v>4435.79</v>
      </c>
      <c r="O49" t="s">
        <v>79</v>
      </c>
      <c r="P49" t="s">
        <v>88</v>
      </c>
    </row>
    <row r="50" spans="1:16" x14ac:dyDescent="0.25">
      <c r="A50">
        <v>49</v>
      </c>
      <c r="B50" s="1">
        <v>45803</v>
      </c>
      <c r="C50" t="s">
        <v>20</v>
      </c>
      <c r="D50" t="s">
        <v>26</v>
      </c>
      <c r="E50" t="s">
        <v>28</v>
      </c>
      <c r="F50" t="s">
        <v>58</v>
      </c>
      <c r="G50" t="s">
        <v>72</v>
      </c>
      <c r="H50" t="s">
        <v>74</v>
      </c>
      <c r="I50">
        <v>7</v>
      </c>
      <c r="J50">
        <v>1841</v>
      </c>
      <c r="K50">
        <v>0</v>
      </c>
      <c r="L50">
        <v>12887</v>
      </c>
      <c r="M50">
        <v>9206.75</v>
      </c>
      <c r="N50">
        <v>3680.25</v>
      </c>
      <c r="O50" t="s">
        <v>79</v>
      </c>
      <c r="P50" t="s">
        <v>83</v>
      </c>
    </row>
    <row r="51" spans="1:16" x14ac:dyDescent="0.25">
      <c r="A51">
        <v>50</v>
      </c>
      <c r="B51" s="1">
        <v>45807</v>
      </c>
      <c r="C51" t="s">
        <v>19</v>
      </c>
      <c r="D51" t="s">
        <v>26</v>
      </c>
      <c r="E51" t="s">
        <v>29</v>
      </c>
      <c r="F51" t="s">
        <v>53</v>
      </c>
      <c r="G51" t="s">
        <v>71</v>
      </c>
      <c r="H51" t="s">
        <v>75</v>
      </c>
      <c r="I51">
        <v>6</v>
      </c>
      <c r="J51">
        <v>11462</v>
      </c>
      <c r="K51">
        <v>0</v>
      </c>
      <c r="L51">
        <v>68772</v>
      </c>
      <c r="M51">
        <v>49728.26</v>
      </c>
      <c r="N51">
        <v>19043.740000000002</v>
      </c>
      <c r="O51" t="s">
        <v>78</v>
      </c>
      <c r="P51" t="s">
        <v>82</v>
      </c>
    </row>
    <row r="52" spans="1:16" x14ac:dyDescent="0.25">
      <c r="A52">
        <v>51</v>
      </c>
      <c r="B52" s="1">
        <v>45877</v>
      </c>
      <c r="C52" t="s">
        <v>18</v>
      </c>
      <c r="D52" t="s">
        <v>26</v>
      </c>
      <c r="E52" t="s">
        <v>28</v>
      </c>
      <c r="F52" t="s">
        <v>61</v>
      </c>
      <c r="G52" t="s">
        <v>70</v>
      </c>
      <c r="H52" t="s">
        <v>74</v>
      </c>
      <c r="I52">
        <v>6</v>
      </c>
      <c r="J52">
        <v>1748</v>
      </c>
      <c r="K52">
        <v>0</v>
      </c>
      <c r="L52">
        <v>10488</v>
      </c>
      <c r="M52">
        <v>6888.67</v>
      </c>
      <c r="N52">
        <v>3599.33</v>
      </c>
      <c r="O52" t="s">
        <v>80</v>
      </c>
      <c r="P52" t="s">
        <v>83</v>
      </c>
    </row>
    <row r="53" spans="1:16" x14ac:dyDescent="0.25">
      <c r="A53">
        <v>52</v>
      </c>
      <c r="B53" s="1">
        <v>45797</v>
      </c>
      <c r="C53" t="s">
        <v>20</v>
      </c>
      <c r="D53" t="s">
        <v>26</v>
      </c>
      <c r="E53" t="s">
        <v>32</v>
      </c>
      <c r="F53" t="s">
        <v>62</v>
      </c>
      <c r="G53" t="s">
        <v>72</v>
      </c>
      <c r="H53" t="s">
        <v>74</v>
      </c>
      <c r="I53">
        <v>6</v>
      </c>
      <c r="J53">
        <v>8188</v>
      </c>
      <c r="K53">
        <v>0.1</v>
      </c>
      <c r="L53">
        <v>44215.199999999997</v>
      </c>
      <c r="M53">
        <v>32327.69</v>
      </c>
      <c r="N53">
        <v>11887.51</v>
      </c>
      <c r="O53" t="s">
        <v>78</v>
      </c>
      <c r="P53" t="s">
        <v>82</v>
      </c>
    </row>
    <row r="54" spans="1:16" x14ac:dyDescent="0.25">
      <c r="A54">
        <v>53</v>
      </c>
      <c r="B54" s="1">
        <v>45978</v>
      </c>
      <c r="C54" t="s">
        <v>20</v>
      </c>
      <c r="D54" t="s">
        <v>26</v>
      </c>
      <c r="E54" t="s">
        <v>30</v>
      </c>
      <c r="F54" t="s">
        <v>56</v>
      </c>
      <c r="G54" t="s">
        <v>71</v>
      </c>
      <c r="H54" t="s">
        <v>73</v>
      </c>
      <c r="I54">
        <v>1</v>
      </c>
      <c r="J54">
        <v>28114</v>
      </c>
      <c r="K54">
        <v>0</v>
      </c>
      <c r="L54">
        <v>28114</v>
      </c>
      <c r="M54">
        <v>22243.41</v>
      </c>
      <c r="N54">
        <v>5870.59</v>
      </c>
      <c r="O54" t="s">
        <v>80</v>
      </c>
      <c r="P54" t="s">
        <v>84</v>
      </c>
    </row>
    <row r="55" spans="1:16" x14ac:dyDescent="0.25">
      <c r="A55">
        <v>54</v>
      </c>
      <c r="B55" s="1">
        <v>45692</v>
      </c>
      <c r="C55" t="s">
        <v>18</v>
      </c>
      <c r="D55" t="s">
        <v>26</v>
      </c>
      <c r="E55" t="s">
        <v>29</v>
      </c>
      <c r="F55" t="s">
        <v>53</v>
      </c>
      <c r="G55" t="s">
        <v>71</v>
      </c>
      <c r="H55" t="s">
        <v>73</v>
      </c>
      <c r="I55">
        <v>8</v>
      </c>
      <c r="J55">
        <v>3298</v>
      </c>
      <c r="K55">
        <v>0.1</v>
      </c>
      <c r="L55">
        <v>23745.599999999999</v>
      </c>
      <c r="M55">
        <v>15871.89</v>
      </c>
      <c r="N55">
        <v>7873.71</v>
      </c>
      <c r="O55" t="s">
        <v>79</v>
      </c>
      <c r="P55" t="s">
        <v>81</v>
      </c>
    </row>
    <row r="56" spans="1:16" x14ac:dyDescent="0.25">
      <c r="A56">
        <v>55</v>
      </c>
      <c r="B56" s="1">
        <v>45953</v>
      </c>
      <c r="C56" t="s">
        <v>23</v>
      </c>
      <c r="D56" t="s">
        <v>27</v>
      </c>
      <c r="E56" t="s">
        <v>29</v>
      </c>
      <c r="F56" t="s">
        <v>42</v>
      </c>
      <c r="G56" t="s">
        <v>70</v>
      </c>
      <c r="H56" t="s">
        <v>75</v>
      </c>
      <c r="I56">
        <v>5</v>
      </c>
      <c r="J56">
        <v>11646</v>
      </c>
      <c r="K56">
        <v>0.1</v>
      </c>
      <c r="L56">
        <v>52407</v>
      </c>
      <c r="M56">
        <v>29975.98</v>
      </c>
      <c r="N56">
        <v>22431.02</v>
      </c>
      <c r="O56" t="s">
        <v>77</v>
      </c>
      <c r="P56" t="s">
        <v>87</v>
      </c>
    </row>
    <row r="57" spans="1:16" x14ac:dyDescent="0.25">
      <c r="A57">
        <v>56</v>
      </c>
      <c r="B57" s="1">
        <v>45791</v>
      </c>
      <c r="C57" t="s">
        <v>23</v>
      </c>
      <c r="D57" t="s">
        <v>27</v>
      </c>
      <c r="E57" t="s">
        <v>33</v>
      </c>
      <c r="F57" t="s">
        <v>52</v>
      </c>
      <c r="G57" t="s">
        <v>71</v>
      </c>
      <c r="H57" t="s">
        <v>74</v>
      </c>
      <c r="I57">
        <v>8</v>
      </c>
      <c r="J57">
        <v>8288</v>
      </c>
      <c r="K57">
        <v>0.1</v>
      </c>
      <c r="L57">
        <v>59673.599999999999</v>
      </c>
      <c r="M57">
        <v>52467.33</v>
      </c>
      <c r="N57">
        <v>7206.27</v>
      </c>
      <c r="O57" t="s">
        <v>76</v>
      </c>
      <c r="P57" t="s">
        <v>88</v>
      </c>
    </row>
    <row r="58" spans="1:16" x14ac:dyDescent="0.25">
      <c r="A58">
        <v>57</v>
      </c>
      <c r="B58" s="1">
        <v>45946</v>
      </c>
      <c r="C58" t="s">
        <v>20</v>
      </c>
      <c r="D58" t="s">
        <v>26</v>
      </c>
      <c r="E58" t="s">
        <v>29</v>
      </c>
      <c r="F58" t="s">
        <v>36</v>
      </c>
      <c r="G58" t="s">
        <v>70</v>
      </c>
      <c r="H58" t="s">
        <v>75</v>
      </c>
      <c r="I58">
        <v>2</v>
      </c>
      <c r="J58">
        <v>4119</v>
      </c>
      <c r="K58">
        <v>0.05</v>
      </c>
      <c r="L58">
        <v>7826.1</v>
      </c>
      <c r="M58">
        <v>6297.83</v>
      </c>
      <c r="N58">
        <v>1528.27</v>
      </c>
      <c r="O58" t="s">
        <v>77</v>
      </c>
      <c r="P58" t="s">
        <v>84</v>
      </c>
    </row>
    <row r="59" spans="1:16" x14ac:dyDescent="0.25">
      <c r="A59">
        <v>58</v>
      </c>
      <c r="B59" s="1">
        <v>45949</v>
      </c>
      <c r="C59" t="s">
        <v>22</v>
      </c>
      <c r="D59" t="s">
        <v>24</v>
      </c>
      <c r="E59" t="s">
        <v>33</v>
      </c>
      <c r="F59" t="s">
        <v>41</v>
      </c>
      <c r="G59" t="s">
        <v>72</v>
      </c>
      <c r="H59" t="s">
        <v>73</v>
      </c>
      <c r="I59">
        <v>4</v>
      </c>
      <c r="J59">
        <v>13289</v>
      </c>
      <c r="K59">
        <v>0.1</v>
      </c>
      <c r="L59">
        <v>47840.4</v>
      </c>
      <c r="M59">
        <v>40707.94</v>
      </c>
      <c r="N59">
        <v>7132.46</v>
      </c>
      <c r="O59" t="s">
        <v>79</v>
      </c>
      <c r="P59" t="s">
        <v>83</v>
      </c>
    </row>
    <row r="60" spans="1:16" x14ac:dyDescent="0.25">
      <c r="A60">
        <v>59</v>
      </c>
      <c r="B60" s="1">
        <v>45768</v>
      </c>
      <c r="C60" t="s">
        <v>22</v>
      </c>
      <c r="D60" t="s">
        <v>24</v>
      </c>
      <c r="E60" t="s">
        <v>33</v>
      </c>
      <c r="F60" t="s">
        <v>46</v>
      </c>
      <c r="G60" t="s">
        <v>70</v>
      </c>
      <c r="H60" t="s">
        <v>74</v>
      </c>
      <c r="I60">
        <v>4</v>
      </c>
      <c r="J60">
        <v>48903</v>
      </c>
      <c r="K60">
        <v>0.05</v>
      </c>
      <c r="L60">
        <v>185831.4</v>
      </c>
      <c r="M60">
        <v>106433.84</v>
      </c>
      <c r="N60">
        <v>79397.56</v>
      </c>
      <c r="O60" t="s">
        <v>79</v>
      </c>
      <c r="P60" t="s">
        <v>87</v>
      </c>
    </row>
    <row r="61" spans="1:16" x14ac:dyDescent="0.25">
      <c r="A61">
        <v>60</v>
      </c>
      <c r="B61" s="1">
        <v>45924</v>
      </c>
      <c r="C61" t="s">
        <v>23</v>
      </c>
      <c r="D61" t="s">
        <v>27</v>
      </c>
      <c r="E61" t="s">
        <v>29</v>
      </c>
      <c r="F61" t="s">
        <v>45</v>
      </c>
      <c r="G61" t="s">
        <v>71</v>
      </c>
      <c r="H61" t="s">
        <v>74</v>
      </c>
      <c r="I61">
        <v>5</v>
      </c>
      <c r="J61">
        <v>5062</v>
      </c>
      <c r="K61">
        <v>0.1</v>
      </c>
      <c r="L61">
        <v>22779</v>
      </c>
      <c r="M61">
        <v>15527.78</v>
      </c>
      <c r="N61">
        <v>7251.22</v>
      </c>
      <c r="O61" t="s">
        <v>79</v>
      </c>
      <c r="P61" t="s">
        <v>81</v>
      </c>
    </row>
    <row r="62" spans="1:16" x14ac:dyDescent="0.25">
      <c r="A62">
        <v>61</v>
      </c>
      <c r="B62" s="1">
        <v>45970</v>
      </c>
      <c r="C62" t="s">
        <v>20</v>
      </c>
      <c r="D62" t="s">
        <v>26</v>
      </c>
      <c r="E62" t="s">
        <v>30</v>
      </c>
      <c r="F62" t="s">
        <v>37</v>
      </c>
      <c r="G62" t="s">
        <v>70</v>
      </c>
      <c r="H62" t="s">
        <v>75</v>
      </c>
      <c r="I62">
        <v>7</v>
      </c>
      <c r="J62">
        <v>65231</v>
      </c>
      <c r="K62">
        <v>0.1</v>
      </c>
      <c r="L62">
        <v>410955.3</v>
      </c>
      <c r="M62">
        <v>287353.06</v>
      </c>
      <c r="N62">
        <v>123602.24000000001</v>
      </c>
      <c r="O62" t="s">
        <v>80</v>
      </c>
      <c r="P62" t="s">
        <v>84</v>
      </c>
    </row>
    <row r="63" spans="1:16" x14ac:dyDescent="0.25">
      <c r="A63">
        <v>62</v>
      </c>
      <c r="B63" s="1">
        <v>45836</v>
      </c>
      <c r="C63" t="s">
        <v>19</v>
      </c>
      <c r="D63" t="s">
        <v>26</v>
      </c>
      <c r="E63" t="s">
        <v>30</v>
      </c>
      <c r="F63" t="s">
        <v>40</v>
      </c>
      <c r="G63" t="s">
        <v>71</v>
      </c>
      <c r="H63" t="s">
        <v>74</v>
      </c>
      <c r="I63">
        <v>6</v>
      </c>
      <c r="J63">
        <v>21456</v>
      </c>
      <c r="K63">
        <v>0</v>
      </c>
      <c r="L63">
        <v>128736</v>
      </c>
      <c r="M63">
        <v>92690.86</v>
      </c>
      <c r="N63">
        <v>36045.14</v>
      </c>
      <c r="O63" t="s">
        <v>79</v>
      </c>
      <c r="P63" t="s">
        <v>82</v>
      </c>
    </row>
    <row r="64" spans="1:16" x14ac:dyDescent="0.25">
      <c r="A64">
        <v>63</v>
      </c>
      <c r="B64" s="1">
        <v>45775</v>
      </c>
      <c r="C64" t="s">
        <v>17</v>
      </c>
      <c r="D64" t="s">
        <v>25</v>
      </c>
      <c r="E64" t="s">
        <v>28</v>
      </c>
      <c r="F64" t="s">
        <v>63</v>
      </c>
      <c r="G64" t="s">
        <v>71</v>
      </c>
      <c r="H64" t="s">
        <v>74</v>
      </c>
      <c r="I64">
        <v>8</v>
      </c>
      <c r="J64">
        <v>1031</v>
      </c>
      <c r="K64">
        <v>0.15</v>
      </c>
      <c r="L64">
        <v>7010.8</v>
      </c>
      <c r="M64">
        <v>4330.54</v>
      </c>
      <c r="N64">
        <v>2680.26</v>
      </c>
      <c r="O64" t="s">
        <v>76</v>
      </c>
      <c r="P64" t="s">
        <v>88</v>
      </c>
    </row>
    <row r="65" spans="1:16" x14ac:dyDescent="0.25">
      <c r="A65">
        <v>64</v>
      </c>
      <c r="B65" s="1">
        <v>45943</v>
      </c>
      <c r="C65" t="s">
        <v>17</v>
      </c>
      <c r="D65" t="s">
        <v>25</v>
      </c>
      <c r="E65" t="s">
        <v>33</v>
      </c>
      <c r="F65" t="s">
        <v>52</v>
      </c>
      <c r="G65" t="s">
        <v>71</v>
      </c>
      <c r="H65" t="s">
        <v>75</v>
      </c>
      <c r="I65">
        <v>1</v>
      </c>
      <c r="J65">
        <v>31365</v>
      </c>
      <c r="K65">
        <v>0.1</v>
      </c>
      <c r="L65">
        <v>28228.5</v>
      </c>
      <c r="M65">
        <v>16484.990000000002</v>
      </c>
      <c r="N65">
        <v>11743.51</v>
      </c>
      <c r="O65" t="s">
        <v>77</v>
      </c>
      <c r="P65" t="s">
        <v>86</v>
      </c>
    </row>
    <row r="66" spans="1:16" x14ac:dyDescent="0.25">
      <c r="A66">
        <v>65</v>
      </c>
      <c r="B66" s="1">
        <v>45923</v>
      </c>
      <c r="C66" t="s">
        <v>19</v>
      </c>
      <c r="D66" t="s">
        <v>26</v>
      </c>
      <c r="E66" t="s">
        <v>29</v>
      </c>
      <c r="F66" t="s">
        <v>36</v>
      </c>
      <c r="G66" t="s">
        <v>71</v>
      </c>
      <c r="H66" t="s">
        <v>73</v>
      </c>
      <c r="I66">
        <v>4</v>
      </c>
      <c r="J66">
        <v>11398</v>
      </c>
      <c r="K66">
        <v>0</v>
      </c>
      <c r="L66">
        <v>45592</v>
      </c>
      <c r="M66">
        <v>35184.47</v>
      </c>
      <c r="N66">
        <v>10407.530000000001</v>
      </c>
      <c r="O66" t="s">
        <v>79</v>
      </c>
      <c r="P66" t="s">
        <v>85</v>
      </c>
    </row>
    <row r="67" spans="1:16" x14ac:dyDescent="0.25">
      <c r="A67">
        <v>66</v>
      </c>
      <c r="B67" s="1">
        <v>45886</v>
      </c>
      <c r="C67" t="s">
        <v>20</v>
      </c>
      <c r="D67" t="s">
        <v>26</v>
      </c>
      <c r="E67" t="s">
        <v>30</v>
      </c>
      <c r="F67" t="s">
        <v>40</v>
      </c>
      <c r="G67" t="s">
        <v>72</v>
      </c>
      <c r="H67" t="s">
        <v>75</v>
      </c>
      <c r="I67">
        <v>7</v>
      </c>
      <c r="J67">
        <v>66429</v>
      </c>
      <c r="K67">
        <v>0.15</v>
      </c>
      <c r="L67">
        <v>395252.55</v>
      </c>
      <c r="M67">
        <v>235790.68</v>
      </c>
      <c r="N67">
        <v>159461.87</v>
      </c>
      <c r="O67" t="s">
        <v>78</v>
      </c>
      <c r="P67" t="s">
        <v>85</v>
      </c>
    </row>
    <row r="68" spans="1:16" x14ac:dyDescent="0.25">
      <c r="A68">
        <v>67</v>
      </c>
      <c r="B68" s="1">
        <v>45987</v>
      </c>
      <c r="C68" t="s">
        <v>20</v>
      </c>
      <c r="D68" t="s">
        <v>26</v>
      </c>
      <c r="E68" t="s">
        <v>28</v>
      </c>
      <c r="F68" t="s">
        <v>63</v>
      </c>
      <c r="G68" t="s">
        <v>70</v>
      </c>
      <c r="H68" t="s">
        <v>73</v>
      </c>
      <c r="I68">
        <v>3</v>
      </c>
      <c r="J68">
        <v>593</v>
      </c>
      <c r="K68">
        <v>0.15</v>
      </c>
      <c r="L68">
        <v>1512.15</v>
      </c>
      <c r="M68">
        <v>1143.44</v>
      </c>
      <c r="N68">
        <v>368.71</v>
      </c>
      <c r="O68" t="s">
        <v>78</v>
      </c>
      <c r="P68" t="s">
        <v>84</v>
      </c>
    </row>
    <row r="69" spans="1:16" x14ac:dyDescent="0.25">
      <c r="A69">
        <v>68</v>
      </c>
      <c r="B69" s="1">
        <v>45776</v>
      </c>
      <c r="C69" t="s">
        <v>19</v>
      </c>
      <c r="D69" t="s">
        <v>26</v>
      </c>
      <c r="E69" t="s">
        <v>34</v>
      </c>
      <c r="F69" t="s">
        <v>43</v>
      </c>
      <c r="G69" t="s">
        <v>70</v>
      </c>
      <c r="H69" t="s">
        <v>73</v>
      </c>
      <c r="I69">
        <v>6</v>
      </c>
      <c r="J69">
        <v>5769</v>
      </c>
      <c r="K69">
        <v>0</v>
      </c>
      <c r="L69">
        <v>34614</v>
      </c>
      <c r="M69">
        <v>28957.88</v>
      </c>
      <c r="N69">
        <v>5656.12</v>
      </c>
      <c r="O69" t="s">
        <v>79</v>
      </c>
      <c r="P69" t="s">
        <v>81</v>
      </c>
    </row>
    <row r="70" spans="1:16" x14ac:dyDescent="0.25">
      <c r="A70">
        <v>69</v>
      </c>
      <c r="B70" s="1">
        <v>45772</v>
      </c>
      <c r="C70" t="s">
        <v>21</v>
      </c>
      <c r="D70" t="s">
        <v>24</v>
      </c>
      <c r="E70" t="s">
        <v>30</v>
      </c>
      <c r="F70" t="s">
        <v>64</v>
      </c>
      <c r="G70" t="s">
        <v>71</v>
      </c>
      <c r="H70" t="s">
        <v>73</v>
      </c>
      <c r="I70">
        <v>5</v>
      </c>
      <c r="J70">
        <v>62274</v>
      </c>
      <c r="K70">
        <v>0</v>
      </c>
      <c r="L70">
        <v>311370</v>
      </c>
      <c r="M70">
        <v>265199.62</v>
      </c>
      <c r="N70">
        <v>46170.38</v>
      </c>
      <c r="O70" t="s">
        <v>80</v>
      </c>
      <c r="P70" t="s">
        <v>83</v>
      </c>
    </row>
    <row r="71" spans="1:16" x14ac:dyDescent="0.25">
      <c r="A71">
        <v>70</v>
      </c>
      <c r="B71" s="1">
        <v>45691</v>
      </c>
      <c r="C71" t="s">
        <v>21</v>
      </c>
      <c r="D71" t="s">
        <v>24</v>
      </c>
      <c r="E71" t="s">
        <v>30</v>
      </c>
      <c r="F71" t="s">
        <v>64</v>
      </c>
      <c r="G71" t="s">
        <v>71</v>
      </c>
      <c r="H71" t="s">
        <v>74</v>
      </c>
      <c r="I71">
        <v>4</v>
      </c>
      <c r="J71">
        <v>3122</v>
      </c>
      <c r="K71">
        <v>0.1</v>
      </c>
      <c r="L71">
        <v>11239.2</v>
      </c>
      <c r="M71">
        <v>7111.5</v>
      </c>
      <c r="N71">
        <v>4127.7</v>
      </c>
      <c r="O71" t="s">
        <v>76</v>
      </c>
      <c r="P71" t="s">
        <v>85</v>
      </c>
    </row>
    <row r="72" spans="1:16" x14ac:dyDescent="0.25">
      <c r="A72">
        <v>71</v>
      </c>
      <c r="B72" s="1">
        <v>45830</v>
      </c>
      <c r="C72" t="s">
        <v>17</v>
      </c>
      <c r="D72" t="s">
        <v>25</v>
      </c>
      <c r="E72" t="s">
        <v>34</v>
      </c>
      <c r="F72" t="s">
        <v>55</v>
      </c>
      <c r="G72" t="s">
        <v>71</v>
      </c>
      <c r="H72" t="s">
        <v>75</v>
      </c>
      <c r="I72">
        <v>6</v>
      </c>
      <c r="J72">
        <v>1536</v>
      </c>
      <c r="K72">
        <v>0.1</v>
      </c>
      <c r="L72">
        <v>8294.4</v>
      </c>
      <c r="M72">
        <v>5233.4799999999996</v>
      </c>
      <c r="N72">
        <v>3060.92</v>
      </c>
      <c r="O72" t="s">
        <v>77</v>
      </c>
      <c r="P72" t="s">
        <v>86</v>
      </c>
    </row>
    <row r="73" spans="1:16" x14ac:dyDescent="0.25">
      <c r="A73">
        <v>72</v>
      </c>
      <c r="B73" s="1">
        <v>45821</v>
      </c>
      <c r="C73" t="s">
        <v>22</v>
      </c>
      <c r="D73" t="s">
        <v>24</v>
      </c>
      <c r="E73" t="s">
        <v>28</v>
      </c>
      <c r="F73" t="s">
        <v>35</v>
      </c>
      <c r="G73" t="s">
        <v>70</v>
      </c>
      <c r="H73" t="s">
        <v>75</v>
      </c>
      <c r="I73">
        <v>6</v>
      </c>
      <c r="J73">
        <v>1392</v>
      </c>
      <c r="K73">
        <v>0.05</v>
      </c>
      <c r="L73">
        <v>7934.4</v>
      </c>
      <c r="M73">
        <v>5777.42</v>
      </c>
      <c r="N73">
        <v>2156.98</v>
      </c>
      <c r="O73" t="s">
        <v>80</v>
      </c>
      <c r="P73" t="s">
        <v>84</v>
      </c>
    </row>
    <row r="74" spans="1:16" x14ac:dyDescent="0.25">
      <c r="A74">
        <v>73</v>
      </c>
      <c r="B74" s="1">
        <v>45994</v>
      </c>
      <c r="C74" t="s">
        <v>21</v>
      </c>
      <c r="D74" t="s">
        <v>24</v>
      </c>
      <c r="E74" t="s">
        <v>34</v>
      </c>
      <c r="F74" t="s">
        <v>65</v>
      </c>
      <c r="G74" t="s">
        <v>72</v>
      </c>
      <c r="H74" t="s">
        <v>74</v>
      </c>
      <c r="I74">
        <v>2</v>
      </c>
      <c r="J74">
        <v>2270</v>
      </c>
      <c r="K74">
        <v>0.05</v>
      </c>
      <c r="L74">
        <v>4313</v>
      </c>
      <c r="M74">
        <v>3375.46</v>
      </c>
      <c r="N74">
        <v>937.54</v>
      </c>
      <c r="O74" t="s">
        <v>77</v>
      </c>
      <c r="P74" t="s">
        <v>84</v>
      </c>
    </row>
    <row r="75" spans="1:16" x14ac:dyDescent="0.25">
      <c r="A75">
        <v>74</v>
      </c>
      <c r="B75" s="1">
        <v>45886</v>
      </c>
      <c r="C75" t="s">
        <v>20</v>
      </c>
      <c r="D75" t="s">
        <v>26</v>
      </c>
      <c r="E75" t="s">
        <v>33</v>
      </c>
      <c r="F75" t="s">
        <v>52</v>
      </c>
      <c r="G75" t="s">
        <v>70</v>
      </c>
      <c r="H75" t="s">
        <v>75</v>
      </c>
      <c r="I75">
        <v>4</v>
      </c>
      <c r="J75">
        <v>6590</v>
      </c>
      <c r="K75">
        <v>0</v>
      </c>
      <c r="L75">
        <v>26360</v>
      </c>
      <c r="M75">
        <v>19211.89</v>
      </c>
      <c r="N75">
        <v>7148.11</v>
      </c>
      <c r="O75" t="s">
        <v>76</v>
      </c>
      <c r="P75" t="s">
        <v>83</v>
      </c>
    </row>
    <row r="76" spans="1:16" x14ac:dyDescent="0.25">
      <c r="A76">
        <v>75</v>
      </c>
      <c r="B76" s="1">
        <v>45872</v>
      </c>
      <c r="C76" t="s">
        <v>22</v>
      </c>
      <c r="D76" t="s">
        <v>24</v>
      </c>
      <c r="E76" t="s">
        <v>29</v>
      </c>
      <c r="F76" t="s">
        <v>57</v>
      </c>
      <c r="G76" t="s">
        <v>72</v>
      </c>
      <c r="H76" t="s">
        <v>74</v>
      </c>
      <c r="I76">
        <v>2</v>
      </c>
      <c r="J76">
        <v>8638</v>
      </c>
      <c r="K76">
        <v>0.1</v>
      </c>
      <c r="L76">
        <v>15548.4</v>
      </c>
      <c r="M76">
        <v>13679.27</v>
      </c>
      <c r="N76">
        <v>1869.13</v>
      </c>
      <c r="O76" t="s">
        <v>78</v>
      </c>
      <c r="P76" t="s">
        <v>85</v>
      </c>
    </row>
    <row r="77" spans="1:16" x14ac:dyDescent="0.25">
      <c r="A77">
        <v>76</v>
      </c>
      <c r="B77" s="1">
        <v>45927</v>
      </c>
      <c r="C77" t="s">
        <v>20</v>
      </c>
      <c r="D77" t="s">
        <v>26</v>
      </c>
      <c r="E77" t="s">
        <v>28</v>
      </c>
      <c r="F77" t="s">
        <v>61</v>
      </c>
      <c r="G77" t="s">
        <v>72</v>
      </c>
      <c r="H77" t="s">
        <v>75</v>
      </c>
      <c r="I77">
        <v>3</v>
      </c>
      <c r="J77">
        <v>481</v>
      </c>
      <c r="K77">
        <v>0.1</v>
      </c>
      <c r="L77">
        <v>1298.7</v>
      </c>
      <c r="M77">
        <v>990.52</v>
      </c>
      <c r="N77">
        <v>308.18</v>
      </c>
      <c r="O77" t="s">
        <v>77</v>
      </c>
      <c r="P77" t="s">
        <v>82</v>
      </c>
    </row>
    <row r="78" spans="1:16" x14ac:dyDescent="0.25">
      <c r="A78">
        <v>77</v>
      </c>
      <c r="B78" s="1">
        <v>45845</v>
      </c>
      <c r="C78" t="s">
        <v>21</v>
      </c>
      <c r="D78" t="s">
        <v>24</v>
      </c>
      <c r="E78" t="s">
        <v>33</v>
      </c>
      <c r="F78" t="s">
        <v>41</v>
      </c>
      <c r="G78" t="s">
        <v>71</v>
      </c>
      <c r="H78" t="s">
        <v>74</v>
      </c>
      <c r="I78">
        <v>3</v>
      </c>
      <c r="J78">
        <v>26010</v>
      </c>
      <c r="K78">
        <v>0.1</v>
      </c>
      <c r="L78">
        <v>70227</v>
      </c>
      <c r="M78">
        <v>55724.59</v>
      </c>
      <c r="N78">
        <v>14502.41</v>
      </c>
      <c r="O78" t="s">
        <v>78</v>
      </c>
      <c r="P78" t="s">
        <v>82</v>
      </c>
    </row>
    <row r="79" spans="1:16" x14ac:dyDescent="0.25">
      <c r="A79">
        <v>78</v>
      </c>
      <c r="B79" s="1">
        <v>45968</v>
      </c>
      <c r="C79" t="s">
        <v>23</v>
      </c>
      <c r="D79" t="s">
        <v>27</v>
      </c>
      <c r="E79" t="s">
        <v>32</v>
      </c>
      <c r="F79" t="s">
        <v>49</v>
      </c>
      <c r="G79" t="s">
        <v>70</v>
      </c>
      <c r="H79" t="s">
        <v>74</v>
      </c>
      <c r="I79">
        <v>7</v>
      </c>
      <c r="J79">
        <v>16975</v>
      </c>
      <c r="K79">
        <v>0</v>
      </c>
      <c r="L79">
        <v>118825</v>
      </c>
      <c r="M79">
        <v>84167.06</v>
      </c>
      <c r="N79">
        <v>34657.94</v>
      </c>
      <c r="O79" t="s">
        <v>78</v>
      </c>
      <c r="P79" t="s">
        <v>87</v>
      </c>
    </row>
    <row r="80" spans="1:16" x14ac:dyDescent="0.25">
      <c r="A80">
        <v>79</v>
      </c>
      <c r="B80" s="1">
        <v>46016</v>
      </c>
      <c r="C80" t="s">
        <v>21</v>
      </c>
      <c r="D80" t="s">
        <v>24</v>
      </c>
      <c r="E80" t="s">
        <v>30</v>
      </c>
      <c r="F80" t="s">
        <v>56</v>
      </c>
      <c r="G80" t="s">
        <v>71</v>
      </c>
      <c r="H80" t="s">
        <v>75</v>
      </c>
      <c r="I80">
        <v>3</v>
      </c>
      <c r="J80">
        <v>35433</v>
      </c>
      <c r="K80">
        <v>0</v>
      </c>
      <c r="L80">
        <v>106299</v>
      </c>
      <c r="M80">
        <v>93112.44</v>
      </c>
      <c r="N80">
        <v>13186.56</v>
      </c>
      <c r="O80" t="s">
        <v>79</v>
      </c>
      <c r="P80" t="s">
        <v>83</v>
      </c>
    </row>
    <row r="81" spans="1:16" x14ac:dyDescent="0.25">
      <c r="A81">
        <v>80</v>
      </c>
      <c r="B81" s="1">
        <v>46001</v>
      </c>
      <c r="C81" t="s">
        <v>20</v>
      </c>
      <c r="D81" t="s">
        <v>26</v>
      </c>
      <c r="E81" t="s">
        <v>33</v>
      </c>
      <c r="F81" t="s">
        <v>52</v>
      </c>
      <c r="G81" t="s">
        <v>72</v>
      </c>
      <c r="H81" t="s">
        <v>74</v>
      </c>
      <c r="I81">
        <v>5</v>
      </c>
      <c r="J81">
        <v>34623</v>
      </c>
      <c r="K81">
        <v>0.1</v>
      </c>
      <c r="L81">
        <v>155803.5</v>
      </c>
      <c r="M81">
        <v>132157.03</v>
      </c>
      <c r="N81">
        <v>23646.47</v>
      </c>
      <c r="O81" t="s">
        <v>80</v>
      </c>
      <c r="P81" t="s">
        <v>82</v>
      </c>
    </row>
    <row r="82" spans="1:16" x14ac:dyDescent="0.25">
      <c r="A82">
        <v>81</v>
      </c>
      <c r="B82" s="1">
        <v>45716</v>
      </c>
      <c r="C82" t="s">
        <v>23</v>
      </c>
      <c r="D82" t="s">
        <v>27</v>
      </c>
      <c r="E82" t="s">
        <v>34</v>
      </c>
      <c r="F82" t="s">
        <v>43</v>
      </c>
      <c r="G82" t="s">
        <v>72</v>
      </c>
      <c r="H82" t="s">
        <v>74</v>
      </c>
      <c r="I82">
        <v>3</v>
      </c>
      <c r="J82">
        <v>974</v>
      </c>
      <c r="K82">
        <v>0</v>
      </c>
      <c r="L82">
        <v>2922</v>
      </c>
      <c r="M82">
        <v>2358.8200000000002</v>
      </c>
      <c r="N82">
        <v>563.17999999999995</v>
      </c>
      <c r="O82" t="s">
        <v>76</v>
      </c>
      <c r="P82" t="s">
        <v>87</v>
      </c>
    </row>
    <row r="83" spans="1:16" x14ac:dyDescent="0.25">
      <c r="A83">
        <v>82</v>
      </c>
      <c r="B83" s="1">
        <v>45704</v>
      </c>
      <c r="C83" t="s">
        <v>20</v>
      </c>
      <c r="D83" t="s">
        <v>26</v>
      </c>
      <c r="E83" t="s">
        <v>30</v>
      </c>
      <c r="F83" t="s">
        <v>37</v>
      </c>
      <c r="G83" t="s">
        <v>71</v>
      </c>
      <c r="H83" t="s">
        <v>74</v>
      </c>
      <c r="I83">
        <v>4</v>
      </c>
      <c r="J83">
        <v>19797</v>
      </c>
      <c r="K83">
        <v>0.15</v>
      </c>
      <c r="L83">
        <v>67309.8</v>
      </c>
      <c r="M83">
        <v>47313.11</v>
      </c>
      <c r="N83">
        <v>19996.689999999999</v>
      </c>
      <c r="O83" t="s">
        <v>79</v>
      </c>
      <c r="P83" t="s">
        <v>83</v>
      </c>
    </row>
    <row r="84" spans="1:16" x14ac:dyDescent="0.25">
      <c r="A84">
        <v>83</v>
      </c>
      <c r="B84" s="1">
        <v>45725</v>
      </c>
      <c r="C84" t="s">
        <v>21</v>
      </c>
      <c r="D84" t="s">
        <v>24</v>
      </c>
      <c r="E84" t="s">
        <v>32</v>
      </c>
      <c r="F84" t="s">
        <v>49</v>
      </c>
      <c r="G84" t="s">
        <v>71</v>
      </c>
      <c r="H84" t="s">
        <v>74</v>
      </c>
      <c r="I84">
        <v>1</v>
      </c>
      <c r="J84">
        <v>12074</v>
      </c>
      <c r="K84">
        <v>0</v>
      </c>
      <c r="L84">
        <v>12074</v>
      </c>
      <c r="M84">
        <v>7951.78</v>
      </c>
      <c r="N84">
        <v>4122.22</v>
      </c>
      <c r="O84" t="s">
        <v>77</v>
      </c>
      <c r="P84" t="s">
        <v>84</v>
      </c>
    </row>
    <row r="85" spans="1:16" x14ac:dyDescent="0.25">
      <c r="A85">
        <v>84</v>
      </c>
      <c r="B85" s="1">
        <v>45883</v>
      </c>
      <c r="C85" t="s">
        <v>23</v>
      </c>
      <c r="D85" t="s">
        <v>27</v>
      </c>
      <c r="E85" t="s">
        <v>28</v>
      </c>
      <c r="F85" t="s">
        <v>35</v>
      </c>
      <c r="G85" t="s">
        <v>72</v>
      </c>
      <c r="H85" t="s">
        <v>74</v>
      </c>
      <c r="I85">
        <v>5</v>
      </c>
      <c r="J85">
        <v>672</v>
      </c>
      <c r="K85">
        <v>0</v>
      </c>
      <c r="L85">
        <v>3360</v>
      </c>
      <c r="M85">
        <v>2826.97</v>
      </c>
      <c r="N85">
        <v>533.03</v>
      </c>
      <c r="O85" t="s">
        <v>77</v>
      </c>
      <c r="P85" t="s">
        <v>81</v>
      </c>
    </row>
    <row r="86" spans="1:16" x14ac:dyDescent="0.25">
      <c r="A86">
        <v>85</v>
      </c>
      <c r="B86" s="1">
        <v>45980</v>
      </c>
      <c r="C86" t="s">
        <v>23</v>
      </c>
      <c r="D86" t="s">
        <v>27</v>
      </c>
      <c r="E86" t="s">
        <v>32</v>
      </c>
      <c r="F86" t="s">
        <v>49</v>
      </c>
      <c r="G86" t="s">
        <v>70</v>
      </c>
      <c r="H86" t="s">
        <v>75</v>
      </c>
      <c r="I86">
        <v>5</v>
      </c>
      <c r="J86">
        <v>19967</v>
      </c>
      <c r="K86">
        <v>0</v>
      </c>
      <c r="L86">
        <v>99835</v>
      </c>
      <c r="M86">
        <v>85551.59</v>
      </c>
      <c r="N86">
        <v>14283.41</v>
      </c>
      <c r="O86" t="s">
        <v>80</v>
      </c>
      <c r="P86" t="s">
        <v>85</v>
      </c>
    </row>
    <row r="87" spans="1:16" x14ac:dyDescent="0.25">
      <c r="A87">
        <v>86</v>
      </c>
      <c r="B87" s="1">
        <v>45790</v>
      </c>
      <c r="C87" t="s">
        <v>17</v>
      </c>
      <c r="D87" t="s">
        <v>25</v>
      </c>
      <c r="E87" t="s">
        <v>32</v>
      </c>
      <c r="F87" t="s">
        <v>48</v>
      </c>
      <c r="G87" t="s">
        <v>70</v>
      </c>
      <c r="H87" t="s">
        <v>73</v>
      </c>
      <c r="I87">
        <v>3</v>
      </c>
      <c r="J87">
        <v>16070</v>
      </c>
      <c r="K87">
        <v>0.1</v>
      </c>
      <c r="L87">
        <v>43389</v>
      </c>
      <c r="M87">
        <v>34697.74</v>
      </c>
      <c r="N87">
        <v>8691.26</v>
      </c>
      <c r="O87" t="s">
        <v>76</v>
      </c>
      <c r="P87" t="s">
        <v>87</v>
      </c>
    </row>
    <row r="88" spans="1:16" x14ac:dyDescent="0.25">
      <c r="A88">
        <v>87</v>
      </c>
      <c r="B88" s="1">
        <v>45812</v>
      </c>
      <c r="C88" t="s">
        <v>18</v>
      </c>
      <c r="D88" t="s">
        <v>26</v>
      </c>
      <c r="E88" t="s">
        <v>30</v>
      </c>
      <c r="F88" t="s">
        <v>64</v>
      </c>
      <c r="G88" t="s">
        <v>72</v>
      </c>
      <c r="H88" t="s">
        <v>74</v>
      </c>
      <c r="I88">
        <v>4</v>
      </c>
      <c r="J88">
        <v>38811</v>
      </c>
      <c r="K88">
        <v>0.05</v>
      </c>
      <c r="L88">
        <v>147481.79999999999</v>
      </c>
      <c r="M88">
        <v>111904.06</v>
      </c>
      <c r="N88">
        <v>35577.74</v>
      </c>
      <c r="O88" t="s">
        <v>76</v>
      </c>
      <c r="P88" t="s">
        <v>87</v>
      </c>
    </row>
    <row r="89" spans="1:16" x14ac:dyDescent="0.25">
      <c r="A89">
        <v>88</v>
      </c>
      <c r="B89" s="1">
        <v>45853</v>
      </c>
      <c r="C89" t="s">
        <v>20</v>
      </c>
      <c r="D89" t="s">
        <v>26</v>
      </c>
      <c r="E89" t="s">
        <v>31</v>
      </c>
      <c r="F89" t="s">
        <v>47</v>
      </c>
      <c r="G89" t="s">
        <v>72</v>
      </c>
      <c r="H89" t="s">
        <v>75</v>
      </c>
      <c r="I89">
        <v>4</v>
      </c>
      <c r="J89">
        <v>985</v>
      </c>
      <c r="K89">
        <v>0</v>
      </c>
      <c r="L89">
        <v>3940</v>
      </c>
      <c r="M89">
        <v>3275.31</v>
      </c>
      <c r="N89">
        <v>664.69</v>
      </c>
      <c r="O89" t="s">
        <v>76</v>
      </c>
      <c r="P89" t="s">
        <v>82</v>
      </c>
    </row>
    <row r="90" spans="1:16" x14ac:dyDescent="0.25">
      <c r="A90">
        <v>89</v>
      </c>
      <c r="B90" s="1">
        <v>45821</v>
      </c>
      <c r="C90" t="s">
        <v>22</v>
      </c>
      <c r="D90" t="s">
        <v>24</v>
      </c>
      <c r="E90" t="s">
        <v>31</v>
      </c>
      <c r="F90" t="s">
        <v>50</v>
      </c>
      <c r="G90" t="s">
        <v>72</v>
      </c>
      <c r="H90" t="s">
        <v>74</v>
      </c>
      <c r="I90">
        <v>4</v>
      </c>
      <c r="J90">
        <v>2226</v>
      </c>
      <c r="K90">
        <v>0</v>
      </c>
      <c r="L90">
        <v>8904</v>
      </c>
      <c r="M90">
        <v>5364.21</v>
      </c>
      <c r="N90">
        <v>3539.79</v>
      </c>
      <c r="O90" t="s">
        <v>80</v>
      </c>
      <c r="P90" t="s">
        <v>83</v>
      </c>
    </row>
    <row r="91" spans="1:16" x14ac:dyDescent="0.25">
      <c r="A91">
        <v>90</v>
      </c>
      <c r="B91" s="1">
        <v>45756</v>
      </c>
      <c r="C91" t="s">
        <v>23</v>
      </c>
      <c r="D91" t="s">
        <v>27</v>
      </c>
      <c r="E91" t="s">
        <v>28</v>
      </c>
      <c r="F91" t="s">
        <v>63</v>
      </c>
      <c r="G91" t="s">
        <v>71</v>
      </c>
      <c r="H91" t="s">
        <v>74</v>
      </c>
      <c r="I91">
        <v>5</v>
      </c>
      <c r="J91">
        <v>1642</v>
      </c>
      <c r="K91">
        <v>0.15</v>
      </c>
      <c r="L91">
        <v>6978.5</v>
      </c>
      <c r="M91">
        <v>6056.42</v>
      </c>
      <c r="N91">
        <v>922.08</v>
      </c>
      <c r="O91" t="s">
        <v>76</v>
      </c>
      <c r="P91" t="s">
        <v>84</v>
      </c>
    </row>
    <row r="92" spans="1:16" x14ac:dyDescent="0.25">
      <c r="A92">
        <v>91</v>
      </c>
      <c r="B92" s="1">
        <v>45741</v>
      </c>
      <c r="C92" t="s">
        <v>23</v>
      </c>
      <c r="D92" t="s">
        <v>27</v>
      </c>
      <c r="E92" t="s">
        <v>30</v>
      </c>
      <c r="F92" t="s">
        <v>44</v>
      </c>
      <c r="G92" t="s">
        <v>72</v>
      </c>
      <c r="H92" t="s">
        <v>75</v>
      </c>
      <c r="I92">
        <v>3</v>
      </c>
      <c r="J92">
        <v>7126</v>
      </c>
      <c r="K92">
        <v>0</v>
      </c>
      <c r="L92">
        <v>21378</v>
      </c>
      <c r="M92">
        <v>17882.28</v>
      </c>
      <c r="N92">
        <v>3495.72</v>
      </c>
      <c r="O92" t="s">
        <v>80</v>
      </c>
      <c r="P92" t="s">
        <v>86</v>
      </c>
    </row>
    <row r="93" spans="1:16" x14ac:dyDescent="0.25">
      <c r="A93">
        <v>92</v>
      </c>
      <c r="B93" s="1">
        <v>45684</v>
      </c>
      <c r="C93" t="s">
        <v>18</v>
      </c>
      <c r="D93" t="s">
        <v>26</v>
      </c>
      <c r="E93" t="s">
        <v>29</v>
      </c>
      <c r="F93" t="s">
        <v>57</v>
      </c>
      <c r="G93" t="s">
        <v>71</v>
      </c>
      <c r="H93" t="s">
        <v>73</v>
      </c>
      <c r="I93">
        <v>1</v>
      </c>
      <c r="J93">
        <v>4033</v>
      </c>
      <c r="K93">
        <v>0</v>
      </c>
      <c r="L93">
        <v>4033</v>
      </c>
      <c r="M93">
        <v>3278.6</v>
      </c>
      <c r="N93">
        <v>754.4</v>
      </c>
      <c r="O93" t="s">
        <v>77</v>
      </c>
      <c r="P93" t="s">
        <v>82</v>
      </c>
    </row>
    <row r="94" spans="1:16" x14ac:dyDescent="0.25">
      <c r="A94">
        <v>93</v>
      </c>
      <c r="B94" s="1">
        <v>45703</v>
      </c>
      <c r="C94" t="s">
        <v>23</v>
      </c>
      <c r="D94" t="s">
        <v>27</v>
      </c>
      <c r="E94" t="s">
        <v>29</v>
      </c>
      <c r="F94" t="s">
        <v>57</v>
      </c>
      <c r="G94" t="s">
        <v>70</v>
      </c>
      <c r="H94" t="s">
        <v>74</v>
      </c>
      <c r="I94">
        <v>6</v>
      </c>
      <c r="J94">
        <v>7499</v>
      </c>
      <c r="K94">
        <v>0.05</v>
      </c>
      <c r="L94">
        <v>42744.3</v>
      </c>
      <c r="M94">
        <v>31835.4</v>
      </c>
      <c r="N94">
        <v>10908.9</v>
      </c>
      <c r="O94" t="s">
        <v>79</v>
      </c>
      <c r="P94" t="s">
        <v>86</v>
      </c>
    </row>
    <row r="95" spans="1:16" x14ac:dyDescent="0.25">
      <c r="A95">
        <v>94</v>
      </c>
      <c r="B95" s="1">
        <v>45934</v>
      </c>
      <c r="C95" t="s">
        <v>20</v>
      </c>
      <c r="D95" t="s">
        <v>26</v>
      </c>
      <c r="E95" t="s">
        <v>32</v>
      </c>
      <c r="F95" t="s">
        <v>49</v>
      </c>
      <c r="G95" t="s">
        <v>72</v>
      </c>
      <c r="H95" t="s">
        <v>75</v>
      </c>
      <c r="I95">
        <v>5</v>
      </c>
      <c r="J95">
        <v>19627</v>
      </c>
      <c r="K95">
        <v>0</v>
      </c>
      <c r="L95">
        <v>98135</v>
      </c>
      <c r="M95">
        <v>57303.14</v>
      </c>
      <c r="N95">
        <v>40831.86</v>
      </c>
      <c r="O95" t="s">
        <v>80</v>
      </c>
      <c r="P95" t="s">
        <v>82</v>
      </c>
    </row>
    <row r="96" spans="1:16" x14ac:dyDescent="0.25">
      <c r="A96">
        <v>95</v>
      </c>
      <c r="B96" s="1">
        <v>45818</v>
      </c>
      <c r="C96" t="s">
        <v>21</v>
      </c>
      <c r="D96" t="s">
        <v>24</v>
      </c>
      <c r="E96" t="s">
        <v>32</v>
      </c>
      <c r="F96" t="s">
        <v>66</v>
      </c>
      <c r="G96" t="s">
        <v>72</v>
      </c>
      <c r="H96" t="s">
        <v>75</v>
      </c>
      <c r="I96">
        <v>1</v>
      </c>
      <c r="J96">
        <v>7568</v>
      </c>
      <c r="K96">
        <v>0.05</v>
      </c>
      <c r="L96">
        <v>7189.6</v>
      </c>
      <c r="M96">
        <v>4718.47</v>
      </c>
      <c r="N96">
        <v>2471.13</v>
      </c>
      <c r="O96" t="s">
        <v>78</v>
      </c>
      <c r="P96" t="s">
        <v>87</v>
      </c>
    </row>
    <row r="97" spans="1:16" x14ac:dyDescent="0.25">
      <c r="A97">
        <v>96</v>
      </c>
      <c r="B97" s="1">
        <v>45779</v>
      </c>
      <c r="C97" t="s">
        <v>16</v>
      </c>
      <c r="D97" t="s">
        <v>24</v>
      </c>
      <c r="E97" t="s">
        <v>32</v>
      </c>
      <c r="F97" t="s">
        <v>39</v>
      </c>
      <c r="G97" t="s">
        <v>71</v>
      </c>
      <c r="H97" t="s">
        <v>73</v>
      </c>
      <c r="I97">
        <v>7</v>
      </c>
      <c r="J97">
        <v>19479</v>
      </c>
      <c r="K97">
        <v>0.15</v>
      </c>
      <c r="L97">
        <v>115900.05</v>
      </c>
      <c r="M97">
        <v>65732.77</v>
      </c>
      <c r="N97">
        <v>50167.28</v>
      </c>
      <c r="O97" t="s">
        <v>80</v>
      </c>
      <c r="P97" t="s">
        <v>86</v>
      </c>
    </row>
    <row r="98" spans="1:16" x14ac:dyDescent="0.25">
      <c r="A98">
        <v>97</v>
      </c>
      <c r="B98" s="1">
        <v>45985</v>
      </c>
      <c r="C98" t="s">
        <v>22</v>
      </c>
      <c r="D98" t="s">
        <v>24</v>
      </c>
      <c r="E98" t="s">
        <v>29</v>
      </c>
      <c r="F98" t="s">
        <v>53</v>
      </c>
      <c r="G98" t="s">
        <v>70</v>
      </c>
      <c r="H98" t="s">
        <v>75</v>
      </c>
      <c r="I98">
        <v>6</v>
      </c>
      <c r="J98">
        <v>607</v>
      </c>
      <c r="K98">
        <v>0.1</v>
      </c>
      <c r="L98">
        <v>3277.8</v>
      </c>
      <c r="M98">
        <v>2650.64</v>
      </c>
      <c r="N98">
        <v>627.16</v>
      </c>
      <c r="O98" t="s">
        <v>79</v>
      </c>
      <c r="P98" t="s">
        <v>82</v>
      </c>
    </row>
    <row r="99" spans="1:16" x14ac:dyDescent="0.25">
      <c r="A99">
        <v>98</v>
      </c>
      <c r="B99" s="1">
        <v>46019</v>
      </c>
      <c r="C99" t="s">
        <v>23</v>
      </c>
      <c r="D99" t="s">
        <v>27</v>
      </c>
      <c r="E99" t="s">
        <v>32</v>
      </c>
      <c r="F99" t="s">
        <v>66</v>
      </c>
      <c r="G99" t="s">
        <v>70</v>
      </c>
      <c r="H99" t="s">
        <v>75</v>
      </c>
      <c r="I99">
        <v>7</v>
      </c>
      <c r="J99">
        <v>14812</v>
      </c>
      <c r="K99">
        <v>0</v>
      </c>
      <c r="L99">
        <v>103684</v>
      </c>
      <c r="M99">
        <v>84046.3</v>
      </c>
      <c r="N99">
        <v>19637.7</v>
      </c>
      <c r="O99" t="s">
        <v>80</v>
      </c>
      <c r="P99" t="s">
        <v>81</v>
      </c>
    </row>
    <row r="100" spans="1:16" x14ac:dyDescent="0.25">
      <c r="A100">
        <v>99</v>
      </c>
      <c r="B100" s="1">
        <v>45868</v>
      </c>
      <c r="C100" t="s">
        <v>19</v>
      </c>
      <c r="D100" t="s">
        <v>26</v>
      </c>
      <c r="E100" t="s">
        <v>30</v>
      </c>
      <c r="F100" t="s">
        <v>37</v>
      </c>
      <c r="G100" t="s">
        <v>71</v>
      </c>
      <c r="H100" t="s">
        <v>73</v>
      </c>
      <c r="I100">
        <v>3</v>
      </c>
      <c r="J100">
        <v>61815</v>
      </c>
      <c r="K100">
        <v>0</v>
      </c>
      <c r="L100">
        <v>185445</v>
      </c>
      <c r="M100">
        <v>153427.79</v>
      </c>
      <c r="N100">
        <v>32017.21</v>
      </c>
      <c r="O100" t="s">
        <v>76</v>
      </c>
      <c r="P100" t="s">
        <v>85</v>
      </c>
    </row>
    <row r="101" spans="1:16" x14ac:dyDescent="0.25">
      <c r="A101">
        <v>100</v>
      </c>
      <c r="B101" s="1">
        <v>45681</v>
      </c>
      <c r="C101" t="s">
        <v>23</v>
      </c>
      <c r="D101" t="s">
        <v>27</v>
      </c>
      <c r="E101" t="s">
        <v>31</v>
      </c>
      <c r="F101" t="s">
        <v>38</v>
      </c>
      <c r="G101" t="s">
        <v>72</v>
      </c>
      <c r="H101" t="s">
        <v>75</v>
      </c>
      <c r="I101">
        <v>4</v>
      </c>
      <c r="J101">
        <v>1812</v>
      </c>
      <c r="K101">
        <v>0.1</v>
      </c>
      <c r="L101">
        <v>6523.2</v>
      </c>
      <c r="M101">
        <v>4635.3900000000003</v>
      </c>
      <c r="N101">
        <v>1887.81</v>
      </c>
      <c r="O101" t="s">
        <v>78</v>
      </c>
      <c r="P101" t="s">
        <v>82</v>
      </c>
    </row>
    <row r="102" spans="1:16" x14ac:dyDescent="0.25">
      <c r="A102">
        <v>101</v>
      </c>
      <c r="B102" s="1">
        <v>45919</v>
      </c>
      <c r="C102" t="s">
        <v>22</v>
      </c>
      <c r="D102" t="s">
        <v>24</v>
      </c>
      <c r="E102" t="s">
        <v>33</v>
      </c>
      <c r="F102" t="s">
        <v>59</v>
      </c>
      <c r="G102" t="s">
        <v>70</v>
      </c>
      <c r="H102" t="s">
        <v>73</v>
      </c>
      <c r="I102">
        <v>2</v>
      </c>
      <c r="J102">
        <v>35797</v>
      </c>
      <c r="K102">
        <v>0.1</v>
      </c>
      <c r="L102">
        <v>64434.6</v>
      </c>
      <c r="M102">
        <v>54768.17</v>
      </c>
      <c r="N102">
        <v>9666.43</v>
      </c>
      <c r="O102" t="s">
        <v>80</v>
      </c>
      <c r="P102" t="s">
        <v>87</v>
      </c>
    </row>
    <row r="103" spans="1:16" x14ac:dyDescent="0.25">
      <c r="A103">
        <v>102</v>
      </c>
      <c r="B103" s="1">
        <v>45991</v>
      </c>
      <c r="C103" t="s">
        <v>21</v>
      </c>
      <c r="D103" t="s">
        <v>24</v>
      </c>
      <c r="E103" t="s">
        <v>34</v>
      </c>
      <c r="F103" t="s">
        <v>43</v>
      </c>
      <c r="G103" t="s">
        <v>70</v>
      </c>
      <c r="H103" t="s">
        <v>73</v>
      </c>
      <c r="I103">
        <v>6</v>
      </c>
      <c r="J103">
        <v>1796</v>
      </c>
      <c r="K103">
        <v>0.1</v>
      </c>
      <c r="L103">
        <v>9698.4</v>
      </c>
      <c r="M103">
        <v>7454.82</v>
      </c>
      <c r="N103">
        <v>2243.58</v>
      </c>
      <c r="O103" t="s">
        <v>79</v>
      </c>
      <c r="P103" t="s">
        <v>84</v>
      </c>
    </row>
    <row r="104" spans="1:16" x14ac:dyDescent="0.25">
      <c r="A104">
        <v>103</v>
      </c>
      <c r="B104" s="1">
        <v>46002</v>
      </c>
      <c r="C104" t="s">
        <v>18</v>
      </c>
      <c r="D104" t="s">
        <v>26</v>
      </c>
      <c r="E104" t="s">
        <v>32</v>
      </c>
      <c r="F104" t="s">
        <v>49</v>
      </c>
      <c r="G104" t="s">
        <v>72</v>
      </c>
      <c r="H104" t="s">
        <v>73</v>
      </c>
      <c r="I104">
        <v>5</v>
      </c>
      <c r="J104">
        <v>23127</v>
      </c>
      <c r="K104">
        <v>0</v>
      </c>
      <c r="L104">
        <v>115635</v>
      </c>
      <c r="M104">
        <v>83433.59</v>
      </c>
      <c r="N104">
        <v>32201.41</v>
      </c>
      <c r="O104" t="s">
        <v>79</v>
      </c>
      <c r="P104" t="s">
        <v>83</v>
      </c>
    </row>
    <row r="105" spans="1:16" x14ac:dyDescent="0.25">
      <c r="A105">
        <v>104</v>
      </c>
      <c r="B105" s="1">
        <v>45790</v>
      </c>
      <c r="C105" t="s">
        <v>19</v>
      </c>
      <c r="D105" t="s">
        <v>26</v>
      </c>
      <c r="E105" t="s">
        <v>33</v>
      </c>
      <c r="F105" t="s">
        <v>46</v>
      </c>
      <c r="G105" t="s">
        <v>70</v>
      </c>
      <c r="H105" t="s">
        <v>73</v>
      </c>
      <c r="I105">
        <v>1</v>
      </c>
      <c r="J105">
        <v>8616</v>
      </c>
      <c r="K105">
        <v>0.15</v>
      </c>
      <c r="L105">
        <v>7323.6</v>
      </c>
      <c r="M105">
        <v>5442.66</v>
      </c>
      <c r="N105">
        <v>1880.94</v>
      </c>
      <c r="O105" t="s">
        <v>80</v>
      </c>
      <c r="P105" t="s">
        <v>84</v>
      </c>
    </row>
    <row r="106" spans="1:16" x14ac:dyDescent="0.25">
      <c r="A106">
        <v>105</v>
      </c>
      <c r="B106" s="1">
        <v>45991</v>
      </c>
      <c r="C106" t="s">
        <v>20</v>
      </c>
      <c r="D106" t="s">
        <v>26</v>
      </c>
      <c r="E106" t="s">
        <v>28</v>
      </c>
      <c r="F106" t="s">
        <v>63</v>
      </c>
      <c r="G106" t="s">
        <v>72</v>
      </c>
      <c r="H106" t="s">
        <v>73</v>
      </c>
      <c r="I106">
        <v>4</v>
      </c>
      <c r="J106">
        <v>1162</v>
      </c>
      <c r="K106">
        <v>0.05</v>
      </c>
      <c r="L106">
        <v>4415.6000000000004</v>
      </c>
      <c r="M106">
        <v>3167.7</v>
      </c>
      <c r="N106">
        <v>1247.9000000000001</v>
      </c>
      <c r="O106" t="s">
        <v>80</v>
      </c>
      <c r="P106" t="s">
        <v>88</v>
      </c>
    </row>
    <row r="107" spans="1:16" x14ac:dyDescent="0.25">
      <c r="A107">
        <v>106</v>
      </c>
      <c r="B107" s="1">
        <v>45899</v>
      </c>
      <c r="C107" t="s">
        <v>18</v>
      </c>
      <c r="D107" t="s">
        <v>26</v>
      </c>
      <c r="E107" t="s">
        <v>33</v>
      </c>
      <c r="F107" t="s">
        <v>52</v>
      </c>
      <c r="G107" t="s">
        <v>72</v>
      </c>
      <c r="H107" t="s">
        <v>75</v>
      </c>
      <c r="I107">
        <v>1</v>
      </c>
      <c r="J107">
        <v>9138</v>
      </c>
      <c r="K107">
        <v>0.05</v>
      </c>
      <c r="L107">
        <v>8681.1</v>
      </c>
      <c r="M107">
        <v>6793.35</v>
      </c>
      <c r="N107">
        <v>1887.75</v>
      </c>
      <c r="O107" t="s">
        <v>78</v>
      </c>
      <c r="P107" t="s">
        <v>88</v>
      </c>
    </row>
    <row r="108" spans="1:16" x14ac:dyDescent="0.25">
      <c r="A108">
        <v>107</v>
      </c>
      <c r="B108" s="1">
        <v>45786</v>
      </c>
      <c r="C108" t="s">
        <v>16</v>
      </c>
      <c r="D108" t="s">
        <v>24</v>
      </c>
      <c r="E108" t="s">
        <v>34</v>
      </c>
      <c r="F108" t="s">
        <v>43</v>
      </c>
      <c r="G108" t="s">
        <v>71</v>
      </c>
      <c r="H108" t="s">
        <v>73</v>
      </c>
      <c r="I108">
        <v>7</v>
      </c>
      <c r="J108">
        <v>3635</v>
      </c>
      <c r="K108">
        <v>0.1</v>
      </c>
      <c r="L108">
        <v>22900.5</v>
      </c>
      <c r="M108">
        <v>12824.92</v>
      </c>
      <c r="N108">
        <v>10075.58</v>
      </c>
      <c r="O108" t="s">
        <v>80</v>
      </c>
      <c r="P108" t="s">
        <v>83</v>
      </c>
    </row>
    <row r="109" spans="1:16" x14ac:dyDescent="0.25">
      <c r="A109">
        <v>108</v>
      </c>
      <c r="B109" s="1">
        <v>45658</v>
      </c>
      <c r="C109" t="s">
        <v>20</v>
      </c>
      <c r="D109" t="s">
        <v>26</v>
      </c>
      <c r="E109" t="s">
        <v>29</v>
      </c>
      <c r="F109" t="s">
        <v>45</v>
      </c>
      <c r="G109" t="s">
        <v>71</v>
      </c>
      <c r="H109" t="s">
        <v>74</v>
      </c>
      <c r="I109">
        <v>8</v>
      </c>
      <c r="J109">
        <v>8533</v>
      </c>
      <c r="K109">
        <v>0.2</v>
      </c>
      <c r="L109">
        <v>54611.199999999997</v>
      </c>
      <c r="M109">
        <v>37369.33</v>
      </c>
      <c r="N109">
        <v>17241.87</v>
      </c>
      <c r="O109" t="s">
        <v>76</v>
      </c>
      <c r="P109" t="s">
        <v>88</v>
      </c>
    </row>
    <row r="110" spans="1:16" x14ac:dyDescent="0.25">
      <c r="A110">
        <v>109</v>
      </c>
      <c r="B110" s="1">
        <v>45816</v>
      </c>
      <c r="C110" t="s">
        <v>16</v>
      </c>
      <c r="D110" t="s">
        <v>24</v>
      </c>
      <c r="E110" t="s">
        <v>31</v>
      </c>
      <c r="F110" t="s">
        <v>47</v>
      </c>
      <c r="G110" t="s">
        <v>71</v>
      </c>
      <c r="H110" t="s">
        <v>73</v>
      </c>
      <c r="I110">
        <v>5</v>
      </c>
      <c r="J110">
        <v>118</v>
      </c>
      <c r="K110">
        <v>0.05</v>
      </c>
      <c r="L110">
        <v>560.5</v>
      </c>
      <c r="M110">
        <v>468.99</v>
      </c>
      <c r="N110">
        <v>91.51</v>
      </c>
      <c r="O110" t="s">
        <v>79</v>
      </c>
      <c r="P110" t="s">
        <v>88</v>
      </c>
    </row>
    <row r="111" spans="1:16" x14ac:dyDescent="0.25">
      <c r="A111">
        <v>110</v>
      </c>
      <c r="B111" s="1">
        <v>45800</v>
      </c>
      <c r="C111" t="s">
        <v>22</v>
      </c>
      <c r="D111" t="s">
        <v>24</v>
      </c>
      <c r="E111" t="s">
        <v>32</v>
      </c>
      <c r="F111" t="s">
        <v>62</v>
      </c>
      <c r="G111" t="s">
        <v>72</v>
      </c>
      <c r="H111" t="s">
        <v>73</v>
      </c>
      <c r="I111">
        <v>3</v>
      </c>
      <c r="J111">
        <v>6792</v>
      </c>
      <c r="K111">
        <v>0</v>
      </c>
      <c r="L111">
        <v>20376</v>
      </c>
      <c r="M111">
        <v>15264.44</v>
      </c>
      <c r="N111">
        <v>5111.5600000000004</v>
      </c>
      <c r="O111" t="s">
        <v>78</v>
      </c>
      <c r="P111" t="s">
        <v>81</v>
      </c>
    </row>
    <row r="112" spans="1:16" x14ac:dyDescent="0.25">
      <c r="A112">
        <v>111</v>
      </c>
      <c r="B112" s="1">
        <v>45922</v>
      </c>
      <c r="C112" t="s">
        <v>23</v>
      </c>
      <c r="D112" t="s">
        <v>27</v>
      </c>
      <c r="E112" t="s">
        <v>32</v>
      </c>
      <c r="F112" t="s">
        <v>39</v>
      </c>
      <c r="G112" t="s">
        <v>72</v>
      </c>
      <c r="H112" t="s">
        <v>73</v>
      </c>
      <c r="I112">
        <v>6</v>
      </c>
      <c r="J112">
        <v>2377</v>
      </c>
      <c r="K112">
        <v>0.1</v>
      </c>
      <c r="L112">
        <v>12835.8</v>
      </c>
      <c r="M112">
        <v>10299.59</v>
      </c>
      <c r="N112">
        <v>2536.21</v>
      </c>
      <c r="O112" t="s">
        <v>78</v>
      </c>
      <c r="P112" t="s">
        <v>82</v>
      </c>
    </row>
    <row r="113" spans="1:16" x14ac:dyDescent="0.25">
      <c r="A113">
        <v>112</v>
      </c>
      <c r="B113" s="1">
        <v>45678</v>
      </c>
      <c r="C113" t="s">
        <v>20</v>
      </c>
      <c r="D113" t="s">
        <v>26</v>
      </c>
      <c r="E113" t="s">
        <v>28</v>
      </c>
      <c r="F113" t="s">
        <v>63</v>
      </c>
      <c r="G113" t="s">
        <v>71</v>
      </c>
      <c r="H113" t="s">
        <v>73</v>
      </c>
      <c r="I113">
        <v>4</v>
      </c>
      <c r="J113">
        <v>549</v>
      </c>
      <c r="K113">
        <v>0</v>
      </c>
      <c r="L113">
        <v>2196</v>
      </c>
      <c r="M113">
        <v>1328.34</v>
      </c>
      <c r="N113">
        <v>867.66</v>
      </c>
      <c r="O113" t="s">
        <v>77</v>
      </c>
      <c r="P113" t="s">
        <v>88</v>
      </c>
    </row>
    <row r="114" spans="1:16" x14ac:dyDescent="0.25">
      <c r="A114">
        <v>113</v>
      </c>
      <c r="B114" s="1">
        <v>45896</v>
      </c>
      <c r="C114" t="s">
        <v>21</v>
      </c>
      <c r="D114" t="s">
        <v>24</v>
      </c>
      <c r="E114" t="s">
        <v>32</v>
      </c>
      <c r="F114" t="s">
        <v>66</v>
      </c>
      <c r="G114" t="s">
        <v>71</v>
      </c>
      <c r="H114" t="s">
        <v>75</v>
      </c>
      <c r="I114">
        <v>6</v>
      </c>
      <c r="J114">
        <v>13408</v>
      </c>
      <c r="K114">
        <v>0.1</v>
      </c>
      <c r="L114">
        <v>72403.199999999997</v>
      </c>
      <c r="M114">
        <v>44156.88</v>
      </c>
      <c r="N114">
        <v>28246.32</v>
      </c>
      <c r="O114" t="s">
        <v>79</v>
      </c>
      <c r="P114" t="s">
        <v>81</v>
      </c>
    </row>
    <row r="115" spans="1:16" x14ac:dyDescent="0.25">
      <c r="A115">
        <v>114</v>
      </c>
      <c r="B115" s="1">
        <v>45955</v>
      </c>
      <c r="C115" t="s">
        <v>18</v>
      </c>
      <c r="D115" t="s">
        <v>26</v>
      </c>
      <c r="E115" t="s">
        <v>31</v>
      </c>
      <c r="F115" t="s">
        <v>38</v>
      </c>
      <c r="G115" t="s">
        <v>72</v>
      </c>
      <c r="H115" t="s">
        <v>74</v>
      </c>
      <c r="I115">
        <v>6</v>
      </c>
      <c r="J115">
        <v>1499</v>
      </c>
      <c r="K115">
        <v>0.1</v>
      </c>
      <c r="L115">
        <v>8094.6</v>
      </c>
      <c r="M115">
        <v>6640.26</v>
      </c>
      <c r="N115">
        <v>1454.34</v>
      </c>
      <c r="O115" t="s">
        <v>78</v>
      </c>
      <c r="P115" t="s">
        <v>83</v>
      </c>
    </row>
    <row r="116" spans="1:16" x14ac:dyDescent="0.25">
      <c r="A116">
        <v>115</v>
      </c>
      <c r="B116" s="1">
        <v>45928</v>
      </c>
      <c r="C116" t="s">
        <v>21</v>
      </c>
      <c r="D116" t="s">
        <v>24</v>
      </c>
      <c r="E116" t="s">
        <v>32</v>
      </c>
      <c r="F116" t="s">
        <v>48</v>
      </c>
      <c r="G116" t="s">
        <v>70</v>
      </c>
      <c r="H116" t="s">
        <v>73</v>
      </c>
      <c r="I116">
        <v>5</v>
      </c>
      <c r="J116">
        <v>7495</v>
      </c>
      <c r="K116">
        <v>0.1</v>
      </c>
      <c r="L116">
        <v>33727.5</v>
      </c>
      <c r="M116">
        <v>28023.759999999998</v>
      </c>
      <c r="N116">
        <v>5703.74</v>
      </c>
      <c r="O116" t="s">
        <v>79</v>
      </c>
      <c r="P116" t="s">
        <v>81</v>
      </c>
    </row>
    <row r="117" spans="1:16" x14ac:dyDescent="0.25">
      <c r="A117">
        <v>116</v>
      </c>
      <c r="B117" s="1">
        <v>45821</v>
      </c>
      <c r="C117" t="s">
        <v>20</v>
      </c>
      <c r="D117" t="s">
        <v>26</v>
      </c>
      <c r="E117" t="s">
        <v>28</v>
      </c>
      <c r="F117" t="s">
        <v>58</v>
      </c>
      <c r="G117" t="s">
        <v>71</v>
      </c>
      <c r="H117" t="s">
        <v>73</v>
      </c>
      <c r="I117">
        <v>5</v>
      </c>
      <c r="J117">
        <v>1067</v>
      </c>
      <c r="K117">
        <v>0</v>
      </c>
      <c r="L117">
        <v>5335</v>
      </c>
      <c r="M117">
        <v>4057.41</v>
      </c>
      <c r="N117">
        <v>1277.5899999999999</v>
      </c>
      <c r="O117" t="s">
        <v>76</v>
      </c>
      <c r="P117" t="s">
        <v>88</v>
      </c>
    </row>
    <row r="118" spans="1:16" x14ac:dyDescent="0.25">
      <c r="A118">
        <v>117</v>
      </c>
      <c r="B118" s="1">
        <v>45911</v>
      </c>
      <c r="C118" t="s">
        <v>20</v>
      </c>
      <c r="D118" t="s">
        <v>26</v>
      </c>
      <c r="E118" t="s">
        <v>33</v>
      </c>
      <c r="F118" t="s">
        <v>41</v>
      </c>
      <c r="G118" t="s">
        <v>70</v>
      </c>
      <c r="H118" t="s">
        <v>74</v>
      </c>
      <c r="I118">
        <v>2</v>
      </c>
      <c r="J118">
        <v>34410</v>
      </c>
      <c r="K118">
        <v>0.1</v>
      </c>
      <c r="L118">
        <v>61938</v>
      </c>
      <c r="M118">
        <v>45887.86</v>
      </c>
      <c r="N118">
        <v>16050.14</v>
      </c>
      <c r="O118" t="s">
        <v>80</v>
      </c>
      <c r="P118" t="s">
        <v>86</v>
      </c>
    </row>
    <row r="119" spans="1:16" x14ac:dyDescent="0.25">
      <c r="A119">
        <v>118</v>
      </c>
      <c r="B119" s="1">
        <v>45886</v>
      </c>
      <c r="C119" t="s">
        <v>17</v>
      </c>
      <c r="D119" t="s">
        <v>25</v>
      </c>
      <c r="E119" t="s">
        <v>33</v>
      </c>
      <c r="F119" t="s">
        <v>60</v>
      </c>
      <c r="G119" t="s">
        <v>71</v>
      </c>
      <c r="H119" t="s">
        <v>73</v>
      </c>
      <c r="I119">
        <v>8</v>
      </c>
      <c r="J119">
        <v>40457</v>
      </c>
      <c r="K119">
        <v>0.15</v>
      </c>
      <c r="L119">
        <v>275107.59999999998</v>
      </c>
      <c r="M119">
        <v>172526.85</v>
      </c>
      <c r="N119">
        <v>102580.75</v>
      </c>
      <c r="O119" t="s">
        <v>78</v>
      </c>
      <c r="P119" t="s">
        <v>84</v>
      </c>
    </row>
    <row r="120" spans="1:16" x14ac:dyDescent="0.25">
      <c r="A120">
        <v>119</v>
      </c>
      <c r="B120" s="1">
        <v>45957</v>
      </c>
      <c r="C120" t="s">
        <v>23</v>
      </c>
      <c r="D120" t="s">
        <v>27</v>
      </c>
      <c r="E120" t="s">
        <v>33</v>
      </c>
      <c r="F120" t="s">
        <v>52</v>
      </c>
      <c r="G120" t="s">
        <v>70</v>
      </c>
      <c r="H120" t="s">
        <v>75</v>
      </c>
      <c r="I120">
        <v>7</v>
      </c>
      <c r="J120">
        <v>12186</v>
      </c>
      <c r="K120">
        <v>0.2</v>
      </c>
      <c r="L120">
        <v>68241.600000000006</v>
      </c>
      <c r="M120">
        <v>41480.65</v>
      </c>
      <c r="N120">
        <v>26760.95</v>
      </c>
      <c r="O120" t="s">
        <v>79</v>
      </c>
      <c r="P120" t="s">
        <v>85</v>
      </c>
    </row>
    <row r="121" spans="1:16" x14ac:dyDescent="0.25">
      <c r="A121">
        <v>120</v>
      </c>
      <c r="B121" s="1">
        <v>45865</v>
      </c>
      <c r="C121" t="s">
        <v>23</v>
      </c>
      <c r="D121" t="s">
        <v>27</v>
      </c>
      <c r="E121" t="s">
        <v>29</v>
      </c>
      <c r="F121" t="s">
        <v>57</v>
      </c>
      <c r="G121" t="s">
        <v>71</v>
      </c>
      <c r="H121" t="s">
        <v>74</v>
      </c>
      <c r="I121">
        <v>7</v>
      </c>
      <c r="J121">
        <v>7846</v>
      </c>
      <c r="K121">
        <v>0.2</v>
      </c>
      <c r="L121">
        <v>43937.599999999999</v>
      </c>
      <c r="M121">
        <v>24456.05</v>
      </c>
      <c r="N121">
        <v>19481.55</v>
      </c>
      <c r="O121" t="s">
        <v>76</v>
      </c>
      <c r="P121" t="s">
        <v>82</v>
      </c>
    </row>
    <row r="122" spans="1:16" x14ac:dyDescent="0.25">
      <c r="A122">
        <v>121</v>
      </c>
      <c r="B122" s="1">
        <v>45888</v>
      </c>
      <c r="C122" t="s">
        <v>17</v>
      </c>
      <c r="D122" t="s">
        <v>25</v>
      </c>
      <c r="E122" t="s">
        <v>34</v>
      </c>
      <c r="F122" t="s">
        <v>55</v>
      </c>
      <c r="G122" t="s">
        <v>71</v>
      </c>
      <c r="H122" t="s">
        <v>74</v>
      </c>
      <c r="I122">
        <v>6</v>
      </c>
      <c r="J122">
        <v>5932</v>
      </c>
      <c r="K122">
        <v>0.05</v>
      </c>
      <c r="L122">
        <v>33812.400000000001</v>
      </c>
      <c r="M122">
        <v>22461.11</v>
      </c>
      <c r="N122">
        <v>11351.29</v>
      </c>
      <c r="O122" t="s">
        <v>79</v>
      </c>
      <c r="P122" t="s">
        <v>84</v>
      </c>
    </row>
    <row r="123" spans="1:16" x14ac:dyDescent="0.25">
      <c r="A123">
        <v>122</v>
      </c>
      <c r="B123" s="1">
        <v>45980</v>
      </c>
      <c r="C123" t="s">
        <v>23</v>
      </c>
      <c r="D123" t="s">
        <v>27</v>
      </c>
      <c r="E123" t="s">
        <v>28</v>
      </c>
      <c r="F123" t="s">
        <v>58</v>
      </c>
      <c r="G123" t="s">
        <v>70</v>
      </c>
      <c r="H123" t="s">
        <v>74</v>
      </c>
      <c r="I123">
        <v>4</v>
      </c>
      <c r="J123">
        <v>421</v>
      </c>
      <c r="K123">
        <v>0.1</v>
      </c>
      <c r="L123">
        <v>1515.6</v>
      </c>
      <c r="M123">
        <v>1029.1600000000001</v>
      </c>
      <c r="N123">
        <v>486.44</v>
      </c>
      <c r="O123" t="s">
        <v>78</v>
      </c>
      <c r="P123" t="s">
        <v>87</v>
      </c>
    </row>
    <row r="124" spans="1:16" x14ac:dyDescent="0.25">
      <c r="A124">
        <v>123</v>
      </c>
      <c r="B124" s="1">
        <v>45739</v>
      </c>
      <c r="C124" t="s">
        <v>22</v>
      </c>
      <c r="D124" t="s">
        <v>24</v>
      </c>
      <c r="E124" t="s">
        <v>29</v>
      </c>
      <c r="F124" t="s">
        <v>36</v>
      </c>
      <c r="G124" t="s">
        <v>72</v>
      </c>
      <c r="H124" t="s">
        <v>73</v>
      </c>
      <c r="I124">
        <v>6</v>
      </c>
      <c r="J124">
        <v>8242</v>
      </c>
      <c r="K124">
        <v>0</v>
      </c>
      <c r="L124">
        <v>49452</v>
      </c>
      <c r="M124">
        <v>42821.31</v>
      </c>
      <c r="N124">
        <v>6630.69</v>
      </c>
      <c r="O124" t="s">
        <v>79</v>
      </c>
      <c r="P124" t="s">
        <v>81</v>
      </c>
    </row>
    <row r="125" spans="1:16" x14ac:dyDescent="0.25">
      <c r="A125">
        <v>124</v>
      </c>
      <c r="B125" s="1">
        <v>45938</v>
      </c>
      <c r="C125" t="s">
        <v>23</v>
      </c>
      <c r="D125" t="s">
        <v>27</v>
      </c>
      <c r="E125" t="s">
        <v>30</v>
      </c>
      <c r="F125" t="s">
        <v>40</v>
      </c>
      <c r="G125" t="s">
        <v>71</v>
      </c>
      <c r="H125" t="s">
        <v>75</v>
      </c>
      <c r="I125">
        <v>7</v>
      </c>
      <c r="J125">
        <v>7401</v>
      </c>
      <c r="K125">
        <v>0</v>
      </c>
      <c r="L125">
        <v>51807</v>
      </c>
      <c r="M125">
        <v>44959.56</v>
      </c>
      <c r="N125">
        <v>6847.44</v>
      </c>
      <c r="O125" t="s">
        <v>80</v>
      </c>
      <c r="P125" t="s">
        <v>81</v>
      </c>
    </row>
    <row r="126" spans="1:16" x14ac:dyDescent="0.25">
      <c r="A126">
        <v>125</v>
      </c>
      <c r="B126" s="1">
        <v>45973</v>
      </c>
      <c r="C126" t="s">
        <v>17</v>
      </c>
      <c r="D126" t="s">
        <v>25</v>
      </c>
      <c r="E126" t="s">
        <v>34</v>
      </c>
      <c r="F126" t="s">
        <v>65</v>
      </c>
      <c r="G126" t="s">
        <v>71</v>
      </c>
      <c r="H126" t="s">
        <v>75</v>
      </c>
      <c r="I126">
        <v>6</v>
      </c>
      <c r="J126">
        <v>5786</v>
      </c>
      <c r="K126">
        <v>0</v>
      </c>
      <c r="L126">
        <v>34716</v>
      </c>
      <c r="M126">
        <v>30491.27</v>
      </c>
      <c r="N126">
        <v>4224.7299999999996</v>
      </c>
      <c r="O126" t="s">
        <v>79</v>
      </c>
      <c r="P126" t="s">
        <v>85</v>
      </c>
    </row>
    <row r="127" spans="1:16" x14ac:dyDescent="0.25">
      <c r="A127">
        <v>126</v>
      </c>
      <c r="B127" s="1">
        <v>45740</v>
      </c>
      <c r="C127" t="s">
        <v>20</v>
      </c>
      <c r="D127" t="s">
        <v>26</v>
      </c>
      <c r="E127" t="s">
        <v>34</v>
      </c>
      <c r="F127" t="s">
        <v>51</v>
      </c>
      <c r="G127" t="s">
        <v>71</v>
      </c>
      <c r="H127" t="s">
        <v>73</v>
      </c>
      <c r="I127">
        <v>4</v>
      </c>
      <c r="J127">
        <v>758</v>
      </c>
      <c r="K127">
        <v>0.15</v>
      </c>
      <c r="L127">
        <v>2577.1999999999998</v>
      </c>
      <c r="M127">
        <v>1940.69</v>
      </c>
      <c r="N127">
        <v>636.51</v>
      </c>
      <c r="O127" t="s">
        <v>78</v>
      </c>
      <c r="P127" t="s">
        <v>85</v>
      </c>
    </row>
    <row r="128" spans="1:16" x14ac:dyDescent="0.25">
      <c r="A128">
        <v>127</v>
      </c>
      <c r="B128" s="1">
        <v>45773</v>
      </c>
      <c r="C128" t="s">
        <v>23</v>
      </c>
      <c r="D128" t="s">
        <v>27</v>
      </c>
      <c r="E128" t="s">
        <v>34</v>
      </c>
      <c r="F128" t="s">
        <v>65</v>
      </c>
      <c r="G128" t="s">
        <v>71</v>
      </c>
      <c r="H128" t="s">
        <v>73</v>
      </c>
      <c r="I128">
        <v>7</v>
      </c>
      <c r="J128">
        <v>2795</v>
      </c>
      <c r="K128">
        <v>0</v>
      </c>
      <c r="L128">
        <v>19565</v>
      </c>
      <c r="M128">
        <v>11624.65</v>
      </c>
      <c r="N128">
        <v>7940.35</v>
      </c>
      <c r="O128" t="s">
        <v>76</v>
      </c>
      <c r="P128" t="s">
        <v>81</v>
      </c>
    </row>
    <row r="129" spans="1:16" x14ac:dyDescent="0.25">
      <c r="A129">
        <v>128</v>
      </c>
      <c r="B129" s="1">
        <v>45971</v>
      </c>
      <c r="C129" t="s">
        <v>20</v>
      </c>
      <c r="D129" t="s">
        <v>26</v>
      </c>
      <c r="E129" t="s">
        <v>34</v>
      </c>
      <c r="F129" t="s">
        <v>51</v>
      </c>
      <c r="G129" t="s">
        <v>70</v>
      </c>
      <c r="H129" t="s">
        <v>75</v>
      </c>
      <c r="I129">
        <v>5</v>
      </c>
      <c r="J129">
        <v>4418</v>
      </c>
      <c r="K129">
        <v>0.05</v>
      </c>
      <c r="L129">
        <v>20985.5</v>
      </c>
      <c r="M129">
        <v>13383.1</v>
      </c>
      <c r="N129">
        <v>7602.4</v>
      </c>
      <c r="O129" t="s">
        <v>76</v>
      </c>
      <c r="P129" t="s">
        <v>82</v>
      </c>
    </row>
    <row r="130" spans="1:16" x14ac:dyDescent="0.25">
      <c r="A130">
        <v>129</v>
      </c>
      <c r="B130" s="1">
        <v>45913</v>
      </c>
      <c r="C130" t="s">
        <v>20</v>
      </c>
      <c r="D130" t="s">
        <v>26</v>
      </c>
      <c r="E130" t="s">
        <v>32</v>
      </c>
      <c r="F130" t="s">
        <v>66</v>
      </c>
      <c r="G130" t="s">
        <v>71</v>
      </c>
      <c r="H130" t="s">
        <v>74</v>
      </c>
      <c r="I130">
        <v>2</v>
      </c>
      <c r="J130">
        <v>1793</v>
      </c>
      <c r="K130">
        <v>0.05</v>
      </c>
      <c r="L130">
        <v>3406.7</v>
      </c>
      <c r="M130">
        <v>2756.21</v>
      </c>
      <c r="N130">
        <v>650.49</v>
      </c>
      <c r="O130" t="s">
        <v>79</v>
      </c>
      <c r="P130" t="s">
        <v>86</v>
      </c>
    </row>
    <row r="131" spans="1:16" x14ac:dyDescent="0.25">
      <c r="A131">
        <v>130</v>
      </c>
      <c r="B131" s="1">
        <v>45674</v>
      </c>
      <c r="C131" t="s">
        <v>22</v>
      </c>
      <c r="D131" t="s">
        <v>24</v>
      </c>
      <c r="E131" t="s">
        <v>30</v>
      </c>
      <c r="F131" t="s">
        <v>56</v>
      </c>
      <c r="G131" t="s">
        <v>72</v>
      </c>
      <c r="H131" t="s">
        <v>75</v>
      </c>
      <c r="I131">
        <v>2</v>
      </c>
      <c r="J131">
        <v>51223</v>
      </c>
      <c r="K131">
        <v>0.05</v>
      </c>
      <c r="L131">
        <v>97323.7</v>
      </c>
      <c r="M131">
        <v>73992.92</v>
      </c>
      <c r="N131">
        <v>23330.78</v>
      </c>
      <c r="O131" t="s">
        <v>79</v>
      </c>
      <c r="P131" t="s">
        <v>85</v>
      </c>
    </row>
    <row r="132" spans="1:16" x14ac:dyDescent="0.25">
      <c r="A132">
        <v>131</v>
      </c>
      <c r="B132" s="1">
        <v>46000</v>
      </c>
      <c r="C132" t="s">
        <v>21</v>
      </c>
      <c r="D132" t="s">
        <v>24</v>
      </c>
      <c r="E132" t="s">
        <v>33</v>
      </c>
      <c r="F132" t="s">
        <v>41</v>
      </c>
      <c r="G132" t="s">
        <v>70</v>
      </c>
      <c r="H132" t="s">
        <v>74</v>
      </c>
      <c r="I132">
        <v>8</v>
      </c>
      <c r="J132">
        <v>29224</v>
      </c>
      <c r="K132">
        <v>0.1</v>
      </c>
      <c r="L132">
        <v>210412.79999999999</v>
      </c>
      <c r="M132">
        <v>120732.3</v>
      </c>
      <c r="N132">
        <v>89680.5</v>
      </c>
      <c r="O132" t="s">
        <v>76</v>
      </c>
      <c r="P132" t="s">
        <v>82</v>
      </c>
    </row>
    <row r="133" spans="1:16" x14ac:dyDescent="0.25">
      <c r="A133">
        <v>132</v>
      </c>
      <c r="B133" s="1">
        <v>45934</v>
      </c>
      <c r="C133" t="s">
        <v>23</v>
      </c>
      <c r="D133" t="s">
        <v>27</v>
      </c>
      <c r="E133" t="s">
        <v>28</v>
      </c>
      <c r="F133" t="s">
        <v>54</v>
      </c>
      <c r="G133" t="s">
        <v>71</v>
      </c>
      <c r="H133" t="s">
        <v>75</v>
      </c>
      <c r="I133">
        <v>3</v>
      </c>
      <c r="J133">
        <v>1423</v>
      </c>
      <c r="K133">
        <v>0.05</v>
      </c>
      <c r="L133">
        <v>4055.55</v>
      </c>
      <c r="M133">
        <v>2341.12</v>
      </c>
      <c r="N133">
        <v>1714.43</v>
      </c>
      <c r="O133" t="s">
        <v>79</v>
      </c>
      <c r="P133" t="s">
        <v>83</v>
      </c>
    </row>
    <row r="134" spans="1:16" x14ac:dyDescent="0.25">
      <c r="A134">
        <v>133</v>
      </c>
      <c r="B134" s="1">
        <v>45706</v>
      </c>
      <c r="C134" t="s">
        <v>19</v>
      </c>
      <c r="D134" t="s">
        <v>26</v>
      </c>
      <c r="E134" t="s">
        <v>31</v>
      </c>
      <c r="F134" t="s">
        <v>67</v>
      </c>
      <c r="G134" t="s">
        <v>71</v>
      </c>
      <c r="H134" t="s">
        <v>74</v>
      </c>
      <c r="I134">
        <v>1</v>
      </c>
      <c r="J134">
        <v>469</v>
      </c>
      <c r="K134">
        <v>0.05</v>
      </c>
      <c r="L134">
        <v>445.55</v>
      </c>
      <c r="M134">
        <v>261.81</v>
      </c>
      <c r="N134">
        <v>183.74</v>
      </c>
      <c r="O134" t="s">
        <v>80</v>
      </c>
      <c r="P134" t="s">
        <v>81</v>
      </c>
    </row>
    <row r="135" spans="1:16" x14ac:dyDescent="0.25">
      <c r="A135">
        <v>134</v>
      </c>
      <c r="B135" s="1">
        <v>45668</v>
      </c>
      <c r="C135" t="s">
        <v>20</v>
      </c>
      <c r="D135" t="s">
        <v>26</v>
      </c>
      <c r="E135" t="s">
        <v>30</v>
      </c>
      <c r="F135" t="s">
        <v>64</v>
      </c>
      <c r="G135" t="s">
        <v>72</v>
      </c>
      <c r="H135" t="s">
        <v>74</v>
      </c>
      <c r="I135">
        <v>7</v>
      </c>
      <c r="J135">
        <v>46500</v>
      </c>
      <c r="K135">
        <v>0</v>
      </c>
      <c r="L135">
        <v>325500</v>
      </c>
      <c r="M135">
        <v>200236.29</v>
      </c>
      <c r="N135">
        <v>125263.71</v>
      </c>
      <c r="O135" t="s">
        <v>76</v>
      </c>
      <c r="P135" t="s">
        <v>84</v>
      </c>
    </row>
    <row r="136" spans="1:16" x14ac:dyDescent="0.25">
      <c r="A136">
        <v>135</v>
      </c>
      <c r="B136" s="1">
        <v>45779</v>
      </c>
      <c r="C136" t="s">
        <v>16</v>
      </c>
      <c r="D136" t="s">
        <v>24</v>
      </c>
      <c r="E136" t="s">
        <v>28</v>
      </c>
      <c r="F136" t="s">
        <v>61</v>
      </c>
      <c r="G136" t="s">
        <v>70</v>
      </c>
      <c r="H136" t="s">
        <v>73</v>
      </c>
      <c r="I136">
        <v>4</v>
      </c>
      <c r="J136">
        <v>2365</v>
      </c>
      <c r="K136">
        <v>0.1</v>
      </c>
      <c r="L136">
        <v>8514</v>
      </c>
      <c r="M136">
        <v>6526.27</v>
      </c>
      <c r="N136">
        <v>1987.73</v>
      </c>
      <c r="O136" t="s">
        <v>77</v>
      </c>
      <c r="P136" t="s">
        <v>83</v>
      </c>
    </row>
    <row r="137" spans="1:16" x14ac:dyDescent="0.25">
      <c r="A137">
        <v>136</v>
      </c>
      <c r="B137" s="1">
        <v>45679</v>
      </c>
      <c r="C137" t="s">
        <v>21</v>
      </c>
      <c r="D137" t="s">
        <v>24</v>
      </c>
      <c r="E137" t="s">
        <v>34</v>
      </c>
      <c r="F137" t="s">
        <v>68</v>
      </c>
      <c r="G137" t="s">
        <v>71</v>
      </c>
      <c r="H137" t="s">
        <v>74</v>
      </c>
      <c r="I137">
        <v>2</v>
      </c>
      <c r="J137">
        <v>4232</v>
      </c>
      <c r="K137">
        <v>0.1</v>
      </c>
      <c r="L137">
        <v>7617.6</v>
      </c>
      <c r="M137">
        <v>5552.76</v>
      </c>
      <c r="N137">
        <v>2064.84</v>
      </c>
      <c r="O137" t="s">
        <v>77</v>
      </c>
      <c r="P137" t="s">
        <v>85</v>
      </c>
    </row>
    <row r="138" spans="1:16" x14ac:dyDescent="0.25">
      <c r="A138">
        <v>137</v>
      </c>
      <c r="B138" s="1">
        <v>45775</v>
      </c>
      <c r="C138" t="s">
        <v>21</v>
      </c>
      <c r="D138" t="s">
        <v>24</v>
      </c>
      <c r="E138" t="s">
        <v>34</v>
      </c>
      <c r="F138" t="s">
        <v>55</v>
      </c>
      <c r="G138" t="s">
        <v>70</v>
      </c>
      <c r="H138" t="s">
        <v>73</v>
      </c>
      <c r="I138">
        <v>7</v>
      </c>
      <c r="J138">
        <v>511</v>
      </c>
      <c r="K138">
        <v>0.1</v>
      </c>
      <c r="L138">
        <v>3219.3</v>
      </c>
      <c r="M138">
        <v>2707.04</v>
      </c>
      <c r="N138">
        <v>512.26</v>
      </c>
      <c r="O138" t="s">
        <v>78</v>
      </c>
      <c r="P138" t="s">
        <v>84</v>
      </c>
    </row>
    <row r="139" spans="1:16" x14ac:dyDescent="0.25">
      <c r="A139">
        <v>138</v>
      </c>
      <c r="B139" s="1">
        <v>45667</v>
      </c>
      <c r="C139" t="s">
        <v>16</v>
      </c>
      <c r="D139" t="s">
        <v>24</v>
      </c>
      <c r="E139" t="s">
        <v>29</v>
      </c>
      <c r="F139" t="s">
        <v>42</v>
      </c>
      <c r="G139" t="s">
        <v>71</v>
      </c>
      <c r="H139" t="s">
        <v>73</v>
      </c>
      <c r="I139">
        <v>3</v>
      </c>
      <c r="J139">
        <v>3379</v>
      </c>
      <c r="K139">
        <v>0.1</v>
      </c>
      <c r="L139">
        <v>9123.2999999999993</v>
      </c>
      <c r="M139">
        <v>5124.13</v>
      </c>
      <c r="N139">
        <v>3999.17</v>
      </c>
      <c r="O139" t="s">
        <v>79</v>
      </c>
      <c r="P139" t="s">
        <v>81</v>
      </c>
    </row>
    <row r="140" spans="1:16" x14ac:dyDescent="0.25">
      <c r="A140">
        <v>139</v>
      </c>
      <c r="B140" s="1">
        <v>45677</v>
      </c>
      <c r="C140" t="s">
        <v>23</v>
      </c>
      <c r="D140" t="s">
        <v>27</v>
      </c>
      <c r="E140" t="s">
        <v>33</v>
      </c>
      <c r="F140" t="s">
        <v>59</v>
      </c>
      <c r="G140" t="s">
        <v>70</v>
      </c>
      <c r="H140" t="s">
        <v>74</v>
      </c>
      <c r="I140">
        <v>5</v>
      </c>
      <c r="J140">
        <v>44503</v>
      </c>
      <c r="K140">
        <v>0.1</v>
      </c>
      <c r="L140">
        <v>200263.5</v>
      </c>
      <c r="M140">
        <v>110269.16</v>
      </c>
      <c r="N140">
        <v>89994.34</v>
      </c>
      <c r="O140" t="s">
        <v>78</v>
      </c>
      <c r="P140" t="s">
        <v>87</v>
      </c>
    </row>
    <row r="141" spans="1:16" x14ac:dyDescent="0.25">
      <c r="A141">
        <v>140</v>
      </c>
      <c r="B141" s="1">
        <v>45917</v>
      </c>
      <c r="C141" t="s">
        <v>20</v>
      </c>
      <c r="D141" t="s">
        <v>26</v>
      </c>
      <c r="E141" t="s">
        <v>34</v>
      </c>
      <c r="F141" t="s">
        <v>55</v>
      </c>
      <c r="G141" t="s">
        <v>72</v>
      </c>
      <c r="H141" t="s">
        <v>73</v>
      </c>
      <c r="I141">
        <v>1</v>
      </c>
      <c r="J141">
        <v>3736</v>
      </c>
      <c r="K141">
        <v>0.1</v>
      </c>
      <c r="L141">
        <v>3362.4</v>
      </c>
      <c r="M141">
        <v>1907.91</v>
      </c>
      <c r="N141">
        <v>1454.49</v>
      </c>
      <c r="O141" t="s">
        <v>78</v>
      </c>
      <c r="P141" t="s">
        <v>84</v>
      </c>
    </row>
    <row r="142" spans="1:16" x14ac:dyDescent="0.25">
      <c r="A142">
        <v>141</v>
      </c>
      <c r="B142" s="1">
        <v>45816</v>
      </c>
      <c r="C142" t="s">
        <v>20</v>
      </c>
      <c r="D142" t="s">
        <v>26</v>
      </c>
      <c r="E142" t="s">
        <v>33</v>
      </c>
      <c r="F142" t="s">
        <v>60</v>
      </c>
      <c r="G142" t="s">
        <v>70</v>
      </c>
      <c r="H142" t="s">
        <v>74</v>
      </c>
      <c r="I142">
        <v>7</v>
      </c>
      <c r="J142">
        <v>15193</v>
      </c>
      <c r="K142">
        <v>0.1</v>
      </c>
      <c r="L142">
        <v>95715.9</v>
      </c>
      <c r="M142">
        <v>77553.13</v>
      </c>
      <c r="N142">
        <v>18162.77</v>
      </c>
      <c r="O142" t="s">
        <v>80</v>
      </c>
      <c r="P142" t="s">
        <v>87</v>
      </c>
    </row>
    <row r="143" spans="1:16" x14ac:dyDescent="0.25">
      <c r="A143">
        <v>142</v>
      </c>
      <c r="B143" s="1">
        <v>45840</v>
      </c>
      <c r="C143" t="s">
        <v>16</v>
      </c>
      <c r="D143" t="s">
        <v>24</v>
      </c>
      <c r="E143" t="s">
        <v>30</v>
      </c>
      <c r="F143" t="s">
        <v>64</v>
      </c>
      <c r="G143" t="s">
        <v>71</v>
      </c>
      <c r="H143" t="s">
        <v>74</v>
      </c>
      <c r="I143">
        <v>7</v>
      </c>
      <c r="J143">
        <v>3151</v>
      </c>
      <c r="K143">
        <v>0.1</v>
      </c>
      <c r="L143">
        <v>19851.3</v>
      </c>
      <c r="M143">
        <v>12879.85</v>
      </c>
      <c r="N143">
        <v>6971.45</v>
      </c>
      <c r="O143" t="s">
        <v>80</v>
      </c>
      <c r="P143" t="s">
        <v>82</v>
      </c>
    </row>
    <row r="144" spans="1:16" x14ac:dyDescent="0.25">
      <c r="A144">
        <v>143</v>
      </c>
      <c r="B144" s="1">
        <v>45897</v>
      </c>
      <c r="C144" t="s">
        <v>20</v>
      </c>
      <c r="D144" t="s">
        <v>26</v>
      </c>
      <c r="E144" t="s">
        <v>28</v>
      </c>
      <c r="F144" t="s">
        <v>54</v>
      </c>
      <c r="G144" t="s">
        <v>70</v>
      </c>
      <c r="H144" t="s">
        <v>74</v>
      </c>
      <c r="I144">
        <v>3</v>
      </c>
      <c r="J144">
        <v>1676</v>
      </c>
      <c r="K144">
        <v>0.2</v>
      </c>
      <c r="L144">
        <v>4022.4</v>
      </c>
      <c r="M144">
        <v>2431.73</v>
      </c>
      <c r="N144">
        <v>1590.67</v>
      </c>
      <c r="O144" t="s">
        <v>76</v>
      </c>
      <c r="P144" t="s">
        <v>87</v>
      </c>
    </row>
    <row r="145" spans="1:16" x14ac:dyDescent="0.25">
      <c r="A145">
        <v>144</v>
      </c>
      <c r="B145" s="1">
        <v>45994</v>
      </c>
      <c r="C145" t="s">
        <v>18</v>
      </c>
      <c r="D145" t="s">
        <v>26</v>
      </c>
      <c r="E145" t="s">
        <v>33</v>
      </c>
      <c r="F145" t="s">
        <v>41</v>
      </c>
      <c r="G145" t="s">
        <v>71</v>
      </c>
      <c r="H145" t="s">
        <v>73</v>
      </c>
      <c r="I145">
        <v>3</v>
      </c>
      <c r="J145">
        <v>18870</v>
      </c>
      <c r="K145">
        <v>0.05</v>
      </c>
      <c r="L145">
        <v>53779.5</v>
      </c>
      <c r="M145">
        <v>37301.97</v>
      </c>
      <c r="N145">
        <v>16477.53</v>
      </c>
      <c r="O145" t="s">
        <v>78</v>
      </c>
      <c r="P145" t="s">
        <v>82</v>
      </c>
    </row>
    <row r="146" spans="1:16" x14ac:dyDescent="0.25">
      <c r="A146">
        <v>145</v>
      </c>
      <c r="B146" s="1">
        <v>45783</v>
      </c>
      <c r="C146" t="s">
        <v>22</v>
      </c>
      <c r="D146" t="s">
        <v>24</v>
      </c>
      <c r="E146" t="s">
        <v>32</v>
      </c>
      <c r="F146" t="s">
        <v>49</v>
      </c>
      <c r="G146" t="s">
        <v>71</v>
      </c>
      <c r="H146" t="s">
        <v>74</v>
      </c>
      <c r="I146">
        <v>1</v>
      </c>
      <c r="J146">
        <v>4584</v>
      </c>
      <c r="K146">
        <v>0</v>
      </c>
      <c r="L146">
        <v>4584</v>
      </c>
      <c r="M146">
        <v>3124.53</v>
      </c>
      <c r="N146">
        <v>1459.47</v>
      </c>
      <c r="O146" t="s">
        <v>80</v>
      </c>
      <c r="P146" t="s">
        <v>81</v>
      </c>
    </row>
    <row r="147" spans="1:16" x14ac:dyDescent="0.25">
      <c r="A147">
        <v>146</v>
      </c>
      <c r="B147" s="1">
        <v>45999</v>
      </c>
      <c r="C147" t="s">
        <v>19</v>
      </c>
      <c r="D147" t="s">
        <v>26</v>
      </c>
      <c r="E147" t="s">
        <v>33</v>
      </c>
      <c r="F147" t="s">
        <v>46</v>
      </c>
      <c r="G147" t="s">
        <v>70</v>
      </c>
      <c r="H147" t="s">
        <v>73</v>
      </c>
      <c r="I147">
        <v>6</v>
      </c>
      <c r="J147">
        <v>35091</v>
      </c>
      <c r="K147">
        <v>0.05</v>
      </c>
      <c r="L147">
        <v>200018.7</v>
      </c>
      <c r="M147">
        <v>120332.45</v>
      </c>
      <c r="N147">
        <v>79686.25</v>
      </c>
      <c r="O147" t="s">
        <v>78</v>
      </c>
      <c r="P147" t="s">
        <v>84</v>
      </c>
    </row>
    <row r="148" spans="1:16" x14ac:dyDescent="0.25">
      <c r="A148">
        <v>147</v>
      </c>
      <c r="B148" s="1">
        <v>45678</v>
      </c>
      <c r="C148" t="s">
        <v>21</v>
      </c>
      <c r="D148" t="s">
        <v>24</v>
      </c>
      <c r="E148" t="s">
        <v>30</v>
      </c>
      <c r="F148" t="s">
        <v>37</v>
      </c>
      <c r="G148" t="s">
        <v>72</v>
      </c>
      <c r="H148" t="s">
        <v>74</v>
      </c>
      <c r="I148">
        <v>7</v>
      </c>
      <c r="J148">
        <v>15789</v>
      </c>
      <c r="K148">
        <v>0.05</v>
      </c>
      <c r="L148">
        <v>104996.85</v>
      </c>
      <c r="M148">
        <v>86433.05</v>
      </c>
      <c r="N148">
        <v>18563.8</v>
      </c>
      <c r="O148" t="s">
        <v>76</v>
      </c>
      <c r="P148" t="s">
        <v>81</v>
      </c>
    </row>
    <row r="149" spans="1:16" x14ac:dyDescent="0.25">
      <c r="A149">
        <v>148</v>
      </c>
      <c r="B149" s="1">
        <v>45678</v>
      </c>
      <c r="C149" t="s">
        <v>19</v>
      </c>
      <c r="D149" t="s">
        <v>26</v>
      </c>
      <c r="E149" t="s">
        <v>33</v>
      </c>
      <c r="F149" t="s">
        <v>52</v>
      </c>
      <c r="G149" t="s">
        <v>70</v>
      </c>
      <c r="H149" t="s">
        <v>73</v>
      </c>
      <c r="I149">
        <v>5</v>
      </c>
      <c r="J149">
        <v>24860</v>
      </c>
      <c r="K149">
        <v>0</v>
      </c>
      <c r="L149">
        <v>124300</v>
      </c>
      <c r="M149">
        <v>97899.01</v>
      </c>
      <c r="N149">
        <v>26400.99</v>
      </c>
      <c r="O149" t="s">
        <v>79</v>
      </c>
      <c r="P149" t="s">
        <v>85</v>
      </c>
    </row>
    <row r="150" spans="1:16" x14ac:dyDescent="0.25">
      <c r="A150">
        <v>149</v>
      </c>
      <c r="B150" s="1">
        <v>45743</v>
      </c>
      <c r="C150" t="s">
        <v>21</v>
      </c>
      <c r="D150" t="s">
        <v>24</v>
      </c>
      <c r="E150" t="s">
        <v>30</v>
      </c>
      <c r="F150" t="s">
        <v>44</v>
      </c>
      <c r="G150" t="s">
        <v>72</v>
      </c>
      <c r="H150" t="s">
        <v>73</v>
      </c>
      <c r="I150">
        <v>5</v>
      </c>
      <c r="J150">
        <v>9021</v>
      </c>
      <c r="K150">
        <v>0.1</v>
      </c>
      <c r="L150">
        <v>40594.5</v>
      </c>
      <c r="M150">
        <v>23421.78</v>
      </c>
      <c r="N150">
        <v>17172.72</v>
      </c>
      <c r="O150" t="s">
        <v>79</v>
      </c>
      <c r="P150" t="s">
        <v>81</v>
      </c>
    </row>
    <row r="151" spans="1:16" x14ac:dyDescent="0.25">
      <c r="A151">
        <v>150</v>
      </c>
      <c r="B151" s="1">
        <v>45998</v>
      </c>
      <c r="C151" t="s">
        <v>20</v>
      </c>
      <c r="D151" t="s">
        <v>26</v>
      </c>
      <c r="E151" t="s">
        <v>29</v>
      </c>
      <c r="F151" t="s">
        <v>57</v>
      </c>
      <c r="G151" t="s">
        <v>70</v>
      </c>
      <c r="H151" t="s">
        <v>73</v>
      </c>
      <c r="I151">
        <v>2</v>
      </c>
      <c r="J151">
        <v>4150</v>
      </c>
      <c r="K151">
        <v>0</v>
      </c>
      <c r="L151">
        <v>8300</v>
      </c>
      <c r="M151">
        <v>5968.74</v>
      </c>
      <c r="N151">
        <v>2331.2600000000002</v>
      </c>
      <c r="O151" t="s">
        <v>77</v>
      </c>
      <c r="P151" t="s">
        <v>86</v>
      </c>
    </row>
    <row r="152" spans="1:16" x14ac:dyDescent="0.25">
      <c r="A152">
        <v>151</v>
      </c>
      <c r="B152" s="1">
        <v>45900</v>
      </c>
      <c r="C152" t="s">
        <v>16</v>
      </c>
      <c r="D152" t="s">
        <v>24</v>
      </c>
      <c r="E152" t="s">
        <v>28</v>
      </c>
      <c r="F152" t="s">
        <v>63</v>
      </c>
      <c r="G152" t="s">
        <v>72</v>
      </c>
      <c r="H152" t="s">
        <v>75</v>
      </c>
      <c r="I152">
        <v>4</v>
      </c>
      <c r="J152">
        <v>2340</v>
      </c>
      <c r="K152">
        <v>0.1</v>
      </c>
      <c r="L152">
        <v>8424</v>
      </c>
      <c r="M152">
        <v>5082.49</v>
      </c>
      <c r="N152">
        <v>3341.51</v>
      </c>
      <c r="O152" t="s">
        <v>76</v>
      </c>
      <c r="P152" t="s">
        <v>83</v>
      </c>
    </row>
    <row r="153" spans="1:16" x14ac:dyDescent="0.25">
      <c r="A153">
        <v>152</v>
      </c>
      <c r="B153" s="1">
        <v>45825</v>
      </c>
      <c r="C153" t="s">
        <v>18</v>
      </c>
      <c r="D153" t="s">
        <v>26</v>
      </c>
      <c r="E153" t="s">
        <v>32</v>
      </c>
      <c r="F153" t="s">
        <v>48</v>
      </c>
      <c r="G153" t="s">
        <v>70</v>
      </c>
      <c r="H153" t="s">
        <v>74</v>
      </c>
      <c r="I153">
        <v>7</v>
      </c>
      <c r="J153">
        <v>14765</v>
      </c>
      <c r="K153">
        <v>0.05</v>
      </c>
      <c r="L153">
        <v>98187.25</v>
      </c>
      <c r="M153">
        <v>57420.52</v>
      </c>
      <c r="N153">
        <v>40766.730000000003</v>
      </c>
      <c r="O153" t="s">
        <v>77</v>
      </c>
      <c r="P153" t="s">
        <v>81</v>
      </c>
    </row>
    <row r="154" spans="1:16" x14ac:dyDescent="0.25">
      <c r="A154">
        <v>153</v>
      </c>
      <c r="B154" s="1">
        <v>45854</v>
      </c>
      <c r="C154" t="s">
        <v>18</v>
      </c>
      <c r="D154" t="s">
        <v>26</v>
      </c>
      <c r="E154" t="s">
        <v>31</v>
      </c>
      <c r="F154" t="s">
        <v>47</v>
      </c>
      <c r="G154" t="s">
        <v>72</v>
      </c>
      <c r="H154" t="s">
        <v>73</v>
      </c>
      <c r="I154">
        <v>8</v>
      </c>
      <c r="J154">
        <v>2311</v>
      </c>
      <c r="K154">
        <v>0.05</v>
      </c>
      <c r="L154">
        <v>17563.599999999999</v>
      </c>
      <c r="M154">
        <v>14963.83</v>
      </c>
      <c r="N154">
        <v>2599.77</v>
      </c>
      <c r="O154" t="s">
        <v>80</v>
      </c>
      <c r="P154" t="s">
        <v>82</v>
      </c>
    </row>
    <row r="155" spans="1:16" x14ac:dyDescent="0.25">
      <c r="A155">
        <v>154</v>
      </c>
      <c r="B155" s="1">
        <v>45925</v>
      </c>
      <c r="C155" t="s">
        <v>20</v>
      </c>
      <c r="D155" t="s">
        <v>26</v>
      </c>
      <c r="E155" t="s">
        <v>33</v>
      </c>
      <c r="F155" t="s">
        <v>41</v>
      </c>
      <c r="G155" t="s">
        <v>70</v>
      </c>
      <c r="H155" t="s">
        <v>74</v>
      </c>
      <c r="I155">
        <v>3</v>
      </c>
      <c r="J155">
        <v>4398</v>
      </c>
      <c r="K155">
        <v>0</v>
      </c>
      <c r="L155">
        <v>13194</v>
      </c>
      <c r="M155">
        <v>11149.15</v>
      </c>
      <c r="N155">
        <v>2044.85</v>
      </c>
      <c r="O155" t="s">
        <v>80</v>
      </c>
      <c r="P155" t="s">
        <v>87</v>
      </c>
    </row>
    <row r="156" spans="1:16" x14ac:dyDescent="0.25">
      <c r="A156">
        <v>155</v>
      </c>
      <c r="B156" s="1">
        <v>45903</v>
      </c>
      <c r="C156" t="s">
        <v>17</v>
      </c>
      <c r="D156" t="s">
        <v>25</v>
      </c>
      <c r="E156" t="s">
        <v>30</v>
      </c>
      <c r="F156" t="s">
        <v>40</v>
      </c>
      <c r="G156" t="s">
        <v>71</v>
      </c>
      <c r="H156" t="s">
        <v>74</v>
      </c>
      <c r="I156">
        <v>3</v>
      </c>
      <c r="J156">
        <v>55900</v>
      </c>
      <c r="K156">
        <v>0.1</v>
      </c>
      <c r="L156">
        <v>150930</v>
      </c>
      <c r="M156">
        <v>89477.75</v>
      </c>
      <c r="N156">
        <v>61452.25</v>
      </c>
      <c r="O156" t="s">
        <v>77</v>
      </c>
      <c r="P156" t="s">
        <v>83</v>
      </c>
    </row>
    <row r="157" spans="1:16" x14ac:dyDescent="0.25">
      <c r="A157">
        <v>156</v>
      </c>
      <c r="B157" s="1">
        <v>45853</v>
      </c>
      <c r="C157" t="s">
        <v>22</v>
      </c>
      <c r="D157" t="s">
        <v>24</v>
      </c>
      <c r="E157" t="s">
        <v>32</v>
      </c>
      <c r="F157" t="s">
        <v>39</v>
      </c>
      <c r="G157" t="s">
        <v>72</v>
      </c>
      <c r="H157" t="s">
        <v>75</v>
      </c>
      <c r="I157">
        <v>6</v>
      </c>
      <c r="J157">
        <v>16236</v>
      </c>
      <c r="K157">
        <v>0.1</v>
      </c>
      <c r="L157">
        <v>87674.4</v>
      </c>
      <c r="M157">
        <v>76808.179999999993</v>
      </c>
      <c r="N157">
        <v>10866.22</v>
      </c>
      <c r="O157" t="s">
        <v>80</v>
      </c>
      <c r="P157" t="s">
        <v>82</v>
      </c>
    </row>
    <row r="158" spans="1:16" x14ac:dyDescent="0.25">
      <c r="A158">
        <v>157</v>
      </c>
      <c r="B158" s="1">
        <v>45870</v>
      </c>
      <c r="C158" t="s">
        <v>19</v>
      </c>
      <c r="D158" t="s">
        <v>26</v>
      </c>
      <c r="E158" t="s">
        <v>29</v>
      </c>
      <c r="F158" t="s">
        <v>42</v>
      </c>
      <c r="G158" t="s">
        <v>72</v>
      </c>
      <c r="H158" t="s">
        <v>74</v>
      </c>
      <c r="I158">
        <v>4</v>
      </c>
      <c r="J158">
        <v>9833</v>
      </c>
      <c r="K158">
        <v>0.1</v>
      </c>
      <c r="L158">
        <v>35398.800000000003</v>
      </c>
      <c r="M158">
        <v>24377</v>
      </c>
      <c r="N158">
        <v>11021.8</v>
      </c>
      <c r="O158" t="s">
        <v>77</v>
      </c>
      <c r="P158" t="s">
        <v>85</v>
      </c>
    </row>
    <row r="159" spans="1:16" x14ac:dyDescent="0.25">
      <c r="A159">
        <v>158</v>
      </c>
      <c r="B159" s="1">
        <v>45995</v>
      </c>
      <c r="C159" t="s">
        <v>16</v>
      </c>
      <c r="D159" t="s">
        <v>24</v>
      </c>
      <c r="E159" t="s">
        <v>30</v>
      </c>
      <c r="F159" t="s">
        <v>56</v>
      </c>
      <c r="G159" t="s">
        <v>70</v>
      </c>
      <c r="H159" t="s">
        <v>75</v>
      </c>
      <c r="I159">
        <v>5</v>
      </c>
      <c r="J159">
        <v>57415</v>
      </c>
      <c r="K159">
        <v>0</v>
      </c>
      <c r="L159">
        <v>287075</v>
      </c>
      <c r="M159">
        <v>187725.08</v>
      </c>
      <c r="N159">
        <v>99349.92</v>
      </c>
      <c r="O159" t="s">
        <v>79</v>
      </c>
      <c r="P159" t="s">
        <v>82</v>
      </c>
    </row>
    <row r="160" spans="1:16" x14ac:dyDescent="0.25">
      <c r="A160">
        <v>159</v>
      </c>
      <c r="B160" s="1">
        <v>45781</v>
      </c>
      <c r="C160" t="s">
        <v>18</v>
      </c>
      <c r="D160" t="s">
        <v>26</v>
      </c>
      <c r="E160" t="s">
        <v>28</v>
      </c>
      <c r="F160" t="s">
        <v>35</v>
      </c>
      <c r="G160" t="s">
        <v>70</v>
      </c>
      <c r="H160" t="s">
        <v>74</v>
      </c>
      <c r="I160">
        <v>4</v>
      </c>
      <c r="J160">
        <v>2099</v>
      </c>
      <c r="K160">
        <v>0.15</v>
      </c>
      <c r="L160">
        <v>7136.6</v>
      </c>
      <c r="M160">
        <v>5729.27</v>
      </c>
      <c r="N160">
        <v>1407.33</v>
      </c>
      <c r="O160" t="s">
        <v>78</v>
      </c>
      <c r="P160" t="s">
        <v>84</v>
      </c>
    </row>
    <row r="161" spans="1:16" x14ac:dyDescent="0.25">
      <c r="A161">
        <v>160</v>
      </c>
      <c r="B161" s="1">
        <v>45882</v>
      </c>
      <c r="C161" t="s">
        <v>17</v>
      </c>
      <c r="D161" t="s">
        <v>25</v>
      </c>
      <c r="E161" t="s">
        <v>33</v>
      </c>
      <c r="F161" t="s">
        <v>59</v>
      </c>
      <c r="G161" t="s">
        <v>70</v>
      </c>
      <c r="H161" t="s">
        <v>73</v>
      </c>
      <c r="I161">
        <v>3</v>
      </c>
      <c r="J161">
        <v>5097</v>
      </c>
      <c r="K161">
        <v>0</v>
      </c>
      <c r="L161">
        <v>15291</v>
      </c>
      <c r="M161">
        <v>10492.86</v>
      </c>
      <c r="N161">
        <v>4798.1400000000003</v>
      </c>
      <c r="O161" t="s">
        <v>77</v>
      </c>
      <c r="P161" t="s">
        <v>82</v>
      </c>
    </row>
    <row r="162" spans="1:16" x14ac:dyDescent="0.25">
      <c r="A162">
        <v>161</v>
      </c>
      <c r="B162" s="1">
        <v>45938</v>
      </c>
      <c r="C162" t="s">
        <v>23</v>
      </c>
      <c r="D162" t="s">
        <v>27</v>
      </c>
      <c r="E162" t="s">
        <v>29</v>
      </c>
      <c r="F162" t="s">
        <v>36</v>
      </c>
      <c r="G162" t="s">
        <v>70</v>
      </c>
      <c r="H162" t="s">
        <v>73</v>
      </c>
      <c r="I162">
        <v>6</v>
      </c>
      <c r="J162">
        <v>10041</v>
      </c>
      <c r="K162">
        <v>0.15</v>
      </c>
      <c r="L162">
        <v>51209.1</v>
      </c>
      <c r="M162">
        <v>28469.3</v>
      </c>
      <c r="N162">
        <v>22739.8</v>
      </c>
      <c r="O162" t="s">
        <v>79</v>
      </c>
      <c r="P162" t="s">
        <v>84</v>
      </c>
    </row>
    <row r="163" spans="1:16" x14ac:dyDescent="0.25">
      <c r="A163">
        <v>162</v>
      </c>
      <c r="B163" s="1">
        <v>45781</v>
      </c>
      <c r="C163" t="s">
        <v>16</v>
      </c>
      <c r="D163" t="s">
        <v>24</v>
      </c>
      <c r="E163" t="s">
        <v>31</v>
      </c>
      <c r="F163" t="s">
        <v>69</v>
      </c>
      <c r="G163" t="s">
        <v>71</v>
      </c>
      <c r="H163" t="s">
        <v>73</v>
      </c>
      <c r="I163">
        <v>7</v>
      </c>
      <c r="J163">
        <v>1952</v>
      </c>
      <c r="K163">
        <v>0</v>
      </c>
      <c r="L163">
        <v>13664</v>
      </c>
      <c r="M163">
        <v>10072.64</v>
      </c>
      <c r="N163">
        <v>3591.36</v>
      </c>
      <c r="O163" t="s">
        <v>77</v>
      </c>
      <c r="P163" t="s">
        <v>88</v>
      </c>
    </row>
    <row r="164" spans="1:16" x14ac:dyDescent="0.25">
      <c r="A164">
        <v>163</v>
      </c>
      <c r="B164" s="1">
        <v>45884</v>
      </c>
      <c r="C164" t="s">
        <v>19</v>
      </c>
      <c r="D164" t="s">
        <v>26</v>
      </c>
      <c r="E164" t="s">
        <v>29</v>
      </c>
      <c r="F164" t="s">
        <v>57</v>
      </c>
      <c r="G164" t="s">
        <v>71</v>
      </c>
      <c r="H164" t="s">
        <v>73</v>
      </c>
      <c r="I164">
        <v>4</v>
      </c>
      <c r="J164">
        <v>3598</v>
      </c>
      <c r="K164">
        <v>0</v>
      </c>
      <c r="L164">
        <v>14392</v>
      </c>
      <c r="M164">
        <v>9053.1200000000008</v>
      </c>
      <c r="N164">
        <v>5338.88</v>
      </c>
      <c r="O164" t="s">
        <v>80</v>
      </c>
      <c r="P164" t="s">
        <v>84</v>
      </c>
    </row>
    <row r="165" spans="1:16" x14ac:dyDescent="0.25">
      <c r="A165">
        <v>164</v>
      </c>
      <c r="B165" s="1">
        <v>45924</v>
      </c>
      <c r="C165" t="s">
        <v>18</v>
      </c>
      <c r="D165" t="s">
        <v>26</v>
      </c>
      <c r="E165" t="s">
        <v>32</v>
      </c>
      <c r="F165" t="s">
        <v>62</v>
      </c>
      <c r="G165" t="s">
        <v>70</v>
      </c>
      <c r="H165" t="s">
        <v>74</v>
      </c>
      <c r="I165">
        <v>7</v>
      </c>
      <c r="J165">
        <v>18932</v>
      </c>
      <c r="K165">
        <v>0.1</v>
      </c>
      <c r="L165">
        <v>119271.6</v>
      </c>
      <c r="M165">
        <v>66884.3</v>
      </c>
      <c r="N165">
        <v>52387.3</v>
      </c>
      <c r="O165" t="s">
        <v>78</v>
      </c>
      <c r="P165" t="s">
        <v>86</v>
      </c>
    </row>
    <row r="166" spans="1:16" x14ac:dyDescent="0.25">
      <c r="A166">
        <v>165</v>
      </c>
      <c r="B166" s="1">
        <v>45722</v>
      </c>
      <c r="C166" t="s">
        <v>20</v>
      </c>
      <c r="D166" t="s">
        <v>26</v>
      </c>
      <c r="E166" t="s">
        <v>28</v>
      </c>
      <c r="F166" t="s">
        <v>54</v>
      </c>
      <c r="G166" t="s">
        <v>71</v>
      </c>
      <c r="H166" t="s">
        <v>74</v>
      </c>
      <c r="I166">
        <v>6</v>
      </c>
      <c r="J166">
        <v>485</v>
      </c>
      <c r="K166">
        <v>0.1</v>
      </c>
      <c r="L166">
        <v>2619</v>
      </c>
      <c r="M166">
        <v>1986.07</v>
      </c>
      <c r="N166">
        <v>632.92999999999995</v>
      </c>
      <c r="O166" t="s">
        <v>77</v>
      </c>
      <c r="P166" t="s">
        <v>82</v>
      </c>
    </row>
    <row r="167" spans="1:16" x14ac:dyDescent="0.25">
      <c r="A167">
        <v>166</v>
      </c>
      <c r="B167" s="1">
        <v>45968</v>
      </c>
      <c r="C167" t="s">
        <v>21</v>
      </c>
      <c r="D167" t="s">
        <v>24</v>
      </c>
      <c r="E167" t="s">
        <v>31</v>
      </c>
      <c r="F167" t="s">
        <v>38</v>
      </c>
      <c r="G167" t="s">
        <v>70</v>
      </c>
      <c r="H167" t="s">
        <v>73</v>
      </c>
      <c r="I167">
        <v>6</v>
      </c>
      <c r="J167">
        <v>1615</v>
      </c>
      <c r="K167">
        <v>0.05</v>
      </c>
      <c r="L167">
        <v>9205.5</v>
      </c>
      <c r="M167">
        <v>8051.75</v>
      </c>
      <c r="N167">
        <v>1153.75</v>
      </c>
      <c r="O167" t="s">
        <v>79</v>
      </c>
      <c r="P167" t="s">
        <v>81</v>
      </c>
    </row>
    <row r="168" spans="1:16" x14ac:dyDescent="0.25">
      <c r="A168">
        <v>167</v>
      </c>
      <c r="B168" s="1">
        <v>45718</v>
      </c>
      <c r="C168" t="s">
        <v>23</v>
      </c>
      <c r="D168" t="s">
        <v>27</v>
      </c>
      <c r="E168" t="s">
        <v>32</v>
      </c>
      <c r="F168" t="s">
        <v>49</v>
      </c>
      <c r="G168" t="s">
        <v>71</v>
      </c>
      <c r="H168" t="s">
        <v>74</v>
      </c>
      <c r="I168">
        <v>8</v>
      </c>
      <c r="J168">
        <v>13928</v>
      </c>
      <c r="K168">
        <v>0.05</v>
      </c>
      <c r="L168">
        <v>105852.8</v>
      </c>
      <c r="M168">
        <v>74786.61</v>
      </c>
      <c r="N168">
        <v>31066.19</v>
      </c>
      <c r="O168" t="s">
        <v>76</v>
      </c>
      <c r="P168" t="s">
        <v>87</v>
      </c>
    </row>
    <row r="169" spans="1:16" x14ac:dyDescent="0.25">
      <c r="A169">
        <v>168</v>
      </c>
      <c r="B169" s="1">
        <v>45706</v>
      </c>
      <c r="C169" t="s">
        <v>20</v>
      </c>
      <c r="D169" t="s">
        <v>26</v>
      </c>
      <c r="E169" t="s">
        <v>29</v>
      </c>
      <c r="F169" t="s">
        <v>42</v>
      </c>
      <c r="G169" t="s">
        <v>71</v>
      </c>
      <c r="H169" t="s">
        <v>74</v>
      </c>
      <c r="I169">
        <v>4</v>
      </c>
      <c r="J169">
        <v>11021</v>
      </c>
      <c r="K169">
        <v>0.05</v>
      </c>
      <c r="L169">
        <v>41879.800000000003</v>
      </c>
      <c r="M169">
        <v>24237.54</v>
      </c>
      <c r="N169">
        <v>17642.259999999998</v>
      </c>
      <c r="O169" t="s">
        <v>76</v>
      </c>
      <c r="P169" t="s">
        <v>84</v>
      </c>
    </row>
    <row r="170" spans="1:16" x14ac:dyDescent="0.25">
      <c r="A170">
        <v>169</v>
      </c>
      <c r="B170" s="1">
        <v>45716</v>
      </c>
      <c r="C170" t="s">
        <v>21</v>
      </c>
      <c r="D170" t="s">
        <v>24</v>
      </c>
      <c r="E170" t="s">
        <v>30</v>
      </c>
      <c r="F170" t="s">
        <v>44</v>
      </c>
      <c r="G170" t="s">
        <v>71</v>
      </c>
      <c r="H170" t="s">
        <v>74</v>
      </c>
      <c r="I170">
        <v>8</v>
      </c>
      <c r="J170">
        <v>22886</v>
      </c>
      <c r="K170">
        <v>0.05</v>
      </c>
      <c r="L170">
        <v>173933.6</v>
      </c>
      <c r="M170">
        <v>134384.68</v>
      </c>
      <c r="N170">
        <v>39548.92</v>
      </c>
      <c r="O170" t="s">
        <v>78</v>
      </c>
      <c r="P170" t="s">
        <v>85</v>
      </c>
    </row>
    <row r="171" spans="1:16" x14ac:dyDescent="0.25">
      <c r="A171">
        <v>170</v>
      </c>
      <c r="B171" s="1">
        <v>45907</v>
      </c>
      <c r="C171" t="s">
        <v>22</v>
      </c>
      <c r="D171" t="s">
        <v>24</v>
      </c>
      <c r="E171" t="s">
        <v>30</v>
      </c>
      <c r="F171" t="s">
        <v>37</v>
      </c>
      <c r="G171" t="s">
        <v>70</v>
      </c>
      <c r="H171" t="s">
        <v>73</v>
      </c>
      <c r="I171">
        <v>6</v>
      </c>
      <c r="J171">
        <v>54393</v>
      </c>
      <c r="K171">
        <v>0</v>
      </c>
      <c r="L171">
        <v>326358</v>
      </c>
      <c r="M171">
        <v>220835.63</v>
      </c>
      <c r="N171">
        <v>105522.37</v>
      </c>
      <c r="O171" t="s">
        <v>76</v>
      </c>
      <c r="P171" t="s">
        <v>84</v>
      </c>
    </row>
    <row r="172" spans="1:16" x14ac:dyDescent="0.25">
      <c r="A172">
        <v>171</v>
      </c>
      <c r="B172" s="1">
        <v>45896</v>
      </c>
      <c r="C172" t="s">
        <v>23</v>
      </c>
      <c r="D172" t="s">
        <v>27</v>
      </c>
      <c r="E172" t="s">
        <v>31</v>
      </c>
      <c r="F172" t="s">
        <v>67</v>
      </c>
      <c r="G172" t="s">
        <v>70</v>
      </c>
      <c r="H172" t="s">
        <v>75</v>
      </c>
      <c r="I172">
        <v>1</v>
      </c>
      <c r="J172">
        <v>2188</v>
      </c>
      <c r="K172">
        <v>0.1</v>
      </c>
      <c r="L172">
        <v>1969.2</v>
      </c>
      <c r="M172">
        <v>1503.15</v>
      </c>
      <c r="N172">
        <v>466.05</v>
      </c>
      <c r="O172" t="s">
        <v>76</v>
      </c>
      <c r="P172" t="s">
        <v>81</v>
      </c>
    </row>
    <row r="173" spans="1:16" x14ac:dyDescent="0.25">
      <c r="A173">
        <v>172</v>
      </c>
      <c r="B173" s="1">
        <v>45867</v>
      </c>
      <c r="C173" t="s">
        <v>20</v>
      </c>
      <c r="D173" t="s">
        <v>26</v>
      </c>
      <c r="E173" t="s">
        <v>30</v>
      </c>
      <c r="F173" t="s">
        <v>56</v>
      </c>
      <c r="G173" t="s">
        <v>72</v>
      </c>
      <c r="H173" t="s">
        <v>74</v>
      </c>
      <c r="I173">
        <v>7</v>
      </c>
      <c r="J173">
        <v>48119</v>
      </c>
      <c r="K173">
        <v>0.15</v>
      </c>
      <c r="L173">
        <v>286308.05</v>
      </c>
      <c r="M173">
        <v>251125.62</v>
      </c>
      <c r="N173">
        <v>35182.43</v>
      </c>
      <c r="O173" t="s">
        <v>79</v>
      </c>
      <c r="P173" t="s">
        <v>87</v>
      </c>
    </row>
    <row r="174" spans="1:16" x14ac:dyDescent="0.25">
      <c r="A174">
        <v>173</v>
      </c>
      <c r="B174" s="1">
        <v>45925</v>
      </c>
      <c r="C174" t="s">
        <v>19</v>
      </c>
      <c r="D174" t="s">
        <v>26</v>
      </c>
      <c r="E174" t="s">
        <v>30</v>
      </c>
      <c r="F174" t="s">
        <v>44</v>
      </c>
      <c r="G174" t="s">
        <v>72</v>
      </c>
      <c r="H174" t="s">
        <v>74</v>
      </c>
      <c r="I174">
        <v>7</v>
      </c>
      <c r="J174">
        <v>33205</v>
      </c>
      <c r="K174">
        <v>0.05</v>
      </c>
      <c r="L174">
        <v>220813.25</v>
      </c>
      <c r="M174">
        <v>180960.58</v>
      </c>
      <c r="N174">
        <v>39852.67</v>
      </c>
      <c r="O174" t="s">
        <v>77</v>
      </c>
      <c r="P174" t="s">
        <v>81</v>
      </c>
    </row>
    <row r="175" spans="1:16" x14ac:dyDescent="0.25">
      <c r="A175">
        <v>174</v>
      </c>
      <c r="B175" s="1">
        <v>45756</v>
      </c>
      <c r="C175" t="s">
        <v>20</v>
      </c>
      <c r="D175" t="s">
        <v>26</v>
      </c>
      <c r="E175" t="s">
        <v>30</v>
      </c>
      <c r="F175" t="s">
        <v>44</v>
      </c>
      <c r="G175" t="s">
        <v>70</v>
      </c>
      <c r="H175" t="s">
        <v>75</v>
      </c>
      <c r="I175">
        <v>6</v>
      </c>
      <c r="J175">
        <v>62549</v>
      </c>
      <c r="K175">
        <v>0.15</v>
      </c>
      <c r="L175">
        <v>318999.90000000002</v>
      </c>
      <c r="M175">
        <v>271944.11</v>
      </c>
      <c r="N175">
        <v>47055.79</v>
      </c>
      <c r="O175" t="s">
        <v>77</v>
      </c>
      <c r="P175" t="s">
        <v>86</v>
      </c>
    </row>
    <row r="176" spans="1:16" x14ac:dyDescent="0.25">
      <c r="A176">
        <v>175</v>
      </c>
      <c r="B176" s="1">
        <v>45817</v>
      </c>
      <c r="C176" t="s">
        <v>23</v>
      </c>
      <c r="D176" t="s">
        <v>27</v>
      </c>
      <c r="E176" t="s">
        <v>30</v>
      </c>
      <c r="F176" t="s">
        <v>40</v>
      </c>
      <c r="G176" t="s">
        <v>70</v>
      </c>
      <c r="H176" t="s">
        <v>74</v>
      </c>
      <c r="I176">
        <v>4</v>
      </c>
      <c r="J176">
        <v>47234</v>
      </c>
      <c r="K176">
        <v>0.1</v>
      </c>
      <c r="L176">
        <v>170042.4</v>
      </c>
      <c r="M176">
        <v>146643.32</v>
      </c>
      <c r="N176">
        <v>23399.08</v>
      </c>
      <c r="O176" t="s">
        <v>78</v>
      </c>
      <c r="P176" t="s">
        <v>82</v>
      </c>
    </row>
    <row r="177" spans="1:16" x14ac:dyDescent="0.25">
      <c r="A177">
        <v>176</v>
      </c>
      <c r="B177" s="1">
        <v>45783</v>
      </c>
      <c r="C177" t="s">
        <v>21</v>
      </c>
      <c r="D177" t="s">
        <v>24</v>
      </c>
      <c r="E177" t="s">
        <v>30</v>
      </c>
      <c r="F177" t="s">
        <v>44</v>
      </c>
      <c r="G177" t="s">
        <v>70</v>
      </c>
      <c r="H177" t="s">
        <v>75</v>
      </c>
      <c r="I177">
        <v>8</v>
      </c>
      <c r="J177">
        <v>2429</v>
      </c>
      <c r="K177">
        <v>0.2</v>
      </c>
      <c r="L177">
        <v>15545.6</v>
      </c>
      <c r="M177">
        <v>9722.23</v>
      </c>
      <c r="N177">
        <v>5823.37</v>
      </c>
      <c r="O177" t="s">
        <v>77</v>
      </c>
      <c r="P177" t="s">
        <v>88</v>
      </c>
    </row>
    <row r="178" spans="1:16" x14ac:dyDescent="0.25">
      <c r="A178">
        <v>177</v>
      </c>
      <c r="B178" s="1">
        <v>45917</v>
      </c>
      <c r="C178" t="s">
        <v>20</v>
      </c>
      <c r="D178" t="s">
        <v>26</v>
      </c>
      <c r="E178" t="s">
        <v>29</v>
      </c>
      <c r="F178" t="s">
        <v>42</v>
      </c>
      <c r="G178" t="s">
        <v>71</v>
      </c>
      <c r="H178" t="s">
        <v>73</v>
      </c>
      <c r="I178">
        <v>8</v>
      </c>
      <c r="J178">
        <v>4740</v>
      </c>
      <c r="K178">
        <v>0</v>
      </c>
      <c r="L178">
        <v>37920</v>
      </c>
      <c r="M178">
        <v>31310.87</v>
      </c>
      <c r="N178">
        <v>6609.13</v>
      </c>
      <c r="O178" t="s">
        <v>80</v>
      </c>
      <c r="P178" t="s">
        <v>88</v>
      </c>
    </row>
    <row r="179" spans="1:16" x14ac:dyDescent="0.25">
      <c r="A179">
        <v>178</v>
      </c>
      <c r="B179" s="1">
        <v>45692</v>
      </c>
      <c r="C179" t="s">
        <v>17</v>
      </c>
      <c r="D179" t="s">
        <v>25</v>
      </c>
      <c r="E179" t="s">
        <v>31</v>
      </c>
      <c r="F179" t="s">
        <v>47</v>
      </c>
      <c r="G179" t="s">
        <v>71</v>
      </c>
      <c r="H179" t="s">
        <v>74</v>
      </c>
      <c r="I179">
        <v>4</v>
      </c>
      <c r="J179">
        <v>176</v>
      </c>
      <c r="K179">
        <v>0.05</v>
      </c>
      <c r="L179">
        <v>668.8</v>
      </c>
      <c r="M179">
        <v>442.96</v>
      </c>
      <c r="N179">
        <v>225.84</v>
      </c>
      <c r="O179" t="s">
        <v>79</v>
      </c>
      <c r="P179" t="s">
        <v>83</v>
      </c>
    </row>
    <row r="180" spans="1:16" x14ac:dyDescent="0.25">
      <c r="A180">
        <v>179</v>
      </c>
      <c r="B180" s="1">
        <v>45819</v>
      </c>
      <c r="C180" t="s">
        <v>20</v>
      </c>
      <c r="D180" t="s">
        <v>26</v>
      </c>
      <c r="E180" t="s">
        <v>34</v>
      </c>
      <c r="F180" t="s">
        <v>65</v>
      </c>
      <c r="G180" t="s">
        <v>71</v>
      </c>
      <c r="H180" t="s">
        <v>75</v>
      </c>
      <c r="I180">
        <v>7</v>
      </c>
      <c r="J180">
        <v>3330</v>
      </c>
      <c r="K180">
        <v>0</v>
      </c>
      <c r="L180">
        <v>23310</v>
      </c>
      <c r="M180">
        <v>15454.71</v>
      </c>
      <c r="N180">
        <v>7855.29</v>
      </c>
      <c r="O180" t="s">
        <v>80</v>
      </c>
      <c r="P180" t="s">
        <v>84</v>
      </c>
    </row>
    <row r="181" spans="1:16" x14ac:dyDescent="0.25">
      <c r="A181">
        <v>180</v>
      </c>
      <c r="B181" s="1">
        <v>45749</v>
      </c>
      <c r="C181" t="s">
        <v>21</v>
      </c>
      <c r="D181" t="s">
        <v>24</v>
      </c>
      <c r="E181" t="s">
        <v>34</v>
      </c>
      <c r="F181" t="s">
        <v>65</v>
      </c>
      <c r="G181" t="s">
        <v>70</v>
      </c>
      <c r="H181" t="s">
        <v>74</v>
      </c>
      <c r="I181">
        <v>5</v>
      </c>
      <c r="J181">
        <v>3320</v>
      </c>
      <c r="K181">
        <v>0.05</v>
      </c>
      <c r="L181">
        <v>15770</v>
      </c>
      <c r="M181">
        <v>12797.86</v>
      </c>
      <c r="N181">
        <v>2972.14</v>
      </c>
      <c r="O181" t="s">
        <v>76</v>
      </c>
      <c r="P181" t="s">
        <v>86</v>
      </c>
    </row>
    <row r="182" spans="1:16" x14ac:dyDescent="0.25">
      <c r="A182">
        <v>181</v>
      </c>
      <c r="B182" s="1">
        <v>45941</v>
      </c>
      <c r="C182" t="s">
        <v>17</v>
      </c>
      <c r="D182" t="s">
        <v>25</v>
      </c>
      <c r="E182" t="s">
        <v>34</v>
      </c>
      <c r="F182" t="s">
        <v>55</v>
      </c>
      <c r="G182" t="s">
        <v>72</v>
      </c>
      <c r="H182" t="s">
        <v>75</v>
      </c>
      <c r="I182">
        <v>6</v>
      </c>
      <c r="J182">
        <v>416</v>
      </c>
      <c r="K182">
        <v>0.05</v>
      </c>
      <c r="L182">
        <v>2371.1999999999998</v>
      </c>
      <c r="M182">
        <v>1333.88</v>
      </c>
      <c r="N182">
        <v>1037.32</v>
      </c>
      <c r="O182" t="s">
        <v>80</v>
      </c>
      <c r="P182" t="s">
        <v>88</v>
      </c>
    </row>
    <row r="183" spans="1:16" x14ac:dyDescent="0.25">
      <c r="A183">
        <v>182</v>
      </c>
      <c r="B183" s="1">
        <v>45841</v>
      </c>
      <c r="C183" t="s">
        <v>19</v>
      </c>
      <c r="D183" t="s">
        <v>26</v>
      </c>
      <c r="E183" t="s">
        <v>29</v>
      </c>
      <c r="F183" t="s">
        <v>36</v>
      </c>
      <c r="G183" t="s">
        <v>71</v>
      </c>
      <c r="H183" t="s">
        <v>73</v>
      </c>
      <c r="I183">
        <v>4</v>
      </c>
      <c r="J183">
        <v>7566</v>
      </c>
      <c r="K183">
        <v>0.05</v>
      </c>
      <c r="L183">
        <v>28750.799999999999</v>
      </c>
      <c r="M183">
        <v>18524.39</v>
      </c>
      <c r="N183">
        <v>10226.41</v>
      </c>
      <c r="O183" t="s">
        <v>77</v>
      </c>
      <c r="P183" t="s">
        <v>84</v>
      </c>
    </row>
    <row r="184" spans="1:16" x14ac:dyDescent="0.25">
      <c r="A184">
        <v>183</v>
      </c>
      <c r="B184" s="1">
        <v>45849</v>
      </c>
      <c r="C184" t="s">
        <v>21</v>
      </c>
      <c r="D184" t="s">
        <v>24</v>
      </c>
      <c r="E184" t="s">
        <v>32</v>
      </c>
      <c r="F184" t="s">
        <v>48</v>
      </c>
      <c r="G184" t="s">
        <v>71</v>
      </c>
      <c r="H184" t="s">
        <v>75</v>
      </c>
      <c r="I184">
        <v>3</v>
      </c>
      <c r="J184">
        <v>16509</v>
      </c>
      <c r="K184">
        <v>0.1</v>
      </c>
      <c r="L184">
        <v>44574.3</v>
      </c>
      <c r="M184">
        <v>32952.199999999997</v>
      </c>
      <c r="N184">
        <v>11622.1</v>
      </c>
      <c r="O184" t="s">
        <v>79</v>
      </c>
      <c r="P184" t="s">
        <v>86</v>
      </c>
    </row>
    <row r="185" spans="1:16" x14ac:dyDescent="0.25">
      <c r="A185">
        <v>184</v>
      </c>
      <c r="B185" s="1">
        <v>45773</v>
      </c>
      <c r="C185" t="s">
        <v>20</v>
      </c>
      <c r="D185" t="s">
        <v>26</v>
      </c>
      <c r="E185" t="s">
        <v>30</v>
      </c>
      <c r="F185" t="s">
        <v>56</v>
      </c>
      <c r="G185" t="s">
        <v>72</v>
      </c>
      <c r="H185" t="s">
        <v>74</v>
      </c>
      <c r="I185">
        <v>1</v>
      </c>
      <c r="J185">
        <v>42010</v>
      </c>
      <c r="K185">
        <v>0.15</v>
      </c>
      <c r="L185">
        <v>35708.5</v>
      </c>
      <c r="M185">
        <v>19864.939999999999</v>
      </c>
      <c r="N185">
        <v>15843.56</v>
      </c>
      <c r="O185" t="s">
        <v>77</v>
      </c>
      <c r="P185" t="s">
        <v>84</v>
      </c>
    </row>
    <row r="186" spans="1:16" x14ac:dyDescent="0.25">
      <c r="A186">
        <v>185</v>
      </c>
      <c r="B186" s="1">
        <v>45711</v>
      </c>
      <c r="C186" t="s">
        <v>21</v>
      </c>
      <c r="D186" t="s">
        <v>24</v>
      </c>
      <c r="E186" t="s">
        <v>29</v>
      </c>
      <c r="F186" t="s">
        <v>45</v>
      </c>
      <c r="G186" t="s">
        <v>70</v>
      </c>
      <c r="H186" t="s">
        <v>73</v>
      </c>
      <c r="I186">
        <v>8</v>
      </c>
      <c r="J186">
        <v>4552</v>
      </c>
      <c r="K186">
        <v>0</v>
      </c>
      <c r="L186">
        <v>36416</v>
      </c>
      <c r="M186">
        <v>31981.77</v>
      </c>
      <c r="N186">
        <v>4434.2299999999996</v>
      </c>
      <c r="O186" t="s">
        <v>77</v>
      </c>
      <c r="P186" t="s">
        <v>83</v>
      </c>
    </row>
    <row r="187" spans="1:16" x14ac:dyDescent="0.25">
      <c r="A187">
        <v>186</v>
      </c>
      <c r="B187" s="1">
        <v>45949</v>
      </c>
      <c r="C187" t="s">
        <v>17</v>
      </c>
      <c r="D187" t="s">
        <v>25</v>
      </c>
      <c r="E187" t="s">
        <v>30</v>
      </c>
      <c r="F187" t="s">
        <v>44</v>
      </c>
      <c r="G187" t="s">
        <v>70</v>
      </c>
      <c r="H187" t="s">
        <v>74</v>
      </c>
      <c r="I187">
        <v>5</v>
      </c>
      <c r="J187">
        <v>44227</v>
      </c>
      <c r="K187">
        <v>0.15</v>
      </c>
      <c r="L187">
        <v>187964.75</v>
      </c>
      <c r="M187">
        <v>141441.47</v>
      </c>
      <c r="N187">
        <v>46523.28</v>
      </c>
      <c r="O187" t="s">
        <v>78</v>
      </c>
      <c r="P187" t="s">
        <v>87</v>
      </c>
    </row>
    <row r="188" spans="1:16" x14ac:dyDescent="0.25">
      <c r="A188">
        <v>187</v>
      </c>
      <c r="B188" s="1">
        <v>45917</v>
      </c>
      <c r="C188" t="s">
        <v>23</v>
      </c>
      <c r="D188" t="s">
        <v>27</v>
      </c>
      <c r="E188" t="s">
        <v>29</v>
      </c>
      <c r="F188" t="s">
        <v>42</v>
      </c>
      <c r="G188" t="s">
        <v>71</v>
      </c>
      <c r="H188" t="s">
        <v>75</v>
      </c>
      <c r="I188">
        <v>3</v>
      </c>
      <c r="J188">
        <v>2492</v>
      </c>
      <c r="K188">
        <v>0.1</v>
      </c>
      <c r="L188">
        <v>6728.4</v>
      </c>
      <c r="M188">
        <v>4365.7700000000004</v>
      </c>
      <c r="N188">
        <v>2362.63</v>
      </c>
      <c r="O188" t="s">
        <v>78</v>
      </c>
      <c r="P188" t="s">
        <v>81</v>
      </c>
    </row>
    <row r="189" spans="1:16" x14ac:dyDescent="0.25">
      <c r="A189">
        <v>188</v>
      </c>
      <c r="B189" s="1">
        <v>45801</v>
      </c>
      <c r="C189" t="s">
        <v>23</v>
      </c>
      <c r="D189" t="s">
        <v>27</v>
      </c>
      <c r="E189" t="s">
        <v>32</v>
      </c>
      <c r="F189" t="s">
        <v>39</v>
      </c>
      <c r="G189" t="s">
        <v>70</v>
      </c>
      <c r="H189" t="s">
        <v>73</v>
      </c>
      <c r="I189">
        <v>2</v>
      </c>
      <c r="J189">
        <v>11550</v>
      </c>
      <c r="K189">
        <v>0.15</v>
      </c>
      <c r="L189">
        <v>19635</v>
      </c>
      <c r="M189">
        <v>13424.13</v>
      </c>
      <c r="N189">
        <v>6210.87</v>
      </c>
      <c r="O189" t="s">
        <v>76</v>
      </c>
      <c r="P189" t="s">
        <v>85</v>
      </c>
    </row>
    <row r="190" spans="1:16" x14ac:dyDescent="0.25">
      <c r="A190">
        <v>189</v>
      </c>
      <c r="B190" s="1">
        <v>45710</v>
      </c>
      <c r="C190" t="s">
        <v>17</v>
      </c>
      <c r="D190" t="s">
        <v>25</v>
      </c>
      <c r="E190" t="s">
        <v>30</v>
      </c>
      <c r="F190" t="s">
        <v>56</v>
      </c>
      <c r="G190" t="s">
        <v>70</v>
      </c>
      <c r="H190" t="s">
        <v>73</v>
      </c>
      <c r="I190">
        <v>6</v>
      </c>
      <c r="J190">
        <v>34704</v>
      </c>
      <c r="K190">
        <v>0</v>
      </c>
      <c r="L190">
        <v>208224</v>
      </c>
      <c r="M190">
        <v>175586.45</v>
      </c>
      <c r="N190">
        <v>32637.55</v>
      </c>
      <c r="O190" t="s">
        <v>78</v>
      </c>
      <c r="P190" t="s">
        <v>81</v>
      </c>
    </row>
    <row r="191" spans="1:16" x14ac:dyDescent="0.25">
      <c r="A191">
        <v>190</v>
      </c>
      <c r="B191" s="1">
        <v>45711</v>
      </c>
      <c r="C191" t="s">
        <v>20</v>
      </c>
      <c r="D191" t="s">
        <v>26</v>
      </c>
      <c r="E191" t="s">
        <v>32</v>
      </c>
      <c r="F191" t="s">
        <v>39</v>
      </c>
      <c r="G191" t="s">
        <v>72</v>
      </c>
      <c r="H191" t="s">
        <v>75</v>
      </c>
      <c r="I191">
        <v>4</v>
      </c>
      <c r="J191">
        <v>10403</v>
      </c>
      <c r="K191">
        <v>0</v>
      </c>
      <c r="L191">
        <v>41612</v>
      </c>
      <c r="M191">
        <v>33533.620000000003</v>
      </c>
      <c r="N191">
        <v>8078.38</v>
      </c>
      <c r="O191" t="s">
        <v>78</v>
      </c>
      <c r="P191" t="s">
        <v>81</v>
      </c>
    </row>
    <row r="192" spans="1:16" x14ac:dyDescent="0.25">
      <c r="A192">
        <v>191</v>
      </c>
      <c r="B192" s="1">
        <v>45905</v>
      </c>
      <c r="C192" t="s">
        <v>22</v>
      </c>
      <c r="D192" t="s">
        <v>24</v>
      </c>
      <c r="E192" t="s">
        <v>33</v>
      </c>
      <c r="F192" t="s">
        <v>60</v>
      </c>
      <c r="G192" t="s">
        <v>71</v>
      </c>
      <c r="H192" t="s">
        <v>73</v>
      </c>
      <c r="I192">
        <v>4</v>
      </c>
      <c r="J192">
        <v>26045</v>
      </c>
      <c r="K192">
        <v>0.15</v>
      </c>
      <c r="L192">
        <v>88553</v>
      </c>
      <c r="M192">
        <v>65748.649999999994</v>
      </c>
      <c r="N192">
        <v>22804.35</v>
      </c>
      <c r="O192" t="s">
        <v>76</v>
      </c>
      <c r="P192" t="s">
        <v>82</v>
      </c>
    </row>
    <row r="193" spans="1:16" x14ac:dyDescent="0.25">
      <c r="A193">
        <v>192</v>
      </c>
      <c r="B193" s="1">
        <v>45977</v>
      </c>
      <c r="C193" t="s">
        <v>19</v>
      </c>
      <c r="D193" t="s">
        <v>26</v>
      </c>
      <c r="E193" t="s">
        <v>33</v>
      </c>
      <c r="F193" t="s">
        <v>60</v>
      </c>
      <c r="G193" t="s">
        <v>70</v>
      </c>
      <c r="H193" t="s">
        <v>74</v>
      </c>
      <c r="I193">
        <v>1</v>
      </c>
      <c r="J193">
        <v>8293</v>
      </c>
      <c r="K193">
        <v>0.05</v>
      </c>
      <c r="L193">
        <v>7878.35</v>
      </c>
      <c r="M193">
        <v>5314.05</v>
      </c>
      <c r="N193">
        <v>2564.3000000000002</v>
      </c>
      <c r="O193" t="s">
        <v>79</v>
      </c>
      <c r="P193" t="s">
        <v>81</v>
      </c>
    </row>
    <row r="194" spans="1:16" x14ac:dyDescent="0.25">
      <c r="A194">
        <v>193</v>
      </c>
      <c r="B194" s="1">
        <v>45875</v>
      </c>
      <c r="C194" t="s">
        <v>21</v>
      </c>
      <c r="D194" t="s">
        <v>24</v>
      </c>
      <c r="E194" t="s">
        <v>31</v>
      </c>
      <c r="F194" t="s">
        <v>69</v>
      </c>
      <c r="G194" t="s">
        <v>72</v>
      </c>
      <c r="H194" t="s">
        <v>74</v>
      </c>
      <c r="I194">
        <v>1</v>
      </c>
      <c r="J194">
        <v>334</v>
      </c>
      <c r="K194">
        <v>0.2</v>
      </c>
      <c r="L194">
        <v>267.2</v>
      </c>
      <c r="M194">
        <v>208.91</v>
      </c>
      <c r="N194">
        <v>58.29</v>
      </c>
      <c r="O194" t="s">
        <v>76</v>
      </c>
      <c r="P194" t="s">
        <v>82</v>
      </c>
    </row>
    <row r="195" spans="1:16" x14ac:dyDescent="0.25">
      <c r="A195">
        <v>194</v>
      </c>
      <c r="B195" s="1">
        <v>45868</v>
      </c>
      <c r="C195" t="s">
        <v>22</v>
      </c>
      <c r="D195" t="s">
        <v>24</v>
      </c>
      <c r="E195" t="s">
        <v>32</v>
      </c>
      <c r="F195" t="s">
        <v>48</v>
      </c>
      <c r="G195" t="s">
        <v>71</v>
      </c>
      <c r="H195" t="s">
        <v>75</v>
      </c>
      <c r="I195">
        <v>5</v>
      </c>
      <c r="J195">
        <v>23007</v>
      </c>
      <c r="K195">
        <v>0</v>
      </c>
      <c r="L195">
        <v>115035</v>
      </c>
      <c r="M195">
        <v>77265.95</v>
      </c>
      <c r="N195">
        <v>37769.050000000003</v>
      </c>
      <c r="O195" t="s">
        <v>79</v>
      </c>
      <c r="P195" t="s">
        <v>88</v>
      </c>
    </row>
    <row r="196" spans="1:16" x14ac:dyDescent="0.25">
      <c r="A196">
        <v>195</v>
      </c>
      <c r="B196" s="1">
        <v>45867</v>
      </c>
      <c r="C196" t="s">
        <v>21</v>
      </c>
      <c r="D196" t="s">
        <v>24</v>
      </c>
      <c r="E196" t="s">
        <v>31</v>
      </c>
      <c r="F196" t="s">
        <v>47</v>
      </c>
      <c r="G196" t="s">
        <v>70</v>
      </c>
      <c r="H196" t="s">
        <v>73</v>
      </c>
      <c r="I196">
        <v>8</v>
      </c>
      <c r="J196">
        <v>1051</v>
      </c>
      <c r="K196">
        <v>0.1</v>
      </c>
      <c r="L196">
        <v>7567.2</v>
      </c>
      <c r="M196">
        <v>4899.38</v>
      </c>
      <c r="N196">
        <v>2667.82</v>
      </c>
      <c r="O196" t="s">
        <v>77</v>
      </c>
      <c r="P196" t="s">
        <v>82</v>
      </c>
    </row>
    <row r="197" spans="1:16" x14ac:dyDescent="0.25">
      <c r="A197">
        <v>196</v>
      </c>
      <c r="B197" s="1">
        <v>45983</v>
      </c>
      <c r="C197" t="s">
        <v>22</v>
      </c>
      <c r="D197" t="s">
        <v>24</v>
      </c>
      <c r="E197" t="s">
        <v>34</v>
      </c>
      <c r="F197" t="s">
        <v>55</v>
      </c>
      <c r="G197" t="s">
        <v>70</v>
      </c>
      <c r="H197" t="s">
        <v>74</v>
      </c>
      <c r="I197">
        <v>8</v>
      </c>
      <c r="J197">
        <v>1698</v>
      </c>
      <c r="K197">
        <v>0</v>
      </c>
      <c r="L197">
        <v>13584</v>
      </c>
      <c r="M197">
        <v>9783.66</v>
      </c>
      <c r="N197">
        <v>3800.34</v>
      </c>
      <c r="O197" t="s">
        <v>78</v>
      </c>
      <c r="P197" t="s">
        <v>87</v>
      </c>
    </row>
    <row r="198" spans="1:16" x14ac:dyDescent="0.25">
      <c r="A198">
        <v>197</v>
      </c>
      <c r="B198" s="1">
        <v>45670</v>
      </c>
      <c r="C198" t="s">
        <v>23</v>
      </c>
      <c r="D198" t="s">
        <v>27</v>
      </c>
      <c r="E198" t="s">
        <v>32</v>
      </c>
      <c r="F198" t="s">
        <v>48</v>
      </c>
      <c r="G198" t="s">
        <v>71</v>
      </c>
      <c r="H198" t="s">
        <v>75</v>
      </c>
      <c r="I198">
        <v>4</v>
      </c>
      <c r="J198">
        <v>18258</v>
      </c>
      <c r="K198">
        <v>0.15</v>
      </c>
      <c r="L198">
        <v>62077.2</v>
      </c>
      <c r="M198">
        <v>39605.43</v>
      </c>
      <c r="N198">
        <v>22471.77</v>
      </c>
      <c r="O198" t="s">
        <v>79</v>
      </c>
      <c r="P198" t="s">
        <v>82</v>
      </c>
    </row>
    <row r="199" spans="1:16" x14ac:dyDescent="0.25">
      <c r="A199">
        <v>198</v>
      </c>
      <c r="B199" s="1">
        <v>45845</v>
      </c>
      <c r="C199" t="s">
        <v>23</v>
      </c>
      <c r="D199" t="s">
        <v>27</v>
      </c>
      <c r="E199" t="s">
        <v>30</v>
      </c>
      <c r="F199" t="s">
        <v>40</v>
      </c>
      <c r="G199" t="s">
        <v>70</v>
      </c>
      <c r="H199" t="s">
        <v>75</v>
      </c>
      <c r="I199">
        <v>7</v>
      </c>
      <c r="J199">
        <v>21111</v>
      </c>
      <c r="K199">
        <v>0</v>
      </c>
      <c r="L199">
        <v>147777</v>
      </c>
      <c r="M199">
        <v>82103.83</v>
      </c>
      <c r="N199">
        <v>65673.17</v>
      </c>
      <c r="O199" t="s">
        <v>79</v>
      </c>
      <c r="P199" t="s">
        <v>81</v>
      </c>
    </row>
    <row r="200" spans="1:16" x14ac:dyDescent="0.25">
      <c r="A200">
        <v>199</v>
      </c>
      <c r="B200" s="1">
        <v>45791</v>
      </c>
      <c r="C200" t="s">
        <v>23</v>
      </c>
      <c r="D200" t="s">
        <v>27</v>
      </c>
      <c r="E200" t="s">
        <v>34</v>
      </c>
      <c r="F200" t="s">
        <v>51</v>
      </c>
      <c r="G200" t="s">
        <v>70</v>
      </c>
      <c r="H200" t="s">
        <v>74</v>
      </c>
      <c r="I200">
        <v>1</v>
      </c>
      <c r="J200">
        <v>5797</v>
      </c>
      <c r="K200">
        <v>0.1</v>
      </c>
      <c r="L200">
        <v>5217.3</v>
      </c>
      <c r="M200">
        <v>4383.34</v>
      </c>
      <c r="N200">
        <v>833.96</v>
      </c>
      <c r="O200" t="s">
        <v>77</v>
      </c>
      <c r="P200" t="s">
        <v>86</v>
      </c>
    </row>
    <row r="201" spans="1:16" x14ac:dyDescent="0.25">
      <c r="A201">
        <v>200</v>
      </c>
      <c r="B201" s="1">
        <v>45882</v>
      </c>
      <c r="C201" t="s">
        <v>21</v>
      </c>
      <c r="D201" t="s">
        <v>24</v>
      </c>
      <c r="E201" t="s">
        <v>34</v>
      </c>
      <c r="F201" t="s">
        <v>65</v>
      </c>
      <c r="G201" t="s">
        <v>72</v>
      </c>
      <c r="H201" t="s">
        <v>74</v>
      </c>
      <c r="I201">
        <v>4</v>
      </c>
      <c r="J201">
        <v>3426</v>
      </c>
      <c r="K201">
        <v>0.05</v>
      </c>
      <c r="L201">
        <v>13018.8</v>
      </c>
      <c r="M201">
        <v>7408.85</v>
      </c>
      <c r="N201">
        <v>5609.95</v>
      </c>
      <c r="O201" t="s">
        <v>76</v>
      </c>
      <c r="P201" t="s">
        <v>86</v>
      </c>
    </row>
    <row r="202" spans="1:16" x14ac:dyDescent="0.25">
      <c r="A202">
        <v>201</v>
      </c>
      <c r="B202" s="1">
        <v>45753</v>
      </c>
      <c r="C202" t="s">
        <v>22</v>
      </c>
      <c r="D202" t="s">
        <v>24</v>
      </c>
      <c r="E202" t="s">
        <v>33</v>
      </c>
      <c r="F202" t="s">
        <v>46</v>
      </c>
      <c r="G202" t="s">
        <v>70</v>
      </c>
      <c r="H202" t="s">
        <v>75</v>
      </c>
      <c r="I202">
        <v>6</v>
      </c>
      <c r="J202">
        <v>10159</v>
      </c>
      <c r="K202">
        <v>0.2</v>
      </c>
      <c r="L202">
        <v>48763.199999999997</v>
      </c>
      <c r="M202">
        <v>35304.44</v>
      </c>
      <c r="N202">
        <v>13458.76</v>
      </c>
      <c r="O202" t="s">
        <v>80</v>
      </c>
      <c r="P202" t="s">
        <v>84</v>
      </c>
    </row>
    <row r="203" spans="1:16" x14ac:dyDescent="0.25">
      <c r="A203">
        <v>202</v>
      </c>
      <c r="B203" s="1">
        <v>45978</v>
      </c>
      <c r="C203" t="s">
        <v>23</v>
      </c>
      <c r="D203" t="s">
        <v>27</v>
      </c>
      <c r="E203" t="s">
        <v>31</v>
      </c>
      <c r="F203" t="s">
        <v>38</v>
      </c>
      <c r="G203" t="s">
        <v>71</v>
      </c>
      <c r="H203" t="s">
        <v>73</v>
      </c>
      <c r="I203">
        <v>1</v>
      </c>
      <c r="J203">
        <v>1876</v>
      </c>
      <c r="K203">
        <v>0</v>
      </c>
      <c r="L203">
        <v>1876</v>
      </c>
      <c r="M203">
        <v>1059.3900000000001</v>
      </c>
      <c r="N203">
        <v>816.61</v>
      </c>
      <c r="O203" t="s">
        <v>77</v>
      </c>
      <c r="P203" t="s">
        <v>81</v>
      </c>
    </row>
    <row r="204" spans="1:16" x14ac:dyDescent="0.25">
      <c r="A204">
        <v>203</v>
      </c>
      <c r="B204" s="1">
        <v>45672</v>
      </c>
      <c r="C204" t="s">
        <v>23</v>
      </c>
      <c r="D204" t="s">
        <v>27</v>
      </c>
      <c r="E204" t="s">
        <v>32</v>
      </c>
      <c r="F204" t="s">
        <v>62</v>
      </c>
      <c r="G204" t="s">
        <v>71</v>
      </c>
      <c r="H204" t="s">
        <v>75</v>
      </c>
      <c r="I204">
        <v>6</v>
      </c>
      <c r="J204">
        <v>13037</v>
      </c>
      <c r="K204">
        <v>0.1</v>
      </c>
      <c r="L204">
        <v>70399.8</v>
      </c>
      <c r="M204">
        <v>58791.39</v>
      </c>
      <c r="N204">
        <v>11608.41</v>
      </c>
      <c r="O204" t="s">
        <v>80</v>
      </c>
      <c r="P204" t="s">
        <v>83</v>
      </c>
    </row>
    <row r="205" spans="1:16" x14ac:dyDescent="0.25">
      <c r="A205">
        <v>204</v>
      </c>
      <c r="B205" s="1">
        <v>45866</v>
      </c>
      <c r="C205" t="s">
        <v>18</v>
      </c>
      <c r="D205" t="s">
        <v>26</v>
      </c>
      <c r="E205" t="s">
        <v>34</v>
      </c>
      <c r="F205" t="s">
        <v>68</v>
      </c>
      <c r="G205" t="s">
        <v>72</v>
      </c>
      <c r="H205" t="s">
        <v>73</v>
      </c>
      <c r="I205">
        <v>3</v>
      </c>
      <c r="J205">
        <v>3902</v>
      </c>
      <c r="K205">
        <v>0.2</v>
      </c>
      <c r="L205">
        <v>9364.7999999999993</v>
      </c>
      <c r="M205">
        <v>7350.14</v>
      </c>
      <c r="N205">
        <v>2014.66</v>
      </c>
      <c r="O205" t="s">
        <v>79</v>
      </c>
      <c r="P205" t="s">
        <v>82</v>
      </c>
    </row>
    <row r="206" spans="1:16" x14ac:dyDescent="0.25">
      <c r="A206">
        <v>205</v>
      </c>
      <c r="B206" s="1">
        <v>45796</v>
      </c>
      <c r="C206" t="s">
        <v>23</v>
      </c>
      <c r="D206" t="s">
        <v>27</v>
      </c>
      <c r="E206" t="s">
        <v>32</v>
      </c>
      <c r="F206" t="s">
        <v>49</v>
      </c>
      <c r="G206" t="s">
        <v>72</v>
      </c>
      <c r="H206" t="s">
        <v>75</v>
      </c>
      <c r="I206">
        <v>7</v>
      </c>
      <c r="J206">
        <v>1819</v>
      </c>
      <c r="K206">
        <v>0.05</v>
      </c>
      <c r="L206">
        <v>12096.35</v>
      </c>
      <c r="M206">
        <v>10456.76</v>
      </c>
      <c r="N206">
        <v>1639.59</v>
      </c>
      <c r="O206" t="s">
        <v>76</v>
      </c>
      <c r="P206" t="s">
        <v>81</v>
      </c>
    </row>
    <row r="207" spans="1:16" x14ac:dyDescent="0.25">
      <c r="A207">
        <v>206</v>
      </c>
      <c r="B207" s="1">
        <v>45665</v>
      </c>
      <c r="C207" t="s">
        <v>16</v>
      </c>
      <c r="D207" t="s">
        <v>24</v>
      </c>
      <c r="E207" t="s">
        <v>31</v>
      </c>
      <c r="F207" t="s">
        <v>67</v>
      </c>
      <c r="G207" t="s">
        <v>72</v>
      </c>
      <c r="H207" t="s">
        <v>75</v>
      </c>
      <c r="I207">
        <v>3</v>
      </c>
      <c r="J207">
        <v>1977</v>
      </c>
      <c r="K207">
        <v>0.15</v>
      </c>
      <c r="L207">
        <v>5041.3500000000004</v>
      </c>
      <c r="M207">
        <v>4077.74</v>
      </c>
      <c r="N207">
        <v>963.61</v>
      </c>
      <c r="O207" t="s">
        <v>77</v>
      </c>
      <c r="P207" t="s">
        <v>88</v>
      </c>
    </row>
    <row r="208" spans="1:16" x14ac:dyDescent="0.25">
      <c r="A208">
        <v>207</v>
      </c>
      <c r="B208" s="1">
        <v>45873</v>
      </c>
      <c r="C208" t="s">
        <v>16</v>
      </c>
      <c r="D208" t="s">
        <v>24</v>
      </c>
      <c r="E208" t="s">
        <v>32</v>
      </c>
      <c r="F208" t="s">
        <v>49</v>
      </c>
      <c r="G208" t="s">
        <v>70</v>
      </c>
      <c r="H208" t="s">
        <v>74</v>
      </c>
      <c r="I208">
        <v>6</v>
      </c>
      <c r="J208">
        <v>13497</v>
      </c>
      <c r="K208">
        <v>0.05</v>
      </c>
      <c r="L208">
        <v>76932.899999999994</v>
      </c>
      <c r="M208">
        <v>55329.96</v>
      </c>
      <c r="N208">
        <v>21602.94</v>
      </c>
      <c r="O208" t="s">
        <v>77</v>
      </c>
      <c r="P208" t="s">
        <v>82</v>
      </c>
    </row>
    <row r="209" spans="1:16" x14ac:dyDescent="0.25">
      <c r="A209">
        <v>208</v>
      </c>
      <c r="B209" s="1">
        <v>45774</v>
      </c>
      <c r="C209" t="s">
        <v>20</v>
      </c>
      <c r="D209" t="s">
        <v>26</v>
      </c>
      <c r="E209" t="s">
        <v>33</v>
      </c>
      <c r="F209" t="s">
        <v>60</v>
      </c>
      <c r="G209" t="s">
        <v>71</v>
      </c>
      <c r="H209" t="s">
        <v>73</v>
      </c>
      <c r="I209">
        <v>7</v>
      </c>
      <c r="J209">
        <v>21649</v>
      </c>
      <c r="K209">
        <v>0.1</v>
      </c>
      <c r="L209">
        <v>136388.70000000001</v>
      </c>
      <c r="M209">
        <v>91152.78</v>
      </c>
      <c r="N209">
        <v>45235.92</v>
      </c>
      <c r="O209" t="s">
        <v>79</v>
      </c>
      <c r="P209" t="s">
        <v>81</v>
      </c>
    </row>
    <row r="210" spans="1:16" x14ac:dyDescent="0.25">
      <c r="A210">
        <v>209</v>
      </c>
      <c r="B210" s="1">
        <v>45811</v>
      </c>
      <c r="C210" t="s">
        <v>18</v>
      </c>
      <c r="D210" t="s">
        <v>26</v>
      </c>
      <c r="E210" t="s">
        <v>31</v>
      </c>
      <c r="F210" t="s">
        <v>47</v>
      </c>
      <c r="G210" t="s">
        <v>71</v>
      </c>
      <c r="H210" t="s">
        <v>75</v>
      </c>
      <c r="I210">
        <v>3</v>
      </c>
      <c r="J210">
        <v>2013</v>
      </c>
      <c r="K210">
        <v>0.1</v>
      </c>
      <c r="L210">
        <v>5435.1</v>
      </c>
      <c r="M210">
        <v>3392.66</v>
      </c>
      <c r="N210">
        <v>2042.44</v>
      </c>
      <c r="O210" t="s">
        <v>77</v>
      </c>
      <c r="P210" t="s">
        <v>88</v>
      </c>
    </row>
    <row r="211" spans="1:16" x14ac:dyDescent="0.25">
      <c r="A211">
        <v>210</v>
      </c>
      <c r="B211" s="1">
        <v>45756</v>
      </c>
      <c r="C211" t="s">
        <v>23</v>
      </c>
      <c r="D211" t="s">
        <v>27</v>
      </c>
      <c r="E211" t="s">
        <v>33</v>
      </c>
      <c r="F211" t="s">
        <v>59</v>
      </c>
      <c r="G211" t="s">
        <v>71</v>
      </c>
      <c r="H211" t="s">
        <v>74</v>
      </c>
      <c r="I211">
        <v>5</v>
      </c>
      <c r="J211">
        <v>48107</v>
      </c>
      <c r="K211">
        <v>0.15</v>
      </c>
      <c r="L211">
        <v>204454.75</v>
      </c>
      <c r="M211">
        <v>149187.95000000001</v>
      </c>
      <c r="N211">
        <v>55266.8</v>
      </c>
      <c r="O211" t="s">
        <v>79</v>
      </c>
      <c r="P211" t="s">
        <v>86</v>
      </c>
    </row>
    <row r="212" spans="1:16" x14ac:dyDescent="0.25">
      <c r="A212">
        <v>211</v>
      </c>
      <c r="B212" s="1">
        <v>45804</v>
      </c>
      <c r="C212" t="s">
        <v>21</v>
      </c>
      <c r="D212" t="s">
        <v>24</v>
      </c>
      <c r="E212" t="s">
        <v>29</v>
      </c>
      <c r="F212" t="s">
        <v>53</v>
      </c>
      <c r="G212" t="s">
        <v>71</v>
      </c>
      <c r="H212" t="s">
        <v>73</v>
      </c>
      <c r="I212">
        <v>6</v>
      </c>
      <c r="J212">
        <v>11946</v>
      </c>
      <c r="K212">
        <v>0</v>
      </c>
      <c r="L212">
        <v>71676</v>
      </c>
      <c r="M212">
        <v>56611.66</v>
      </c>
      <c r="N212">
        <v>15064.34</v>
      </c>
      <c r="O212" t="s">
        <v>80</v>
      </c>
      <c r="P212" t="s">
        <v>84</v>
      </c>
    </row>
    <row r="213" spans="1:16" x14ac:dyDescent="0.25">
      <c r="A213">
        <v>212</v>
      </c>
      <c r="B213" s="1">
        <v>45947</v>
      </c>
      <c r="C213" t="s">
        <v>17</v>
      </c>
      <c r="D213" t="s">
        <v>25</v>
      </c>
      <c r="E213" t="s">
        <v>28</v>
      </c>
      <c r="F213" t="s">
        <v>63</v>
      </c>
      <c r="G213" t="s">
        <v>72</v>
      </c>
      <c r="H213" t="s">
        <v>73</v>
      </c>
      <c r="I213">
        <v>8</v>
      </c>
      <c r="J213">
        <v>760</v>
      </c>
      <c r="K213">
        <v>0</v>
      </c>
      <c r="L213">
        <v>6080</v>
      </c>
      <c r="M213">
        <v>4179.8</v>
      </c>
      <c r="N213">
        <v>1900.2</v>
      </c>
      <c r="O213" t="s">
        <v>76</v>
      </c>
      <c r="P213" t="s">
        <v>83</v>
      </c>
    </row>
    <row r="214" spans="1:16" x14ac:dyDescent="0.25">
      <c r="A214">
        <v>213</v>
      </c>
      <c r="B214" s="1">
        <v>45795</v>
      </c>
      <c r="C214" t="s">
        <v>20</v>
      </c>
      <c r="D214" t="s">
        <v>26</v>
      </c>
      <c r="E214" t="s">
        <v>28</v>
      </c>
      <c r="F214" t="s">
        <v>63</v>
      </c>
      <c r="G214" t="s">
        <v>71</v>
      </c>
      <c r="H214" t="s">
        <v>75</v>
      </c>
      <c r="I214">
        <v>5</v>
      </c>
      <c r="J214">
        <v>1614</v>
      </c>
      <c r="K214">
        <v>0.1</v>
      </c>
      <c r="L214">
        <v>7263</v>
      </c>
      <c r="M214">
        <v>4991.58</v>
      </c>
      <c r="N214">
        <v>2271.42</v>
      </c>
      <c r="O214" t="s">
        <v>78</v>
      </c>
      <c r="P214" t="s">
        <v>81</v>
      </c>
    </row>
    <row r="215" spans="1:16" x14ac:dyDescent="0.25">
      <c r="A215">
        <v>214</v>
      </c>
      <c r="B215" s="1">
        <v>45687</v>
      </c>
      <c r="C215" t="s">
        <v>23</v>
      </c>
      <c r="D215" t="s">
        <v>27</v>
      </c>
      <c r="E215" t="s">
        <v>30</v>
      </c>
      <c r="F215" t="s">
        <v>37</v>
      </c>
      <c r="G215" t="s">
        <v>71</v>
      </c>
      <c r="H215" t="s">
        <v>75</v>
      </c>
      <c r="I215">
        <v>3</v>
      </c>
      <c r="J215">
        <v>18089</v>
      </c>
      <c r="K215">
        <v>0.05</v>
      </c>
      <c r="L215">
        <v>51553.65</v>
      </c>
      <c r="M215">
        <v>38402.85</v>
      </c>
      <c r="N215">
        <v>13150.8</v>
      </c>
      <c r="O215" t="s">
        <v>78</v>
      </c>
      <c r="P215" t="s">
        <v>81</v>
      </c>
    </row>
    <row r="216" spans="1:16" x14ac:dyDescent="0.25">
      <c r="A216">
        <v>215</v>
      </c>
      <c r="B216" s="1">
        <v>45689</v>
      </c>
      <c r="C216" t="s">
        <v>20</v>
      </c>
      <c r="D216" t="s">
        <v>26</v>
      </c>
      <c r="E216" t="s">
        <v>28</v>
      </c>
      <c r="F216" t="s">
        <v>61</v>
      </c>
      <c r="G216" t="s">
        <v>71</v>
      </c>
      <c r="H216" t="s">
        <v>75</v>
      </c>
      <c r="I216">
        <v>1</v>
      </c>
      <c r="J216">
        <v>1738</v>
      </c>
      <c r="K216">
        <v>0.1</v>
      </c>
      <c r="L216">
        <v>1564.2</v>
      </c>
      <c r="M216">
        <v>913.23</v>
      </c>
      <c r="N216">
        <v>650.97</v>
      </c>
      <c r="O216" t="s">
        <v>79</v>
      </c>
      <c r="P216" t="s">
        <v>84</v>
      </c>
    </row>
    <row r="217" spans="1:16" x14ac:dyDescent="0.25">
      <c r="A217">
        <v>216</v>
      </c>
      <c r="B217" s="1">
        <v>45949</v>
      </c>
      <c r="C217" t="s">
        <v>18</v>
      </c>
      <c r="D217" t="s">
        <v>26</v>
      </c>
      <c r="E217" t="s">
        <v>28</v>
      </c>
      <c r="F217" t="s">
        <v>58</v>
      </c>
      <c r="G217" t="s">
        <v>70</v>
      </c>
      <c r="H217" t="s">
        <v>74</v>
      </c>
      <c r="I217">
        <v>8</v>
      </c>
      <c r="J217">
        <v>588</v>
      </c>
      <c r="K217">
        <v>0.15</v>
      </c>
      <c r="L217">
        <v>3998.4</v>
      </c>
      <c r="M217">
        <v>2560.75</v>
      </c>
      <c r="N217">
        <v>1437.65</v>
      </c>
      <c r="O217" t="s">
        <v>76</v>
      </c>
      <c r="P217" t="s">
        <v>83</v>
      </c>
    </row>
    <row r="218" spans="1:16" x14ac:dyDescent="0.25">
      <c r="A218">
        <v>217</v>
      </c>
      <c r="B218" s="1">
        <v>45798</v>
      </c>
      <c r="C218" t="s">
        <v>20</v>
      </c>
      <c r="D218" t="s">
        <v>26</v>
      </c>
      <c r="E218" t="s">
        <v>31</v>
      </c>
      <c r="F218" t="s">
        <v>38</v>
      </c>
      <c r="G218" t="s">
        <v>70</v>
      </c>
      <c r="H218" t="s">
        <v>73</v>
      </c>
      <c r="I218">
        <v>5</v>
      </c>
      <c r="J218">
        <v>1199</v>
      </c>
      <c r="K218">
        <v>0.15</v>
      </c>
      <c r="L218">
        <v>5095.75</v>
      </c>
      <c r="M218">
        <v>3637.17</v>
      </c>
      <c r="N218">
        <v>1458.58</v>
      </c>
      <c r="O218" t="s">
        <v>80</v>
      </c>
      <c r="P218" t="s">
        <v>86</v>
      </c>
    </row>
    <row r="219" spans="1:16" x14ac:dyDescent="0.25">
      <c r="A219">
        <v>218</v>
      </c>
      <c r="B219" s="1">
        <v>46009</v>
      </c>
      <c r="C219" t="s">
        <v>16</v>
      </c>
      <c r="D219" t="s">
        <v>24</v>
      </c>
      <c r="E219" t="s">
        <v>32</v>
      </c>
      <c r="F219" t="s">
        <v>48</v>
      </c>
      <c r="G219" t="s">
        <v>70</v>
      </c>
      <c r="H219" t="s">
        <v>74</v>
      </c>
      <c r="I219">
        <v>3</v>
      </c>
      <c r="J219">
        <v>3107</v>
      </c>
      <c r="K219">
        <v>0.15</v>
      </c>
      <c r="L219">
        <v>7922.85</v>
      </c>
      <c r="M219">
        <v>4612.5200000000004</v>
      </c>
      <c r="N219">
        <v>3310.33</v>
      </c>
      <c r="O219" t="s">
        <v>77</v>
      </c>
      <c r="P219" t="s">
        <v>87</v>
      </c>
    </row>
    <row r="220" spans="1:16" x14ac:dyDescent="0.25">
      <c r="A220">
        <v>219</v>
      </c>
      <c r="B220" s="1">
        <v>45825</v>
      </c>
      <c r="C220" t="s">
        <v>20</v>
      </c>
      <c r="D220" t="s">
        <v>26</v>
      </c>
      <c r="E220" t="s">
        <v>30</v>
      </c>
      <c r="F220" t="s">
        <v>44</v>
      </c>
      <c r="G220" t="s">
        <v>70</v>
      </c>
      <c r="H220" t="s">
        <v>75</v>
      </c>
      <c r="I220">
        <v>3</v>
      </c>
      <c r="J220">
        <v>1889</v>
      </c>
      <c r="K220">
        <v>0.15</v>
      </c>
      <c r="L220">
        <v>4816.95</v>
      </c>
      <c r="M220">
        <v>3934.97</v>
      </c>
      <c r="N220">
        <v>881.98</v>
      </c>
      <c r="O220" t="s">
        <v>78</v>
      </c>
      <c r="P220" t="s">
        <v>86</v>
      </c>
    </row>
    <row r="221" spans="1:16" x14ac:dyDescent="0.25">
      <c r="A221">
        <v>220</v>
      </c>
      <c r="B221" s="1">
        <v>45679</v>
      </c>
      <c r="C221" t="s">
        <v>22</v>
      </c>
      <c r="D221" t="s">
        <v>24</v>
      </c>
      <c r="E221" t="s">
        <v>34</v>
      </c>
      <c r="F221" t="s">
        <v>65</v>
      </c>
      <c r="G221" t="s">
        <v>71</v>
      </c>
      <c r="H221" t="s">
        <v>75</v>
      </c>
      <c r="I221">
        <v>2</v>
      </c>
      <c r="J221">
        <v>4745</v>
      </c>
      <c r="K221">
        <v>0</v>
      </c>
      <c r="L221">
        <v>9490</v>
      </c>
      <c r="M221">
        <v>6443</v>
      </c>
      <c r="N221">
        <v>3047</v>
      </c>
      <c r="O221" t="s">
        <v>80</v>
      </c>
      <c r="P221" t="s">
        <v>83</v>
      </c>
    </row>
    <row r="222" spans="1:16" x14ac:dyDescent="0.25">
      <c r="A222">
        <v>221</v>
      </c>
      <c r="B222" s="1">
        <v>45754</v>
      </c>
      <c r="C222" t="s">
        <v>23</v>
      </c>
      <c r="D222" t="s">
        <v>27</v>
      </c>
      <c r="E222" t="s">
        <v>31</v>
      </c>
      <c r="F222" t="s">
        <v>50</v>
      </c>
      <c r="G222" t="s">
        <v>72</v>
      </c>
      <c r="H222" t="s">
        <v>75</v>
      </c>
      <c r="I222">
        <v>6</v>
      </c>
      <c r="J222">
        <v>149</v>
      </c>
      <c r="K222">
        <v>0.1</v>
      </c>
      <c r="L222">
        <v>804.6</v>
      </c>
      <c r="M222">
        <v>461.68</v>
      </c>
      <c r="N222">
        <v>342.92</v>
      </c>
      <c r="O222" t="s">
        <v>80</v>
      </c>
      <c r="P222" t="s">
        <v>83</v>
      </c>
    </row>
    <row r="223" spans="1:16" x14ac:dyDescent="0.25">
      <c r="A223">
        <v>222</v>
      </c>
      <c r="B223" s="1">
        <v>45798</v>
      </c>
      <c r="C223" t="s">
        <v>16</v>
      </c>
      <c r="D223" t="s">
        <v>24</v>
      </c>
      <c r="E223" t="s">
        <v>28</v>
      </c>
      <c r="F223" t="s">
        <v>35</v>
      </c>
      <c r="G223" t="s">
        <v>72</v>
      </c>
      <c r="H223" t="s">
        <v>73</v>
      </c>
      <c r="I223">
        <v>8</v>
      </c>
      <c r="J223">
        <v>2345</v>
      </c>
      <c r="K223">
        <v>0.05</v>
      </c>
      <c r="L223">
        <v>17822</v>
      </c>
      <c r="M223">
        <v>15548.7</v>
      </c>
      <c r="N223">
        <v>2273.3000000000002</v>
      </c>
      <c r="O223" t="s">
        <v>78</v>
      </c>
      <c r="P223" t="s">
        <v>88</v>
      </c>
    </row>
    <row r="224" spans="1:16" x14ac:dyDescent="0.25">
      <c r="A224">
        <v>223</v>
      </c>
      <c r="B224" s="1">
        <v>45975</v>
      </c>
      <c r="C224" t="s">
        <v>21</v>
      </c>
      <c r="D224" t="s">
        <v>24</v>
      </c>
      <c r="E224" t="s">
        <v>32</v>
      </c>
      <c r="F224" t="s">
        <v>39</v>
      </c>
      <c r="G224" t="s">
        <v>72</v>
      </c>
      <c r="H224" t="s">
        <v>75</v>
      </c>
      <c r="I224">
        <v>4</v>
      </c>
      <c r="J224">
        <v>21386</v>
      </c>
      <c r="K224">
        <v>0.1</v>
      </c>
      <c r="L224">
        <v>76989.600000000006</v>
      </c>
      <c r="M224">
        <v>59869.19</v>
      </c>
      <c r="N224">
        <v>17120.41</v>
      </c>
      <c r="O224" t="s">
        <v>77</v>
      </c>
      <c r="P224" t="s">
        <v>88</v>
      </c>
    </row>
    <row r="225" spans="1:16" x14ac:dyDescent="0.25">
      <c r="A225">
        <v>224</v>
      </c>
      <c r="B225" s="1">
        <v>45887</v>
      </c>
      <c r="C225" t="s">
        <v>20</v>
      </c>
      <c r="D225" t="s">
        <v>26</v>
      </c>
      <c r="E225" t="s">
        <v>30</v>
      </c>
      <c r="F225" t="s">
        <v>40</v>
      </c>
      <c r="G225" t="s">
        <v>72</v>
      </c>
      <c r="H225" t="s">
        <v>74</v>
      </c>
      <c r="I225">
        <v>4</v>
      </c>
      <c r="J225">
        <v>63342</v>
      </c>
      <c r="K225">
        <v>0.1</v>
      </c>
      <c r="L225">
        <v>228031.2</v>
      </c>
      <c r="M225">
        <v>178591.27</v>
      </c>
      <c r="N225">
        <v>49439.93</v>
      </c>
      <c r="O225" t="s">
        <v>77</v>
      </c>
      <c r="P225" t="s">
        <v>82</v>
      </c>
    </row>
    <row r="226" spans="1:16" x14ac:dyDescent="0.25">
      <c r="A226">
        <v>225</v>
      </c>
      <c r="B226" s="1">
        <v>45716</v>
      </c>
      <c r="C226" t="s">
        <v>21</v>
      </c>
      <c r="D226" t="s">
        <v>24</v>
      </c>
      <c r="E226" t="s">
        <v>34</v>
      </c>
      <c r="F226" t="s">
        <v>55</v>
      </c>
      <c r="G226" t="s">
        <v>72</v>
      </c>
      <c r="H226" t="s">
        <v>73</v>
      </c>
      <c r="I226">
        <v>1</v>
      </c>
      <c r="J226">
        <v>5066</v>
      </c>
      <c r="K226">
        <v>0</v>
      </c>
      <c r="L226">
        <v>5066</v>
      </c>
      <c r="M226">
        <v>4077.42</v>
      </c>
      <c r="N226">
        <v>988.58</v>
      </c>
      <c r="O226" t="s">
        <v>79</v>
      </c>
      <c r="P226" t="s">
        <v>88</v>
      </c>
    </row>
    <row r="227" spans="1:16" x14ac:dyDescent="0.25">
      <c r="A227">
        <v>226</v>
      </c>
      <c r="B227" s="1">
        <v>45941</v>
      </c>
      <c r="C227" t="s">
        <v>22</v>
      </c>
      <c r="D227" t="s">
        <v>24</v>
      </c>
      <c r="E227" t="s">
        <v>34</v>
      </c>
      <c r="F227" t="s">
        <v>55</v>
      </c>
      <c r="G227" t="s">
        <v>72</v>
      </c>
      <c r="H227" t="s">
        <v>75</v>
      </c>
      <c r="I227">
        <v>7</v>
      </c>
      <c r="J227">
        <v>4863</v>
      </c>
      <c r="K227">
        <v>0.2</v>
      </c>
      <c r="L227">
        <v>27232.799999999999</v>
      </c>
      <c r="M227">
        <v>15893.74</v>
      </c>
      <c r="N227">
        <v>11339.06</v>
      </c>
      <c r="O227" t="s">
        <v>78</v>
      </c>
      <c r="P227" t="s">
        <v>84</v>
      </c>
    </row>
    <row r="228" spans="1:16" x14ac:dyDescent="0.25">
      <c r="A228">
        <v>227</v>
      </c>
      <c r="B228" s="1">
        <v>45901</v>
      </c>
      <c r="C228" t="s">
        <v>16</v>
      </c>
      <c r="D228" t="s">
        <v>24</v>
      </c>
      <c r="E228" t="s">
        <v>28</v>
      </c>
      <c r="F228" t="s">
        <v>61</v>
      </c>
      <c r="G228" t="s">
        <v>71</v>
      </c>
      <c r="H228" t="s">
        <v>75</v>
      </c>
      <c r="I228">
        <v>4</v>
      </c>
      <c r="J228">
        <v>122</v>
      </c>
      <c r="K228">
        <v>0.1</v>
      </c>
      <c r="L228">
        <v>439.2</v>
      </c>
      <c r="M228">
        <v>276.64</v>
      </c>
      <c r="N228">
        <v>162.56</v>
      </c>
      <c r="O228" t="s">
        <v>79</v>
      </c>
      <c r="P228" t="s">
        <v>88</v>
      </c>
    </row>
    <row r="229" spans="1:16" x14ac:dyDescent="0.25">
      <c r="A229">
        <v>228</v>
      </c>
      <c r="B229" s="1">
        <v>45808</v>
      </c>
      <c r="C229" t="s">
        <v>20</v>
      </c>
      <c r="D229" t="s">
        <v>26</v>
      </c>
      <c r="E229" t="s">
        <v>31</v>
      </c>
      <c r="F229" t="s">
        <v>67</v>
      </c>
      <c r="G229" t="s">
        <v>70</v>
      </c>
      <c r="H229" t="s">
        <v>73</v>
      </c>
      <c r="I229">
        <v>1</v>
      </c>
      <c r="J229">
        <v>901</v>
      </c>
      <c r="K229">
        <v>0.1</v>
      </c>
      <c r="L229">
        <v>810.9</v>
      </c>
      <c r="M229">
        <v>608.35</v>
      </c>
      <c r="N229">
        <v>202.55</v>
      </c>
      <c r="O229" t="s">
        <v>78</v>
      </c>
      <c r="P229" t="s">
        <v>81</v>
      </c>
    </row>
    <row r="230" spans="1:16" x14ac:dyDescent="0.25">
      <c r="A230">
        <v>229</v>
      </c>
      <c r="B230" s="1">
        <v>45695</v>
      </c>
      <c r="C230" t="s">
        <v>23</v>
      </c>
      <c r="D230" t="s">
        <v>27</v>
      </c>
      <c r="E230" t="s">
        <v>31</v>
      </c>
      <c r="F230" t="s">
        <v>69</v>
      </c>
      <c r="G230" t="s">
        <v>72</v>
      </c>
      <c r="H230" t="s">
        <v>73</v>
      </c>
      <c r="I230">
        <v>7</v>
      </c>
      <c r="J230">
        <v>2093</v>
      </c>
      <c r="K230">
        <v>0.2</v>
      </c>
      <c r="L230">
        <v>11720.8</v>
      </c>
      <c r="M230">
        <v>7573.91</v>
      </c>
      <c r="N230">
        <v>4146.8900000000003</v>
      </c>
      <c r="O230" t="s">
        <v>79</v>
      </c>
      <c r="P230" t="s">
        <v>83</v>
      </c>
    </row>
    <row r="231" spans="1:16" x14ac:dyDescent="0.25">
      <c r="A231">
        <v>230</v>
      </c>
      <c r="B231" s="1">
        <v>45764</v>
      </c>
      <c r="C231" t="s">
        <v>21</v>
      </c>
      <c r="D231" t="s">
        <v>24</v>
      </c>
      <c r="E231" t="s">
        <v>30</v>
      </c>
      <c r="F231" t="s">
        <v>40</v>
      </c>
      <c r="G231" t="s">
        <v>72</v>
      </c>
      <c r="H231" t="s">
        <v>73</v>
      </c>
      <c r="I231">
        <v>4</v>
      </c>
      <c r="J231">
        <v>20796</v>
      </c>
      <c r="K231">
        <v>0.15</v>
      </c>
      <c r="L231">
        <v>70706.399999999994</v>
      </c>
      <c r="M231">
        <v>53773.98</v>
      </c>
      <c r="N231">
        <v>16932.419999999998</v>
      </c>
      <c r="O231" t="s">
        <v>80</v>
      </c>
      <c r="P231" t="s">
        <v>81</v>
      </c>
    </row>
    <row r="232" spans="1:16" x14ac:dyDescent="0.25">
      <c r="A232">
        <v>231</v>
      </c>
      <c r="B232" s="1">
        <v>45909</v>
      </c>
      <c r="C232" t="s">
        <v>20</v>
      </c>
      <c r="D232" t="s">
        <v>26</v>
      </c>
      <c r="E232" t="s">
        <v>28</v>
      </c>
      <c r="F232" t="s">
        <v>54</v>
      </c>
      <c r="G232" t="s">
        <v>71</v>
      </c>
      <c r="H232" t="s">
        <v>75</v>
      </c>
      <c r="I232">
        <v>2</v>
      </c>
      <c r="J232">
        <v>1308</v>
      </c>
      <c r="K232">
        <v>0.05</v>
      </c>
      <c r="L232">
        <v>2485.1999999999998</v>
      </c>
      <c r="M232">
        <v>1779.08</v>
      </c>
      <c r="N232">
        <v>706.12</v>
      </c>
      <c r="O232" t="s">
        <v>80</v>
      </c>
      <c r="P232" t="s">
        <v>82</v>
      </c>
    </row>
    <row r="233" spans="1:16" x14ac:dyDescent="0.25">
      <c r="A233">
        <v>232</v>
      </c>
      <c r="B233" s="1">
        <v>45864</v>
      </c>
      <c r="C233" t="s">
        <v>19</v>
      </c>
      <c r="D233" t="s">
        <v>26</v>
      </c>
      <c r="E233" t="s">
        <v>33</v>
      </c>
      <c r="F233" t="s">
        <v>52</v>
      </c>
      <c r="G233" t="s">
        <v>72</v>
      </c>
      <c r="H233" t="s">
        <v>75</v>
      </c>
      <c r="I233">
        <v>1</v>
      </c>
      <c r="J233">
        <v>34281</v>
      </c>
      <c r="K233">
        <v>0.1</v>
      </c>
      <c r="L233">
        <v>30852.9</v>
      </c>
      <c r="M233">
        <v>26565.439999999999</v>
      </c>
      <c r="N233">
        <v>4287.46</v>
      </c>
      <c r="O233" t="s">
        <v>77</v>
      </c>
      <c r="P233" t="s">
        <v>88</v>
      </c>
    </row>
    <row r="234" spans="1:16" x14ac:dyDescent="0.25">
      <c r="A234">
        <v>233</v>
      </c>
      <c r="B234" s="1">
        <v>45960</v>
      </c>
      <c r="C234" t="s">
        <v>22</v>
      </c>
      <c r="D234" t="s">
        <v>24</v>
      </c>
      <c r="E234" t="s">
        <v>33</v>
      </c>
      <c r="F234" t="s">
        <v>46</v>
      </c>
      <c r="G234" t="s">
        <v>71</v>
      </c>
      <c r="H234" t="s">
        <v>74</v>
      </c>
      <c r="I234">
        <v>5</v>
      </c>
      <c r="J234">
        <v>37598</v>
      </c>
      <c r="K234">
        <v>0.05</v>
      </c>
      <c r="L234">
        <v>178590.5</v>
      </c>
      <c r="M234">
        <v>119075.29</v>
      </c>
      <c r="N234">
        <v>59515.21</v>
      </c>
      <c r="O234" t="s">
        <v>76</v>
      </c>
      <c r="P234" t="s">
        <v>82</v>
      </c>
    </row>
    <row r="235" spans="1:16" x14ac:dyDescent="0.25">
      <c r="A235">
        <v>234</v>
      </c>
      <c r="B235" s="1">
        <v>45767</v>
      </c>
      <c r="C235" t="s">
        <v>23</v>
      </c>
      <c r="D235" t="s">
        <v>27</v>
      </c>
      <c r="E235" t="s">
        <v>32</v>
      </c>
      <c r="F235" t="s">
        <v>39</v>
      </c>
      <c r="G235" t="s">
        <v>70</v>
      </c>
      <c r="H235" t="s">
        <v>74</v>
      </c>
      <c r="I235">
        <v>7</v>
      </c>
      <c r="J235">
        <v>24608</v>
      </c>
      <c r="K235">
        <v>0.1</v>
      </c>
      <c r="L235">
        <v>155030.39999999999</v>
      </c>
      <c r="M235">
        <v>125912.63</v>
      </c>
      <c r="N235">
        <v>29117.77</v>
      </c>
      <c r="O235" t="s">
        <v>80</v>
      </c>
      <c r="P235" t="s">
        <v>85</v>
      </c>
    </row>
    <row r="236" spans="1:16" x14ac:dyDescent="0.25">
      <c r="A236">
        <v>235</v>
      </c>
      <c r="B236" s="1">
        <v>45970</v>
      </c>
      <c r="C236" t="s">
        <v>20</v>
      </c>
      <c r="D236" t="s">
        <v>26</v>
      </c>
      <c r="E236" t="s">
        <v>30</v>
      </c>
      <c r="F236" t="s">
        <v>44</v>
      </c>
      <c r="G236" t="s">
        <v>72</v>
      </c>
      <c r="H236" t="s">
        <v>74</v>
      </c>
      <c r="I236">
        <v>7</v>
      </c>
      <c r="J236">
        <v>3200</v>
      </c>
      <c r="K236">
        <v>0</v>
      </c>
      <c r="L236">
        <v>22400</v>
      </c>
      <c r="M236">
        <v>12334.73</v>
      </c>
      <c r="N236">
        <v>10065.27</v>
      </c>
      <c r="O236" t="s">
        <v>80</v>
      </c>
      <c r="P236" t="s">
        <v>81</v>
      </c>
    </row>
    <row r="237" spans="1:16" x14ac:dyDescent="0.25">
      <c r="A237">
        <v>236</v>
      </c>
      <c r="B237" s="1">
        <v>45751</v>
      </c>
      <c r="C237" t="s">
        <v>20</v>
      </c>
      <c r="D237" t="s">
        <v>26</v>
      </c>
      <c r="E237" t="s">
        <v>30</v>
      </c>
      <c r="F237" t="s">
        <v>56</v>
      </c>
      <c r="G237" t="s">
        <v>70</v>
      </c>
      <c r="H237" t="s">
        <v>73</v>
      </c>
      <c r="I237">
        <v>6</v>
      </c>
      <c r="J237">
        <v>32454</v>
      </c>
      <c r="K237">
        <v>0</v>
      </c>
      <c r="L237">
        <v>194724</v>
      </c>
      <c r="M237">
        <v>140463.01</v>
      </c>
      <c r="N237">
        <v>54260.99</v>
      </c>
      <c r="O237" t="s">
        <v>77</v>
      </c>
      <c r="P237" t="s">
        <v>87</v>
      </c>
    </row>
    <row r="238" spans="1:16" x14ac:dyDescent="0.25">
      <c r="A238">
        <v>237</v>
      </c>
      <c r="B238" s="1">
        <v>45809</v>
      </c>
      <c r="C238" t="s">
        <v>21</v>
      </c>
      <c r="D238" t="s">
        <v>24</v>
      </c>
      <c r="E238" t="s">
        <v>34</v>
      </c>
      <c r="F238" t="s">
        <v>51</v>
      </c>
      <c r="G238" t="s">
        <v>72</v>
      </c>
      <c r="H238" t="s">
        <v>74</v>
      </c>
      <c r="I238">
        <v>7</v>
      </c>
      <c r="J238">
        <v>5247</v>
      </c>
      <c r="K238">
        <v>0.1</v>
      </c>
      <c r="L238">
        <v>33056.1</v>
      </c>
      <c r="M238">
        <v>22674.71</v>
      </c>
      <c r="N238">
        <v>10381.39</v>
      </c>
      <c r="O238" t="s">
        <v>78</v>
      </c>
      <c r="P238" t="s">
        <v>88</v>
      </c>
    </row>
    <row r="239" spans="1:16" x14ac:dyDescent="0.25">
      <c r="A239">
        <v>238</v>
      </c>
      <c r="B239" s="1">
        <v>45896</v>
      </c>
      <c r="C239" t="s">
        <v>20</v>
      </c>
      <c r="D239" t="s">
        <v>26</v>
      </c>
      <c r="E239" t="s">
        <v>30</v>
      </c>
      <c r="F239" t="s">
        <v>44</v>
      </c>
      <c r="G239" t="s">
        <v>70</v>
      </c>
      <c r="H239" t="s">
        <v>74</v>
      </c>
      <c r="I239">
        <v>8</v>
      </c>
      <c r="J239">
        <v>38658</v>
      </c>
      <c r="K239">
        <v>0.1</v>
      </c>
      <c r="L239">
        <v>278337.59999999998</v>
      </c>
      <c r="M239">
        <v>224085.6</v>
      </c>
      <c r="N239">
        <v>54252</v>
      </c>
      <c r="O239" t="s">
        <v>79</v>
      </c>
      <c r="P239" t="s">
        <v>83</v>
      </c>
    </row>
    <row r="240" spans="1:16" x14ac:dyDescent="0.25">
      <c r="A240">
        <v>239</v>
      </c>
      <c r="B240" s="1">
        <v>45719</v>
      </c>
      <c r="C240" t="s">
        <v>16</v>
      </c>
      <c r="D240" t="s">
        <v>24</v>
      </c>
      <c r="E240" t="s">
        <v>30</v>
      </c>
      <c r="F240" t="s">
        <v>37</v>
      </c>
      <c r="G240" t="s">
        <v>71</v>
      </c>
      <c r="H240" t="s">
        <v>74</v>
      </c>
      <c r="I240">
        <v>5</v>
      </c>
      <c r="J240">
        <v>33630</v>
      </c>
      <c r="K240">
        <v>0.1</v>
      </c>
      <c r="L240">
        <v>151335</v>
      </c>
      <c r="M240">
        <v>118056.57</v>
      </c>
      <c r="N240">
        <v>33278.43</v>
      </c>
      <c r="O240" t="s">
        <v>79</v>
      </c>
      <c r="P240" t="s">
        <v>87</v>
      </c>
    </row>
    <row r="241" spans="1:16" x14ac:dyDescent="0.25">
      <c r="A241">
        <v>240</v>
      </c>
      <c r="B241" s="1">
        <v>45993</v>
      </c>
      <c r="C241" t="s">
        <v>20</v>
      </c>
      <c r="D241" t="s">
        <v>26</v>
      </c>
      <c r="E241" t="s">
        <v>31</v>
      </c>
      <c r="F241" t="s">
        <v>69</v>
      </c>
      <c r="G241" t="s">
        <v>72</v>
      </c>
      <c r="H241" t="s">
        <v>73</v>
      </c>
      <c r="I241">
        <v>6</v>
      </c>
      <c r="J241">
        <v>758</v>
      </c>
      <c r="K241">
        <v>0.05</v>
      </c>
      <c r="L241">
        <v>4320.6000000000004</v>
      </c>
      <c r="M241">
        <v>2395.39</v>
      </c>
      <c r="N241">
        <v>1925.21</v>
      </c>
      <c r="O241" t="s">
        <v>79</v>
      </c>
      <c r="P241" t="s">
        <v>86</v>
      </c>
    </row>
    <row r="242" spans="1:16" x14ac:dyDescent="0.25">
      <c r="A242">
        <v>241</v>
      </c>
      <c r="B242" s="1">
        <v>45803</v>
      </c>
      <c r="C242" t="s">
        <v>17</v>
      </c>
      <c r="D242" t="s">
        <v>25</v>
      </c>
      <c r="E242" t="s">
        <v>32</v>
      </c>
      <c r="F242" t="s">
        <v>66</v>
      </c>
      <c r="G242" t="s">
        <v>72</v>
      </c>
      <c r="H242" t="s">
        <v>75</v>
      </c>
      <c r="I242">
        <v>7</v>
      </c>
      <c r="J242">
        <v>7191</v>
      </c>
      <c r="K242">
        <v>0.05</v>
      </c>
      <c r="L242">
        <v>47820.15</v>
      </c>
      <c r="M242">
        <v>34402.370000000003</v>
      </c>
      <c r="N242">
        <v>13417.78</v>
      </c>
      <c r="O242" t="s">
        <v>80</v>
      </c>
      <c r="P242" t="s">
        <v>86</v>
      </c>
    </row>
    <row r="243" spans="1:16" x14ac:dyDescent="0.25">
      <c r="A243">
        <v>242</v>
      </c>
      <c r="B243" s="1">
        <v>45878</v>
      </c>
      <c r="C243" t="s">
        <v>21</v>
      </c>
      <c r="D243" t="s">
        <v>24</v>
      </c>
      <c r="E243" t="s">
        <v>34</v>
      </c>
      <c r="F243" t="s">
        <v>65</v>
      </c>
      <c r="G243" t="s">
        <v>70</v>
      </c>
      <c r="H243" t="s">
        <v>73</v>
      </c>
      <c r="I243">
        <v>3</v>
      </c>
      <c r="J243">
        <v>5776</v>
      </c>
      <c r="K243">
        <v>0</v>
      </c>
      <c r="L243">
        <v>17328</v>
      </c>
      <c r="M243">
        <v>11531.47</v>
      </c>
      <c r="N243">
        <v>5796.53</v>
      </c>
      <c r="O243" t="s">
        <v>77</v>
      </c>
      <c r="P243" t="s">
        <v>81</v>
      </c>
    </row>
    <row r="244" spans="1:16" x14ac:dyDescent="0.25">
      <c r="A244">
        <v>243</v>
      </c>
      <c r="B244" s="1">
        <v>45719</v>
      </c>
      <c r="C244" t="s">
        <v>17</v>
      </c>
      <c r="D244" t="s">
        <v>25</v>
      </c>
      <c r="E244" t="s">
        <v>30</v>
      </c>
      <c r="F244" t="s">
        <v>40</v>
      </c>
      <c r="G244" t="s">
        <v>71</v>
      </c>
      <c r="H244" t="s">
        <v>73</v>
      </c>
      <c r="I244">
        <v>7</v>
      </c>
      <c r="J244">
        <v>19389</v>
      </c>
      <c r="K244">
        <v>0.05</v>
      </c>
      <c r="L244">
        <v>128936.85</v>
      </c>
      <c r="M244">
        <v>94233.58</v>
      </c>
      <c r="N244">
        <v>34703.269999999997</v>
      </c>
      <c r="O244" t="s">
        <v>78</v>
      </c>
      <c r="P244" t="s">
        <v>82</v>
      </c>
    </row>
    <row r="245" spans="1:16" x14ac:dyDescent="0.25">
      <c r="A245">
        <v>244</v>
      </c>
      <c r="B245" s="1">
        <v>45866</v>
      </c>
      <c r="C245" t="s">
        <v>20</v>
      </c>
      <c r="D245" t="s">
        <v>26</v>
      </c>
      <c r="E245" t="s">
        <v>33</v>
      </c>
      <c r="F245" t="s">
        <v>46</v>
      </c>
      <c r="G245" t="s">
        <v>72</v>
      </c>
      <c r="H245" t="s">
        <v>73</v>
      </c>
      <c r="I245">
        <v>5</v>
      </c>
      <c r="J245">
        <v>37193</v>
      </c>
      <c r="K245">
        <v>0.15</v>
      </c>
      <c r="L245">
        <v>158070.25</v>
      </c>
      <c r="M245">
        <v>117131.04</v>
      </c>
      <c r="N245">
        <v>40939.21</v>
      </c>
      <c r="O245" t="s">
        <v>78</v>
      </c>
      <c r="P245" t="s">
        <v>82</v>
      </c>
    </row>
    <row r="246" spans="1:16" x14ac:dyDescent="0.25">
      <c r="A246">
        <v>245</v>
      </c>
      <c r="B246" s="1">
        <v>45827</v>
      </c>
      <c r="C246" t="s">
        <v>23</v>
      </c>
      <c r="D246" t="s">
        <v>27</v>
      </c>
      <c r="E246" t="s">
        <v>33</v>
      </c>
      <c r="F246" t="s">
        <v>59</v>
      </c>
      <c r="G246" t="s">
        <v>71</v>
      </c>
      <c r="H246" t="s">
        <v>73</v>
      </c>
      <c r="I246">
        <v>1</v>
      </c>
      <c r="J246">
        <v>36222</v>
      </c>
      <c r="K246">
        <v>0.1</v>
      </c>
      <c r="L246">
        <v>32599.8</v>
      </c>
      <c r="M246">
        <v>19951.53</v>
      </c>
      <c r="N246">
        <v>12648.27</v>
      </c>
      <c r="O246" t="s">
        <v>78</v>
      </c>
      <c r="P246" t="s">
        <v>81</v>
      </c>
    </row>
    <row r="247" spans="1:16" x14ac:dyDescent="0.25">
      <c r="A247">
        <v>246</v>
      </c>
      <c r="B247" s="1">
        <v>46003</v>
      </c>
      <c r="C247" t="s">
        <v>23</v>
      </c>
      <c r="D247" t="s">
        <v>27</v>
      </c>
      <c r="E247" t="s">
        <v>29</v>
      </c>
      <c r="F247" t="s">
        <v>57</v>
      </c>
      <c r="G247" t="s">
        <v>71</v>
      </c>
      <c r="H247" t="s">
        <v>73</v>
      </c>
      <c r="I247">
        <v>8</v>
      </c>
      <c r="J247">
        <v>11885</v>
      </c>
      <c r="K247">
        <v>0.05</v>
      </c>
      <c r="L247">
        <v>90326</v>
      </c>
      <c r="M247">
        <v>57712.800000000003</v>
      </c>
      <c r="N247">
        <v>32613.200000000001</v>
      </c>
      <c r="O247" t="s">
        <v>76</v>
      </c>
      <c r="P247" t="s">
        <v>84</v>
      </c>
    </row>
    <row r="248" spans="1:16" x14ac:dyDescent="0.25">
      <c r="A248">
        <v>247</v>
      </c>
      <c r="B248" s="1">
        <v>46013</v>
      </c>
      <c r="C248" t="s">
        <v>16</v>
      </c>
      <c r="D248" t="s">
        <v>24</v>
      </c>
      <c r="E248" t="s">
        <v>32</v>
      </c>
      <c r="F248" t="s">
        <v>62</v>
      </c>
      <c r="G248" t="s">
        <v>71</v>
      </c>
      <c r="H248" t="s">
        <v>74</v>
      </c>
      <c r="I248">
        <v>7</v>
      </c>
      <c r="J248">
        <v>11206</v>
      </c>
      <c r="K248">
        <v>0.05</v>
      </c>
      <c r="L248">
        <v>74519.899999999994</v>
      </c>
      <c r="M248">
        <v>51618.02</v>
      </c>
      <c r="N248">
        <v>22901.88</v>
      </c>
      <c r="O248" t="s">
        <v>76</v>
      </c>
      <c r="P248" t="s">
        <v>88</v>
      </c>
    </row>
    <row r="249" spans="1:16" x14ac:dyDescent="0.25">
      <c r="A249">
        <v>248</v>
      </c>
      <c r="B249" s="1">
        <v>45753</v>
      </c>
      <c r="C249" t="s">
        <v>19</v>
      </c>
      <c r="D249" t="s">
        <v>26</v>
      </c>
      <c r="E249" t="s">
        <v>34</v>
      </c>
      <c r="F249" t="s">
        <v>55</v>
      </c>
      <c r="G249" t="s">
        <v>72</v>
      </c>
      <c r="H249" t="s">
        <v>75</v>
      </c>
      <c r="I249">
        <v>8</v>
      </c>
      <c r="J249">
        <v>5968</v>
      </c>
      <c r="K249">
        <v>0.2</v>
      </c>
      <c r="L249">
        <v>38195.199999999997</v>
      </c>
      <c r="M249">
        <v>31411.24</v>
      </c>
      <c r="N249">
        <v>6783.96</v>
      </c>
      <c r="O249" t="s">
        <v>79</v>
      </c>
      <c r="P249" t="s">
        <v>87</v>
      </c>
    </row>
    <row r="250" spans="1:16" x14ac:dyDescent="0.25">
      <c r="A250">
        <v>249</v>
      </c>
      <c r="B250" s="1">
        <v>45913</v>
      </c>
      <c r="C250" t="s">
        <v>18</v>
      </c>
      <c r="D250" t="s">
        <v>26</v>
      </c>
      <c r="E250" t="s">
        <v>33</v>
      </c>
      <c r="F250" t="s">
        <v>46</v>
      </c>
      <c r="G250" t="s">
        <v>71</v>
      </c>
      <c r="H250" t="s">
        <v>74</v>
      </c>
      <c r="I250">
        <v>4</v>
      </c>
      <c r="J250">
        <v>11806</v>
      </c>
      <c r="K250">
        <v>0.1</v>
      </c>
      <c r="L250">
        <v>42501.599999999999</v>
      </c>
      <c r="M250">
        <v>27640.07</v>
      </c>
      <c r="N250">
        <v>14861.53</v>
      </c>
      <c r="O250" t="s">
        <v>77</v>
      </c>
      <c r="P250" t="s">
        <v>82</v>
      </c>
    </row>
    <row r="251" spans="1:16" x14ac:dyDescent="0.25">
      <c r="A251">
        <v>250</v>
      </c>
      <c r="B251" s="1">
        <v>45844</v>
      </c>
      <c r="C251" t="s">
        <v>17</v>
      </c>
      <c r="D251" t="s">
        <v>25</v>
      </c>
      <c r="E251" t="s">
        <v>29</v>
      </c>
      <c r="F251" t="s">
        <v>42</v>
      </c>
      <c r="G251" t="s">
        <v>70</v>
      </c>
      <c r="H251" t="s">
        <v>75</v>
      </c>
      <c r="I251">
        <v>6</v>
      </c>
      <c r="J251">
        <v>11101</v>
      </c>
      <c r="K251">
        <v>0.1</v>
      </c>
      <c r="L251">
        <v>59945.4</v>
      </c>
      <c r="M251">
        <v>48049.83</v>
      </c>
      <c r="N251">
        <v>11895.57</v>
      </c>
      <c r="O251" t="s">
        <v>77</v>
      </c>
      <c r="P251" t="s">
        <v>81</v>
      </c>
    </row>
    <row r="252" spans="1:16" x14ac:dyDescent="0.25">
      <c r="A252">
        <v>251</v>
      </c>
      <c r="B252" s="1">
        <v>46012</v>
      </c>
      <c r="C252" t="s">
        <v>18</v>
      </c>
      <c r="D252" t="s">
        <v>26</v>
      </c>
      <c r="E252" t="s">
        <v>34</v>
      </c>
      <c r="F252" t="s">
        <v>43</v>
      </c>
      <c r="G252" t="s">
        <v>70</v>
      </c>
      <c r="H252" t="s">
        <v>73</v>
      </c>
      <c r="I252">
        <v>5</v>
      </c>
      <c r="J252">
        <v>722</v>
      </c>
      <c r="K252">
        <v>0.1</v>
      </c>
      <c r="L252">
        <v>3249</v>
      </c>
      <c r="M252">
        <v>2718.03</v>
      </c>
      <c r="N252">
        <v>530.97</v>
      </c>
      <c r="O252" t="s">
        <v>78</v>
      </c>
      <c r="P252" t="s">
        <v>85</v>
      </c>
    </row>
    <row r="253" spans="1:16" x14ac:dyDescent="0.25">
      <c r="A253">
        <v>252</v>
      </c>
      <c r="B253" s="1">
        <v>45685</v>
      </c>
      <c r="C253" t="s">
        <v>21</v>
      </c>
      <c r="D253" t="s">
        <v>24</v>
      </c>
      <c r="E253" t="s">
        <v>33</v>
      </c>
      <c r="F253" t="s">
        <v>41</v>
      </c>
      <c r="G253" t="s">
        <v>71</v>
      </c>
      <c r="H253" t="s">
        <v>73</v>
      </c>
      <c r="I253">
        <v>3</v>
      </c>
      <c r="J253">
        <v>32757</v>
      </c>
      <c r="K253">
        <v>0.1</v>
      </c>
      <c r="L253">
        <v>88443.9</v>
      </c>
      <c r="M253">
        <v>76347.98</v>
      </c>
      <c r="N253">
        <v>12095.92</v>
      </c>
      <c r="O253" t="s">
        <v>77</v>
      </c>
      <c r="P253" t="s">
        <v>85</v>
      </c>
    </row>
    <row r="254" spans="1:16" x14ac:dyDescent="0.25">
      <c r="A254">
        <v>253</v>
      </c>
      <c r="B254" s="1">
        <v>45839</v>
      </c>
      <c r="C254" t="s">
        <v>23</v>
      </c>
      <c r="D254" t="s">
        <v>27</v>
      </c>
      <c r="E254" t="s">
        <v>28</v>
      </c>
      <c r="F254" t="s">
        <v>35</v>
      </c>
      <c r="G254" t="s">
        <v>71</v>
      </c>
      <c r="H254" t="s">
        <v>75</v>
      </c>
      <c r="I254">
        <v>5</v>
      </c>
      <c r="J254">
        <v>997</v>
      </c>
      <c r="K254">
        <v>0</v>
      </c>
      <c r="L254">
        <v>4985</v>
      </c>
      <c r="M254">
        <v>3787.9</v>
      </c>
      <c r="N254">
        <v>1197.0999999999999</v>
      </c>
      <c r="O254" t="s">
        <v>80</v>
      </c>
      <c r="P254" t="s">
        <v>87</v>
      </c>
    </row>
    <row r="255" spans="1:16" x14ac:dyDescent="0.25">
      <c r="A255">
        <v>254</v>
      </c>
      <c r="B255" s="1">
        <v>45871</v>
      </c>
      <c r="C255" t="s">
        <v>21</v>
      </c>
      <c r="D255" t="s">
        <v>24</v>
      </c>
      <c r="E255" t="s">
        <v>30</v>
      </c>
      <c r="F255" t="s">
        <v>44</v>
      </c>
      <c r="G255" t="s">
        <v>72</v>
      </c>
      <c r="H255" t="s">
        <v>75</v>
      </c>
      <c r="I255">
        <v>6</v>
      </c>
      <c r="J255">
        <v>45935</v>
      </c>
      <c r="K255">
        <v>0.05</v>
      </c>
      <c r="L255">
        <v>261829.5</v>
      </c>
      <c r="M255">
        <v>203253.31</v>
      </c>
      <c r="N255">
        <v>58576.19</v>
      </c>
      <c r="O255" t="s">
        <v>80</v>
      </c>
      <c r="P255" t="s">
        <v>86</v>
      </c>
    </row>
    <row r="256" spans="1:16" x14ac:dyDescent="0.25">
      <c r="A256">
        <v>255</v>
      </c>
      <c r="B256" s="1">
        <v>45747</v>
      </c>
      <c r="C256" t="s">
        <v>23</v>
      </c>
      <c r="D256" t="s">
        <v>27</v>
      </c>
      <c r="E256" t="s">
        <v>34</v>
      </c>
      <c r="F256" t="s">
        <v>68</v>
      </c>
      <c r="G256" t="s">
        <v>70</v>
      </c>
      <c r="H256" t="s">
        <v>73</v>
      </c>
      <c r="I256">
        <v>5</v>
      </c>
      <c r="J256">
        <v>3073</v>
      </c>
      <c r="K256">
        <v>0.05</v>
      </c>
      <c r="L256">
        <v>14596.75</v>
      </c>
      <c r="M256">
        <v>8435.56</v>
      </c>
      <c r="N256">
        <v>6161.19</v>
      </c>
      <c r="O256" t="s">
        <v>77</v>
      </c>
      <c r="P256" t="s">
        <v>85</v>
      </c>
    </row>
    <row r="257" spans="1:16" x14ac:dyDescent="0.25">
      <c r="A257">
        <v>256</v>
      </c>
      <c r="B257" s="1">
        <v>45702</v>
      </c>
      <c r="C257" t="s">
        <v>18</v>
      </c>
      <c r="D257" t="s">
        <v>26</v>
      </c>
      <c r="E257" t="s">
        <v>33</v>
      </c>
      <c r="F257" t="s">
        <v>41</v>
      </c>
      <c r="G257" t="s">
        <v>71</v>
      </c>
      <c r="H257" t="s">
        <v>75</v>
      </c>
      <c r="I257">
        <v>7</v>
      </c>
      <c r="J257">
        <v>32268</v>
      </c>
      <c r="K257">
        <v>0.1</v>
      </c>
      <c r="L257">
        <v>203288.4</v>
      </c>
      <c r="M257">
        <v>152263.63</v>
      </c>
      <c r="N257">
        <v>51024.77</v>
      </c>
      <c r="O257" t="s">
        <v>76</v>
      </c>
      <c r="P257" t="s">
        <v>87</v>
      </c>
    </row>
    <row r="258" spans="1:16" x14ac:dyDescent="0.25">
      <c r="A258">
        <v>257</v>
      </c>
      <c r="B258" s="1">
        <v>45933</v>
      </c>
      <c r="C258" t="s">
        <v>23</v>
      </c>
      <c r="D258" t="s">
        <v>27</v>
      </c>
      <c r="E258" t="s">
        <v>34</v>
      </c>
      <c r="F258" t="s">
        <v>55</v>
      </c>
      <c r="G258" t="s">
        <v>70</v>
      </c>
      <c r="H258" t="s">
        <v>73</v>
      </c>
      <c r="I258">
        <v>1</v>
      </c>
      <c r="J258">
        <v>4739</v>
      </c>
      <c r="K258">
        <v>0.05</v>
      </c>
      <c r="L258">
        <v>4502.05</v>
      </c>
      <c r="M258">
        <v>2725.9</v>
      </c>
      <c r="N258">
        <v>1776.15</v>
      </c>
      <c r="O258" t="s">
        <v>78</v>
      </c>
      <c r="P258" t="s">
        <v>86</v>
      </c>
    </row>
    <row r="259" spans="1:16" x14ac:dyDescent="0.25">
      <c r="A259">
        <v>258</v>
      </c>
      <c r="B259" s="1">
        <v>45709</v>
      </c>
      <c r="C259" t="s">
        <v>23</v>
      </c>
      <c r="D259" t="s">
        <v>27</v>
      </c>
      <c r="E259" t="s">
        <v>31</v>
      </c>
      <c r="F259" t="s">
        <v>69</v>
      </c>
      <c r="G259" t="s">
        <v>71</v>
      </c>
      <c r="H259" t="s">
        <v>73</v>
      </c>
      <c r="I259">
        <v>5</v>
      </c>
      <c r="J259">
        <v>1419</v>
      </c>
      <c r="K259">
        <v>0.1</v>
      </c>
      <c r="L259">
        <v>6385.5</v>
      </c>
      <c r="M259">
        <v>4199.51</v>
      </c>
      <c r="N259">
        <v>2185.9899999999998</v>
      </c>
      <c r="O259" t="s">
        <v>80</v>
      </c>
      <c r="P259" t="s">
        <v>81</v>
      </c>
    </row>
    <row r="260" spans="1:16" x14ac:dyDescent="0.25">
      <c r="A260">
        <v>259</v>
      </c>
      <c r="B260" s="1">
        <v>45696</v>
      </c>
      <c r="C260" t="s">
        <v>23</v>
      </c>
      <c r="D260" t="s">
        <v>27</v>
      </c>
      <c r="E260" t="s">
        <v>31</v>
      </c>
      <c r="F260" t="s">
        <v>50</v>
      </c>
      <c r="G260" t="s">
        <v>72</v>
      </c>
      <c r="H260" t="s">
        <v>75</v>
      </c>
      <c r="I260">
        <v>5</v>
      </c>
      <c r="J260">
        <v>1461</v>
      </c>
      <c r="K260">
        <v>0</v>
      </c>
      <c r="L260">
        <v>7305</v>
      </c>
      <c r="M260">
        <v>4217.2</v>
      </c>
      <c r="N260">
        <v>3087.8</v>
      </c>
      <c r="O260" t="s">
        <v>77</v>
      </c>
      <c r="P260" t="s">
        <v>82</v>
      </c>
    </row>
    <row r="261" spans="1:16" x14ac:dyDescent="0.25">
      <c r="A261">
        <v>260</v>
      </c>
      <c r="B261" s="1">
        <v>45959</v>
      </c>
      <c r="C261" t="s">
        <v>16</v>
      </c>
      <c r="D261" t="s">
        <v>24</v>
      </c>
      <c r="E261" t="s">
        <v>34</v>
      </c>
      <c r="F261" t="s">
        <v>68</v>
      </c>
      <c r="G261" t="s">
        <v>71</v>
      </c>
      <c r="H261" t="s">
        <v>73</v>
      </c>
      <c r="I261">
        <v>8</v>
      </c>
      <c r="J261">
        <v>3333</v>
      </c>
      <c r="K261">
        <v>0.05</v>
      </c>
      <c r="L261">
        <v>25330.799999999999</v>
      </c>
      <c r="M261">
        <v>19910.3</v>
      </c>
      <c r="N261">
        <v>5420.5</v>
      </c>
      <c r="O261" t="s">
        <v>79</v>
      </c>
      <c r="P261" t="s">
        <v>87</v>
      </c>
    </row>
    <row r="262" spans="1:16" x14ac:dyDescent="0.25">
      <c r="A262">
        <v>261</v>
      </c>
      <c r="B262" s="1">
        <v>45746</v>
      </c>
      <c r="C262" t="s">
        <v>21</v>
      </c>
      <c r="D262" t="s">
        <v>24</v>
      </c>
      <c r="E262" t="s">
        <v>33</v>
      </c>
      <c r="F262" t="s">
        <v>46</v>
      </c>
      <c r="G262" t="s">
        <v>72</v>
      </c>
      <c r="H262" t="s">
        <v>75</v>
      </c>
      <c r="I262">
        <v>8</v>
      </c>
      <c r="J262">
        <v>23658</v>
      </c>
      <c r="K262">
        <v>0.05</v>
      </c>
      <c r="L262">
        <v>179800.8</v>
      </c>
      <c r="M262">
        <v>137816.98000000001</v>
      </c>
      <c r="N262">
        <v>41983.82</v>
      </c>
      <c r="O262" t="s">
        <v>80</v>
      </c>
      <c r="P262" t="s">
        <v>85</v>
      </c>
    </row>
    <row r="263" spans="1:16" x14ac:dyDescent="0.25">
      <c r="A263">
        <v>262</v>
      </c>
      <c r="B263" s="1">
        <v>45906</v>
      </c>
      <c r="C263" t="s">
        <v>17</v>
      </c>
      <c r="D263" t="s">
        <v>25</v>
      </c>
      <c r="E263" t="s">
        <v>32</v>
      </c>
      <c r="F263" t="s">
        <v>66</v>
      </c>
      <c r="G263" t="s">
        <v>72</v>
      </c>
      <c r="H263" t="s">
        <v>73</v>
      </c>
      <c r="I263">
        <v>3</v>
      </c>
      <c r="J263">
        <v>3132</v>
      </c>
      <c r="K263">
        <v>0.1</v>
      </c>
      <c r="L263">
        <v>8456.4</v>
      </c>
      <c r="M263">
        <v>6267.66</v>
      </c>
      <c r="N263">
        <v>2188.7399999999998</v>
      </c>
      <c r="O263" t="s">
        <v>80</v>
      </c>
      <c r="P263" t="s">
        <v>82</v>
      </c>
    </row>
    <row r="264" spans="1:16" x14ac:dyDescent="0.25">
      <c r="A264">
        <v>263</v>
      </c>
      <c r="B264" s="1">
        <v>45696</v>
      </c>
      <c r="C264" t="s">
        <v>18</v>
      </c>
      <c r="D264" t="s">
        <v>26</v>
      </c>
      <c r="E264" t="s">
        <v>34</v>
      </c>
      <c r="F264" t="s">
        <v>65</v>
      </c>
      <c r="G264" t="s">
        <v>72</v>
      </c>
      <c r="H264" t="s">
        <v>74</v>
      </c>
      <c r="I264">
        <v>6</v>
      </c>
      <c r="J264">
        <v>5720</v>
      </c>
      <c r="K264">
        <v>0</v>
      </c>
      <c r="L264">
        <v>34320</v>
      </c>
      <c r="M264">
        <v>28227.67</v>
      </c>
      <c r="N264">
        <v>6092.33</v>
      </c>
      <c r="O264" t="s">
        <v>79</v>
      </c>
      <c r="P264" t="s">
        <v>87</v>
      </c>
    </row>
    <row r="265" spans="1:16" x14ac:dyDescent="0.25">
      <c r="A265">
        <v>264</v>
      </c>
      <c r="B265" s="1">
        <v>45863</v>
      </c>
      <c r="C265" t="s">
        <v>19</v>
      </c>
      <c r="D265" t="s">
        <v>26</v>
      </c>
      <c r="E265" t="s">
        <v>32</v>
      </c>
      <c r="F265" t="s">
        <v>49</v>
      </c>
      <c r="G265" t="s">
        <v>72</v>
      </c>
      <c r="H265" t="s">
        <v>74</v>
      </c>
      <c r="I265">
        <v>8</v>
      </c>
      <c r="J265">
        <v>8443</v>
      </c>
      <c r="K265">
        <v>0.1</v>
      </c>
      <c r="L265">
        <v>60789.599999999999</v>
      </c>
      <c r="M265">
        <v>37857.72</v>
      </c>
      <c r="N265">
        <v>22931.88</v>
      </c>
      <c r="O265" t="s">
        <v>78</v>
      </c>
      <c r="P265" t="s">
        <v>82</v>
      </c>
    </row>
    <row r="266" spans="1:16" x14ac:dyDescent="0.25">
      <c r="A266">
        <v>265</v>
      </c>
      <c r="B266" s="1">
        <v>45670</v>
      </c>
      <c r="C266" t="s">
        <v>22</v>
      </c>
      <c r="D266" t="s">
        <v>24</v>
      </c>
      <c r="E266" t="s">
        <v>32</v>
      </c>
      <c r="F266" t="s">
        <v>39</v>
      </c>
      <c r="G266" t="s">
        <v>72</v>
      </c>
      <c r="H266" t="s">
        <v>73</v>
      </c>
      <c r="I266">
        <v>1</v>
      </c>
      <c r="J266">
        <v>20131</v>
      </c>
      <c r="K266">
        <v>0.1</v>
      </c>
      <c r="L266">
        <v>18117.900000000001</v>
      </c>
      <c r="M266">
        <v>11157.67</v>
      </c>
      <c r="N266">
        <v>6960.23</v>
      </c>
      <c r="O266" t="s">
        <v>77</v>
      </c>
      <c r="P266" t="s">
        <v>88</v>
      </c>
    </row>
    <row r="267" spans="1:16" x14ac:dyDescent="0.25">
      <c r="A267">
        <v>266</v>
      </c>
      <c r="B267" s="1">
        <v>45936</v>
      </c>
      <c r="C267" t="s">
        <v>19</v>
      </c>
      <c r="D267" t="s">
        <v>26</v>
      </c>
      <c r="E267" t="s">
        <v>33</v>
      </c>
      <c r="F267" t="s">
        <v>52</v>
      </c>
      <c r="G267" t="s">
        <v>71</v>
      </c>
      <c r="H267" t="s">
        <v>73</v>
      </c>
      <c r="I267">
        <v>7</v>
      </c>
      <c r="J267">
        <v>28596</v>
      </c>
      <c r="K267">
        <v>0.05</v>
      </c>
      <c r="L267">
        <v>190163.4</v>
      </c>
      <c r="M267">
        <v>131573.13</v>
      </c>
      <c r="N267">
        <v>58590.27</v>
      </c>
      <c r="O267" t="s">
        <v>76</v>
      </c>
      <c r="P267" t="s">
        <v>86</v>
      </c>
    </row>
    <row r="268" spans="1:16" x14ac:dyDescent="0.25">
      <c r="A268">
        <v>267</v>
      </c>
      <c r="B268" s="1">
        <v>45878</v>
      </c>
      <c r="C268" t="s">
        <v>22</v>
      </c>
      <c r="D268" t="s">
        <v>24</v>
      </c>
      <c r="E268" t="s">
        <v>32</v>
      </c>
      <c r="F268" t="s">
        <v>62</v>
      </c>
      <c r="G268" t="s">
        <v>71</v>
      </c>
      <c r="H268" t="s">
        <v>74</v>
      </c>
      <c r="I268">
        <v>3</v>
      </c>
      <c r="J268">
        <v>16196</v>
      </c>
      <c r="K268">
        <v>0</v>
      </c>
      <c r="L268">
        <v>48588</v>
      </c>
      <c r="M268">
        <v>27283.17</v>
      </c>
      <c r="N268">
        <v>21304.83</v>
      </c>
      <c r="O268" t="s">
        <v>80</v>
      </c>
      <c r="P268" t="s">
        <v>83</v>
      </c>
    </row>
    <row r="269" spans="1:16" x14ac:dyDescent="0.25">
      <c r="A269">
        <v>268</v>
      </c>
      <c r="B269" s="1">
        <v>45839</v>
      </c>
      <c r="C269" t="s">
        <v>18</v>
      </c>
      <c r="D269" t="s">
        <v>26</v>
      </c>
      <c r="E269" t="s">
        <v>31</v>
      </c>
      <c r="F269" t="s">
        <v>69</v>
      </c>
      <c r="G269" t="s">
        <v>72</v>
      </c>
      <c r="H269" t="s">
        <v>74</v>
      </c>
      <c r="I269">
        <v>3</v>
      </c>
      <c r="J269">
        <v>1906</v>
      </c>
      <c r="K269">
        <v>0.1</v>
      </c>
      <c r="L269">
        <v>5146.2</v>
      </c>
      <c r="M269">
        <v>3307.7</v>
      </c>
      <c r="N269">
        <v>1838.5</v>
      </c>
      <c r="O269" t="s">
        <v>77</v>
      </c>
      <c r="P269" t="s">
        <v>86</v>
      </c>
    </row>
    <row r="270" spans="1:16" x14ac:dyDescent="0.25">
      <c r="A270">
        <v>269</v>
      </c>
      <c r="B270" s="1">
        <v>45699</v>
      </c>
      <c r="C270" t="s">
        <v>23</v>
      </c>
      <c r="D270" t="s">
        <v>27</v>
      </c>
      <c r="E270" t="s">
        <v>33</v>
      </c>
      <c r="F270" t="s">
        <v>59</v>
      </c>
      <c r="G270" t="s">
        <v>72</v>
      </c>
      <c r="H270" t="s">
        <v>73</v>
      </c>
      <c r="I270">
        <v>7</v>
      </c>
      <c r="J270">
        <v>45923</v>
      </c>
      <c r="K270">
        <v>0.15</v>
      </c>
      <c r="L270">
        <v>273241.84999999998</v>
      </c>
      <c r="M270">
        <v>185207.82</v>
      </c>
      <c r="N270">
        <v>88034.03</v>
      </c>
      <c r="O270" t="s">
        <v>76</v>
      </c>
      <c r="P270" t="s">
        <v>88</v>
      </c>
    </row>
    <row r="271" spans="1:16" x14ac:dyDescent="0.25">
      <c r="A271">
        <v>270</v>
      </c>
      <c r="B271" s="1">
        <v>45849</v>
      </c>
      <c r="C271" t="s">
        <v>23</v>
      </c>
      <c r="D271" t="s">
        <v>27</v>
      </c>
      <c r="E271" t="s">
        <v>30</v>
      </c>
      <c r="F271" t="s">
        <v>56</v>
      </c>
      <c r="G271" t="s">
        <v>70</v>
      </c>
      <c r="H271" t="s">
        <v>73</v>
      </c>
      <c r="I271">
        <v>3</v>
      </c>
      <c r="J271">
        <v>15182</v>
      </c>
      <c r="K271">
        <v>0.05</v>
      </c>
      <c r="L271">
        <v>43268.7</v>
      </c>
      <c r="M271">
        <v>32528.67</v>
      </c>
      <c r="N271">
        <v>10740.03</v>
      </c>
      <c r="O271" t="s">
        <v>80</v>
      </c>
      <c r="P271" t="s">
        <v>81</v>
      </c>
    </row>
    <row r="272" spans="1:16" x14ac:dyDescent="0.25">
      <c r="A272">
        <v>271</v>
      </c>
      <c r="B272" s="1">
        <v>45695</v>
      </c>
      <c r="C272" t="s">
        <v>18</v>
      </c>
      <c r="D272" t="s">
        <v>26</v>
      </c>
      <c r="E272" t="s">
        <v>33</v>
      </c>
      <c r="F272" t="s">
        <v>46</v>
      </c>
      <c r="G272" t="s">
        <v>72</v>
      </c>
      <c r="H272" t="s">
        <v>75</v>
      </c>
      <c r="I272">
        <v>4</v>
      </c>
      <c r="J272">
        <v>14439</v>
      </c>
      <c r="K272">
        <v>0.1</v>
      </c>
      <c r="L272">
        <v>51980.4</v>
      </c>
      <c r="M272">
        <v>39270.54</v>
      </c>
      <c r="N272">
        <v>12709.86</v>
      </c>
      <c r="O272" t="s">
        <v>78</v>
      </c>
      <c r="P272" t="s">
        <v>82</v>
      </c>
    </row>
    <row r="273" spans="1:16" x14ac:dyDescent="0.25">
      <c r="A273">
        <v>272</v>
      </c>
      <c r="B273" s="1">
        <v>46012</v>
      </c>
      <c r="C273" t="s">
        <v>20</v>
      </c>
      <c r="D273" t="s">
        <v>26</v>
      </c>
      <c r="E273" t="s">
        <v>33</v>
      </c>
      <c r="F273" t="s">
        <v>46</v>
      </c>
      <c r="G273" t="s">
        <v>70</v>
      </c>
      <c r="H273" t="s">
        <v>75</v>
      </c>
      <c r="I273">
        <v>1</v>
      </c>
      <c r="J273">
        <v>35051</v>
      </c>
      <c r="K273">
        <v>0</v>
      </c>
      <c r="L273">
        <v>35051</v>
      </c>
      <c r="M273">
        <v>21161.03</v>
      </c>
      <c r="N273">
        <v>13889.97</v>
      </c>
      <c r="O273" t="s">
        <v>76</v>
      </c>
      <c r="P273" t="s">
        <v>83</v>
      </c>
    </row>
    <row r="274" spans="1:16" x14ac:dyDescent="0.25">
      <c r="A274">
        <v>273</v>
      </c>
      <c r="B274" s="1">
        <v>45947</v>
      </c>
      <c r="C274" t="s">
        <v>20</v>
      </c>
      <c r="D274" t="s">
        <v>26</v>
      </c>
      <c r="E274" t="s">
        <v>29</v>
      </c>
      <c r="F274" t="s">
        <v>36</v>
      </c>
      <c r="G274" t="s">
        <v>72</v>
      </c>
      <c r="H274" t="s">
        <v>75</v>
      </c>
      <c r="I274">
        <v>1</v>
      </c>
      <c r="J274">
        <v>10569</v>
      </c>
      <c r="K274">
        <v>0.05</v>
      </c>
      <c r="L274">
        <v>10040.549999999999</v>
      </c>
      <c r="M274">
        <v>8388.25</v>
      </c>
      <c r="N274">
        <v>1652.3</v>
      </c>
      <c r="O274" t="s">
        <v>78</v>
      </c>
      <c r="P274" t="s">
        <v>85</v>
      </c>
    </row>
    <row r="275" spans="1:16" x14ac:dyDescent="0.25">
      <c r="A275">
        <v>274</v>
      </c>
      <c r="B275" s="1">
        <v>46008</v>
      </c>
      <c r="C275" t="s">
        <v>23</v>
      </c>
      <c r="D275" t="s">
        <v>27</v>
      </c>
      <c r="E275" t="s">
        <v>31</v>
      </c>
      <c r="F275" t="s">
        <v>38</v>
      </c>
      <c r="G275" t="s">
        <v>72</v>
      </c>
      <c r="H275" t="s">
        <v>74</v>
      </c>
      <c r="I275">
        <v>7</v>
      </c>
      <c r="J275">
        <v>1701</v>
      </c>
      <c r="K275">
        <v>0.05</v>
      </c>
      <c r="L275">
        <v>11311.65</v>
      </c>
      <c r="M275">
        <v>9323.2099999999991</v>
      </c>
      <c r="N275">
        <v>1988.44</v>
      </c>
      <c r="O275" t="s">
        <v>76</v>
      </c>
      <c r="P275" t="s">
        <v>83</v>
      </c>
    </row>
    <row r="276" spans="1:16" x14ac:dyDescent="0.25">
      <c r="A276">
        <v>275</v>
      </c>
      <c r="B276" s="1">
        <v>45951</v>
      </c>
      <c r="C276" t="s">
        <v>22</v>
      </c>
      <c r="D276" t="s">
        <v>24</v>
      </c>
      <c r="E276" t="s">
        <v>32</v>
      </c>
      <c r="F276" t="s">
        <v>39</v>
      </c>
      <c r="G276" t="s">
        <v>70</v>
      </c>
      <c r="H276" t="s">
        <v>75</v>
      </c>
      <c r="I276">
        <v>6</v>
      </c>
      <c r="J276">
        <v>18558</v>
      </c>
      <c r="K276">
        <v>0.15</v>
      </c>
      <c r="L276">
        <v>94645.8</v>
      </c>
      <c r="M276">
        <v>62798.06</v>
      </c>
      <c r="N276">
        <v>31847.74</v>
      </c>
      <c r="O276" t="s">
        <v>80</v>
      </c>
      <c r="P276" t="s">
        <v>84</v>
      </c>
    </row>
    <row r="277" spans="1:16" x14ac:dyDescent="0.25">
      <c r="A277">
        <v>276</v>
      </c>
      <c r="B277" s="1">
        <v>45675</v>
      </c>
      <c r="C277" t="s">
        <v>20</v>
      </c>
      <c r="D277" t="s">
        <v>26</v>
      </c>
      <c r="E277" t="s">
        <v>33</v>
      </c>
      <c r="F277" t="s">
        <v>59</v>
      </c>
      <c r="G277" t="s">
        <v>71</v>
      </c>
      <c r="H277" t="s">
        <v>74</v>
      </c>
      <c r="I277">
        <v>8</v>
      </c>
      <c r="J277">
        <v>9847</v>
      </c>
      <c r="K277">
        <v>0.15</v>
      </c>
      <c r="L277">
        <v>66959.600000000006</v>
      </c>
      <c r="M277">
        <v>39135.879999999997</v>
      </c>
      <c r="N277">
        <v>27823.72</v>
      </c>
      <c r="O277" t="s">
        <v>76</v>
      </c>
      <c r="P277" t="s">
        <v>86</v>
      </c>
    </row>
    <row r="278" spans="1:16" x14ac:dyDescent="0.25">
      <c r="A278">
        <v>277</v>
      </c>
      <c r="B278" s="1">
        <v>45894</v>
      </c>
      <c r="C278" t="s">
        <v>21</v>
      </c>
      <c r="D278" t="s">
        <v>24</v>
      </c>
      <c r="E278" t="s">
        <v>34</v>
      </c>
      <c r="F278" t="s">
        <v>51</v>
      </c>
      <c r="G278" t="s">
        <v>70</v>
      </c>
      <c r="H278" t="s">
        <v>74</v>
      </c>
      <c r="I278">
        <v>3</v>
      </c>
      <c r="J278">
        <v>2161</v>
      </c>
      <c r="K278">
        <v>0.15</v>
      </c>
      <c r="L278">
        <v>5510.55</v>
      </c>
      <c r="M278">
        <v>4466.4799999999996</v>
      </c>
      <c r="N278">
        <v>1044.07</v>
      </c>
      <c r="O278" t="s">
        <v>76</v>
      </c>
      <c r="P278" t="s">
        <v>87</v>
      </c>
    </row>
    <row r="279" spans="1:16" x14ac:dyDescent="0.25">
      <c r="A279">
        <v>278</v>
      </c>
      <c r="B279" s="1">
        <v>45877</v>
      </c>
      <c r="C279" t="s">
        <v>18</v>
      </c>
      <c r="D279" t="s">
        <v>26</v>
      </c>
      <c r="E279" t="s">
        <v>30</v>
      </c>
      <c r="F279" t="s">
        <v>64</v>
      </c>
      <c r="G279" t="s">
        <v>71</v>
      </c>
      <c r="H279" t="s">
        <v>74</v>
      </c>
      <c r="I279">
        <v>5</v>
      </c>
      <c r="J279">
        <v>66506</v>
      </c>
      <c r="K279">
        <v>0</v>
      </c>
      <c r="L279">
        <v>332530</v>
      </c>
      <c r="M279">
        <v>291466.7</v>
      </c>
      <c r="N279">
        <v>41063.300000000003</v>
      </c>
      <c r="O279" t="s">
        <v>79</v>
      </c>
      <c r="P279" t="s">
        <v>85</v>
      </c>
    </row>
    <row r="280" spans="1:16" x14ac:dyDescent="0.25">
      <c r="A280">
        <v>279</v>
      </c>
      <c r="B280" s="1">
        <v>45839</v>
      </c>
      <c r="C280" t="s">
        <v>17</v>
      </c>
      <c r="D280" t="s">
        <v>25</v>
      </c>
      <c r="E280" t="s">
        <v>28</v>
      </c>
      <c r="F280" t="s">
        <v>61</v>
      </c>
      <c r="G280" t="s">
        <v>72</v>
      </c>
      <c r="H280" t="s">
        <v>74</v>
      </c>
      <c r="I280">
        <v>6</v>
      </c>
      <c r="J280">
        <v>1756</v>
      </c>
      <c r="K280">
        <v>0</v>
      </c>
      <c r="L280">
        <v>10536</v>
      </c>
      <c r="M280">
        <v>7417.44</v>
      </c>
      <c r="N280">
        <v>3118.56</v>
      </c>
      <c r="O280" t="s">
        <v>77</v>
      </c>
      <c r="P280" t="s">
        <v>87</v>
      </c>
    </row>
    <row r="281" spans="1:16" x14ac:dyDescent="0.25">
      <c r="A281">
        <v>280</v>
      </c>
      <c r="B281" s="1">
        <v>45671</v>
      </c>
      <c r="C281" t="s">
        <v>23</v>
      </c>
      <c r="D281" t="s">
        <v>27</v>
      </c>
      <c r="E281" t="s">
        <v>34</v>
      </c>
      <c r="F281" t="s">
        <v>43</v>
      </c>
      <c r="G281" t="s">
        <v>71</v>
      </c>
      <c r="H281" t="s">
        <v>75</v>
      </c>
      <c r="I281">
        <v>3</v>
      </c>
      <c r="J281">
        <v>1165</v>
      </c>
      <c r="K281">
        <v>0</v>
      </c>
      <c r="L281">
        <v>3495</v>
      </c>
      <c r="M281">
        <v>2999.19</v>
      </c>
      <c r="N281">
        <v>495.81</v>
      </c>
      <c r="O281" t="s">
        <v>79</v>
      </c>
      <c r="P281" t="s">
        <v>81</v>
      </c>
    </row>
    <row r="282" spans="1:16" x14ac:dyDescent="0.25">
      <c r="A282">
        <v>281</v>
      </c>
      <c r="B282" s="1">
        <v>45683</v>
      </c>
      <c r="C282" t="s">
        <v>18</v>
      </c>
      <c r="D282" t="s">
        <v>26</v>
      </c>
      <c r="E282" t="s">
        <v>32</v>
      </c>
      <c r="F282" t="s">
        <v>66</v>
      </c>
      <c r="G282" t="s">
        <v>70</v>
      </c>
      <c r="H282" t="s">
        <v>75</v>
      </c>
      <c r="I282">
        <v>6</v>
      </c>
      <c r="J282">
        <v>23873</v>
      </c>
      <c r="K282">
        <v>0</v>
      </c>
      <c r="L282">
        <v>143238</v>
      </c>
      <c r="M282">
        <v>90084.82</v>
      </c>
      <c r="N282">
        <v>53153.18</v>
      </c>
      <c r="O282" t="s">
        <v>77</v>
      </c>
      <c r="P282" t="s">
        <v>85</v>
      </c>
    </row>
    <row r="283" spans="1:16" x14ac:dyDescent="0.25">
      <c r="A283">
        <v>282</v>
      </c>
      <c r="B283" s="1">
        <v>45994</v>
      </c>
      <c r="C283" t="s">
        <v>22</v>
      </c>
      <c r="D283" t="s">
        <v>24</v>
      </c>
      <c r="E283" t="s">
        <v>31</v>
      </c>
      <c r="F283" t="s">
        <v>38</v>
      </c>
      <c r="G283" t="s">
        <v>70</v>
      </c>
      <c r="H283" t="s">
        <v>74</v>
      </c>
      <c r="I283">
        <v>3</v>
      </c>
      <c r="J283">
        <v>2191</v>
      </c>
      <c r="K283">
        <v>0.15</v>
      </c>
      <c r="L283">
        <v>5587.05</v>
      </c>
      <c r="M283">
        <v>4847.0200000000004</v>
      </c>
      <c r="N283">
        <v>740.03</v>
      </c>
      <c r="O283" t="s">
        <v>78</v>
      </c>
      <c r="P283" t="s">
        <v>86</v>
      </c>
    </row>
    <row r="284" spans="1:16" x14ac:dyDescent="0.25">
      <c r="A284">
        <v>283</v>
      </c>
      <c r="B284" s="1">
        <v>45896</v>
      </c>
      <c r="C284" t="s">
        <v>19</v>
      </c>
      <c r="D284" t="s">
        <v>26</v>
      </c>
      <c r="E284" t="s">
        <v>33</v>
      </c>
      <c r="F284" t="s">
        <v>46</v>
      </c>
      <c r="G284" t="s">
        <v>70</v>
      </c>
      <c r="H284" t="s">
        <v>75</v>
      </c>
      <c r="I284">
        <v>8</v>
      </c>
      <c r="J284">
        <v>39792</v>
      </c>
      <c r="K284">
        <v>0</v>
      </c>
      <c r="L284">
        <v>318336</v>
      </c>
      <c r="M284">
        <v>208458.91</v>
      </c>
      <c r="N284">
        <v>109877.09</v>
      </c>
      <c r="O284" t="s">
        <v>79</v>
      </c>
      <c r="P284" t="s">
        <v>85</v>
      </c>
    </row>
    <row r="285" spans="1:16" x14ac:dyDescent="0.25">
      <c r="A285">
        <v>284</v>
      </c>
      <c r="B285" s="1">
        <v>45702</v>
      </c>
      <c r="C285" t="s">
        <v>17</v>
      </c>
      <c r="D285" t="s">
        <v>25</v>
      </c>
      <c r="E285" t="s">
        <v>28</v>
      </c>
      <c r="F285" t="s">
        <v>54</v>
      </c>
      <c r="G285" t="s">
        <v>72</v>
      </c>
      <c r="H285" t="s">
        <v>75</v>
      </c>
      <c r="I285">
        <v>3</v>
      </c>
      <c r="J285">
        <v>1300</v>
      </c>
      <c r="K285">
        <v>0.1</v>
      </c>
      <c r="L285">
        <v>3510</v>
      </c>
      <c r="M285">
        <v>2391.77</v>
      </c>
      <c r="N285">
        <v>1118.23</v>
      </c>
      <c r="O285" t="s">
        <v>76</v>
      </c>
      <c r="P285" t="s">
        <v>85</v>
      </c>
    </row>
    <row r="286" spans="1:16" x14ac:dyDescent="0.25">
      <c r="A286">
        <v>285</v>
      </c>
      <c r="B286" s="1">
        <v>46007</v>
      </c>
      <c r="C286" t="s">
        <v>21</v>
      </c>
      <c r="D286" t="s">
        <v>24</v>
      </c>
      <c r="E286" t="s">
        <v>32</v>
      </c>
      <c r="F286" t="s">
        <v>62</v>
      </c>
      <c r="G286" t="s">
        <v>72</v>
      </c>
      <c r="H286" t="s">
        <v>73</v>
      </c>
      <c r="I286">
        <v>6</v>
      </c>
      <c r="J286">
        <v>20659</v>
      </c>
      <c r="K286">
        <v>0.1</v>
      </c>
      <c r="L286">
        <v>111558.6</v>
      </c>
      <c r="M286">
        <v>71458.52</v>
      </c>
      <c r="N286">
        <v>40100.080000000002</v>
      </c>
      <c r="O286" t="s">
        <v>77</v>
      </c>
      <c r="P286" t="s">
        <v>85</v>
      </c>
    </row>
    <row r="287" spans="1:16" x14ac:dyDescent="0.25">
      <c r="A287">
        <v>286</v>
      </c>
      <c r="B287" s="1">
        <v>45980</v>
      </c>
      <c r="C287" t="s">
        <v>16</v>
      </c>
      <c r="D287" t="s">
        <v>24</v>
      </c>
      <c r="E287" t="s">
        <v>33</v>
      </c>
      <c r="F287" t="s">
        <v>60</v>
      </c>
      <c r="G287" t="s">
        <v>70</v>
      </c>
      <c r="H287" t="s">
        <v>74</v>
      </c>
      <c r="I287">
        <v>8</v>
      </c>
      <c r="J287">
        <v>36076</v>
      </c>
      <c r="K287">
        <v>0.05</v>
      </c>
      <c r="L287">
        <v>274177.59999999998</v>
      </c>
      <c r="M287">
        <v>221669.39</v>
      </c>
      <c r="N287">
        <v>52508.21</v>
      </c>
      <c r="O287" t="s">
        <v>77</v>
      </c>
      <c r="P287" t="s">
        <v>81</v>
      </c>
    </row>
    <row r="288" spans="1:16" x14ac:dyDescent="0.25">
      <c r="A288">
        <v>287</v>
      </c>
      <c r="B288" s="1">
        <v>45660</v>
      </c>
      <c r="C288" t="s">
        <v>18</v>
      </c>
      <c r="D288" t="s">
        <v>26</v>
      </c>
      <c r="E288" t="s">
        <v>31</v>
      </c>
      <c r="F288" t="s">
        <v>67</v>
      </c>
      <c r="G288" t="s">
        <v>72</v>
      </c>
      <c r="H288" t="s">
        <v>74</v>
      </c>
      <c r="I288">
        <v>2</v>
      </c>
      <c r="J288">
        <v>1206</v>
      </c>
      <c r="K288">
        <v>0.05</v>
      </c>
      <c r="L288">
        <v>2291.4</v>
      </c>
      <c r="M288">
        <v>1673.48</v>
      </c>
      <c r="N288">
        <v>617.91999999999996</v>
      </c>
      <c r="O288" t="s">
        <v>80</v>
      </c>
      <c r="P288" t="s">
        <v>81</v>
      </c>
    </row>
    <row r="289" spans="1:16" x14ac:dyDescent="0.25">
      <c r="A289">
        <v>288</v>
      </c>
      <c r="B289" s="1">
        <v>45894</v>
      </c>
      <c r="C289" t="s">
        <v>21</v>
      </c>
      <c r="D289" t="s">
        <v>24</v>
      </c>
      <c r="E289" t="s">
        <v>28</v>
      </c>
      <c r="F289" t="s">
        <v>61</v>
      </c>
      <c r="G289" t="s">
        <v>72</v>
      </c>
      <c r="H289" t="s">
        <v>73</v>
      </c>
      <c r="I289">
        <v>2</v>
      </c>
      <c r="J289">
        <v>2040</v>
      </c>
      <c r="K289">
        <v>0</v>
      </c>
      <c r="L289">
        <v>4080</v>
      </c>
      <c r="M289">
        <v>2458.92</v>
      </c>
      <c r="N289">
        <v>1621.08</v>
      </c>
      <c r="O289" t="s">
        <v>77</v>
      </c>
      <c r="P289" t="s">
        <v>84</v>
      </c>
    </row>
    <row r="290" spans="1:16" x14ac:dyDescent="0.25">
      <c r="A290">
        <v>289</v>
      </c>
      <c r="B290" s="1">
        <v>45668</v>
      </c>
      <c r="C290" t="s">
        <v>17</v>
      </c>
      <c r="D290" t="s">
        <v>25</v>
      </c>
      <c r="E290" t="s">
        <v>29</v>
      </c>
      <c r="F290" t="s">
        <v>45</v>
      </c>
      <c r="G290" t="s">
        <v>70</v>
      </c>
      <c r="H290" t="s">
        <v>73</v>
      </c>
      <c r="I290">
        <v>7</v>
      </c>
      <c r="J290">
        <v>9569</v>
      </c>
      <c r="K290">
        <v>0</v>
      </c>
      <c r="L290">
        <v>66983</v>
      </c>
      <c r="M290">
        <v>46124.58</v>
      </c>
      <c r="N290">
        <v>20858.419999999998</v>
      </c>
      <c r="O290" t="s">
        <v>77</v>
      </c>
      <c r="P290" t="s">
        <v>88</v>
      </c>
    </row>
    <row r="291" spans="1:16" x14ac:dyDescent="0.25">
      <c r="A291">
        <v>290</v>
      </c>
      <c r="B291" s="1">
        <v>45844</v>
      </c>
      <c r="C291" t="s">
        <v>21</v>
      </c>
      <c r="D291" t="s">
        <v>24</v>
      </c>
      <c r="E291" t="s">
        <v>29</v>
      </c>
      <c r="F291" t="s">
        <v>57</v>
      </c>
      <c r="G291" t="s">
        <v>70</v>
      </c>
      <c r="H291" t="s">
        <v>75</v>
      </c>
      <c r="I291">
        <v>4</v>
      </c>
      <c r="J291">
        <v>9948</v>
      </c>
      <c r="K291">
        <v>0.2</v>
      </c>
      <c r="L291">
        <v>31833.599999999999</v>
      </c>
      <c r="M291">
        <v>23225.33</v>
      </c>
      <c r="N291">
        <v>8608.27</v>
      </c>
      <c r="O291" t="s">
        <v>77</v>
      </c>
      <c r="P291" t="s">
        <v>85</v>
      </c>
    </row>
    <row r="292" spans="1:16" x14ac:dyDescent="0.25">
      <c r="A292">
        <v>291</v>
      </c>
      <c r="B292" s="1">
        <v>45729</v>
      </c>
      <c r="C292" t="s">
        <v>17</v>
      </c>
      <c r="D292" t="s">
        <v>25</v>
      </c>
      <c r="E292" t="s">
        <v>28</v>
      </c>
      <c r="F292" t="s">
        <v>54</v>
      </c>
      <c r="G292" t="s">
        <v>72</v>
      </c>
      <c r="H292" t="s">
        <v>73</v>
      </c>
      <c r="I292">
        <v>4</v>
      </c>
      <c r="J292">
        <v>455</v>
      </c>
      <c r="K292">
        <v>0.05</v>
      </c>
      <c r="L292">
        <v>1729</v>
      </c>
      <c r="M292">
        <v>1000.93</v>
      </c>
      <c r="N292">
        <v>728.07</v>
      </c>
      <c r="O292" t="s">
        <v>76</v>
      </c>
      <c r="P292" t="s">
        <v>85</v>
      </c>
    </row>
    <row r="293" spans="1:16" x14ac:dyDescent="0.25">
      <c r="A293">
        <v>292</v>
      </c>
      <c r="B293" s="1">
        <v>45733</v>
      </c>
      <c r="C293" t="s">
        <v>19</v>
      </c>
      <c r="D293" t="s">
        <v>26</v>
      </c>
      <c r="E293" t="s">
        <v>28</v>
      </c>
      <c r="F293" t="s">
        <v>58</v>
      </c>
      <c r="G293" t="s">
        <v>70</v>
      </c>
      <c r="H293" t="s">
        <v>75</v>
      </c>
      <c r="I293">
        <v>7</v>
      </c>
      <c r="J293">
        <v>540</v>
      </c>
      <c r="K293">
        <v>0.1</v>
      </c>
      <c r="L293">
        <v>3402</v>
      </c>
      <c r="M293">
        <v>2775.33</v>
      </c>
      <c r="N293">
        <v>626.66999999999996</v>
      </c>
      <c r="O293" t="s">
        <v>80</v>
      </c>
      <c r="P293" t="s">
        <v>88</v>
      </c>
    </row>
    <row r="294" spans="1:16" x14ac:dyDescent="0.25">
      <c r="A294">
        <v>293</v>
      </c>
      <c r="B294" s="1">
        <v>45805</v>
      </c>
      <c r="C294" t="s">
        <v>16</v>
      </c>
      <c r="D294" t="s">
        <v>24</v>
      </c>
      <c r="E294" t="s">
        <v>28</v>
      </c>
      <c r="F294" t="s">
        <v>54</v>
      </c>
      <c r="G294" t="s">
        <v>72</v>
      </c>
      <c r="H294" t="s">
        <v>73</v>
      </c>
      <c r="I294">
        <v>2</v>
      </c>
      <c r="J294">
        <v>1890</v>
      </c>
      <c r="K294">
        <v>0.1</v>
      </c>
      <c r="L294">
        <v>3402</v>
      </c>
      <c r="M294">
        <v>2088.2600000000002</v>
      </c>
      <c r="N294">
        <v>1313.74</v>
      </c>
      <c r="O294" t="s">
        <v>76</v>
      </c>
      <c r="P294" t="s">
        <v>82</v>
      </c>
    </row>
    <row r="295" spans="1:16" x14ac:dyDescent="0.25">
      <c r="A295">
        <v>294</v>
      </c>
      <c r="B295" s="1">
        <v>45679</v>
      </c>
      <c r="C295" t="s">
        <v>23</v>
      </c>
      <c r="D295" t="s">
        <v>27</v>
      </c>
      <c r="E295" t="s">
        <v>28</v>
      </c>
      <c r="F295" t="s">
        <v>54</v>
      </c>
      <c r="G295" t="s">
        <v>71</v>
      </c>
      <c r="H295" t="s">
        <v>75</v>
      </c>
      <c r="I295">
        <v>1</v>
      </c>
      <c r="J295">
        <v>1112</v>
      </c>
      <c r="K295">
        <v>0.1</v>
      </c>
      <c r="L295">
        <v>1000.8</v>
      </c>
      <c r="M295">
        <v>585.30999999999995</v>
      </c>
      <c r="N295">
        <v>415.49</v>
      </c>
      <c r="O295" t="s">
        <v>77</v>
      </c>
      <c r="P295" t="s">
        <v>88</v>
      </c>
    </row>
    <row r="296" spans="1:16" x14ac:dyDescent="0.25">
      <c r="A296">
        <v>295</v>
      </c>
      <c r="B296" s="1">
        <v>45935</v>
      </c>
      <c r="C296" t="s">
        <v>22</v>
      </c>
      <c r="D296" t="s">
        <v>24</v>
      </c>
      <c r="E296" t="s">
        <v>34</v>
      </c>
      <c r="F296" t="s">
        <v>55</v>
      </c>
      <c r="G296" t="s">
        <v>71</v>
      </c>
      <c r="H296" t="s">
        <v>74</v>
      </c>
      <c r="I296">
        <v>2</v>
      </c>
      <c r="J296">
        <v>4825</v>
      </c>
      <c r="K296">
        <v>0.1</v>
      </c>
      <c r="L296">
        <v>8685</v>
      </c>
      <c r="M296">
        <v>6666.69</v>
      </c>
      <c r="N296">
        <v>2018.31</v>
      </c>
      <c r="O296" t="s">
        <v>76</v>
      </c>
      <c r="P296" t="s">
        <v>85</v>
      </c>
    </row>
    <row r="297" spans="1:16" x14ac:dyDescent="0.25">
      <c r="A297">
        <v>296</v>
      </c>
      <c r="B297" s="1">
        <v>45996</v>
      </c>
      <c r="C297" t="s">
        <v>18</v>
      </c>
      <c r="D297" t="s">
        <v>26</v>
      </c>
      <c r="E297" t="s">
        <v>32</v>
      </c>
      <c r="F297" t="s">
        <v>49</v>
      </c>
      <c r="G297" t="s">
        <v>70</v>
      </c>
      <c r="H297" t="s">
        <v>75</v>
      </c>
      <c r="I297">
        <v>4</v>
      </c>
      <c r="J297">
        <v>17713</v>
      </c>
      <c r="K297">
        <v>0.05</v>
      </c>
      <c r="L297">
        <v>67309.399999999994</v>
      </c>
      <c r="M297">
        <v>43215.97</v>
      </c>
      <c r="N297">
        <v>24093.43</v>
      </c>
      <c r="O297" t="s">
        <v>76</v>
      </c>
      <c r="P297" t="s">
        <v>82</v>
      </c>
    </row>
    <row r="298" spans="1:16" x14ac:dyDescent="0.25">
      <c r="A298">
        <v>297</v>
      </c>
      <c r="B298" s="1">
        <v>45984</v>
      </c>
      <c r="C298" t="s">
        <v>20</v>
      </c>
      <c r="D298" t="s">
        <v>26</v>
      </c>
      <c r="E298" t="s">
        <v>32</v>
      </c>
      <c r="F298" t="s">
        <v>66</v>
      </c>
      <c r="G298" t="s">
        <v>70</v>
      </c>
      <c r="H298" t="s">
        <v>73</v>
      </c>
      <c r="I298">
        <v>7</v>
      </c>
      <c r="J298">
        <v>24976</v>
      </c>
      <c r="K298">
        <v>0.1</v>
      </c>
      <c r="L298">
        <v>157348.79999999999</v>
      </c>
      <c r="M298">
        <v>113108.73</v>
      </c>
      <c r="N298">
        <v>44240.07</v>
      </c>
      <c r="O298" t="s">
        <v>77</v>
      </c>
      <c r="P298" t="s">
        <v>86</v>
      </c>
    </row>
    <row r="299" spans="1:16" x14ac:dyDescent="0.25">
      <c r="A299">
        <v>298</v>
      </c>
      <c r="B299" s="1">
        <v>45963</v>
      </c>
      <c r="C299" t="s">
        <v>22</v>
      </c>
      <c r="D299" t="s">
        <v>24</v>
      </c>
      <c r="E299" t="s">
        <v>34</v>
      </c>
      <c r="F299" t="s">
        <v>65</v>
      </c>
      <c r="G299" t="s">
        <v>72</v>
      </c>
      <c r="H299" t="s">
        <v>74</v>
      </c>
      <c r="I299">
        <v>4</v>
      </c>
      <c r="J299">
        <v>3159</v>
      </c>
      <c r="K299">
        <v>0</v>
      </c>
      <c r="L299">
        <v>12636</v>
      </c>
      <c r="M299">
        <v>6955.41</v>
      </c>
      <c r="N299">
        <v>5680.59</v>
      </c>
      <c r="O299" t="s">
        <v>76</v>
      </c>
      <c r="P299" t="s">
        <v>81</v>
      </c>
    </row>
    <row r="300" spans="1:16" x14ac:dyDescent="0.25">
      <c r="A300">
        <v>299</v>
      </c>
      <c r="B300" s="1">
        <v>45955</v>
      </c>
      <c r="C300" t="s">
        <v>19</v>
      </c>
      <c r="D300" t="s">
        <v>26</v>
      </c>
      <c r="E300" t="s">
        <v>34</v>
      </c>
      <c r="F300" t="s">
        <v>51</v>
      </c>
      <c r="G300" t="s">
        <v>72</v>
      </c>
      <c r="H300" t="s">
        <v>74</v>
      </c>
      <c r="I300">
        <v>6</v>
      </c>
      <c r="J300">
        <v>334</v>
      </c>
      <c r="K300">
        <v>0</v>
      </c>
      <c r="L300">
        <v>2004</v>
      </c>
      <c r="M300">
        <v>1761.48</v>
      </c>
      <c r="N300">
        <v>242.52</v>
      </c>
      <c r="O300" t="s">
        <v>78</v>
      </c>
      <c r="P300" t="s">
        <v>82</v>
      </c>
    </row>
    <row r="301" spans="1:16" x14ac:dyDescent="0.25">
      <c r="A301">
        <v>300</v>
      </c>
      <c r="B301" s="1">
        <v>45730</v>
      </c>
      <c r="C301" t="s">
        <v>23</v>
      </c>
      <c r="D301" t="s">
        <v>27</v>
      </c>
      <c r="E301" t="s">
        <v>30</v>
      </c>
      <c r="F301" t="s">
        <v>64</v>
      </c>
      <c r="G301" t="s">
        <v>70</v>
      </c>
      <c r="H301" t="s">
        <v>74</v>
      </c>
      <c r="I301">
        <v>8</v>
      </c>
      <c r="J301">
        <v>23691</v>
      </c>
      <c r="K301">
        <v>0.15</v>
      </c>
      <c r="L301">
        <v>161098.79999999999</v>
      </c>
      <c r="M301">
        <v>109756.9</v>
      </c>
      <c r="N301">
        <v>51341.9</v>
      </c>
      <c r="O301" t="s">
        <v>80</v>
      </c>
      <c r="P301" t="s">
        <v>82</v>
      </c>
    </row>
    <row r="302" spans="1:16" x14ac:dyDescent="0.25">
      <c r="A302">
        <v>301</v>
      </c>
      <c r="B302" s="1">
        <v>45782</v>
      </c>
      <c r="C302" t="s">
        <v>20</v>
      </c>
      <c r="D302" t="s">
        <v>26</v>
      </c>
      <c r="E302" t="s">
        <v>34</v>
      </c>
      <c r="F302" t="s">
        <v>68</v>
      </c>
      <c r="G302" t="s">
        <v>72</v>
      </c>
      <c r="H302" t="s">
        <v>73</v>
      </c>
      <c r="I302">
        <v>6</v>
      </c>
      <c r="J302">
        <v>2511</v>
      </c>
      <c r="K302">
        <v>0</v>
      </c>
      <c r="L302">
        <v>15066</v>
      </c>
      <c r="M302">
        <v>11839.72</v>
      </c>
      <c r="N302">
        <v>3226.28</v>
      </c>
      <c r="O302" t="s">
        <v>76</v>
      </c>
      <c r="P302" t="s">
        <v>82</v>
      </c>
    </row>
    <row r="303" spans="1:16" x14ac:dyDescent="0.25">
      <c r="A303">
        <v>302</v>
      </c>
      <c r="B303" s="1">
        <v>45874</v>
      </c>
      <c r="C303" t="s">
        <v>19</v>
      </c>
      <c r="D303" t="s">
        <v>26</v>
      </c>
      <c r="E303" t="s">
        <v>34</v>
      </c>
      <c r="F303" t="s">
        <v>55</v>
      </c>
      <c r="G303" t="s">
        <v>71</v>
      </c>
      <c r="H303" t="s">
        <v>75</v>
      </c>
      <c r="I303">
        <v>4</v>
      </c>
      <c r="J303">
        <v>629</v>
      </c>
      <c r="K303">
        <v>0</v>
      </c>
      <c r="L303">
        <v>2516</v>
      </c>
      <c r="M303">
        <v>2151.2199999999998</v>
      </c>
      <c r="N303">
        <v>364.78</v>
      </c>
      <c r="O303" t="s">
        <v>80</v>
      </c>
      <c r="P303" t="s">
        <v>86</v>
      </c>
    </row>
    <row r="304" spans="1:16" x14ac:dyDescent="0.25">
      <c r="A304">
        <v>303</v>
      </c>
      <c r="B304" s="1">
        <v>45994</v>
      </c>
      <c r="C304" t="s">
        <v>22</v>
      </c>
      <c r="D304" t="s">
        <v>24</v>
      </c>
      <c r="E304" t="s">
        <v>29</v>
      </c>
      <c r="F304" t="s">
        <v>45</v>
      </c>
      <c r="G304" t="s">
        <v>72</v>
      </c>
      <c r="H304" t="s">
        <v>75</v>
      </c>
      <c r="I304">
        <v>7</v>
      </c>
      <c r="J304">
        <v>4266</v>
      </c>
      <c r="K304">
        <v>0.1</v>
      </c>
      <c r="L304">
        <v>26875.8</v>
      </c>
      <c r="M304">
        <v>17338.2</v>
      </c>
      <c r="N304">
        <v>9537.6</v>
      </c>
      <c r="O304" t="s">
        <v>77</v>
      </c>
      <c r="P304" t="s">
        <v>83</v>
      </c>
    </row>
    <row r="305" spans="1:16" x14ac:dyDescent="0.25">
      <c r="A305">
        <v>304</v>
      </c>
      <c r="B305" s="1">
        <v>45902</v>
      </c>
      <c r="C305" t="s">
        <v>22</v>
      </c>
      <c r="D305" t="s">
        <v>24</v>
      </c>
      <c r="E305" t="s">
        <v>30</v>
      </c>
      <c r="F305" t="s">
        <v>40</v>
      </c>
      <c r="G305" t="s">
        <v>71</v>
      </c>
      <c r="H305" t="s">
        <v>74</v>
      </c>
      <c r="I305">
        <v>3</v>
      </c>
      <c r="J305">
        <v>67971</v>
      </c>
      <c r="K305">
        <v>0.1</v>
      </c>
      <c r="L305">
        <v>183521.7</v>
      </c>
      <c r="M305">
        <v>123949.29</v>
      </c>
      <c r="N305">
        <v>59572.41</v>
      </c>
      <c r="O305" t="s">
        <v>80</v>
      </c>
      <c r="P305" t="s">
        <v>84</v>
      </c>
    </row>
    <row r="306" spans="1:16" x14ac:dyDescent="0.25">
      <c r="A306">
        <v>305</v>
      </c>
      <c r="B306" s="1">
        <v>45746</v>
      </c>
      <c r="C306" t="s">
        <v>23</v>
      </c>
      <c r="D306" t="s">
        <v>27</v>
      </c>
      <c r="E306" t="s">
        <v>30</v>
      </c>
      <c r="F306" t="s">
        <v>40</v>
      </c>
      <c r="G306" t="s">
        <v>72</v>
      </c>
      <c r="H306" t="s">
        <v>75</v>
      </c>
      <c r="I306">
        <v>4</v>
      </c>
      <c r="J306">
        <v>63547</v>
      </c>
      <c r="K306">
        <v>0.15</v>
      </c>
      <c r="L306">
        <v>216059.8</v>
      </c>
      <c r="M306">
        <v>189816.69</v>
      </c>
      <c r="N306">
        <v>26243.11</v>
      </c>
      <c r="O306" t="s">
        <v>79</v>
      </c>
      <c r="P306" t="s">
        <v>85</v>
      </c>
    </row>
    <row r="307" spans="1:16" x14ac:dyDescent="0.25">
      <c r="A307">
        <v>306</v>
      </c>
      <c r="B307" s="1">
        <v>45715</v>
      </c>
      <c r="C307" t="s">
        <v>23</v>
      </c>
      <c r="D307" t="s">
        <v>27</v>
      </c>
      <c r="E307" t="s">
        <v>30</v>
      </c>
      <c r="F307" t="s">
        <v>56</v>
      </c>
      <c r="G307" t="s">
        <v>71</v>
      </c>
      <c r="H307" t="s">
        <v>74</v>
      </c>
      <c r="I307">
        <v>2</v>
      </c>
      <c r="J307">
        <v>8993</v>
      </c>
      <c r="K307">
        <v>0.1</v>
      </c>
      <c r="L307">
        <v>16187.4</v>
      </c>
      <c r="M307">
        <v>12464.03</v>
      </c>
      <c r="N307">
        <v>3723.37</v>
      </c>
      <c r="O307" t="s">
        <v>80</v>
      </c>
      <c r="P307" t="s">
        <v>84</v>
      </c>
    </row>
    <row r="308" spans="1:16" x14ac:dyDescent="0.25">
      <c r="A308">
        <v>307</v>
      </c>
      <c r="B308" s="1">
        <v>45932</v>
      </c>
      <c r="C308" t="s">
        <v>16</v>
      </c>
      <c r="D308" t="s">
        <v>24</v>
      </c>
      <c r="E308" t="s">
        <v>34</v>
      </c>
      <c r="F308" t="s">
        <v>65</v>
      </c>
      <c r="G308" t="s">
        <v>72</v>
      </c>
      <c r="H308" t="s">
        <v>73</v>
      </c>
      <c r="I308">
        <v>5</v>
      </c>
      <c r="J308">
        <v>2308</v>
      </c>
      <c r="K308">
        <v>0</v>
      </c>
      <c r="L308">
        <v>11540</v>
      </c>
      <c r="M308">
        <v>6825.12</v>
      </c>
      <c r="N308">
        <v>4714.88</v>
      </c>
      <c r="O308" t="s">
        <v>77</v>
      </c>
      <c r="P308" t="s">
        <v>81</v>
      </c>
    </row>
    <row r="309" spans="1:16" x14ac:dyDescent="0.25">
      <c r="A309">
        <v>308</v>
      </c>
      <c r="B309" s="1">
        <v>45956</v>
      </c>
      <c r="C309" t="s">
        <v>19</v>
      </c>
      <c r="D309" t="s">
        <v>26</v>
      </c>
      <c r="E309" t="s">
        <v>30</v>
      </c>
      <c r="F309" t="s">
        <v>40</v>
      </c>
      <c r="G309" t="s">
        <v>72</v>
      </c>
      <c r="H309" t="s">
        <v>73</v>
      </c>
      <c r="I309">
        <v>8</v>
      </c>
      <c r="J309">
        <v>64514</v>
      </c>
      <c r="K309">
        <v>0.1</v>
      </c>
      <c r="L309">
        <v>464500.8</v>
      </c>
      <c r="M309">
        <v>381179.7</v>
      </c>
      <c r="N309">
        <v>83321.100000000006</v>
      </c>
      <c r="O309" t="s">
        <v>77</v>
      </c>
      <c r="P309" t="s">
        <v>84</v>
      </c>
    </row>
    <row r="310" spans="1:16" x14ac:dyDescent="0.25">
      <c r="A310">
        <v>309</v>
      </c>
      <c r="B310" s="1">
        <v>45887</v>
      </c>
      <c r="C310" t="s">
        <v>22</v>
      </c>
      <c r="D310" t="s">
        <v>24</v>
      </c>
      <c r="E310" t="s">
        <v>31</v>
      </c>
      <c r="F310" t="s">
        <v>67</v>
      </c>
      <c r="G310" t="s">
        <v>72</v>
      </c>
      <c r="H310" t="s">
        <v>73</v>
      </c>
      <c r="I310">
        <v>3</v>
      </c>
      <c r="J310">
        <v>2066</v>
      </c>
      <c r="K310">
        <v>0.15</v>
      </c>
      <c r="L310">
        <v>5268.3</v>
      </c>
      <c r="M310">
        <v>4630.13</v>
      </c>
      <c r="N310">
        <v>638.16999999999996</v>
      </c>
      <c r="O310" t="s">
        <v>80</v>
      </c>
      <c r="P310" t="s">
        <v>84</v>
      </c>
    </row>
    <row r="311" spans="1:16" x14ac:dyDescent="0.25">
      <c r="A311">
        <v>310</v>
      </c>
      <c r="B311" s="1">
        <v>45708</v>
      </c>
      <c r="C311" t="s">
        <v>18</v>
      </c>
      <c r="D311" t="s">
        <v>26</v>
      </c>
      <c r="E311" t="s">
        <v>29</v>
      </c>
      <c r="F311" t="s">
        <v>45</v>
      </c>
      <c r="G311" t="s">
        <v>71</v>
      </c>
      <c r="H311" t="s">
        <v>75</v>
      </c>
      <c r="I311">
        <v>8</v>
      </c>
      <c r="J311">
        <v>4613</v>
      </c>
      <c r="K311">
        <v>0.1</v>
      </c>
      <c r="L311">
        <v>33213.599999999999</v>
      </c>
      <c r="M311">
        <v>22607.15</v>
      </c>
      <c r="N311">
        <v>10606.45</v>
      </c>
      <c r="O311" t="s">
        <v>78</v>
      </c>
      <c r="P311" t="s">
        <v>84</v>
      </c>
    </row>
    <row r="312" spans="1:16" x14ac:dyDescent="0.25">
      <c r="A312">
        <v>311</v>
      </c>
      <c r="B312" s="1">
        <v>46005</v>
      </c>
      <c r="C312" t="s">
        <v>18</v>
      </c>
      <c r="D312" t="s">
        <v>26</v>
      </c>
      <c r="E312" t="s">
        <v>28</v>
      </c>
      <c r="F312" t="s">
        <v>63</v>
      </c>
      <c r="G312" t="s">
        <v>72</v>
      </c>
      <c r="H312" t="s">
        <v>73</v>
      </c>
      <c r="I312">
        <v>7</v>
      </c>
      <c r="J312">
        <v>1157</v>
      </c>
      <c r="K312">
        <v>0.05</v>
      </c>
      <c r="L312">
        <v>7694.05</v>
      </c>
      <c r="M312">
        <v>4426.53</v>
      </c>
      <c r="N312">
        <v>3267.52</v>
      </c>
      <c r="O312" t="s">
        <v>77</v>
      </c>
      <c r="P312" t="s">
        <v>87</v>
      </c>
    </row>
    <row r="313" spans="1:16" x14ac:dyDescent="0.25">
      <c r="A313">
        <v>312</v>
      </c>
      <c r="B313" s="1">
        <v>46005</v>
      </c>
      <c r="C313" t="s">
        <v>18</v>
      </c>
      <c r="D313" t="s">
        <v>26</v>
      </c>
      <c r="E313" t="s">
        <v>29</v>
      </c>
      <c r="F313" t="s">
        <v>53</v>
      </c>
      <c r="G313" t="s">
        <v>72</v>
      </c>
      <c r="H313" t="s">
        <v>73</v>
      </c>
      <c r="I313">
        <v>5</v>
      </c>
      <c r="J313">
        <v>906</v>
      </c>
      <c r="K313">
        <v>0.1</v>
      </c>
      <c r="L313">
        <v>4077</v>
      </c>
      <c r="M313">
        <v>2857.8</v>
      </c>
      <c r="N313">
        <v>1219.2</v>
      </c>
      <c r="O313" t="s">
        <v>79</v>
      </c>
      <c r="P313" t="s">
        <v>81</v>
      </c>
    </row>
    <row r="314" spans="1:16" x14ac:dyDescent="0.25">
      <c r="A314">
        <v>313</v>
      </c>
      <c r="B314" s="1">
        <v>45664</v>
      </c>
      <c r="C314" t="s">
        <v>22</v>
      </c>
      <c r="D314" t="s">
        <v>24</v>
      </c>
      <c r="E314" t="s">
        <v>32</v>
      </c>
      <c r="F314" t="s">
        <v>48</v>
      </c>
      <c r="G314" t="s">
        <v>71</v>
      </c>
      <c r="H314" t="s">
        <v>73</v>
      </c>
      <c r="I314">
        <v>1</v>
      </c>
      <c r="J314">
        <v>19048</v>
      </c>
      <c r="K314">
        <v>0.15</v>
      </c>
      <c r="L314">
        <v>16190.8</v>
      </c>
      <c r="M314">
        <v>10493.73</v>
      </c>
      <c r="N314">
        <v>5697.07</v>
      </c>
      <c r="O314" t="s">
        <v>80</v>
      </c>
      <c r="P314" t="s">
        <v>83</v>
      </c>
    </row>
    <row r="315" spans="1:16" x14ac:dyDescent="0.25">
      <c r="A315">
        <v>314</v>
      </c>
      <c r="B315" s="1">
        <v>45789</v>
      </c>
      <c r="C315" t="s">
        <v>20</v>
      </c>
      <c r="D315" t="s">
        <v>26</v>
      </c>
      <c r="E315" t="s">
        <v>32</v>
      </c>
      <c r="F315" t="s">
        <v>66</v>
      </c>
      <c r="G315" t="s">
        <v>70</v>
      </c>
      <c r="H315" t="s">
        <v>73</v>
      </c>
      <c r="I315">
        <v>1</v>
      </c>
      <c r="J315">
        <v>24929</v>
      </c>
      <c r="K315">
        <v>0.1</v>
      </c>
      <c r="L315">
        <v>22436.1</v>
      </c>
      <c r="M315">
        <v>12926.84</v>
      </c>
      <c r="N315">
        <v>9509.26</v>
      </c>
      <c r="O315" t="s">
        <v>79</v>
      </c>
      <c r="P315" t="s">
        <v>81</v>
      </c>
    </row>
    <row r="316" spans="1:16" x14ac:dyDescent="0.25">
      <c r="A316">
        <v>315</v>
      </c>
      <c r="B316" s="1">
        <v>45813</v>
      </c>
      <c r="C316" t="s">
        <v>19</v>
      </c>
      <c r="D316" t="s">
        <v>26</v>
      </c>
      <c r="E316" t="s">
        <v>33</v>
      </c>
      <c r="F316" t="s">
        <v>59</v>
      </c>
      <c r="G316" t="s">
        <v>72</v>
      </c>
      <c r="H316" t="s">
        <v>73</v>
      </c>
      <c r="I316">
        <v>3</v>
      </c>
      <c r="J316">
        <v>16340</v>
      </c>
      <c r="K316">
        <v>0.05</v>
      </c>
      <c r="L316">
        <v>46569</v>
      </c>
      <c r="M316">
        <v>35296.080000000002</v>
      </c>
      <c r="N316">
        <v>11272.92</v>
      </c>
      <c r="O316" t="s">
        <v>78</v>
      </c>
      <c r="P316" t="s">
        <v>88</v>
      </c>
    </row>
    <row r="317" spans="1:16" x14ac:dyDescent="0.25">
      <c r="A317">
        <v>316</v>
      </c>
      <c r="B317" s="1">
        <v>45912</v>
      </c>
      <c r="C317" t="s">
        <v>18</v>
      </c>
      <c r="D317" t="s">
        <v>26</v>
      </c>
      <c r="E317" t="s">
        <v>30</v>
      </c>
      <c r="F317" t="s">
        <v>64</v>
      </c>
      <c r="G317" t="s">
        <v>71</v>
      </c>
      <c r="H317" t="s">
        <v>73</v>
      </c>
      <c r="I317">
        <v>2</v>
      </c>
      <c r="J317">
        <v>6709</v>
      </c>
      <c r="K317">
        <v>0.1</v>
      </c>
      <c r="L317">
        <v>12076.2</v>
      </c>
      <c r="M317">
        <v>8955.8700000000008</v>
      </c>
      <c r="N317">
        <v>3120.33</v>
      </c>
      <c r="O317" t="s">
        <v>79</v>
      </c>
      <c r="P317" t="s">
        <v>81</v>
      </c>
    </row>
    <row r="318" spans="1:16" x14ac:dyDescent="0.25">
      <c r="A318">
        <v>317</v>
      </c>
      <c r="B318" s="1">
        <v>45690</v>
      </c>
      <c r="C318" t="s">
        <v>20</v>
      </c>
      <c r="D318" t="s">
        <v>26</v>
      </c>
      <c r="E318" t="s">
        <v>31</v>
      </c>
      <c r="F318" t="s">
        <v>69</v>
      </c>
      <c r="G318" t="s">
        <v>70</v>
      </c>
      <c r="H318" t="s">
        <v>74</v>
      </c>
      <c r="I318">
        <v>7</v>
      </c>
      <c r="J318">
        <v>1664</v>
      </c>
      <c r="K318">
        <v>0.05</v>
      </c>
      <c r="L318">
        <v>11065.6</v>
      </c>
      <c r="M318">
        <v>8314.9599999999991</v>
      </c>
      <c r="N318">
        <v>2750.64</v>
      </c>
      <c r="O318" t="s">
        <v>80</v>
      </c>
      <c r="P318" t="s">
        <v>87</v>
      </c>
    </row>
    <row r="319" spans="1:16" x14ac:dyDescent="0.25">
      <c r="A319">
        <v>318</v>
      </c>
      <c r="B319" s="1">
        <v>45931</v>
      </c>
      <c r="C319" t="s">
        <v>21</v>
      </c>
      <c r="D319" t="s">
        <v>24</v>
      </c>
      <c r="E319" t="s">
        <v>33</v>
      </c>
      <c r="F319" t="s">
        <v>52</v>
      </c>
      <c r="G319" t="s">
        <v>72</v>
      </c>
      <c r="H319" t="s">
        <v>75</v>
      </c>
      <c r="I319">
        <v>4</v>
      </c>
      <c r="J319">
        <v>33597</v>
      </c>
      <c r="K319">
        <v>0.1</v>
      </c>
      <c r="L319">
        <v>120949.2</v>
      </c>
      <c r="M319">
        <v>69240.509999999995</v>
      </c>
      <c r="N319">
        <v>51708.69</v>
      </c>
      <c r="O319" t="s">
        <v>78</v>
      </c>
      <c r="P319" t="s">
        <v>83</v>
      </c>
    </row>
    <row r="320" spans="1:16" x14ac:dyDescent="0.25">
      <c r="A320">
        <v>319</v>
      </c>
      <c r="B320" s="1">
        <v>45842</v>
      </c>
      <c r="C320" t="s">
        <v>20</v>
      </c>
      <c r="D320" t="s">
        <v>26</v>
      </c>
      <c r="E320" t="s">
        <v>33</v>
      </c>
      <c r="F320" t="s">
        <v>46</v>
      </c>
      <c r="G320" t="s">
        <v>72</v>
      </c>
      <c r="H320" t="s">
        <v>75</v>
      </c>
      <c r="I320">
        <v>8</v>
      </c>
      <c r="J320">
        <v>44413</v>
      </c>
      <c r="K320">
        <v>0.1</v>
      </c>
      <c r="L320">
        <v>319773.59999999998</v>
      </c>
      <c r="M320">
        <v>231107.56</v>
      </c>
      <c r="N320">
        <v>88666.04</v>
      </c>
      <c r="O320" t="s">
        <v>78</v>
      </c>
      <c r="P320" t="s">
        <v>85</v>
      </c>
    </row>
    <row r="321" spans="1:16" x14ac:dyDescent="0.25">
      <c r="A321">
        <v>320</v>
      </c>
      <c r="B321" s="1">
        <v>45780</v>
      </c>
      <c r="C321" t="s">
        <v>20</v>
      </c>
      <c r="D321" t="s">
        <v>26</v>
      </c>
      <c r="E321" t="s">
        <v>33</v>
      </c>
      <c r="F321" t="s">
        <v>52</v>
      </c>
      <c r="G321" t="s">
        <v>70</v>
      </c>
      <c r="H321" t="s">
        <v>75</v>
      </c>
      <c r="I321">
        <v>4</v>
      </c>
      <c r="J321">
        <v>38633</v>
      </c>
      <c r="K321">
        <v>0.05</v>
      </c>
      <c r="L321">
        <v>146805.4</v>
      </c>
      <c r="M321">
        <v>90149.34</v>
      </c>
      <c r="N321">
        <v>56656.06</v>
      </c>
      <c r="O321" t="s">
        <v>76</v>
      </c>
      <c r="P321" t="s">
        <v>84</v>
      </c>
    </row>
    <row r="322" spans="1:16" x14ac:dyDescent="0.25">
      <c r="A322">
        <v>321</v>
      </c>
      <c r="B322" s="1">
        <v>45702</v>
      </c>
      <c r="C322" t="s">
        <v>21</v>
      </c>
      <c r="D322" t="s">
        <v>24</v>
      </c>
      <c r="E322" t="s">
        <v>34</v>
      </c>
      <c r="F322" t="s">
        <v>65</v>
      </c>
      <c r="G322" t="s">
        <v>71</v>
      </c>
      <c r="H322" t="s">
        <v>74</v>
      </c>
      <c r="I322">
        <v>8</v>
      </c>
      <c r="J322">
        <v>2212</v>
      </c>
      <c r="K322">
        <v>0.15</v>
      </c>
      <c r="L322">
        <v>15041.6</v>
      </c>
      <c r="M322">
        <v>12753.95</v>
      </c>
      <c r="N322">
        <v>2287.65</v>
      </c>
      <c r="O322" t="s">
        <v>80</v>
      </c>
      <c r="P322" t="s">
        <v>83</v>
      </c>
    </row>
    <row r="323" spans="1:16" x14ac:dyDescent="0.25">
      <c r="A323">
        <v>322</v>
      </c>
      <c r="B323" s="1">
        <v>45923</v>
      </c>
      <c r="C323" t="s">
        <v>18</v>
      </c>
      <c r="D323" t="s">
        <v>26</v>
      </c>
      <c r="E323" t="s">
        <v>29</v>
      </c>
      <c r="F323" t="s">
        <v>57</v>
      </c>
      <c r="G323" t="s">
        <v>70</v>
      </c>
      <c r="H323" t="s">
        <v>75</v>
      </c>
      <c r="I323">
        <v>1</v>
      </c>
      <c r="J323">
        <v>10109</v>
      </c>
      <c r="K323">
        <v>0.1</v>
      </c>
      <c r="L323">
        <v>9098.1</v>
      </c>
      <c r="M323">
        <v>5502.57</v>
      </c>
      <c r="N323">
        <v>3595.53</v>
      </c>
      <c r="O323" t="s">
        <v>76</v>
      </c>
      <c r="P323" t="s">
        <v>84</v>
      </c>
    </row>
    <row r="324" spans="1:16" x14ac:dyDescent="0.25">
      <c r="A324">
        <v>323</v>
      </c>
      <c r="B324" s="1">
        <v>45682</v>
      </c>
      <c r="C324" t="s">
        <v>20</v>
      </c>
      <c r="D324" t="s">
        <v>26</v>
      </c>
      <c r="E324" t="s">
        <v>34</v>
      </c>
      <c r="F324" t="s">
        <v>65</v>
      </c>
      <c r="G324" t="s">
        <v>71</v>
      </c>
      <c r="H324" t="s">
        <v>73</v>
      </c>
      <c r="I324">
        <v>6</v>
      </c>
      <c r="J324">
        <v>5710</v>
      </c>
      <c r="K324">
        <v>0.05</v>
      </c>
      <c r="L324">
        <v>32547</v>
      </c>
      <c r="M324">
        <v>23159.88</v>
      </c>
      <c r="N324">
        <v>9387.1200000000008</v>
      </c>
      <c r="O324" t="s">
        <v>79</v>
      </c>
      <c r="P324" t="s">
        <v>81</v>
      </c>
    </row>
    <row r="325" spans="1:16" x14ac:dyDescent="0.25">
      <c r="A325">
        <v>324</v>
      </c>
      <c r="B325" s="1">
        <v>45980</v>
      </c>
      <c r="C325" t="s">
        <v>18</v>
      </c>
      <c r="D325" t="s">
        <v>26</v>
      </c>
      <c r="E325" t="s">
        <v>29</v>
      </c>
      <c r="F325" t="s">
        <v>45</v>
      </c>
      <c r="G325" t="s">
        <v>70</v>
      </c>
      <c r="H325" t="s">
        <v>75</v>
      </c>
      <c r="I325">
        <v>5</v>
      </c>
      <c r="J325">
        <v>8958</v>
      </c>
      <c r="K325">
        <v>0.1</v>
      </c>
      <c r="L325">
        <v>40311</v>
      </c>
      <c r="M325">
        <v>23665.79</v>
      </c>
      <c r="N325">
        <v>16645.21</v>
      </c>
      <c r="O325" t="s">
        <v>80</v>
      </c>
      <c r="P325" t="s">
        <v>85</v>
      </c>
    </row>
    <row r="326" spans="1:16" x14ac:dyDescent="0.25">
      <c r="A326">
        <v>325</v>
      </c>
      <c r="B326" s="1">
        <v>45771</v>
      </c>
      <c r="C326" t="s">
        <v>22</v>
      </c>
      <c r="D326" t="s">
        <v>24</v>
      </c>
      <c r="E326" t="s">
        <v>28</v>
      </c>
      <c r="F326" t="s">
        <v>35</v>
      </c>
      <c r="G326" t="s">
        <v>70</v>
      </c>
      <c r="H326" t="s">
        <v>73</v>
      </c>
      <c r="I326">
        <v>3</v>
      </c>
      <c r="J326">
        <v>1831</v>
      </c>
      <c r="K326">
        <v>0.05</v>
      </c>
      <c r="L326">
        <v>5218.3500000000004</v>
      </c>
      <c r="M326">
        <v>3575.57</v>
      </c>
      <c r="N326">
        <v>1642.78</v>
      </c>
      <c r="O326" t="s">
        <v>77</v>
      </c>
      <c r="P326" t="s">
        <v>81</v>
      </c>
    </row>
    <row r="327" spans="1:16" x14ac:dyDescent="0.25">
      <c r="A327">
        <v>326</v>
      </c>
      <c r="B327" s="1">
        <v>45733</v>
      </c>
      <c r="C327" t="s">
        <v>16</v>
      </c>
      <c r="D327" t="s">
        <v>24</v>
      </c>
      <c r="E327" t="s">
        <v>31</v>
      </c>
      <c r="F327" t="s">
        <v>38</v>
      </c>
      <c r="G327" t="s">
        <v>72</v>
      </c>
      <c r="H327" t="s">
        <v>74</v>
      </c>
      <c r="I327">
        <v>3</v>
      </c>
      <c r="J327">
        <v>2400</v>
      </c>
      <c r="K327">
        <v>0</v>
      </c>
      <c r="L327">
        <v>7200</v>
      </c>
      <c r="M327">
        <v>4947.9799999999996</v>
      </c>
      <c r="N327">
        <v>2252.02</v>
      </c>
      <c r="O327" t="s">
        <v>80</v>
      </c>
      <c r="P327" t="s">
        <v>87</v>
      </c>
    </row>
    <row r="328" spans="1:16" x14ac:dyDescent="0.25">
      <c r="A328">
        <v>327</v>
      </c>
      <c r="B328" s="1">
        <v>45807</v>
      </c>
      <c r="C328" t="s">
        <v>20</v>
      </c>
      <c r="D328" t="s">
        <v>26</v>
      </c>
      <c r="E328" t="s">
        <v>33</v>
      </c>
      <c r="F328" t="s">
        <v>46</v>
      </c>
      <c r="G328" t="s">
        <v>72</v>
      </c>
      <c r="H328" t="s">
        <v>75</v>
      </c>
      <c r="I328">
        <v>5</v>
      </c>
      <c r="J328">
        <v>44922</v>
      </c>
      <c r="K328">
        <v>0</v>
      </c>
      <c r="L328">
        <v>224610</v>
      </c>
      <c r="M328">
        <v>153857.42000000001</v>
      </c>
      <c r="N328">
        <v>70752.58</v>
      </c>
      <c r="O328" t="s">
        <v>77</v>
      </c>
      <c r="P328" t="s">
        <v>86</v>
      </c>
    </row>
    <row r="329" spans="1:16" x14ac:dyDescent="0.25">
      <c r="A329">
        <v>328</v>
      </c>
      <c r="B329" s="1">
        <v>46000</v>
      </c>
      <c r="C329" t="s">
        <v>21</v>
      </c>
      <c r="D329" t="s">
        <v>24</v>
      </c>
      <c r="E329" t="s">
        <v>28</v>
      </c>
      <c r="F329" t="s">
        <v>63</v>
      </c>
      <c r="G329" t="s">
        <v>70</v>
      </c>
      <c r="H329" t="s">
        <v>75</v>
      </c>
      <c r="I329">
        <v>3</v>
      </c>
      <c r="J329">
        <v>1962</v>
      </c>
      <c r="K329">
        <v>0.1</v>
      </c>
      <c r="L329">
        <v>5297.4</v>
      </c>
      <c r="M329">
        <v>3280.87</v>
      </c>
      <c r="N329">
        <v>2016.53</v>
      </c>
      <c r="O329" t="s">
        <v>77</v>
      </c>
      <c r="P329" t="s">
        <v>81</v>
      </c>
    </row>
    <row r="330" spans="1:16" x14ac:dyDescent="0.25">
      <c r="A330">
        <v>329</v>
      </c>
      <c r="B330" s="1">
        <v>45792</v>
      </c>
      <c r="C330" t="s">
        <v>16</v>
      </c>
      <c r="D330" t="s">
        <v>24</v>
      </c>
      <c r="E330" t="s">
        <v>31</v>
      </c>
      <c r="F330" t="s">
        <v>69</v>
      </c>
      <c r="G330" t="s">
        <v>71</v>
      </c>
      <c r="H330" t="s">
        <v>74</v>
      </c>
      <c r="I330">
        <v>6</v>
      </c>
      <c r="J330">
        <v>395</v>
      </c>
      <c r="K330">
        <v>0.05</v>
      </c>
      <c r="L330">
        <v>2251.5</v>
      </c>
      <c r="M330">
        <v>1915.91</v>
      </c>
      <c r="N330">
        <v>335.59</v>
      </c>
      <c r="O330" t="s">
        <v>78</v>
      </c>
      <c r="P330" t="s">
        <v>83</v>
      </c>
    </row>
    <row r="331" spans="1:16" x14ac:dyDescent="0.25">
      <c r="A331">
        <v>330</v>
      </c>
      <c r="B331" s="1">
        <v>45715</v>
      </c>
      <c r="C331" t="s">
        <v>20</v>
      </c>
      <c r="D331" t="s">
        <v>26</v>
      </c>
      <c r="E331" t="s">
        <v>29</v>
      </c>
      <c r="F331" t="s">
        <v>42</v>
      </c>
      <c r="G331" t="s">
        <v>71</v>
      </c>
      <c r="H331" t="s">
        <v>74</v>
      </c>
      <c r="I331">
        <v>1</v>
      </c>
      <c r="J331">
        <v>6022</v>
      </c>
      <c r="K331">
        <v>0</v>
      </c>
      <c r="L331">
        <v>6022</v>
      </c>
      <c r="M331">
        <v>3373.57</v>
      </c>
      <c r="N331">
        <v>2648.43</v>
      </c>
      <c r="O331" t="s">
        <v>76</v>
      </c>
      <c r="P331" t="s">
        <v>84</v>
      </c>
    </row>
    <row r="332" spans="1:16" x14ac:dyDescent="0.25">
      <c r="A332">
        <v>331</v>
      </c>
      <c r="B332" s="1">
        <v>45847</v>
      </c>
      <c r="C332" t="s">
        <v>22</v>
      </c>
      <c r="D332" t="s">
        <v>24</v>
      </c>
      <c r="E332" t="s">
        <v>30</v>
      </c>
      <c r="F332" t="s">
        <v>44</v>
      </c>
      <c r="G332" t="s">
        <v>72</v>
      </c>
      <c r="H332" t="s">
        <v>75</v>
      </c>
      <c r="I332">
        <v>1</v>
      </c>
      <c r="J332">
        <v>6103</v>
      </c>
      <c r="K332">
        <v>0.15</v>
      </c>
      <c r="L332">
        <v>5187.55</v>
      </c>
      <c r="M332">
        <v>3900.22</v>
      </c>
      <c r="N332">
        <v>1287.33</v>
      </c>
      <c r="O332" t="s">
        <v>79</v>
      </c>
      <c r="P332" t="s">
        <v>83</v>
      </c>
    </row>
    <row r="333" spans="1:16" x14ac:dyDescent="0.25">
      <c r="A333">
        <v>332</v>
      </c>
      <c r="B333" s="1">
        <v>45699</v>
      </c>
      <c r="C333" t="s">
        <v>20</v>
      </c>
      <c r="D333" t="s">
        <v>26</v>
      </c>
      <c r="E333" t="s">
        <v>32</v>
      </c>
      <c r="F333" t="s">
        <v>66</v>
      </c>
      <c r="G333" t="s">
        <v>70</v>
      </c>
      <c r="H333" t="s">
        <v>75</v>
      </c>
      <c r="I333">
        <v>8</v>
      </c>
      <c r="J333">
        <v>23105</v>
      </c>
      <c r="K333">
        <v>0.05</v>
      </c>
      <c r="L333">
        <v>175598</v>
      </c>
      <c r="M333">
        <v>132240.9</v>
      </c>
      <c r="N333">
        <v>43357.1</v>
      </c>
      <c r="O333" t="s">
        <v>78</v>
      </c>
      <c r="P333" t="s">
        <v>81</v>
      </c>
    </row>
    <row r="334" spans="1:16" x14ac:dyDescent="0.25">
      <c r="A334">
        <v>333</v>
      </c>
      <c r="B334" s="1">
        <v>45687</v>
      </c>
      <c r="C334" t="s">
        <v>22</v>
      </c>
      <c r="D334" t="s">
        <v>24</v>
      </c>
      <c r="E334" t="s">
        <v>32</v>
      </c>
      <c r="F334" t="s">
        <v>66</v>
      </c>
      <c r="G334" t="s">
        <v>70</v>
      </c>
      <c r="H334" t="s">
        <v>75</v>
      </c>
      <c r="I334">
        <v>8</v>
      </c>
      <c r="J334">
        <v>5676</v>
      </c>
      <c r="K334">
        <v>0.05</v>
      </c>
      <c r="L334">
        <v>43137.599999999999</v>
      </c>
      <c r="M334">
        <v>27512.27</v>
      </c>
      <c r="N334">
        <v>15625.33</v>
      </c>
      <c r="O334" t="s">
        <v>79</v>
      </c>
      <c r="P334" t="s">
        <v>82</v>
      </c>
    </row>
    <row r="335" spans="1:16" x14ac:dyDescent="0.25">
      <c r="A335">
        <v>334</v>
      </c>
      <c r="B335" s="1">
        <v>45726</v>
      </c>
      <c r="C335" t="s">
        <v>23</v>
      </c>
      <c r="D335" t="s">
        <v>27</v>
      </c>
      <c r="E335" t="s">
        <v>31</v>
      </c>
      <c r="F335" t="s">
        <v>47</v>
      </c>
      <c r="G335" t="s">
        <v>72</v>
      </c>
      <c r="H335" t="s">
        <v>74</v>
      </c>
      <c r="I335">
        <v>7</v>
      </c>
      <c r="J335">
        <v>1037</v>
      </c>
      <c r="K335">
        <v>0.15</v>
      </c>
      <c r="L335">
        <v>6170.15</v>
      </c>
      <c r="M335">
        <v>3493.8</v>
      </c>
      <c r="N335">
        <v>2676.35</v>
      </c>
      <c r="O335" t="s">
        <v>76</v>
      </c>
      <c r="P335" t="s">
        <v>84</v>
      </c>
    </row>
    <row r="336" spans="1:16" x14ac:dyDescent="0.25">
      <c r="A336">
        <v>335</v>
      </c>
      <c r="B336" s="1">
        <v>45756</v>
      </c>
      <c r="C336" t="s">
        <v>17</v>
      </c>
      <c r="D336" t="s">
        <v>25</v>
      </c>
      <c r="E336" t="s">
        <v>32</v>
      </c>
      <c r="F336" t="s">
        <v>62</v>
      </c>
      <c r="G336" t="s">
        <v>70</v>
      </c>
      <c r="H336" t="s">
        <v>75</v>
      </c>
      <c r="I336">
        <v>4</v>
      </c>
      <c r="J336">
        <v>20923</v>
      </c>
      <c r="K336">
        <v>0.1</v>
      </c>
      <c r="L336">
        <v>75322.8</v>
      </c>
      <c r="M336">
        <v>58341.89</v>
      </c>
      <c r="N336">
        <v>16980.91</v>
      </c>
      <c r="O336" t="s">
        <v>76</v>
      </c>
      <c r="P336" t="s">
        <v>85</v>
      </c>
    </row>
    <row r="337" spans="1:16" x14ac:dyDescent="0.25">
      <c r="A337">
        <v>336</v>
      </c>
      <c r="B337" s="1">
        <v>45814</v>
      </c>
      <c r="C337" t="s">
        <v>19</v>
      </c>
      <c r="D337" t="s">
        <v>26</v>
      </c>
      <c r="E337" t="s">
        <v>33</v>
      </c>
      <c r="F337" t="s">
        <v>41</v>
      </c>
      <c r="G337" t="s">
        <v>72</v>
      </c>
      <c r="H337" t="s">
        <v>75</v>
      </c>
      <c r="I337">
        <v>7</v>
      </c>
      <c r="J337">
        <v>3298</v>
      </c>
      <c r="K337">
        <v>0.1</v>
      </c>
      <c r="L337">
        <v>20777.400000000001</v>
      </c>
      <c r="M337">
        <v>12845.63</v>
      </c>
      <c r="N337">
        <v>7931.77</v>
      </c>
      <c r="O337" t="s">
        <v>78</v>
      </c>
      <c r="P337" t="s">
        <v>84</v>
      </c>
    </row>
    <row r="338" spans="1:16" x14ac:dyDescent="0.25">
      <c r="A338">
        <v>337</v>
      </c>
      <c r="B338" s="1">
        <v>45739</v>
      </c>
      <c r="C338" t="s">
        <v>20</v>
      </c>
      <c r="D338" t="s">
        <v>26</v>
      </c>
      <c r="E338" t="s">
        <v>31</v>
      </c>
      <c r="F338" t="s">
        <v>50</v>
      </c>
      <c r="G338" t="s">
        <v>71</v>
      </c>
      <c r="H338" t="s">
        <v>75</v>
      </c>
      <c r="I338">
        <v>3</v>
      </c>
      <c r="J338">
        <v>1490</v>
      </c>
      <c r="K338">
        <v>0.15</v>
      </c>
      <c r="L338">
        <v>3799.5</v>
      </c>
      <c r="M338">
        <v>2553.94</v>
      </c>
      <c r="N338">
        <v>1245.56</v>
      </c>
      <c r="O338" t="s">
        <v>77</v>
      </c>
      <c r="P338" t="s">
        <v>85</v>
      </c>
    </row>
    <row r="339" spans="1:16" x14ac:dyDescent="0.25">
      <c r="A339">
        <v>338</v>
      </c>
      <c r="B339" s="1">
        <v>45927</v>
      </c>
      <c r="C339" t="s">
        <v>20</v>
      </c>
      <c r="D339" t="s">
        <v>26</v>
      </c>
      <c r="E339" t="s">
        <v>29</v>
      </c>
      <c r="F339" t="s">
        <v>53</v>
      </c>
      <c r="G339" t="s">
        <v>71</v>
      </c>
      <c r="H339" t="s">
        <v>75</v>
      </c>
      <c r="I339">
        <v>7</v>
      </c>
      <c r="J339">
        <v>4055</v>
      </c>
      <c r="K339">
        <v>0.1</v>
      </c>
      <c r="L339">
        <v>25546.5</v>
      </c>
      <c r="M339">
        <v>18144.75</v>
      </c>
      <c r="N339">
        <v>7401.75</v>
      </c>
      <c r="O339" t="s">
        <v>76</v>
      </c>
      <c r="P339" t="s">
        <v>88</v>
      </c>
    </row>
    <row r="340" spans="1:16" x14ac:dyDescent="0.25">
      <c r="A340">
        <v>339</v>
      </c>
      <c r="B340" s="1">
        <v>45664</v>
      </c>
      <c r="C340" t="s">
        <v>17</v>
      </c>
      <c r="D340" t="s">
        <v>25</v>
      </c>
      <c r="E340" t="s">
        <v>32</v>
      </c>
      <c r="F340" t="s">
        <v>66</v>
      </c>
      <c r="G340" t="s">
        <v>72</v>
      </c>
      <c r="H340" t="s">
        <v>75</v>
      </c>
      <c r="I340">
        <v>1</v>
      </c>
      <c r="J340">
        <v>18497</v>
      </c>
      <c r="K340">
        <v>0.1</v>
      </c>
      <c r="L340">
        <v>16647.3</v>
      </c>
      <c r="M340">
        <v>12703.38</v>
      </c>
      <c r="N340">
        <v>3943.92</v>
      </c>
      <c r="O340" t="s">
        <v>77</v>
      </c>
      <c r="P340" t="s">
        <v>87</v>
      </c>
    </row>
    <row r="341" spans="1:16" x14ac:dyDescent="0.25">
      <c r="A341">
        <v>340</v>
      </c>
      <c r="B341" s="1">
        <v>45941</v>
      </c>
      <c r="C341" t="s">
        <v>16</v>
      </c>
      <c r="D341" t="s">
        <v>24</v>
      </c>
      <c r="E341" t="s">
        <v>29</v>
      </c>
      <c r="F341" t="s">
        <v>45</v>
      </c>
      <c r="G341" t="s">
        <v>72</v>
      </c>
      <c r="H341" t="s">
        <v>75</v>
      </c>
      <c r="I341">
        <v>6</v>
      </c>
      <c r="J341">
        <v>2294</v>
      </c>
      <c r="K341">
        <v>0.15</v>
      </c>
      <c r="L341">
        <v>11699.4</v>
      </c>
      <c r="M341">
        <v>10086.02</v>
      </c>
      <c r="N341">
        <v>1613.38</v>
      </c>
      <c r="O341" t="s">
        <v>79</v>
      </c>
      <c r="P341" t="s">
        <v>88</v>
      </c>
    </row>
    <row r="342" spans="1:16" x14ac:dyDescent="0.25">
      <c r="A342">
        <v>341</v>
      </c>
      <c r="B342" s="1">
        <v>45814</v>
      </c>
      <c r="C342" t="s">
        <v>16</v>
      </c>
      <c r="D342" t="s">
        <v>24</v>
      </c>
      <c r="E342" t="s">
        <v>29</v>
      </c>
      <c r="F342" t="s">
        <v>53</v>
      </c>
      <c r="G342" t="s">
        <v>70</v>
      </c>
      <c r="H342" t="s">
        <v>74</v>
      </c>
      <c r="I342">
        <v>3</v>
      </c>
      <c r="J342">
        <v>2730</v>
      </c>
      <c r="K342">
        <v>0.05</v>
      </c>
      <c r="L342">
        <v>7780.5</v>
      </c>
      <c r="M342">
        <v>6459.39</v>
      </c>
      <c r="N342">
        <v>1321.11</v>
      </c>
      <c r="O342" t="s">
        <v>77</v>
      </c>
      <c r="P342" t="s">
        <v>84</v>
      </c>
    </row>
    <row r="343" spans="1:16" x14ac:dyDescent="0.25">
      <c r="A343">
        <v>342</v>
      </c>
      <c r="B343" s="1">
        <v>45955</v>
      </c>
      <c r="C343" t="s">
        <v>21</v>
      </c>
      <c r="D343" t="s">
        <v>24</v>
      </c>
      <c r="E343" t="s">
        <v>32</v>
      </c>
      <c r="F343" t="s">
        <v>66</v>
      </c>
      <c r="G343" t="s">
        <v>72</v>
      </c>
      <c r="H343" t="s">
        <v>75</v>
      </c>
      <c r="I343">
        <v>5</v>
      </c>
      <c r="J343">
        <v>23402</v>
      </c>
      <c r="K343">
        <v>0.15</v>
      </c>
      <c r="L343">
        <v>99458.5</v>
      </c>
      <c r="M343">
        <v>77985.240000000005</v>
      </c>
      <c r="N343">
        <v>21473.26</v>
      </c>
      <c r="O343" t="s">
        <v>80</v>
      </c>
      <c r="P343" t="s">
        <v>87</v>
      </c>
    </row>
    <row r="344" spans="1:16" x14ac:dyDescent="0.25">
      <c r="A344">
        <v>343</v>
      </c>
      <c r="B344" s="1">
        <v>45910</v>
      </c>
      <c r="C344" t="s">
        <v>18</v>
      </c>
      <c r="D344" t="s">
        <v>26</v>
      </c>
      <c r="E344" t="s">
        <v>28</v>
      </c>
      <c r="F344" t="s">
        <v>61</v>
      </c>
      <c r="G344" t="s">
        <v>70</v>
      </c>
      <c r="H344" t="s">
        <v>75</v>
      </c>
      <c r="I344">
        <v>4</v>
      </c>
      <c r="J344">
        <v>1685</v>
      </c>
      <c r="K344">
        <v>0.05</v>
      </c>
      <c r="L344">
        <v>6403</v>
      </c>
      <c r="M344">
        <v>5344.1</v>
      </c>
      <c r="N344">
        <v>1058.9000000000001</v>
      </c>
      <c r="O344" t="s">
        <v>77</v>
      </c>
      <c r="P344" t="s">
        <v>87</v>
      </c>
    </row>
    <row r="345" spans="1:16" x14ac:dyDescent="0.25">
      <c r="A345">
        <v>344</v>
      </c>
      <c r="B345" s="1">
        <v>45704</v>
      </c>
      <c r="C345" t="s">
        <v>17</v>
      </c>
      <c r="D345" t="s">
        <v>25</v>
      </c>
      <c r="E345" t="s">
        <v>32</v>
      </c>
      <c r="F345" t="s">
        <v>62</v>
      </c>
      <c r="G345" t="s">
        <v>72</v>
      </c>
      <c r="H345" t="s">
        <v>73</v>
      </c>
      <c r="I345">
        <v>8</v>
      </c>
      <c r="J345">
        <v>3107</v>
      </c>
      <c r="K345">
        <v>0.1</v>
      </c>
      <c r="L345">
        <v>22370.400000000001</v>
      </c>
      <c r="M345">
        <v>13570.48</v>
      </c>
      <c r="N345">
        <v>8799.92</v>
      </c>
      <c r="O345" t="s">
        <v>76</v>
      </c>
      <c r="P345" t="s">
        <v>85</v>
      </c>
    </row>
    <row r="346" spans="1:16" x14ac:dyDescent="0.25">
      <c r="A346">
        <v>345</v>
      </c>
      <c r="B346" s="1">
        <v>45849</v>
      </c>
      <c r="C346" t="s">
        <v>21</v>
      </c>
      <c r="D346" t="s">
        <v>24</v>
      </c>
      <c r="E346" t="s">
        <v>29</v>
      </c>
      <c r="F346" t="s">
        <v>42</v>
      </c>
      <c r="G346" t="s">
        <v>71</v>
      </c>
      <c r="H346" t="s">
        <v>75</v>
      </c>
      <c r="I346">
        <v>6</v>
      </c>
      <c r="J346">
        <v>1445</v>
      </c>
      <c r="K346">
        <v>0.15</v>
      </c>
      <c r="L346">
        <v>7369.5</v>
      </c>
      <c r="M346">
        <v>6128.26</v>
      </c>
      <c r="N346">
        <v>1241.24</v>
      </c>
      <c r="O346" t="s">
        <v>79</v>
      </c>
      <c r="P346" t="s">
        <v>86</v>
      </c>
    </row>
    <row r="347" spans="1:16" x14ac:dyDescent="0.25">
      <c r="A347">
        <v>346</v>
      </c>
      <c r="B347" s="1">
        <v>45787</v>
      </c>
      <c r="C347" t="s">
        <v>18</v>
      </c>
      <c r="D347" t="s">
        <v>26</v>
      </c>
      <c r="E347" t="s">
        <v>28</v>
      </c>
      <c r="F347" t="s">
        <v>58</v>
      </c>
      <c r="G347" t="s">
        <v>72</v>
      </c>
      <c r="H347" t="s">
        <v>74</v>
      </c>
      <c r="I347">
        <v>6</v>
      </c>
      <c r="J347">
        <v>1720</v>
      </c>
      <c r="K347">
        <v>0.1</v>
      </c>
      <c r="L347">
        <v>9288</v>
      </c>
      <c r="M347">
        <v>6575.65</v>
      </c>
      <c r="N347">
        <v>2712.35</v>
      </c>
      <c r="O347" t="s">
        <v>78</v>
      </c>
      <c r="P347" t="s">
        <v>83</v>
      </c>
    </row>
    <row r="348" spans="1:16" x14ac:dyDescent="0.25">
      <c r="A348">
        <v>347</v>
      </c>
      <c r="B348" s="1">
        <v>46020</v>
      </c>
      <c r="C348" t="s">
        <v>18</v>
      </c>
      <c r="D348" t="s">
        <v>26</v>
      </c>
      <c r="E348" t="s">
        <v>29</v>
      </c>
      <c r="F348" t="s">
        <v>36</v>
      </c>
      <c r="G348" t="s">
        <v>71</v>
      </c>
      <c r="H348" t="s">
        <v>73</v>
      </c>
      <c r="I348">
        <v>7</v>
      </c>
      <c r="J348">
        <v>7504</v>
      </c>
      <c r="K348">
        <v>0.05</v>
      </c>
      <c r="L348">
        <v>49901.599999999999</v>
      </c>
      <c r="M348">
        <v>29407.83</v>
      </c>
      <c r="N348">
        <v>20493.77</v>
      </c>
      <c r="O348" t="s">
        <v>77</v>
      </c>
      <c r="P348" t="s">
        <v>84</v>
      </c>
    </row>
    <row r="349" spans="1:16" x14ac:dyDescent="0.25">
      <c r="A349">
        <v>348</v>
      </c>
      <c r="B349" s="1">
        <v>45716</v>
      </c>
      <c r="C349" t="s">
        <v>22</v>
      </c>
      <c r="D349" t="s">
        <v>24</v>
      </c>
      <c r="E349" t="s">
        <v>31</v>
      </c>
      <c r="F349" t="s">
        <v>47</v>
      </c>
      <c r="G349" t="s">
        <v>71</v>
      </c>
      <c r="H349" t="s">
        <v>74</v>
      </c>
      <c r="I349">
        <v>1</v>
      </c>
      <c r="J349">
        <v>2465</v>
      </c>
      <c r="K349">
        <v>0.1</v>
      </c>
      <c r="L349">
        <v>2218.5</v>
      </c>
      <c r="M349">
        <v>1421.14</v>
      </c>
      <c r="N349">
        <v>797.36</v>
      </c>
      <c r="O349" t="s">
        <v>78</v>
      </c>
      <c r="P349" t="s">
        <v>87</v>
      </c>
    </row>
    <row r="350" spans="1:16" x14ac:dyDescent="0.25">
      <c r="A350">
        <v>349</v>
      </c>
      <c r="B350" s="1">
        <v>45770</v>
      </c>
      <c r="C350" t="s">
        <v>23</v>
      </c>
      <c r="D350" t="s">
        <v>27</v>
      </c>
      <c r="E350" t="s">
        <v>28</v>
      </c>
      <c r="F350" t="s">
        <v>63</v>
      </c>
      <c r="G350" t="s">
        <v>70</v>
      </c>
      <c r="H350" t="s">
        <v>75</v>
      </c>
      <c r="I350">
        <v>2</v>
      </c>
      <c r="J350">
        <v>1901</v>
      </c>
      <c r="K350">
        <v>0.1</v>
      </c>
      <c r="L350">
        <v>3421.8</v>
      </c>
      <c r="M350">
        <v>2402.25</v>
      </c>
      <c r="N350">
        <v>1019.55</v>
      </c>
      <c r="O350" t="s">
        <v>78</v>
      </c>
      <c r="P350" t="s">
        <v>81</v>
      </c>
    </row>
    <row r="351" spans="1:16" x14ac:dyDescent="0.25">
      <c r="A351">
        <v>350</v>
      </c>
      <c r="B351" s="1">
        <v>45920</v>
      </c>
      <c r="C351" t="s">
        <v>16</v>
      </c>
      <c r="D351" t="s">
        <v>24</v>
      </c>
      <c r="E351" t="s">
        <v>29</v>
      </c>
      <c r="F351" t="s">
        <v>36</v>
      </c>
      <c r="G351" t="s">
        <v>72</v>
      </c>
      <c r="H351" t="s">
        <v>75</v>
      </c>
      <c r="I351">
        <v>1</v>
      </c>
      <c r="J351">
        <v>2921</v>
      </c>
      <c r="K351">
        <v>0.15</v>
      </c>
      <c r="L351">
        <v>2482.85</v>
      </c>
      <c r="M351">
        <v>1632.58</v>
      </c>
      <c r="N351">
        <v>850.27</v>
      </c>
      <c r="O351" t="s">
        <v>77</v>
      </c>
      <c r="P351" t="s">
        <v>87</v>
      </c>
    </row>
    <row r="352" spans="1:16" x14ac:dyDescent="0.25">
      <c r="A352">
        <v>351</v>
      </c>
      <c r="B352" s="1">
        <v>45785</v>
      </c>
      <c r="C352" t="s">
        <v>17</v>
      </c>
      <c r="D352" t="s">
        <v>25</v>
      </c>
      <c r="E352" t="s">
        <v>33</v>
      </c>
      <c r="F352" t="s">
        <v>60</v>
      </c>
      <c r="G352" t="s">
        <v>70</v>
      </c>
      <c r="H352" t="s">
        <v>73</v>
      </c>
      <c r="I352">
        <v>6</v>
      </c>
      <c r="J352">
        <v>7131</v>
      </c>
      <c r="K352">
        <v>0.1</v>
      </c>
      <c r="L352">
        <v>38507.4</v>
      </c>
      <c r="M352">
        <v>24881.52</v>
      </c>
      <c r="N352">
        <v>13625.88</v>
      </c>
      <c r="O352" t="s">
        <v>76</v>
      </c>
      <c r="P352" t="s">
        <v>87</v>
      </c>
    </row>
    <row r="353" spans="1:16" x14ac:dyDescent="0.25">
      <c r="A353">
        <v>352</v>
      </c>
      <c r="B353" s="1">
        <v>45869</v>
      </c>
      <c r="C353" t="s">
        <v>16</v>
      </c>
      <c r="D353" t="s">
        <v>24</v>
      </c>
      <c r="E353" t="s">
        <v>33</v>
      </c>
      <c r="F353" t="s">
        <v>60</v>
      </c>
      <c r="G353" t="s">
        <v>72</v>
      </c>
      <c r="H353" t="s">
        <v>75</v>
      </c>
      <c r="I353">
        <v>2</v>
      </c>
      <c r="J353">
        <v>4659</v>
      </c>
      <c r="K353">
        <v>0.1</v>
      </c>
      <c r="L353">
        <v>8386.2000000000007</v>
      </c>
      <c r="M353">
        <v>6949.01</v>
      </c>
      <c r="N353">
        <v>1437.19</v>
      </c>
      <c r="O353" t="s">
        <v>77</v>
      </c>
      <c r="P353" t="s">
        <v>83</v>
      </c>
    </row>
    <row r="354" spans="1:16" x14ac:dyDescent="0.25">
      <c r="A354">
        <v>353</v>
      </c>
      <c r="B354" s="1">
        <v>45948</v>
      </c>
      <c r="C354" t="s">
        <v>16</v>
      </c>
      <c r="D354" t="s">
        <v>24</v>
      </c>
      <c r="E354" t="s">
        <v>30</v>
      </c>
      <c r="F354" t="s">
        <v>40</v>
      </c>
      <c r="G354" t="s">
        <v>70</v>
      </c>
      <c r="H354" t="s">
        <v>74</v>
      </c>
      <c r="I354">
        <v>5</v>
      </c>
      <c r="J354">
        <v>62392</v>
      </c>
      <c r="K354">
        <v>0.1</v>
      </c>
      <c r="L354">
        <v>280764</v>
      </c>
      <c r="M354">
        <v>167299.04999999999</v>
      </c>
      <c r="N354">
        <v>113464.95</v>
      </c>
      <c r="O354" t="s">
        <v>78</v>
      </c>
      <c r="P354" t="s">
        <v>86</v>
      </c>
    </row>
    <row r="355" spans="1:16" x14ac:dyDescent="0.25">
      <c r="A355">
        <v>354</v>
      </c>
      <c r="B355" s="1">
        <v>45722</v>
      </c>
      <c r="C355" t="s">
        <v>17</v>
      </c>
      <c r="D355" t="s">
        <v>25</v>
      </c>
      <c r="E355" t="s">
        <v>33</v>
      </c>
      <c r="F355" t="s">
        <v>60</v>
      </c>
      <c r="G355" t="s">
        <v>70</v>
      </c>
      <c r="H355" t="s">
        <v>73</v>
      </c>
      <c r="I355">
        <v>1</v>
      </c>
      <c r="J355">
        <v>22346</v>
      </c>
      <c r="K355">
        <v>0.1</v>
      </c>
      <c r="L355">
        <v>20111.400000000001</v>
      </c>
      <c r="M355">
        <v>12122.35</v>
      </c>
      <c r="N355">
        <v>7989.05</v>
      </c>
      <c r="O355" t="s">
        <v>78</v>
      </c>
      <c r="P355" t="s">
        <v>81</v>
      </c>
    </row>
    <row r="356" spans="1:16" x14ac:dyDescent="0.25">
      <c r="A356">
        <v>355</v>
      </c>
      <c r="B356" s="1">
        <v>45782</v>
      </c>
      <c r="C356" t="s">
        <v>23</v>
      </c>
      <c r="D356" t="s">
        <v>27</v>
      </c>
      <c r="E356" t="s">
        <v>31</v>
      </c>
      <c r="F356" t="s">
        <v>67</v>
      </c>
      <c r="G356" t="s">
        <v>70</v>
      </c>
      <c r="H356" t="s">
        <v>75</v>
      </c>
      <c r="I356">
        <v>4</v>
      </c>
      <c r="J356">
        <v>1321</v>
      </c>
      <c r="K356">
        <v>0.2</v>
      </c>
      <c r="L356">
        <v>4227.2</v>
      </c>
      <c r="M356">
        <v>2617.7600000000002</v>
      </c>
      <c r="N356">
        <v>1609.44</v>
      </c>
      <c r="O356" t="s">
        <v>78</v>
      </c>
      <c r="P356" t="s">
        <v>83</v>
      </c>
    </row>
    <row r="357" spans="1:16" x14ac:dyDescent="0.25">
      <c r="A357">
        <v>356</v>
      </c>
      <c r="B357" s="1">
        <v>45693</v>
      </c>
      <c r="C357" t="s">
        <v>20</v>
      </c>
      <c r="D357" t="s">
        <v>26</v>
      </c>
      <c r="E357" t="s">
        <v>33</v>
      </c>
      <c r="F357" t="s">
        <v>60</v>
      </c>
      <c r="G357" t="s">
        <v>71</v>
      </c>
      <c r="H357" t="s">
        <v>74</v>
      </c>
      <c r="I357">
        <v>5</v>
      </c>
      <c r="J357">
        <v>48154</v>
      </c>
      <c r="K357">
        <v>0.1</v>
      </c>
      <c r="L357">
        <v>216693</v>
      </c>
      <c r="M357">
        <v>164464.97</v>
      </c>
      <c r="N357">
        <v>52228.03</v>
      </c>
      <c r="O357" t="s">
        <v>79</v>
      </c>
      <c r="P357" t="s">
        <v>85</v>
      </c>
    </row>
    <row r="358" spans="1:16" x14ac:dyDescent="0.25">
      <c r="A358">
        <v>357</v>
      </c>
      <c r="B358" s="1">
        <v>45728</v>
      </c>
      <c r="C358" t="s">
        <v>17</v>
      </c>
      <c r="D358" t="s">
        <v>25</v>
      </c>
      <c r="E358" t="s">
        <v>28</v>
      </c>
      <c r="F358" t="s">
        <v>58</v>
      </c>
      <c r="G358" t="s">
        <v>71</v>
      </c>
      <c r="H358" t="s">
        <v>74</v>
      </c>
      <c r="I358">
        <v>3</v>
      </c>
      <c r="J358">
        <v>305</v>
      </c>
      <c r="K358">
        <v>0.1</v>
      </c>
      <c r="L358">
        <v>823.5</v>
      </c>
      <c r="M358">
        <v>602.91999999999996</v>
      </c>
      <c r="N358">
        <v>220.58</v>
      </c>
      <c r="O358" t="s">
        <v>78</v>
      </c>
      <c r="P358" t="s">
        <v>84</v>
      </c>
    </row>
    <row r="359" spans="1:16" x14ac:dyDescent="0.25">
      <c r="A359">
        <v>358</v>
      </c>
      <c r="B359" s="1">
        <v>45848</v>
      </c>
      <c r="C359" t="s">
        <v>22</v>
      </c>
      <c r="D359" t="s">
        <v>24</v>
      </c>
      <c r="E359" t="s">
        <v>33</v>
      </c>
      <c r="F359" t="s">
        <v>46</v>
      </c>
      <c r="G359" t="s">
        <v>72</v>
      </c>
      <c r="H359" t="s">
        <v>75</v>
      </c>
      <c r="I359">
        <v>8</v>
      </c>
      <c r="J359">
        <v>15361</v>
      </c>
      <c r="K359">
        <v>0.15</v>
      </c>
      <c r="L359">
        <v>104454.8</v>
      </c>
      <c r="M359">
        <v>63660.22</v>
      </c>
      <c r="N359">
        <v>40794.58</v>
      </c>
      <c r="O359" t="s">
        <v>76</v>
      </c>
      <c r="P359" t="s">
        <v>85</v>
      </c>
    </row>
    <row r="360" spans="1:16" x14ac:dyDescent="0.25">
      <c r="A360">
        <v>359</v>
      </c>
      <c r="B360" s="1">
        <v>45746</v>
      </c>
      <c r="C360" t="s">
        <v>22</v>
      </c>
      <c r="D360" t="s">
        <v>24</v>
      </c>
      <c r="E360" t="s">
        <v>29</v>
      </c>
      <c r="F360" t="s">
        <v>36</v>
      </c>
      <c r="G360" t="s">
        <v>71</v>
      </c>
      <c r="H360" t="s">
        <v>74</v>
      </c>
      <c r="I360">
        <v>1</v>
      </c>
      <c r="J360">
        <v>743</v>
      </c>
      <c r="K360">
        <v>0.05</v>
      </c>
      <c r="L360">
        <v>705.85</v>
      </c>
      <c r="M360">
        <v>409.13</v>
      </c>
      <c r="N360">
        <v>296.72000000000003</v>
      </c>
      <c r="O360" t="s">
        <v>78</v>
      </c>
      <c r="P360" t="s">
        <v>86</v>
      </c>
    </row>
    <row r="361" spans="1:16" x14ac:dyDescent="0.25">
      <c r="A361">
        <v>360</v>
      </c>
      <c r="B361" s="1">
        <v>45975</v>
      </c>
      <c r="C361" t="s">
        <v>16</v>
      </c>
      <c r="D361" t="s">
        <v>24</v>
      </c>
      <c r="E361" t="s">
        <v>31</v>
      </c>
      <c r="F361" t="s">
        <v>67</v>
      </c>
      <c r="G361" t="s">
        <v>72</v>
      </c>
      <c r="H361" t="s">
        <v>74</v>
      </c>
      <c r="I361">
        <v>1</v>
      </c>
      <c r="J361">
        <v>267</v>
      </c>
      <c r="K361">
        <v>0.1</v>
      </c>
      <c r="L361">
        <v>240.3</v>
      </c>
      <c r="M361">
        <v>202.3</v>
      </c>
      <c r="N361">
        <v>38</v>
      </c>
      <c r="O361" t="s">
        <v>79</v>
      </c>
      <c r="P361" t="s">
        <v>81</v>
      </c>
    </row>
    <row r="362" spans="1:16" x14ac:dyDescent="0.25">
      <c r="A362">
        <v>361</v>
      </c>
      <c r="B362" s="1">
        <v>45699</v>
      </c>
      <c r="C362" t="s">
        <v>20</v>
      </c>
      <c r="D362" t="s">
        <v>26</v>
      </c>
      <c r="E362" t="s">
        <v>34</v>
      </c>
      <c r="F362" t="s">
        <v>43</v>
      </c>
      <c r="G362" t="s">
        <v>71</v>
      </c>
      <c r="H362" t="s">
        <v>74</v>
      </c>
      <c r="I362">
        <v>2</v>
      </c>
      <c r="J362">
        <v>884</v>
      </c>
      <c r="K362">
        <v>0.1</v>
      </c>
      <c r="L362">
        <v>1591.2</v>
      </c>
      <c r="M362">
        <v>1179.17</v>
      </c>
      <c r="N362">
        <v>412.03</v>
      </c>
      <c r="O362" t="s">
        <v>77</v>
      </c>
      <c r="P362" t="s">
        <v>85</v>
      </c>
    </row>
    <row r="363" spans="1:16" x14ac:dyDescent="0.25">
      <c r="A363">
        <v>362</v>
      </c>
      <c r="B363" s="1">
        <v>45904</v>
      </c>
      <c r="C363" t="s">
        <v>16</v>
      </c>
      <c r="D363" t="s">
        <v>24</v>
      </c>
      <c r="E363" t="s">
        <v>31</v>
      </c>
      <c r="F363" t="s">
        <v>47</v>
      </c>
      <c r="G363" t="s">
        <v>71</v>
      </c>
      <c r="H363" t="s">
        <v>74</v>
      </c>
      <c r="I363">
        <v>1</v>
      </c>
      <c r="J363">
        <v>191</v>
      </c>
      <c r="K363">
        <v>0.15</v>
      </c>
      <c r="L363">
        <v>162.35</v>
      </c>
      <c r="M363">
        <v>119.77</v>
      </c>
      <c r="N363">
        <v>42.58</v>
      </c>
      <c r="O363" t="s">
        <v>77</v>
      </c>
      <c r="P363" t="s">
        <v>84</v>
      </c>
    </row>
    <row r="364" spans="1:16" x14ac:dyDescent="0.25">
      <c r="A364">
        <v>363</v>
      </c>
      <c r="B364" s="1">
        <v>45706</v>
      </c>
      <c r="C364" t="s">
        <v>17</v>
      </c>
      <c r="D364" t="s">
        <v>25</v>
      </c>
      <c r="E364" t="s">
        <v>33</v>
      </c>
      <c r="F364" t="s">
        <v>46</v>
      </c>
      <c r="G364" t="s">
        <v>71</v>
      </c>
      <c r="H364" t="s">
        <v>74</v>
      </c>
      <c r="I364">
        <v>4</v>
      </c>
      <c r="J364">
        <v>49354</v>
      </c>
      <c r="K364">
        <v>0.15</v>
      </c>
      <c r="L364">
        <v>167803.6</v>
      </c>
      <c r="M364">
        <v>114168.13</v>
      </c>
      <c r="N364">
        <v>53635.47</v>
      </c>
      <c r="O364" t="s">
        <v>78</v>
      </c>
      <c r="P364" t="s">
        <v>87</v>
      </c>
    </row>
    <row r="365" spans="1:16" x14ac:dyDescent="0.25">
      <c r="A365">
        <v>364</v>
      </c>
      <c r="B365" s="1">
        <v>45801</v>
      </c>
      <c r="C365" t="s">
        <v>23</v>
      </c>
      <c r="D365" t="s">
        <v>27</v>
      </c>
      <c r="E365" t="s">
        <v>34</v>
      </c>
      <c r="F365" t="s">
        <v>55</v>
      </c>
      <c r="G365" t="s">
        <v>71</v>
      </c>
      <c r="H365" t="s">
        <v>75</v>
      </c>
      <c r="I365">
        <v>6</v>
      </c>
      <c r="J365">
        <v>2863</v>
      </c>
      <c r="K365">
        <v>0.05</v>
      </c>
      <c r="L365">
        <v>16319.1</v>
      </c>
      <c r="M365">
        <v>13006.99</v>
      </c>
      <c r="N365">
        <v>3312.11</v>
      </c>
      <c r="O365" t="s">
        <v>77</v>
      </c>
      <c r="P365" t="s">
        <v>82</v>
      </c>
    </row>
    <row r="366" spans="1:16" x14ac:dyDescent="0.25">
      <c r="A366">
        <v>365</v>
      </c>
      <c r="B366" s="1">
        <v>45725</v>
      </c>
      <c r="C366" t="s">
        <v>22</v>
      </c>
      <c r="D366" t="s">
        <v>24</v>
      </c>
      <c r="E366" t="s">
        <v>33</v>
      </c>
      <c r="F366" t="s">
        <v>52</v>
      </c>
      <c r="G366" t="s">
        <v>71</v>
      </c>
      <c r="H366" t="s">
        <v>73</v>
      </c>
      <c r="I366">
        <v>6</v>
      </c>
      <c r="J366">
        <v>28239</v>
      </c>
      <c r="K366">
        <v>0.1</v>
      </c>
      <c r="L366">
        <v>152490.6</v>
      </c>
      <c r="M366">
        <v>117421.03</v>
      </c>
      <c r="N366">
        <v>35069.57</v>
      </c>
      <c r="O366" t="s">
        <v>78</v>
      </c>
      <c r="P366" t="s">
        <v>83</v>
      </c>
    </row>
    <row r="367" spans="1:16" x14ac:dyDescent="0.25">
      <c r="A367">
        <v>366</v>
      </c>
      <c r="B367" s="1">
        <v>45744</v>
      </c>
      <c r="C367" t="s">
        <v>19</v>
      </c>
      <c r="D367" t="s">
        <v>26</v>
      </c>
      <c r="E367" t="s">
        <v>28</v>
      </c>
      <c r="F367" t="s">
        <v>61</v>
      </c>
      <c r="G367" t="s">
        <v>72</v>
      </c>
      <c r="H367" t="s">
        <v>75</v>
      </c>
      <c r="I367">
        <v>6</v>
      </c>
      <c r="J367">
        <v>978</v>
      </c>
      <c r="K367">
        <v>0.05</v>
      </c>
      <c r="L367">
        <v>5574.6</v>
      </c>
      <c r="M367">
        <v>4355.3599999999997</v>
      </c>
      <c r="N367">
        <v>1219.24</v>
      </c>
      <c r="O367" t="s">
        <v>78</v>
      </c>
      <c r="P367" t="s">
        <v>82</v>
      </c>
    </row>
    <row r="368" spans="1:16" x14ac:dyDescent="0.25">
      <c r="A368">
        <v>367</v>
      </c>
      <c r="B368" s="1">
        <v>45895</v>
      </c>
      <c r="C368" t="s">
        <v>20</v>
      </c>
      <c r="D368" t="s">
        <v>26</v>
      </c>
      <c r="E368" t="s">
        <v>31</v>
      </c>
      <c r="F368" t="s">
        <v>47</v>
      </c>
      <c r="G368" t="s">
        <v>71</v>
      </c>
      <c r="H368" t="s">
        <v>75</v>
      </c>
      <c r="I368">
        <v>4</v>
      </c>
      <c r="J368">
        <v>1194</v>
      </c>
      <c r="K368">
        <v>0</v>
      </c>
      <c r="L368">
        <v>4776</v>
      </c>
      <c r="M368">
        <v>3968.68</v>
      </c>
      <c r="N368">
        <v>807.32</v>
      </c>
      <c r="O368" t="s">
        <v>77</v>
      </c>
      <c r="P368" t="s">
        <v>88</v>
      </c>
    </row>
    <row r="369" spans="1:16" x14ac:dyDescent="0.25">
      <c r="A369">
        <v>368</v>
      </c>
      <c r="B369" s="1">
        <v>45668</v>
      </c>
      <c r="C369" t="s">
        <v>19</v>
      </c>
      <c r="D369" t="s">
        <v>26</v>
      </c>
      <c r="E369" t="s">
        <v>33</v>
      </c>
      <c r="F369" t="s">
        <v>52</v>
      </c>
      <c r="G369" t="s">
        <v>72</v>
      </c>
      <c r="H369" t="s">
        <v>74</v>
      </c>
      <c r="I369">
        <v>5</v>
      </c>
      <c r="J369">
        <v>38610</v>
      </c>
      <c r="K369">
        <v>0.15</v>
      </c>
      <c r="L369">
        <v>164092.5</v>
      </c>
      <c r="M369">
        <v>128391</v>
      </c>
      <c r="N369">
        <v>35701.5</v>
      </c>
      <c r="O369" t="s">
        <v>77</v>
      </c>
      <c r="P369" t="s">
        <v>85</v>
      </c>
    </row>
    <row r="370" spans="1:16" x14ac:dyDescent="0.25">
      <c r="A370">
        <v>369</v>
      </c>
      <c r="B370" s="1">
        <v>45671</v>
      </c>
      <c r="C370" t="s">
        <v>19</v>
      </c>
      <c r="D370" t="s">
        <v>26</v>
      </c>
      <c r="E370" t="s">
        <v>32</v>
      </c>
      <c r="F370" t="s">
        <v>66</v>
      </c>
      <c r="G370" t="s">
        <v>70</v>
      </c>
      <c r="H370" t="s">
        <v>75</v>
      </c>
      <c r="I370">
        <v>6</v>
      </c>
      <c r="J370">
        <v>11558</v>
      </c>
      <c r="K370">
        <v>0</v>
      </c>
      <c r="L370">
        <v>69348</v>
      </c>
      <c r="M370">
        <v>56263.71</v>
      </c>
      <c r="N370">
        <v>13084.29</v>
      </c>
      <c r="O370" t="s">
        <v>79</v>
      </c>
      <c r="P370" t="s">
        <v>82</v>
      </c>
    </row>
    <row r="371" spans="1:16" x14ac:dyDescent="0.25">
      <c r="A371">
        <v>370</v>
      </c>
      <c r="B371" s="1">
        <v>46016</v>
      </c>
      <c r="C371" t="s">
        <v>21</v>
      </c>
      <c r="D371" t="s">
        <v>24</v>
      </c>
      <c r="E371" t="s">
        <v>34</v>
      </c>
      <c r="F371" t="s">
        <v>68</v>
      </c>
      <c r="G371" t="s">
        <v>71</v>
      </c>
      <c r="H371" t="s">
        <v>75</v>
      </c>
      <c r="I371">
        <v>2</v>
      </c>
      <c r="J371">
        <v>168</v>
      </c>
      <c r="K371">
        <v>0.1</v>
      </c>
      <c r="L371">
        <v>302.39999999999998</v>
      </c>
      <c r="M371">
        <v>184.66</v>
      </c>
      <c r="N371">
        <v>117.74</v>
      </c>
      <c r="O371" t="s">
        <v>77</v>
      </c>
      <c r="P371" t="s">
        <v>85</v>
      </c>
    </row>
    <row r="372" spans="1:16" x14ac:dyDescent="0.25">
      <c r="A372">
        <v>371</v>
      </c>
      <c r="B372" s="1">
        <v>45797</v>
      </c>
      <c r="C372" t="s">
        <v>21</v>
      </c>
      <c r="D372" t="s">
        <v>24</v>
      </c>
      <c r="E372" t="s">
        <v>32</v>
      </c>
      <c r="F372" t="s">
        <v>49</v>
      </c>
      <c r="G372" t="s">
        <v>72</v>
      </c>
      <c r="H372" t="s">
        <v>73</v>
      </c>
      <c r="I372">
        <v>4</v>
      </c>
      <c r="J372">
        <v>2745</v>
      </c>
      <c r="K372">
        <v>0.05</v>
      </c>
      <c r="L372">
        <v>10431</v>
      </c>
      <c r="M372">
        <v>8003.1</v>
      </c>
      <c r="N372">
        <v>2427.9</v>
      </c>
      <c r="O372" t="s">
        <v>76</v>
      </c>
      <c r="P372" t="s">
        <v>87</v>
      </c>
    </row>
    <row r="373" spans="1:16" x14ac:dyDescent="0.25">
      <c r="A373">
        <v>372</v>
      </c>
      <c r="B373" s="1">
        <v>45806</v>
      </c>
      <c r="C373" t="s">
        <v>20</v>
      </c>
      <c r="D373" t="s">
        <v>26</v>
      </c>
      <c r="E373" t="s">
        <v>29</v>
      </c>
      <c r="F373" t="s">
        <v>53</v>
      </c>
      <c r="G373" t="s">
        <v>72</v>
      </c>
      <c r="H373" t="s">
        <v>73</v>
      </c>
      <c r="I373">
        <v>8</v>
      </c>
      <c r="J373">
        <v>1669</v>
      </c>
      <c r="K373">
        <v>0.05</v>
      </c>
      <c r="L373">
        <v>12684.4</v>
      </c>
      <c r="M373">
        <v>10543.65</v>
      </c>
      <c r="N373">
        <v>2140.75</v>
      </c>
      <c r="O373" t="s">
        <v>79</v>
      </c>
      <c r="P373" t="s">
        <v>84</v>
      </c>
    </row>
    <row r="374" spans="1:16" x14ac:dyDescent="0.25">
      <c r="A374">
        <v>373</v>
      </c>
      <c r="B374" s="1">
        <v>45899</v>
      </c>
      <c r="C374" t="s">
        <v>20</v>
      </c>
      <c r="D374" t="s">
        <v>26</v>
      </c>
      <c r="E374" t="s">
        <v>33</v>
      </c>
      <c r="F374" t="s">
        <v>52</v>
      </c>
      <c r="G374" t="s">
        <v>71</v>
      </c>
      <c r="H374" t="s">
        <v>73</v>
      </c>
      <c r="I374">
        <v>8</v>
      </c>
      <c r="J374">
        <v>22808</v>
      </c>
      <c r="K374">
        <v>0.05</v>
      </c>
      <c r="L374">
        <v>173340.79999999999</v>
      </c>
      <c r="M374">
        <v>140126.98000000001</v>
      </c>
      <c r="N374">
        <v>33213.82</v>
      </c>
      <c r="O374" t="s">
        <v>77</v>
      </c>
      <c r="P374" t="s">
        <v>81</v>
      </c>
    </row>
    <row r="375" spans="1:16" x14ac:dyDescent="0.25">
      <c r="A375">
        <v>374</v>
      </c>
      <c r="B375" s="1">
        <v>45767</v>
      </c>
      <c r="C375" t="s">
        <v>16</v>
      </c>
      <c r="D375" t="s">
        <v>24</v>
      </c>
      <c r="E375" t="s">
        <v>32</v>
      </c>
      <c r="F375" t="s">
        <v>39</v>
      </c>
      <c r="G375" t="s">
        <v>70</v>
      </c>
      <c r="H375" t="s">
        <v>74</v>
      </c>
      <c r="I375">
        <v>2</v>
      </c>
      <c r="J375">
        <v>6138</v>
      </c>
      <c r="K375">
        <v>0.05</v>
      </c>
      <c r="L375">
        <v>11662.2</v>
      </c>
      <c r="M375">
        <v>9181.59</v>
      </c>
      <c r="N375">
        <v>2480.61</v>
      </c>
      <c r="O375" t="s">
        <v>76</v>
      </c>
      <c r="P375" t="s">
        <v>81</v>
      </c>
    </row>
    <row r="376" spans="1:16" x14ac:dyDescent="0.25">
      <c r="A376">
        <v>375</v>
      </c>
      <c r="B376" s="1">
        <v>45675</v>
      </c>
      <c r="C376" t="s">
        <v>20</v>
      </c>
      <c r="D376" t="s">
        <v>26</v>
      </c>
      <c r="E376" t="s">
        <v>34</v>
      </c>
      <c r="F376" t="s">
        <v>68</v>
      </c>
      <c r="G376" t="s">
        <v>71</v>
      </c>
      <c r="H376" t="s">
        <v>73</v>
      </c>
      <c r="I376">
        <v>4</v>
      </c>
      <c r="J376">
        <v>4647</v>
      </c>
      <c r="K376">
        <v>0.1</v>
      </c>
      <c r="L376">
        <v>16729.2</v>
      </c>
      <c r="M376">
        <v>14085.76</v>
      </c>
      <c r="N376">
        <v>2643.44</v>
      </c>
      <c r="O376" t="s">
        <v>80</v>
      </c>
      <c r="P376" t="s">
        <v>83</v>
      </c>
    </row>
    <row r="377" spans="1:16" x14ac:dyDescent="0.25">
      <c r="A377">
        <v>376</v>
      </c>
      <c r="B377" s="1">
        <v>45796</v>
      </c>
      <c r="C377" t="s">
        <v>17</v>
      </c>
      <c r="D377" t="s">
        <v>25</v>
      </c>
      <c r="E377" t="s">
        <v>32</v>
      </c>
      <c r="F377" t="s">
        <v>66</v>
      </c>
      <c r="G377" t="s">
        <v>72</v>
      </c>
      <c r="H377" t="s">
        <v>74</v>
      </c>
      <c r="I377">
        <v>1</v>
      </c>
      <c r="J377">
        <v>12354</v>
      </c>
      <c r="K377">
        <v>0.05</v>
      </c>
      <c r="L377">
        <v>11736.3</v>
      </c>
      <c r="M377">
        <v>7112.44</v>
      </c>
      <c r="N377">
        <v>4623.8599999999997</v>
      </c>
      <c r="O377" t="s">
        <v>79</v>
      </c>
      <c r="P377" t="s">
        <v>86</v>
      </c>
    </row>
    <row r="378" spans="1:16" x14ac:dyDescent="0.25">
      <c r="A378">
        <v>377</v>
      </c>
      <c r="B378" s="1">
        <v>45675</v>
      </c>
      <c r="C378" t="s">
        <v>18</v>
      </c>
      <c r="D378" t="s">
        <v>26</v>
      </c>
      <c r="E378" t="s">
        <v>34</v>
      </c>
      <c r="F378" t="s">
        <v>68</v>
      </c>
      <c r="G378" t="s">
        <v>72</v>
      </c>
      <c r="H378" t="s">
        <v>74</v>
      </c>
      <c r="I378">
        <v>6</v>
      </c>
      <c r="J378">
        <v>5528</v>
      </c>
      <c r="K378">
        <v>0.1</v>
      </c>
      <c r="L378">
        <v>29851.200000000001</v>
      </c>
      <c r="M378">
        <v>25345.37</v>
      </c>
      <c r="N378">
        <v>4505.83</v>
      </c>
      <c r="O378" t="s">
        <v>76</v>
      </c>
      <c r="P378" t="s">
        <v>87</v>
      </c>
    </row>
    <row r="379" spans="1:16" x14ac:dyDescent="0.25">
      <c r="A379">
        <v>378</v>
      </c>
      <c r="B379" s="1">
        <v>45915</v>
      </c>
      <c r="C379" t="s">
        <v>20</v>
      </c>
      <c r="D379" t="s">
        <v>26</v>
      </c>
      <c r="E379" t="s">
        <v>28</v>
      </c>
      <c r="F379" t="s">
        <v>58</v>
      </c>
      <c r="G379" t="s">
        <v>71</v>
      </c>
      <c r="H379" t="s">
        <v>75</v>
      </c>
      <c r="I379">
        <v>2</v>
      </c>
      <c r="J379">
        <v>408</v>
      </c>
      <c r="K379">
        <v>0.05</v>
      </c>
      <c r="L379">
        <v>775.2</v>
      </c>
      <c r="M379">
        <v>651.44000000000005</v>
      </c>
      <c r="N379">
        <v>123.76</v>
      </c>
      <c r="O379" t="s">
        <v>78</v>
      </c>
      <c r="P379" t="s">
        <v>82</v>
      </c>
    </row>
    <row r="380" spans="1:16" x14ac:dyDescent="0.25">
      <c r="A380">
        <v>379</v>
      </c>
      <c r="B380" s="1">
        <v>45990</v>
      </c>
      <c r="C380" t="s">
        <v>19</v>
      </c>
      <c r="D380" t="s">
        <v>26</v>
      </c>
      <c r="E380" t="s">
        <v>29</v>
      </c>
      <c r="F380" t="s">
        <v>36</v>
      </c>
      <c r="G380" t="s">
        <v>71</v>
      </c>
      <c r="H380" t="s">
        <v>75</v>
      </c>
      <c r="I380">
        <v>7</v>
      </c>
      <c r="J380">
        <v>8846</v>
      </c>
      <c r="K380">
        <v>0</v>
      </c>
      <c r="L380">
        <v>61922</v>
      </c>
      <c r="M380">
        <v>49514.62</v>
      </c>
      <c r="N380">
        <v>12407.38</v>
      </c>
      <c r="O380" t="s">
        <v>80</v>
      </c>
      <c r="P380" t="s">
        <v>81</v>
      </c>
    </row>
    <row r="381" spans="1:16" x14ac:dyDescent="0.25">
      <c r="A381">
        <v>380</v>
      </c>
      <c r="B381" s="1">
        <v>45808</v>
      </c>
      <c r="C381" t="s">
        <v>23</v>
      </c>
      <c r="D381" t="s">
        <v>27</v>
      </c>
      <c r="E381" t="s">
        <v>34</v>
      </c>
      <c r="F381" t="s">
        <v>43</v>
      </c>
      <c r="G381" t="s">
        <v>70</v>
      </c>
      <c r="H381" t="s">
        <v>74</v>
      </c>
      <c r="I381">
        <v>1</v>
      </c>
      <c r="J381">
        <v>2832</v>
      </c>
      <c r="K381">
        <v>0.1</v>
      </c>
      <c r="L381">
        <v>2548.8000000000002</v>
      </c>
      <c r="M381">
        <v>1759.73</v>
      </c>
      <c r="N381">
        <v>789.07</v>
      </c>
      <c r="O381" t="s">
        <v>78</v>
      </c>
      <c r="P381" t="s">
        <v>83</v>
      </c>
    </row>
    <row r="382" spans="1:16" x14ac:dyDescent="0.25">
      <c r="A382">
        <v>381</v>
      </c>
      <c r="B382" s="1">
        <v>45957</v>
      </c>
      <c r="C382" t="s">
        <v>23</v>
      </c>
      <c r="D382" t="s">
        <v>27</v>
      </c>
      <c r="E382" t="s">
        <v>34</v>
      </c>
      <c r="F382" t="s">
        <v>51</v>
      </c>
      <c r="G382" t="s">
        <v>70</v>
      </c>
      <c r="H382" t="s">
        <v>73</v>
      </c>
      <c r="I382">
        <v>4</v>
      </c>
      <c r="J382">
        <v>3533</v>
      </c>
      <c r="K382">
        <v>0.2</v>
      </c>
      <c r="L382">
        <v>11305.6</v>
      </c>
      <c r="M382">
        <v>6915.49</v>
      </c>
      <c r="N382">
        <v>4390.1099999999997</v>
      </c>
      <c r="O382" t="s">
        <v>76</v>
      </c>
      <c r="P382" t="s">
        <v>86</v>
      </c>
    </row>
    <row r="383" spans="1:16" x14ac:dyDescent="0.25">
      <c r="A383">
        <v>382</v>
      </c>
      <c r="B383" s="1">
        <v>45715</v>
      </c>
      <c r="C383" t="s">
        <v>23</v>
      </c>
      <c r="D383" t="s">
        <v>27</v>
      </c>
      <c r="E383" t="s">
        <v>32</v>
      </c>
      <c r="F383" t="s">
        <v>66</v>
      </c>
      <c r="G383" t="s">
        <v>70</v>
      </c>
      <c r="H383" t="s">
        <v>73</v>
      </c>
      <c r="I383">
        <v>5</v>
      </c>
      <c r="J383">
        <v>13031</v>
      </c>
      <c r="K383">
        <v>0.1</v>
      </c>
      <c r="L383">
        <v>58639.5</v>
      </c>
      <c r="M383">
        <v>33486.22</v>
      </c>
      <c r="N383">
        <v>25153.279999999999</v>
      </c>
      <c r="O383" t="s">
        <v>77</v>
      </c>
      <c r="P383" t="s">
        <v>81</v>
      </c>
    </row>
    <row r="384" spans="1:16" x14ac:dyDescent="0.25">
      <c r="A384">
        <v>383</v>
      </c>
      <c r="B384" s="1">
        <v>45661</v>
      </c>
      <c r="C384" t="s">
        <v>18</v>
      </c>
      <c r="D384" t="s">
        <v>26</v>
      </c>
      <c r="E384" t="s">
        <v>31</v>
      </c>
      <c r="F384" t="s">
        <v>67</v>
      </c>
      <c r="G384" t="s">
        <v>70</v>
      </c>
      <c r="H384" t="s">
        <v>74</v>
      </c>
      <c r="I384">
        <v>7</v>
      </c>
      <c r="J384">
        <v>200</v>
      </c>
      <c r="K384">
        <v>0</v>
      </c>
      <c r="L384">
        <v>1400</v>
      </c>
      <c r="M384">
        <v>1207.83</v>
      </c>
      <c r="N384">
        <v>192.17</v>
      </c>
      <c r="O384" t="s">
        <v>78</v>
      </c>
      <c r="P384" t="s">
        <v>83</v>
      </c>
    </row>
    <row r="385" spans="1:16" x14ac:dyDescent="0.25">
      <c r="A385">
        <v>384</v>
      </c>
      <c r="B385" s="1">
        <v>45917</v>
      </c>
      <c r="C385" t="s">
        <v>21</v>
      </c>
      <c r="D385" t="s">
        <v>24</v>
      </c>
      <c r="E385" t="s">
        <v>28</v>
      </c>
      <c r="F385" t="s">
        <v>63</v>
      </c>
      <c r="G385" t="s">
        <v>72</v>
      </c>
      <c r="H385" t="s">
        <v>73</v>
      </c>
      <c r="I385">
        <v>2</v>
      </c>
      <c r="J385">
        <v>2495</v>
      </c>
      <c r="K385">
        <v>0.2</v>
      </c>
      <c r="L385">
        <v>3992</v>
      </c>
      <c r="M385">
        <v>3335.87</v>
      </c>
      <c r="N385">
        <v>656.13</v>
      </c>
      <c r="O385" t="s">
        <v>78</v>
      </c>
      <c r="P385" t="s">
        <v>83</v>
      </c>
    </row>
    <row r="386" spans="1:16" x14ac:dyDescent="0.25">
      <c r="A386">
        <v>385</v>
      </c>
      <c r="B386" s="1">
        <v>45951</v>
      </c>
      <c r="C386" t="s">
        <v>16</v>
      </c>
      <c r="D386" t="s">
        <v>24</v>
      </c>
      <c r="E386" t="s">
        <v>31</v>
      </c>
      <c r="F386" t="s">
        <v>67</v>
      </c>
      <c r="G386" t="s">
        <v>70</v>
      </c>
      <c r="H386" t="s">
        <v>75</v>
      </c>
      <c r="I386">
        <v>3</v>
      </c>
      <c r="J386">
        <v>571</v>
      </c>
      <c r="K386">
        <v>0.1</v>
      </c>
      <c r="L386">
        <v>1541.7</v>
      </c>
      <c r="M386">
        <v>1229.67</v>
      </c>
      <c r="N386">
        <v>312.02999999999997</v>
      </c>
      <c r="O386" t="s">
        <v>78</v>
      </c>
      <c r="P386" t="s">
        <v>85</v>
      </c>
    </row>
    <row r="387" spans="1:16" x14ac:dyDescent="0.25">
      <c r="A387">
        <v>386</v>
      </c>
      <c r="B387" s="1">
        <v>45873</v>
      </c>
      <c r="C387" t="s">
        <v>23</v>
      </c>
      <c r="D387" t="s">
        <v>27</v>
      </c>
      <c r="E387" t="s">
        <v>32</v>
      </c>
      <c r="F387" t="s">
        <v>48</v>
      </c>
      <c r="G387" t="s">
        <v>71</v>
      </c>
      <c r="H387" t="s">
        <v>75</v>
      </c>
      <c r="I387">
        <v>7</v>
      </c>
      <c r="J387">
        <v>17023</v>
      </c>
      <c r="K387">
        <v>0.15</v>
      </c>
      <c r="L387">
        <v>101286.85</v>
      </c>
      <c r="M387">
        <v>71770.320000000007</v>
      </c>
      <c r="N387">
        <v>29516.53</v>
      </c>
      <c r="O387" t="s">
        <v>76</v>
      </c>
      <c r="P387" t="s">
        <v>86</v>
      </c>
    </row>
    <row r="388" spans="1:16" x14ac:dyDescent="0.25">
      <c r="A388">
        <v>387</v>
      </c>
      <c r="B388" s="1">
        <v>45853</v>
      </c>
      <c r="C388" t="s">
        <v>17</v>
      </c>
      <c r="D388" t="s">
        <v>25</v>
      </c>
      <c r="E388" t="s">
        <v>28</v>
      </c>
      <c r="F388" t="s">
        <v>58</v>
      </c>
      <c r="G388" t="s">
        <v>71</v>
      </c>
      <c r="H388" t="s">
        <v>74</v>
      </c>
      <c r="I388">
        <v>7</v>
      </c>
      <c r="J388">
        <v>244</v>
      </c>
      <c r="K388">
        <v>0.05</v>
      </c>
      <c r="L388">
        <v>1622.6</v>
      </c>
      <c r="M388">
        <v>1161.6300000000001</v>
      </c>
      <c r="N388">
        <v>460.97</v>
      </c>
      <c r="O388" t="s">
        <v>77</v>
      </c>
      <c r="P388" t="s">
        <v>87</v>
      </c>
    </row>
    <row r="389" spans="1:16" x14ac:dyDescent="0.25">
      <c r="A389">
        <v>388</v>
      </c>
      <c r="B389" s="1">
        <v>45702</v>
      </c>
      <c r="C389" t="s">
        <v>20</v>
      </c>
      <c r="D389" t="s">
        <v>26</v>
      </c>
      <c r="E389" t="s">
        <v>29</v>
      </c>
      <c r="F389" t="s">
        <v>53</v>
      </c>
      <c r="G389" t="s">
        <v>72</v>
      </c>
      <c r="H389" t="s">
        <v>74</v>
      </c>
      <c r="I389">
        <v>4</v>
      </c>
      <c r="J389">
        <v>8074</v>
      </c>
      <c r="K389">
        <v>0.15</v>
      </c>
      <c r="L389">
        <v>27451.599999999999</v>
      </c>
      <c r="M389">
        <v>15163.08</v>
      </c>
      <c r="N389">
        <v>12288.52</v>
      </c>
      <c r="O389" t="s">
        <v>76</v>
      </c>
      <c r="P389" t="s">
        <v>85</v>
      </c>
    </row>
    <row r="390" spans="1:16" x14ac:dyDescent="0.25">
      <c r="A390">
        <v>389</v>
      </c>
      <c r="B390" s="1">
        <v>45667</v>
      </c>
      <c r="C390" t="s">
        <v>22</v>
      </c>
      <c r="D390" t="s">
        <v>24</v>
      </c>
      <c r="E390" t="s">
        <v>31</v>
      </c>
      <c r="F390" t="s">
        <v>69</v>
      </c>
      <c r="G390" t="s">
        <v>71</v>
      </c>
      <c r="H390" t="s">
        <v>73</v>
      </c>
      <c r="I390">
        <v>5</v>
      </c>
      <c r="J390">
        <v>184</v>
      </c>
      <c r="K390">
        <v>0</v>
      </c>
      <c r="L390">
        <v>920</v>
      </c>
      <c r="M390">
        <v>741.13</v>
      </c>
      <c r="N390">
        <v>178.87</v>
      </c>
      <c r="O390" t="s">
        <v>80</v>
      </c>
      <c r="P390" t="s">
        <v>88</v>
      </c>
    </row>
    <row r="391" spans="1:16" x14ac:dyDescent="0.25">
      <c r="A391">
        <v>390</v>
      </c>
      <c r="B391" s="1">
        <v>45953</v>
      </c>
      <c r="C391" t="s">
        <v>23</v>
      </c>
      <c r="D391" t="s">
        <v>27</v>
      </c>
      <c r="E391" t="s">
        <v>28</v>
      </c>
      <c r="F391" t="s">
        <v>35</v>
      </c>
      <c r="G391" t="s">
        <v>71</v>
      </c>
      <c r="H391" t="s">
        <v>74</v>
      </c>
      <c r="I391">
        <v>4</v>
      </c>
      <c r="J391">
        <v>1481</v>
      </c>
      <c r="K391">
        <v>0.05</v>
      </c>
      <c r="L391">
        <v>5627.8</v>
      </c>
      <c r="M391">
        <v>4041.81</v>
      </c>
      <c r="N391">
        <v>1585.99</v>
      </c>
      <c r="O391" t="s">
        <v>78</v>
      </c>
      <c r="P391" t="s">
        <v>84</v>
      </c>
    </row>
    <row r="392" spans="1:16" x14ac:dyDescent="0.25">
      <c r="A392">
        <v>391</v>
      </c>
      <c r="B392" s="1">
        <v>45678</v>
      </c>
      <c r="C392" t="s">
        <v>18</v>
      </c>
      <c r="D392" t="s">
        <v>26</v>
      </c>
      <c r="E392" t="s">
        <v>29</v>
      </c>
      <c r="F392" t="s">
        <v>53</v>
      </c>
      <c r="G392" t="s">
        <v>70</v>
      </c>
      <c r="H392" t="s">
        <v>73</v>
      </c>
      <c r="I392">
        <v>4</v>
      </c>
      <c r="J392">
        <v>6124</v>
      </c>
      <c r="K392">
        <v>0.05</v>
      </c>
      <c r="L392">
        <v>23271.200000000001</v>
      </c>
      <c r="M392">
        <v>20469.39</v>
      </c>
      <c r="N392">
        <v>2801.81</v>
      </c>
      <c r="O392" t="s">
        <v>76</v>
      </c>
      <c r="P392" t="s">
        <v>84</v>
      </c>
    </row>
    <row r="393" spans="1:16" x14ac:dyDescent="0.25">
      <c r="A393">
        <v>392</v>
      </c>
      <c r="B393" s="1">
        <v>45890</v>
      </c>
      <c r="C393" t="s">
        <v>23</v>
      </c>
      <c r="D393" t="s">
        <v>27</v>
      </c>
      <c r="E393" t="s">
        <v>30</v>
      </c>
      <c r="F393" t="s">
        <v>44</v>
      </c>
      <c r="G393" t="s">
        <v>70</v>
      </c>
      <c r="H393" t="s">
        <v>74</v>
      </c>
      <c r="I393">
        <v>6</v>
      </c>
      <c r="J393">
        <v>15890</v>
      </c>
      <c r="K393">
        <v>0.2</v>
      </c>
      <c r="L393">
        <v>76272</v>
      </c>
      <c r="M393">
        <v>65727.66</v>
      </c>
      <c r="N393">
        <v>10544.34</v>
      </c>
      <c r="O393" t="s">
        <v>76</v>
      </c>
      <c r="P393" t="s">
        <v>83</v>
      </c>
    </row>
    <row r="394" spans="1:16" x14ac:dyDescent="0.25">
      <c r="A394">
        <v>393</v>
      </c>
      <c r="B394" s="1">
        <v>45744</v>
      </c>
      <c r="C394" t="s">
        <v>16</v>
      </c>
      <c r="D394" t="s">
        <v>24</v>
      </c>
      <c r="E394" t="s">
        <v>34</v>
      </c>
      <c r="F394" t="s">
        <v>68</v>
      </c>
      <c r="G394" t="s">
        <v>70</v>
      </c>
      <c r="H394" t="s">
        <v>73</v>
      </c>
      <c r="I394">
        <v>3</v>
      </c>
      <c r="J394">
        <v>3775</v>
      </c>
      <c r="K394">
        <v>0</v>
      </c>
      <c r="L394">
        <v>11325</v>
      </c>
      <c r="M394">
        <v>7191.59</v>
      </c>
      <c r="N394">
        <v>4133.41</v>
      </c>
      <c r="O394" t="s">
        <v>80</v>
      </c>
      <c r="P394" t="s">
        <v>84</v>
      </c>
    </row>
    <row r="395" spans="1:16" x14ac:dyDescent="0.25">
      <c r="A395">
        <v>394</v>
      </c>
      <c r="B395" s="1">
        <v>45674</v>
      </c>
      <c r="C395" t="s">
        <v>20</v>
      </c>
      <c r="D395" t="s">
        <v>26</v>
      </c>
      <c r="E395" t="s">
        <v>32</v>
      </c>
      <c r="F395" t="s">
        <v>62</v>
      </c>
      <c r="G395" t="s">
        <v>70</v>
      </c>
      <c r="H395" t="s">
        <v>73</v>
      </c>
      <c r="I395">
        <v>6</v>
      </c>
      <c r="J395">
        <v>6870</v>
      </c>
      <c r="K395">
        <v>0.15</v>
      </c>
      <c r="L395">
        <v>35037</v>
      </c>
      <c r="M395">
        <v>19953.099999999999</v>
      </c>
      <c r="N395">
        <v>15083.9</v>
      </c>
      <c r="O395" t="s">
        <v>76</v>
      </c>
      <c r="P395" t="s">
        <v>81</v>
      </c>
    </row>
    <row r="396" spans="1:16" x14ac:dyDescent="0.25">
      <c r="A396">
        <v>395</v>
      </c>
      <c r="B396" s="1">
        <v>45714</v>
      </c>
      <c r="C396" t="s">
        <v>22</v>
      </c>
      <c r="D396" t="s">
        <v>24</v>
      </c>
      <c r="E396" t="s">
        <v>32</v>
      </c>
      <c r="F396" t="s">
        <v>48</v>
      </c>
      <c r="G396" t="s">
        <v>70</v>
      </c>
      <c r="H396" t="s">
        <v>74</v>
      </c>
      <c r="I396">
        <v>6</v>
      </c>
      <c r="J396">
        <v>20990</v>
      </c>
      <c r="K396">
        <v>0.1</v>
      </c>
      <c r="L396">
        <v>113346</v>
      </c>
      <c r="M396">
        <v>83903.39</v>
      </c>
      <c r="N396">
        <v>29442.61</v>
      </c>
      <c r="O396" t="s">
        <v>80</v>
      </c>
      <c r="P396" t="s">
        <v>82</v>
      </c>
    </row>
    <row r="397" spans="1:16" x14ac:dyDescent="0.25">
      <c r="A397">
        <v>396</v>
      </c>
      <c r="B397" s="1">
        <v>45978</v>
      </c>
      <c r="C397" t="s">
        <v>20</v>
      </c>
      <c r="D397" t="s">
        <v>26</v>
      </c>
      <c r="E397" t="s">
        <v>34</v>
      </c>
      <c r="F397" t="s">
        <v>51</v>
      </c>
      <c r="G397" t="s">
        <v>72</v>
      </c>
      <c r="H397" t="s">
        <v>75</v>
      </c>
      <c r="I397">
        <v>2</v>
      </c>
      <c r="J397">
        <v>5203</v>
      </c>
      <c r="K397">
        <v>0.15</v>
      </c>
      <c r="L397">
        <v>8845.1</v>
      </c>
      <c r="M397">
        <v>5097.16</v>
      </c>
      <c r="N397">
        <v>3747.94</v>
      </c>
      <c r="O397" t="s">
        <v>79</v>
      </c>
      <c r="P397" t="s">
        <v>88</v>
      </c>
    </row>
    <row r="398" spans="1:16" x14ac:dyDescent="0.25">
      <c r="A398">
        <v>397</v>
      </c>
      <c r="B398" s="1">
        <v>45739</v>
      </c>
      <c r="C398" t="s">
        <v>17</v>
      </c>
      <c r="D398" t="s">
        <v>25</v>
      </c>
      <c r="E398" t="s">
        <v>29</v>
      </c>
      <c r="F398" t="s">
        <v>36</v>
      </c>
      <c r="G398" t="s">
        <v>72</v>
      </c>
      <c r="H398" t="s">
        <v>73</v>
      </c>
      <c r="I398">
        <v>7</v>
      </c>
      <c r="J398">
        <v>10634</v>
      </c>
      <c r="K398">
        <v>0.1</v>
      </c>
      <c r="L398">
        <v>66994.2</v>
      </c>
      <c r="M398">
        <v>49014.02</v>
      </c>
      <c r="N398">
        <v>17980.18</v>
      </c>
      <c r="O398" t="s">
        <v>80</v>
      </c>
      <c r="P398" t="s">
        <v>85</v>
      </c>
    </row>
    <row r="399" spans="1:16" x14ac:dyDescent="0.25">
      <c r="A399">
        <v>398</v>
      </c>
      <c r="B399" s="1">
        <v>45861</v>
      </c>
      <c r="C399" t="s">
        <v>20</v>
      </c>
      <c r="D399" t="s">
        <v>26</v>
      </c>
      <c r="E399" t="s">
        <v>29</v>
      </c>
      <c r="F399" t="s">
        <v>53</v>
      </c>
      <c r="G399" t="s">
        <v>72</v>
      </c>
      <c r="H399" t="s">
        <v>73</v>
      </c>
      <c r="I399">
        <v>5</v>
      </c>
      <c r="J399">
        <v>6216</v>
      </c>
      <c r="K399">
        <v>0.05</v>
      </c>
      <c r="L399">
        <v>29526</v>
      </c>
      <c r="M399">
        <v>19364.39</v>
      </c>
      <c r="N399">
        <v>10161.61</v>
      </c>
      <c r="O399" t="s">
        <v>80</v>
      </c>
      <c r="P399" t="s">
        <v>82</v>
      </c>
    </row>
    <row r="400" spans="1:16" x14ac:dyDescent="0.25">
      <c r="A400">
        <v>399</v>
      </c>
      <c r="B400" s="1">
        <v>46016</v>
      </c>
      <c r="C400" t="s">
        <v>23</v>
      </c>
      <c r="D400" t="s">
        <v>27</v>
      </c>
      <c r="E400" t="s">
        <v>32</v>
      </c>
      <c r="F400" t="s">
        <v>66</v>
      </c>
      <c r="G400" t="s">
        <v>72</v>
      </c>
      <c r="H400" t="s">
        <v>73</v>
      </c>
      <c r="I400">
        <v>2</v>
      </c>
      <c r="J400">
        <v>6515</v>
      </c>
      <c r="K400">
        <v>0</v>
      </c>
      <c r="L400">
        <v>13030</v>
      </c>
      <c r="M400">
        <v>10076.98</v>
      </c>
      <c r="N400">
        <v>2953.02</v>
      </c>
      <c r="O400" t="s">
        <v>76</v>
      </c>
      <c r="P400" t="s">
        <v>81</v>
      </c>
    </row>
    <row r="401" spans="1:16" x14ac:dyDescent="0.25">
      <c r="A401">
        <v>400</v>
      </c>
      <c r="B401" s="1">
        <v>45836</v>
      </c>
      <c r="C401" t="s">
        <v>20</v>
      </c>
      <c r="D401" t="s">
        <v>26</v>
      </c>
      <c r="E401" t="s">
        <v>31</v>
      </c>
      <c r="F401" t="s">
        <v>47</v>
      </c>
      <c r="G401" t="s">
        <v>71</v>
      </c>
      <c r="H401" t="s">
        <v>73</v>
      </c>
      <c r="I401">
        <v>5</v>
      </c>
      <c r="J401">
        <v>2361</v>
      </c>
      <c r="K401">
        <v>0.05</v>
      </c>
      <c r="L401">
        <v>11214.75</v>
      </c>
      <c r="M401">
        <v>6982.64</v>
      </c>
      <c r="N401">
        <v>4232.1099999999997</v>
      </c>
      <c r="O401" t="s">
        <v>80</v>
      </c>
      <c r="P401" t="s">
        <v>81</v>
      </c>
    </row>
    <row r="402" spans="1:16" x14ac:dyDescent="0.25">
      <c r="A402">
        <v>401</v>
      </c>
      <c r="B402" s="1">
        <v>45888</v>
      </c>
      <c r="C402" t="s">
        <v>22</v>
      </c>
      <c r="D402" t="s">
        <v>24</v>
      </c>
      <c r="E402" t="s">
        <v>31</v>
      </c>
      <c r="F402" t="s">
        <v>69</v>
      </c>
      <c r="G402" t="s">
        <v>71</v>
      </c>
      <c r="H402" t="s">
        <v>74</v>
      </c>
      <c r="I402">
        <v>5</v>
      </c>
      <c r="J402">
        <v>376</v>
      </c>
      <c r="K402">
        <v>0.2</v>
      </c>
      <c r="L402">
        <v>1504</v>
      </c>
      <c r="M402">
        <v>1224.32</v>
      </c>
      <c r="N402">
        <v>279.68</v>
      </c>
      <c r="O402" t="s">
        <v>77</v>
      </c>
      <c r="P402" t="s">
        <v>85</v>
      </c>
    </row>
    <row r="403" spans="1:16" x14ac:dyDescent="0.25">
      <c r="A403">
        <v>402</v>
      </c>
      <c r="B403" s="1">
        <v>45713</v>
      </c>
      <c r="C403" t="s">
        <v>21</v>
      </c>
      <c r="D403" t="s">
        <v>24</v>
      </c>
      <c r="E403" t="s">
        <v>34</v>
      </c>
      <c r="F403" t="s">
        <v>55</v>
      </c>
      <c r="G403" t="s">
        <v>71</v>
      </c>
      <c r="H403" t="s">
        <v>74</v>
      </c>
      <c r="I403">
        <v>6</v>
      </c>
      <c r="J403">
        <v>5689</v>
      </c>
      <c r="K403">
        <v>0</v>
      </c>
      <c r="L403">
        <v>34134</v>
      </c>
      <c r="M403">
        <v>26676.29</v>
      </c>
      <c r="N403">
        <v>7457.71</v>
      </c>
      <c r="O403" t="s">
        <v>80</v>
      </c>
      <c r="P403" t="s">
        <v>81</v>
      </c>
    </row>
    <row r="404" spans="1:16" x14ac:dyDescent="0.25">
      <c r="A404">
        <v>403</v>
      </c>
      <c r="B404" s="1">
        <v>45965</v>
      </c>
      <c r="C404" t="s">
        <v>20</v>
      </c>
      <c r="D404" t="s">
        <v>26</v>
      </c>
      <c r="E404" t="s">
        <v>33</v>
      </c>
      <c r="F404" t="s">
        <v>52</v>
      </c>
      <c r="G404" t="s">
        <v>71</v>
      </c>
      <c r="H404" t="s">
        <v>74</v>
      </c>
      <c r="I404">
        <v>6</v>
      </c>
      <c r="J404">
        <v>30591</v>
      </c>
      <c r="K404">
        <v>0.1</v>
      </c>
      <c r="L404">
        <v>165191.4</v>
      </c>
      <c r="M404">
        <v>144679.85</v>
      </c>
      <c r="N404">
        <v>20511.55</v>
      </c>
      <c r="O404" t="s">
        <v>76</v>
      </c>
      <c r="P404" t="s">
        <v>88</v>
      </c>
    </row>
    <row r="405" spans="1:16" x14ac:dyDescent="0.25">
      <c r="A405">
        <v>404</v>
      </c>
      <c r="B405" s="1">
        <v>45925</v>
      </c>
      <c r="C405" t="s">
        <v>21</v>
      </c>
      <c r="D405" t="s">
        <v>24</v>
      </c>
      <c r="E405" t="s">
        <v>32</v>
      </c>
      <c r="F405" t="s">
        <v>48</v>
      </c>
      <c r="G405" t="s">
        <v>71</v>
      </c>
      <c r="H405" t="s">
        <v>73</v>
      </c>
      <c r="I405">
        <v>1</v>
      </c>
      <c r="J405">
        <v>1839</v>
      </c>
      <c r="K405">
        <v>0.1</v>
      </c>
      <c r="L405">
        <v>1655.1</v>
      </c>
      <c r="M405">
        <v>1304.77</v>
      </c>
      <c r="N405">
        <v>350.33</v>
      </c>
      <c r="O405" t="s">
        <v>78</v>
      </c>
      <c r="P405" t="s">
        <v>82</v>
      </c>
    </row>
    <row r="406" spans="1:16" x14ac:dyDescent="0.25">
      <c r="A406">
        <v>405</v>
      </c>
      <c r="B406" s="1">
        <v>45819</v>
      </c>
      <c r="C406" t="s">
        <v>23</v>
      </c>
      <c r="D406" t="s">
        <v>27</v>
      </c>
      <c r="E406" t="s">
        <v>28</v>
      </c>
      <c r="F406" t="s">
        <v>35</v>
      </c>
      <c r="G406" t="s">
        <v>70</v>
      </c>
      <c r="H406" t="s">
        <v>73</v>
      </c>
      <c r="I406">
        <v>5</v>
      </c>
      <c r="J406">
        <v>1660</v>
      </c>
      <c r="K406">
        <v>0.15</v>
      </c>
      <c r="L406">
        <v>7055</v>
      </c>
      <c r="M406">
        <v>5527.7</v>
      </c>
      <c r="N406">
        <v>1527.3</v>
      </c>
      <c r="O406" t="s">
        <v>78</v>
      </c>
      <c r="P406" t="s">
        <v>86</v>
      </c>
    </row>
    <row r="407" spans="1:16" x14ac:dyDescent="0.25">
      <c r="A407">
        <v>406</v>
      </c>
      <c r="B407" s="1">
        <v>45871</v>
      </c>
      <c r="C407" t="s">
        <v>22</v>
      </c>
      <c r="D407" t="s">
        <v>24</v>
      </c>
      <c r="E407" t="s">
        <v>28</v>
      </c>
      <c r="F407" t="s">
        <v>54</v>
      </c>
      <c r="G407" t="s">
        <v>70</v>
      </c>
      <c r="H407" t="s">
        <v>75</v>
      </c>
      <c r="I407">
        <v>1</v>
      </c>
      <c r="J407">
        <v>1269</v>
      </c>
      <c r="K407">
        <v>0</v>
      </c>
      <c r="L407">
        <v>1269</v>
      </c>
      <c r="M407">
        <v>1060.68</v>
      </c>
      <c r="N407">
        <v>208.32</v>
      </c>
      <c r="O407" t="s">
        <v>78</v>
      </c>
      <c r="P407" t="s">
        <v>85</v>
      </c>
    </row>
    <row r="408" spans="1:16" x14ac:dyDescent="0.25">
      <c r="A408">
        <v>407</v>
      </c>
      <c r="B408" s="1">
        <v>45827</v>
      </c>
      <c r="C408" t="s">
        <v>23</v>
      </c>
      <c r="D408" t="s">
        <v>27</v>
      </c>
      <c r="E408" t="s">
        <v>31</v>
      </c>
      <c r="F408" t="s">
        <v>47</v>
      </c>
      <c r="G408" t="s">
        <v>70</v>
      </c>
      <c r="H408" t="s">
        <v>74</v>
      </c>
      <c r="I408">
        <v>7</v>
      </c>
      <c r="J408">
        <v>2497</v>
      </c>
      <c r="K408">
        <v>0.15</v>
      </c>
      <c r="L408">
        <v>14857.15</v>
      </c>
      <c r="M408">
        <v>10307.469999999999</v>
      </c>
      <c r="N408">
        <v>4549.68</v>
      </c>
      <c r="O408" t="s">
        <v>80</v>
      </c>
      <c r="P408" t="s">
        <v>86</v>
      </c>
    </row>
    <row r="409" spans="1:16" x14ac:dyDescent="0.25">
      <c r="A409">
        <v>408</v>
      </c>
      <c r="B409" s="1">
        <v>45846</v>
      </c>
      <c r="C409" t="s">
        <v>20</v>
      </c>
      <c r="D409" t="s">
        <v>26</v>
      </c>
      <c r="E409" t="s">
        <v>32</v>
      </c>
      <c r="F409" t="s">
        <v>62</v>
      </c>
      <c r="G409" t="s">
        <v>72</v>
      </c>
      <c r="H409" t="s">
        <v>75</v>
      </c>
      <c r="I409">
        <v>3</v>
      </c>
      <c r="J409">
        <v>11567</v>
      </c>
      <c r="K409">
        <v>0.15</v>
      </c>
      <c r="L409">
        <v>29495.85</v>
      </c>
      <c r="M409">
        <v>25659.38</v>
      </c>
      <c r="N409">
        <v>3836.47</v>
      </c>
      <c r="O409" t="s">
        <v>77</v>
      </c>
      <c r="P409" t="s">
        <v>83</v>
      </c>
    </row>
    <row r="410" spans="1:16" x14ac:dyDescent="0.25">
      <c r="A410">
        <v>409</v>
      </c>
      <c r="B410" s="1">
        <v>45721</v>
      </c>
      <c r="C410" t="s">
        <v>19</v>
      </c>
      <c r="D410" t="s">
        <v>26</v>
      </c>
      <c r="E410" t="s">
        <v>34</v>
      </c>
      <c r="F410" t="s">
        <v>68</v>
      </c>
      <c r="G410" t="s">
        <v>71</v>
      </c>
      <c r="H410" t="s">
        <v>74</v>
      </c>
      <c r="I410">
        <v>3</v>
      </c>
      <c r="J410">
        <v>4274</v>
      </c>
      <c r="K410">
        <v>0.2</v>
      </c>
      <c r="L410">
        <v>10257.6</v>
      </c>
      <c r="M410">
        <v>5895.42</v>
      </c>
      <c r="N410">
        <v>4362.18</v>
      </c>
      <c r="O410" t="s">
        <v>78</v>
      </c>
      <c r="P410" t="s">
        <v>84</v>
      </c>
    </row>
    <row r="411" spans="1:16" x14ac:dyDescent="0.25">
      <c r="A411">
        <v>410</v>
      </c>
      <c r="B411" s="1">
        <v>45821</v>
      </c>
      <c r="C411" t="s">
        <v>16</v>
      </c>
      <c r="D411" t="s">
        <v>24</v>
      </c>
      <c r="E411" t="s">
        <v>32</v>
      </c>
      <c r="F411" t="s">
        <v>49</v>
      </c>
      <c r="G411" t="s">
        <v>71</v>
      </c>
      <c r="H411" t="s">
        <v>73</v>
      </c>
      <c r="I411">
        <v>1</v>
      </c>
      <c r="J411">
        <v>3858</v>
      </c>
      <c r="K411">
        <v>0</v>
      </c>
      <c r="L411">
        <v>3858</v>
      </c>
      <c r="M411">
        <v>2203.6799999999998</v>
      </c>
      <c r="N411">
        <v>1654.32</v>
      </c>
      <c r="O411" t="s">
        <v>76</v>
      </c>
      <c r="P411" t="s">
        <v>83</v>
      </c>
    </row>
    <row r="412" spans="1:16" x14ac:dyDescent="0.25">
      <c r="A412">
        <v>411</v>
      </c>
      <c r="B412" s="1">
        <v>45915</v>
      </c>
      <c r="C412" t="s">
        <v>23</v>
      </c>
      <c r="D412" t="s">
        <v>27</v>
      </c>
      <c r="E412" t="s">
        <v>29</v>
      </c>
      <c r="F412" t="s">
        <v>45</v>
      </c>
      <c r="G412" t="s">
        <v>72</v>
      </c>
      <c r="H412" t="s">
        <v>74</v>
      </c>
      <c r="I412">
        <v>7</v>
      </c>
      <c r="J412">
        <v>448</v>
      </c>
      <c r="K412">
        <v>0.2</v>
      </c>
      <c r="L412">
        <v>2508.8000000000002</v>
      </c>
      <c r="M412">
        <v>1927.76</v>
      </c>
      <c r="N412">
        <v>581.04</v>
      </c>
      <c r="O412" t="s">
        <v>76</v>
      </c>
      <c r="P412" t="s">
        <v>88</v>
      </c>
    </row>
    <row r="413" spans="1:16" x14ac:dyDescent="0.25">
      <c r="A413">
        <v>412</v>
      </c>
      <c r="B413" s="1">
        <v>46003</v>
      </c>
      <c r="C413" t="s">
        <v>22</v>
      </c>
      <c r="D413" t="s">
        <v>24</v>
      </c>
      <c r="E413" t="s">
        <v>31</v>
      </c>
      <c r="F413" t="s">
        <v>47</v>
      </c>
      <c r="G413" t="s">
        <v>70</v>
      </c>
      <c r="H413" t="s">
        <v>75</v>
      </c>
      <c r="I413">
        <v>8</v>
      </c>
      <c r="J413">
        <v>1380</v>
      </c>
      <c r="K413">
        <v>0.1</v>
      </c>
      <c r="L413">
        <v>9936</v>
      </c>
      <c r="M413">
        <v>8654.4699999999993</v>
      </c>
      <c r="N413">
        <v>1281.53</v>
      </c>
      <c r="O413" t="s">
        <v>76</v>
      </c>
      <c r="P413" t="s">
        <v>81</v>
      </c>
    </row>
    <row r="414" spans="1:16" x14ac:dyDescent="0.25">
      <c r="A414">
        <v>413</v>
      </c>
      <c r="B414" s="1">
        <v>45812</v>
      </c>
      <c r="C414" t="s">
        <v>16</v>
      </c>
      <c r="D414" t="s">
        <v>24</v>
      </c>
      <c r="E414" t="s">
        <v>32</v>
      </c>
      <c r="F414" t="s">
        <v>49</v>
      </c>
      <c r="G414" t="s">
        <v>70</v>
      </c>
      <c r="H414" t="s">
        <v>74</v>
      </c>
      <c r="I414">
        <v>6</v>
      </c>
      <c r="J414">
        <v>6536</v>
      </c>
      <c r="K414">
        <v>0</v>
      </c>
      <c r="L414">
        <v>39216</v>
      </c>
      <c r="M414">
        <v>33359.870000000003</v>
      </c>
      <c r="N414">
        <v>5856.13</v>
      </c>
      <c r="O414" t="s">
        <v>80</v>
      </c>
      <c r="P414" t="s">
        <v>86</v>
      </c>
    </row>
    <row r="415" spans="1:16" x14ac:dyDescent="0.25">
      <c r="A415">
        <v>414</v>
      </c>
      <c r="B415" s="1">
        <v>45715</v>
      </c>
      <c r="C415" t="s">
        <v>21</v>
      </c>
      <c r="D415" t="s">
        <v>24</v>
      </c>
      <c r="E415" t="s">
        <v>32</v>
      </c>
      <c r="F415" t="s">
        <v>48</v>
      </c>
      <c r="G415" t="s">
        <v>71</v>
      </c>
      <c r="H415" t="s">
        <v>73</v>
      </c>
      <c r="I415">
        <v>5</v>
      </c>
      <c r="J415">
        <v>17165</v>
      </c>
      <c r="K415">
        <v>0</v>
      </c>
      <c r="L415">
        <v>85825</v>
      </c>
      <c r="M415">
        <v>63851.519999999997</v>
      </c>
      <c r="N415">
        <v>21973.48</v>
      </c>
      <c r="O415" t="s">
        <v>80</v>
      </c>
      <c r="P415" t="s">
        <v>86</v>
      </c>
    </row>
    <row r="416" spans="1:16" x14ac:dyDescent="0.25">
      <c r="A416">
        <v>415</v>
      </c>
      <c r="B416" s="1">
        <v>45823</v>
      </c>
      <c r="C416" t="s">
        <v>20</v>
      </c>
      <c r="D416" t="s">
        <v>26</v>
      </c>
      <c r="E416" t="s">
        <v>34</v>
      </c>
      <c r="F416" t="s">
        <v>51</v>
      </c>
      <c r="G416" t="s">
        <v>70</v>
      </c>
      <c r="H416" t="s">
        <v>74</v>
      </c>
      <c r="I416">
        <v>1</v>
      </c>
      <c r="J416">
        <v>4461</v>
      </c>
      <c r="K416">
        <v>0.1</v>
      </c>
      <c r="L416">
        <v>4014.9</v>
      </c>
      <c r="M416">
        <v>3037.13</v>
      </c>
      <c r="N416">
        <v>977.77</v>
      </c>
      <c r="O416" t="s">
        <v>76</v>
      </c>
      <c r="P416" t="s">
        <v>81</v>
      </c>
    </row>
    <row r="417" spans="1:16" x14ac:dyDescent="0.25">
      <c r="A417">
        <v>416</v>
      </c>
      <c r="B417" s="1">
        <v>45792</v>
      </c>
      <c r="C417" t="s">
        <v>22</v>
      </c>
      <c r="D417" t="s">
        <v>24</v>
      </c>
      <c r="E417" t="s">
        <v>30</v>
      </c>
      <c r="F417" t="s">
        <v>37</v>
      </c>
      <c r="G417" t="s">
        <v>72</v>
      </c>
      <c r="H417" t="s">
        <v>74</v>
      </c>
      <c r="I417">
        <v>2</v>
      </c>
      <c r="J417">
        <v>21769</v>
      </c>
      <c r="K417">
        <v>0.05</v>
      </c>
      <c r="L417">
        <v>41361.1</v>
      </c>
      <c r="M417">
        <v>27233.32</v>
      </c>
      <c r="N417">
        <v>14127.78</v>
      </c>
      <c r="O417" t="s">
        <v>78</v>
      </c>
      <c r="P417" t="s">
        <v>87</v>
      </c>
    </row>
    <row r="418" spans="1:16" x14ac:dyDescent="0.25">
      <c r="A418">
        <v>417</v>
      </c>
      <c r="B418" s="1">
        <v>45710</v>
      </c>
      <c r="C418" t="s">
        <v>16</v>
      </c>
      <c r="D418" t="s">
        <v>24</v>
      </c>
      <c r="E418" t="s">
        <v>32</v>
      </c>
      <c r="F418" t="s">
        <v>39</v>
      </c>
      <c r="G418" t="s">
        <v>71</v>
      </c>
      <c r="H418" t="s">
        <v>75</v>
      </c>
      <c r="I418">
        <v>7</v>
      </c>
      <c r="J418">
        <v>14149</v>
      </c>
      <c r="K418">
        <v>0</v>
      </c>
      <c r="L418">
        <v>99043</v>
      </c>
      <c r="M418">
        <v>85652.3</v>
      </c>
      <c r="N418">
        <v>13390.7</v>
      </c>
      <c r="O418" t="s">
        <v>77</v>
      </c>
      <c r="P418" t="s">
        <v>87</v>
      </c>
    </row>
    <row r="419" spans="1:16" x14ac:dyDescent="0.25">
      <c r="A419">
        <v>418</v>
      </c>
      <c r="B419" s="1">
        <v>45968</v>
      </c>
      <c r="C419" t="s">
        <v>20</v>
      </c>
      <c r="D419" t="s">
        <v>26</v>
      </c>
      <c r="E419" t="s">
        <v>29</v>
      </c>
      <c r="F419" t="s">
        <v>53</v>
      </c>
      <c r="G419" t="s">
        <v>70</v>
      </c>
      <c r="H419" t="s">
        <v>74</v>
      </c>
      <c r="I419">
        <v>5</v>
      </c>
      <c r="J419">
        <v>2463</v>
      </c>
      <c r="K419">
        <v>0.05</v>
      </c>
      <c r="L419">
        <v>11699.25</v>
      </c>
      <c r="M419">
        <v>9890.26</v>
      </c>
      <c r="N419">
        <v>1808.99</v>
      </c>
      <c r="O419" t="s">
        <v>78</v>
      </c>
      <c r="P419" t="s">
        <v>84</v>
      </c>
    </row>
    <row r="420" spans="1:16" x14ac:dyDescent="0.25">
      <c r="A420">
        <v>419</v>
      </c>
      <c r="B420" s="1">
        <v>45850</v>
      </c>
      <c r="C420" t="s">
        <v>16</v>
      </c>
      <c r="D420" t="s">
        <v>24</v>
      </c>
      <c r="E420" t="s">
        <v>33</v>
      </c>
      <c r="F420" t="s">
        <v>46</v>
      </c>
      <c r="G420" t="s">
        <v>70</v>
      </c>
      <c r="H420" t="s">
        <v>75</v>
      </c>
      <c r="I420">
        <v>3</v>
      </c>
      <c r="J420">
        <v>19982</v>
      </c>
      <c r="K420">
        <v>0.05</v>
      </c>
      <c r="L420">
        <v>56948.7</v>
      </c>
      <c r="M420">
        <v>41932.239999999998</v>
      </c>
      <c r="N420">
        <v>15016.46</v>
      </c>
      <c r="O420" t="s">
        <v>77</v>
      </c>
      <c r="P420" t="s">
        <v>82</v>
      </c>
    </row>
    <row r="421" spans="1:16" x14ac:dyDescent="0.25">
      <c r="A421">
        <v>420</v>
      </c>
      <c r="B421" s="1">
        <v>45664</v>
      </c>
      <c r="C421" t="s">
        <v>17</v>
      </c>
      <c r="D421" t="s">
        <v>25</v>
      </c>
      <c r="E421" t="s">
        <v>30</v>
      </c>
      <c r="F421" t="s">
        <v>44</v>
      </c>
      <c r="G421" t="s">
        <v>71</v>
      </c>
      <c r="H421" t="s">
        <v>74</v>
      </c>
      <c r="I421">
        <v>8</v>
      </c>
      <c r="J421">
        <v>33834</v>
      </c>
      <c r="K421">
        <v>0.05</v>
      </c>
      <c r="L421">
        <v>257138.4</v>
      </c>
      <c r="M421">
        <v>221675.41</v>
      </c>
      <c r="N421">
        <v>35462.99</v>
      </c>
      <c r="O421" t="s">
        <v>80</v>
      </c>
      <c r="P421" t="s">
        <v>86</v>
      </c>
    </row>
    <row r="422" spans="1:16" x14ac:dyDescent="0.25">
      <c r="A422">
        <v>421</v>
      </c>
      <c r="B422" s="1">
        <v>45692</v>
      </c>
      <c r="C422" t="s">
        <v>19</v>
      </c>
      <c r="D422" t="s">
        <v>26</v>
      </c>
      <c r="E422" t="s">
        <v>29</v>
      </c>
      <c r="F422" t="s">
        <v>53</v>
      </c>
      <c r="G422" t="s">
        <v>71</v>
      </c>
      <c r="H422" t="s">
        <v>73</v>
      </c>
      <c r="I422">
        <v>1</v>
      </c>
      <c r="J422">
        <v>4802</v>
      </c>
      <c r="K422">
        <v>0.1</v>
      </c>
      <c r="L422">
        <v>4321.8</v>
      </c>
      <c r="M422">
        <v>3575.02</v>
      </c>
      <c r="N422">
        <v>746.78</v>
      </c>
      <c r="O422" t="s">
        <v>78</v>
      </c>
      <c r="P422" t="s">
        <v>86</v>
      </c>
    </row>
    <row r="423" spans="1:16" x14ac:dyDescent="0.25">
      <c r="A423">
        <v>422</v>
      </c>
      <c r="B423" s="1">
        <v>45826</v>
      </c>
      <c r="C423" t="s">
        <v>23</v>
      </c>
      <c r="D423" t="s">
        <v>27</v>
      </c>
      <c r="E423" t="s">
        <v>32</v>
      </c>
      <c r="F423" t="s">
        <v>62</v>
      </c>
      <c r="G423" t="s">
        <v>70</v>
      </c>
      <c r="H423" t="s">
        <v>75</v>
      </c>
      <c r="I423">
        <v>4</v>
      </c>
      <c r="J423">
        <v>15126</v>
      </c>
      <c r="K423">
        <v>0.05</v>
      </c>
      <c r="L423">
        <v>57478.8</v>
      </c>
      <c r="M423">
        <v>48513.34</v>
      </c>
      <c r="N423">
        <v>8965.4599999999991</v>
      </c>
      <c r="O423" t="s">
        <v>79</v>
      </c>
      <c r="P423" t="s">
        <v>85</v>
      </c>
    </row>
    <row r="424" spans="1:16" x14ac:dyDescent="0.25">
      <c r="A424">
        <v>423</v>
      </c>
      <c r="B424" s="1">
        <v>45706</v>
      </c>
      <c r="C424" t="s">
        <v>20</v>
      </c>
      <c r="D424" t="s">
        <v>26</v>
      </c>
      <c r="E424" t="s">
        <v>31</v>
      </c>
      <c r="F424" t="s">
        <v>69</v>
      </c>
      <c r="G424" t="s">
        <v>71</v>
      </c>
      <c r="H424" t="s">
        <v>73</v>
      </c>
      <c r="I424">
        <v>1</v>
      </c>
      <c r="J424">
        <v>2077</v>
      </c>
      <c r="K424">
        <v>0</v>
      </c>
      <c r="L424">
        <v>2077</v>
      </c>
      <c r="M424">
        <v>1677.45</v>
      </c>
      <c r="N424">
        <v>399.55</v>
      </c>
      <c r="O424" t="s">
        <v>80</v>
      </c>
      <c r="P424" t="s">
        <v>82</v>
      </c>
    </row>
    <row r="425" spans="1:16" x14ac:dyDescent="0.25">
      <c r="A425">
        <v>424</v>
      </c>
      <c r="B425" s="1">
        <v>45686</v>
      </c>
      <c r="C425" t="s">
        <v>23</v>
      </c>
      <c r="D425" t="s">
        <v>27</v>
      </c>
      <c r="E425" t="s">
        <v>28</v>
      </c>
      <c r="F425" t="s">
        <v>54</v>
      </c>
      <c r="G425" t="s">
        <v>71</v>
      </c>
      <c r="H425" t="s">
        <v>74</v>
      </c>
      <c r="I425">
        <v>3</v>
      </c>
      <c r="J425">
        <v>1952</v>
      </c>
      <c r="K425">
        <v>0.2</v>
      </c>
      <c r="L425">
        <v>4684.8</v>
      </c>
      <c r="M425">
        <v>2946.64</v>
      </c>
      <c r="N425">
        <v>1738.16</v>
      </c>
      <c r="O425" t="s">
        <v>80</v>
      </c>
      <c r="P425" t="s">
        <v>82</v>
      </c>
    </row>
    <row r="426" spans="1:16" x14ac:dyDescent="0.25">
      <c r="A426">
        <v>425</v>
      </c>
      <c r="B426" s="1">
        <v>45803</v>
      </c>
      <c r="C426" t="s">
        <v>19</v>
      </c>
      <c r="D426" t="s">
        <v>26</v>
      </c>
      <c r="E426" t="s">
        <v>30</v>
      </c>
      <c r="F426" t="s">
        <v>44</v>
      </c>
      <c r="G426" t="s">
        <v>70</v>
      </c>
      <c r="H426" t="s">
        <v>75</v>
      </c>
      <c r="I426">
        <v>5</v>
      </c>
      <c r="J426">
        <v>69545</v>
      </c>
      <c r="K426">
        <v>0.1</v>
      </c>
      <c r="L426">
        <v>312952.5</v>
      </c>
      <c r="M426">
        <v>187211.9</v>
      </c>
      <c r="N426">
        <v>125740.6</v>
      </c>
      <c r="O426" t="s">
        <v>77</v>
      </c>
      <c r="P426" t="s">
        <v>84</v>
      </c>
    </row>
    <row r="427" spans="1:16" x14ac:dyDescent="0.25">
      <c r="A427">
        <v>426</v>
      </c>
      <c r="B427" s="1">
        <v>45771</v>
      </c>
      <c r="C427" t="s">
        <v>21</v>
      </c>
      <c r="D427" t="s">
        <v>24</v>
      </c>
      <c r="E427" t="s">
        <v>29</v>
      </c>
      <c r="F427" t="s">
        <v>45</v>
      </c>
      <c r="G427" t="s">
        <v>72</v>
      </c>
      <c r="H427" t="s">
        <v>74</v>
      </c>
      <c r="I427">
        <v>2</v>
      </c>
      <c r="J427">
        <v>4336</v>
      </c>
      <c r="K427">
        <v>0</v>
      </c>
      <c r="L427">
        <v>8672</v>
      </c>
      <c r="M427">
        <v>5009.88</v>
      </c>
      <c r="N427">
        <v>3662.12</v>
      </c>
      <c r="O427" t="s">
        <v>76</v>
      </c>
      <c r="P427" t="s">
        <v>85</v>
      </c>
    </row>
    <row r="428" spans="1:16" x14ac:dyDescent="0.25">
      <c r="A428">
        <v>427</v>
      </c>
      <c r="B428" s="1">
        <v>45702</v>
      </c>
      <c r="C428" t="s">
        <v>18</v>
      </c>
      <c r="D428" t="s">
        <v>26</v>
      </c>
      <c r="E428" t="s">
        <v>30</v>
      </c>
      <c r="F428" t="s">
        <v>37</v>
      </c>
      <c r="G428" t="s">
        <v>71</v>
      </c>
      <c r="H428" t="s">
        <v>75</v>
      </c>
      <c r="I428">
        <v>6</v>
      </c>
      <c r="J428">
        <v>36429</v>
      </c>
      <c r="K428">
        <v>0.2</v>
      </c>
      <c r="L428">
        <v>174859.2</v>
      </c>
      <c r="M428">
        <v>132507.53</v>
      </c>
      <c r="N428">
        <v>42351.67</v>
      </c>
      <c r="O428" t="s">
        <v>76</v>
      </c>
      <c r="P428" t="s">
        <v>85</v>
      </c>
    </row>
    <row r="429" spans="1:16" x14ac:dyDescent="0.25">
      <c r="A429">
        <v>428</v>
      </c>
      <c r="B429" s="1">
        <v>45957</v>
      </c>
      <c r="C429" t="s">
        <v>20</v>
      </c>
      <c r="D429" t="s">
        <v>26</v>
      </c>
      <c r="E429" t="s">
        <v>28</v>
      </c>
      <c r="F429" t="s">
        <v>61</v>
      </c>
      <c r="G429" t="s">
        <v>72</v>
      </c>
      <c r="H429" t="s">
        <v>73</v>
      </c>
      <c r="I429">
        <v>2</v>
      </c>
      <c r="J429">
        <v>1057</v>
      </c>
      <c r="K429">
        <v>0.05</v>
      </c>
      <c r="L429">
        <v>2008.3</v>
      </c>
      <c r="M429">
        <v>1424.76</v>
      </c>
      <c r="N429">
        <v>583.54</v>
      </c>
      <c r="O429" t="s">
        <v>77</v>
      </c>
      <c r="P429" t="s">
        <v>85</v>
      </c>
    </row>
    <row r="430" spans="1:16" x14ac:dyDescent="0.25">
      <c r="A430">
        <v>429</v>
      </c>
      <c r="B430" s="1">
        <v>45819</v>
      </c>
      <c r="C430" t="s">
        <v>22</v>
      </c>
      <c r="D430" t="s">
        <v>24</v>
      </c>
      <c r="E430" t="s">
        <v>28</v>
      </c>
      <c r="F430" t="s">
        <v>35</v>
      </c>
      <c r="G430" t="s">
        <v>71</v>
      </c>
      <c r="H430" t="s">
        <v>73</v>
      </c>
      <c r="I430">
        <v>5</v>
      </c>
      <c r="J430">
        <v>2315</v>
      </c>
      <c r="K430">
        <v>0.1</v>
      </c>
      <c r="L430">
        <v>10417.5</v>
      </c>
      <c r="M430">
        <v>8777.5400000000009</v>
      </c>
      <c r="N430">
        <v>1639.96</v>
      </c>
      <c r="O430" t="s">
        <v>77</v>
      </c>
      <c r="P430" t="s">
        <v>85</v>
      </c>
    </row>
    <row r="431" spans="1:16" x14ac:dyDescent="0.25">
      <c r="A431">
        <v>430</v>
      </c>
      <c r="B431" s="1">
        <v>46011</v>
      </c>
      <c r="C431" t="s">
        <v>23</v>
      </c>
      <c r="D431" t="s">
        <v>27</v>
      </c>
      <c r="E431" t="s">
        <v>34</v>
      </c>
      <c r="F431" t="s">
        <v>55</v>
      </c>
      <c r="G431" t="s">
        <v>72</v>
      </c>
      <c r="H431" t="s">
        <v>74</v>
      </c>
      <c r="I431">
        <v>8</v>
      </c>
      <c r="J431">
        <v>3847</v>
      </c>
      <c r="K431">
        <v>0</v>
      </c>
      <c r="L431">
        <v>30776</v>
      </c>
      <c r="M431">
        <v>23243.69</v>
      </c>
      <c r="N431">
        <v>7532.31</v>
      </c>
      <c r="O431" t="s">
        <v>79</v>
      </c>
      <c r="P431" t="s">
        <v>84</v>
      </c>
    </row>
    <row r="432" spans="1:16" x14ac:dyDescent="0.25">
      <c r="A432">
        <v>431</v>
      </c>
      <c r="B432" s="1">
        <v>45933</v>
      </c>
      <c r="C432" t="s">
        <v>22</v>
      </c>
      <c r="D432" t="s">
        <v>24</v>
      </c>
      <c r="E432" t="s">
        <v>33</v>
      </c>
      <c r="F432" t="s">
        <v>41</v>
      </c>
      <c r="G432" t="s">
        <v>72</v>
      </c>
      <c r="H432" t="s">
        <v>73</v>
      </c>
      <c r="I432">
        <v>3</v>
      </c>
      <c r="J432">
        <v>6923</v>
      </c>
      <c r="K432">
        <v>0.05</v>
      </c>
      <c r="L432">
        <v>19730.55</v>
      </c>
      <c r="M432">
        <v>14271.12</v>
      </c>
      <c r="N432">
        <v>5459.43</v>
      </c>
      <c r="O432" t="s">
        <v>76</v>
      </c>
      <c r="P432" t="s">
        <v>85</v>
      </c>
    </row>
    <row r="433" spans="1:16" x14ac:dyDescent="0.25">
      <c r="A433">
        <v>432</v>
      </c>
      <c r="B433" s="1">
        <v>45845</v>
      </c>
      <c r="C433" t="s">
        <v>22</v>
      </c>
      <c r="D433" t="s">
        <v>24</v>
      </c>
      <c r="E433" t="s">
        <v>33</v>
      </c>
      <c r="F433" t="s">
        <v>41</v>
      </c>
      <c r="G433" t="s">
        <v>72</v>
      </c>
      <c r="H433" t="s">
        <v>75</v>
      </c>
      <c r="I433">
        <v>3</v>
      </c>
      <c r="J433">
        <v>39887</v>
      </c>
      <c r="K433">
        <v>0.15</v>
      </c>
      <c r="L433">
        <v>101711.85</v>
      </c>
      <c r="M433">
        <v>69892.03</v>
      </c>
      <c r="N433">
        <v>31819.82</v>
      </c>
      <c r="O433" t="s">
        <v>76</v>
      </c>
      <c r="P433" t="s">
        <v>82</v>
      </c>
    </row>
    <row r="434" spans="1:16" x14ac:dyDescent="0.25">
      <c r="A434">
        <v>433</v>
      </c>
      <c r="B434" s="1">
        <v>45818</v>
      </c>
      <c r="C434" t="s">
        <v>21</v>
      </c>
      <c r="D434" t="s">
        <v>24</v>
      </c>
      <c r="E434" t="s">
        <v>30</v>
      </c>
      <c r="F434" t="s">
        <v>37</v>
      </c>
      <c r="G434" t="s">
        <v>72</v>
      </c>
      <c r="H434" t="s">
        <v>73</v>
      </c>
      <c r="I434">
        <v>2</v>
      </c>
      <c r="J434">
        <v>11469</v>
      </c>
      <c r="K434">
        <v>0.15</v>
      </c>
      <c r="L434">
        <v>19497.3</v>
      </c>
      <c r="M434">
        <v>16542.86</v>
      </c>
      <c r="N434">
        <v>2954.44</v>
      </c>
      <c r="O434" t="s">
        <v>77</v>
      </c>
      <c r="P434" t="s">
        <v>83</v>
      </c>
    </row>
    <row r="435" spans="1:16" x14ac:dyDescent="0.25">
      <c r="A435">
        <v>434</v>
      </c>
      <c r="B435" s="1">
        <v>45729</v>
      </c>
      <c r="C435" t="s">
        <v>21</v>
      </c>
      <c r="D435" t="s">
        <v>24</v>
      </c>
      <c r="E435" t="s">
        <v>30</v>
      </c>
      <c r="F435" t="s">
        <v>44</v>
      </c>
      <c r="G435" t="s">
        <v>72</v>
      </c>
      <c r="H435" t="s">
        <v>74</v>
      </c>
      <c r="I435">
        <v>2</v>
      </c>
      <c r="J435">
        <v>17105</v>
      </c>
      <c r="K435">
        <v>0.15</v>
      </c>
      <c r="L435">
        <v>29078.5</v>
      </c>
      <c r="M435">
        <v>20373.79</v>
      </c>
      <c r="N435">
        <v>8704.7099999999991</v>
      </c>
      <c r="O435" t="s">
        <v>76</v>
      </c>
      <c r="P435" t="s">
        <v>88</v>
      </c>
    </row>
    <row r="436" spans="1:16" x14ac:dyDescent="0.25">
      <c r="A436">
        <v>435</v>
      </c>
      <c r="B436" s="1">
        <v>45890</v>
      </c>
      <c r="C436" t="s">
        <v>20</v>
      </c>
      <c r="D436" t="s">
        <v>26</v>
      </c>
      <c r="E436" t="s">
        <v>28</v>
      </c>
      <c r="F436" t="s">
        <v>35</v>
      </c>
      <c r="G436" t="s">
        <v>72</v>
      </c>
      <c r="H436" t="s">
        <v>75</v>
      </c>
      <c r="I436">
        <v>1</v>
      </c>
      <c r="J436">
        <v>1137</v>
      </c>
      <c r="K436">
        <v>0</v>
      </c>
      <c r="L436">
        <v>1137</v>
      </c>
      <c r="M436">
        <v>768.7</v>
      </c>
      <c r="N436">
        <v>368.3</v>
      </c>
      <c r="O436" t="s">
        <v>79</v>
      </c>
      <c r="P436" t="s">
        <v>84</v>
      </c>
    </row>
    <row r="437" spans="1:16" x14ac:dyDescent="0.25">
      <c r="A437">
        <v>436</v>
      </c>
      <c r="B437" s="1">
        <v>45980</v>
      </c>
      <c r="C437" t="s">
        <v>23</v>
      </c>
      <c r="D437" t="s">
        <v>27</v>
      </c>
      <c r="E437" t="s">
        <v>30</v>
      </c>
      <c r="F437" t="s">
        <v>40</v>
      </c>
      <c r="G437" t="s">
        <v>71</v>
      </c>
      <c r="H437" t="s">
        <v>73</v>
      </c>
      <c r="I437">
        <v>4</v>
      </c>
      <c r="J437">
        <v>47390</v>
      </c>
      <c r="K437">
        <v>0.05</v>
      </c>
      <c r="L437">
        <v>180082</v>
      </c>
      <c r="M437">
        <v>105015</v>
      </c>
      <c r="N437">
        <v>75067</v>
      </c>
      <c r="O437" t="s">
        <v>76</v>
      </c>
      <c r="P437" t="s">
        <v>88</v>
      </c>
    </row>
    <row r="438" spans="1:16" x14ac:dyDescent="0.25">
      <c r="A438">
        <v>437</v>
      </c>
      <c r="B438" s="1">
        <v>45865</v>
      </c>
      <c r="C438" t="s">
        <v>18</v>
      </c>
      <c r="D438" t="s">
        <v>26</v>
      </c>
      <c r="E438" t="s">
        <v>33</v>
      </c>
      <c r="F438" t="s">
        <v>46</v>
      </c>
      <c r="G438" t="s">
        <v>70</v>
      </c>
      <c r="H438" t="s">
        <v>73</v>
      </c>
      <c r="I438">
        <v>3</v>
      </c>
      <c r="J438">
        <v>19897</v>
      </c>
      <c r="K438">
        <v>0.05</v>
      </c>
      <c r="L438">
        <v>56706.45</v>
      </c>
      <c r="M438">
        <v>33127.910000000003</v>
      </c>
      <c r="N438">
        <v>23578.54</v>
      </c>
      <c r="O438" t="s">
        <v>78</v>
      </c>
      <c r="P438" t="s">
        <v>87</v>
      </c>
    </row>
    <row r="439" spans="1:16" x14ac:dyDescent="0.25">
      <c r="A439">
        <v>438</v>
      </c>
      <c r="B439" s="1">
        <v>45688</v>
      </c>
      <c r="C439" t="s">
        <v>16</v>
      </c>
      <c r="D439" t="s">
        <v>24</v>
      </c>
      <c r="E439" t="s">
        <v>32</v>
      </c>
      <c r="F439" t="s">
        <v>62</v>
      </c>
      <c r="G439" t="s">
        <v>72</v>
      </c>
      <c r="H439" t="s">
        <v>75</v>
      </c>
      <c r="I439">
        <v>3</v>
      </c>
      <c r="J439">
        <v>13231</v>
      </c>
      <c r="K439">
        <v>0.15</v>
      </c>
      <c r="L439">
        <v>33739.050000000003</v>
      </c>
      <c r="M439">
        <v>23014</v>
      </c>
      <c r="N439">
        <v>10725.05</v>
      </c>
      <c r="O439" t="s">
        <v>80</v>
      </c>
      <c r="P439" t="s">
        <v>82</v>
      </c>
    </row>
    <row r="440" spans="1:16" x14ac:dyDescent="0.25">
      <c r="A440">
        <v>439</v>
      </c>
      <c r="B440" s="1">
        <v>45685</v>
      </c>
      <c r="C440" t="s">
        <v>17</v>
      </c>
      <c r="D440" t="s">
        <v>25</v>
      </c>
      <c r="E440" t="s">
        <v>28</v>
      </c>
      <c r="F440" t="s">
        <v>35</v>
      </c>
      <c r="G440" t="s">
        <v>72</v>
      </c>
      <c r="H440" t="s">
        <v>74</v>
      </c>
      <c r="I440">
        <v>8</v>
      </c>
      <c r="J440">
        <v>1041</v>
      </c>
      <c r="K440">
        <v>0</v>
      </c>
      <c r="L440">
        <v>8328</v>
      </c>
      <c r="M440">
        <v>6793.06</v>
      </c>
      <c r="N440">
        <v>1534.94</v>
      </c>
      <c r="O440" t="s">
        <v>79</v>
      </c>
      <c r="P440" t="s">
        <v>88</v>
      </c>
    </row>
    <row r="441" spans="1:16" x14ac:dyDescent="0.25">
      <c r="A441">
        <v>440</v>
      </c>
      <c r="B441" s="1">
        <v>45924</v>
      </c>
      <c r="C441" t="s">
        <v>20</v>
      </c>
      <c r="D441" t="s">
        <v>26</v>
      </c>
      <c r="E441" t="s">
        <v>33</v>
      </c>
      <c r="F441" t="s">
        <v>60</v>
      </c>
      <c r="G441" t="s">
        <v>70</v>
      </c>
      <c r="H441" t="s">
        <v>75</v>
      </c>
      <c r="I441">
        <v>2</v>
      </c>
      <c r="J441">
        <v>11364</v>
      </c>
      <c r="K441">
        <v>0.05</v>
      </c>
      <c r="L441">
        <v>21591.599999999999</v>
      </c>
      <c r="M441">
        <v>16872.759999999998</v>
      </c>
      <c r="N441">
        <v>4718.84</v>
      </c>
      <c r="O441" t="s">
        <v>78</v>
      </c>
      <c r="P441" t="s">
        <v>85</v>
      </c>
    </row>
    <row r="442" spans="1:16" x14ac:dyDescent="0.25">
      <c r="A442">
        <v>441</v>
      </c>
      <c r="B442" s="1">
        <v>45758</v>
      </c>
      <c r="C442" t="s">
        <v>16</v>
      </c>
      <c r="D442" t="s">
        <v>24</v>
      </c>
      <c r="E442" t="s">
        <v>34</v>
      </c>
      <c r="F442" t="s">
        <v>55</v>
      </c>
      <c r="G442" t="s">
        <v>71</v>
      </c>
      <c r="H442" t="s">
        <v>75</v>
      </c>
      <c r="I442">
        <v>5</v>
      </c>
      <c r="J442">
        <v>1710</v>
      </c>
      <c r="K442">
        <v>0.1</v>
      </c>
      <c r="L442">
        <v>7695</v>
      </c>
      <c r="M442">
        <v>5464.57</v>
      </c>
      <c r="N442">
        <v>2230.4299999999998</v>
      </c>
      <c r="O442" t="s">
        <v>79</v>
      </c>
      <c r="P442" t="s">
        <v>83</v>
      </c>
    </row>
    <row r="443" spans="1:16" x14ac:dyDescent="0.25">
      <c r="A443">
        <v>442</v>
      </c>
      <c r="B443" s="1">
        <v>45964</v>
      </c>
      <c r="C443" t="s">
        <v>17</v>
      </c>
      <c r="D443" t="s">
        <v>25</v>
      </c>
      <c r="E443" t="s">
        <v>33</v>
      </c>
      <c r="F443" t="s">
        <v>46</v>
      </c>
      <c r="G443" t="s">
        <v>71</v>
      </c>
      <c r="H443" t="s">
        <v>75</v>
      </c>
      <c r="I443">
        <v>8</v>
      </c>
      <c r="J443">
        <v>44774</v>
      </c>
      <c r="K443">
        <v>0</v>
      </c>
      <c r="L443">
        <v>358192</v>
      </c>
      <c r="M443">
        <v>211124.86</v>
      </c>
      <c r="N443">
        <v>147067.14000000001</v>
      </c>
      <c r="O443" t="s">
        <v>76</v>
      </c>
      <c r="P443" t="s">
        <v>86</v>
      </c>
    </row>
    <row r="444" spans="1:16" x14ac:dyDescent="0.25">
      <c r="A444">
        <v>443</v>
      </c>
      <c r="B444" s="1">
        <v>45761</v>
      </c>
      <c r="C444" t="s">
        <v>16</v>
      </c>
      <c r="D444" t="s">
        <v>24</v>
      </c>
      <c r="E444" t="s">
        <v>32</v>
      </c>
      <c r="F444" t="s">
        <v>66</v>
      </c>
      <c r="G444" t="s">
        <v>70</v>
      </c>
      <c r="H444" t="s">
        <v>74</v>
      </c>
      <c r="I444">
        <v>4</v>
      </c>
      <c r="J444">
        <v>15009</v>
      </c>
      <c r="K444">
        <v>0.15</v>
      </c>
      <c r="L444">
        <v>51030.6</v>
      </c>
      <c r="M444">
        <v>40942.230000000003</v>
      </c>
      <c r="N444">
        <v>10088.370000000001</v>
      </c>
      <c r="O444" t="s">
        <v>78</v>
      </c>
      <c r="P444" t="s">
        <v>85</v>
      </c>
    </row>
    <row r="445" spans="1:16" x14ac:dyDescent="0.25">
      <c r="A445">
        <v>444</v>
      </c>
      <c r="B445" s="1">
        <v>45835</v>
      </c>
      <c r="C445" t="s">
        <v>22</v>
      </c>
      <c r="D445" t="s">
        <v>24</v>
      </c>
      <c r="E445" t="s">
        <v>33</v>
      </c>
      <c r="F445" t="s">
        <v>52</v>
      </c>
      <c r="G445" t="s">
        <v>72</v>
      </c>
      <c r="H445" t="s">
        <v>74</v>
      </c>
      <c r="I445">
        <v>7</v>
      </c>
      <c r="J445">
        <v>47769</v>
      </c>
      <c r="K445">
        <v>0</v>
      </c>
      <c r="L445">
        <v>334383</v>
      </c>
      <c r="M445">
        <v>279536.36</v>
      </c>
      <c r="N445">
        <v>54846.64</v>
      </c>
      <c r="O445" t="s">
        <v>80</v>
      </c>
      <c r="P445" t="s">
        <v>85</v>
      </c>
    </row>
    <row r="446" spans="1:16" x14ac:dyDescent="0.25">
      <c r="A446">
        <v>445</v>
      </c>
      <c r="B446" s="1">
        <v>45673</v>
      </c>
      <c r="C446" t="s">
        <v>23</v>
      </c>
      <c r="D446" t="s">
        <v>27</v>
      </c>
      <c r="E446" t="s">
        <v>32</v>
      </c>
      <c r="F446" t="s">
        <v>39</v>
      </c>
      <c r="G446" t="s">
        <v>70</v>
      </c>
      <c r="H446" t="s">
        <v>74</v>
      </c>
      <c r="I446">
        <v>5</v>
      </c>
      <c r="J446">
        <v>17360</v>
      </c>
      <c r="K446">
        <v>0.1</v>
      </c>
      <c r="L446">
        <v>78120</v>
      </c>
      <c r="M446">
        <v>53128.07</v>
      </c>
      <c r="N446">
        <v>24991.93</v>
      </c>
      <c r="O446" t="s">
        <v>76</v>
      </c>
      <c r="P446" t="s">
        <v>81</v>
      </c>
    </row>
    <row r="447" spans="1:16" x14ac:dyDescent="0.25">
      <c r="A447">
        <v>446</v>
      </c>
      <c r="B447" s="1">
        <v>45808</v>
      </c>
      <c r="C447" t="s">
        <v>23</v>
      </c>
      <c r="D447" t="s">
        <v>27</v>
      </c>
      <c r="E447" t="s">
        <v>30</v>
      </c>
      <c r="F447" t="s">
        <v>64</v>
      </c>
      <c r="G447" t="s">
        <v>72</v>
      </c>
      <c r="H447" t="s">
        <v>73</v>
      </c>
      <c r="I447">
        <v>1</v>
      </c>
      <c r="J447">
        <v>3451</v>
      </c>
      <c r="K447">
        <v>0.1</v>
      </c>
      <c r="L447">
        <v>3105.9</v>
      </c>
      <c r="M447">
        <v>2279.59</v>
      </c>
      <c r="N447">
        <v>826.31</v>
      </c>
      <c r="O447" t="s">
        <v>76</v>
      </c>
      <c r="P447" t="s">
        <v>84</v>
      </c>
    </row>
    <row r="448" spans="1:16" x14ac:dyDescent="0.25">
      <c r="A448">
        <v>447</v>
      </c>
      <c r="B448" s="1">
        <v>46004</v>
      </c>
      <c r="C448" t="s">
        <v>16</v>
      </c>
      <c r="D448" t="s">
        <v>24</v>
      </c>
      <c r="E448" t="s">
        <v>34</v>
      </c>
      <c r="F448" t="s">
        <v>43</v>
      </c>
      <c r="G448" t="s">
        <v>71</v>
      </c>
      <c r="H448" t="s">
        <v>73</v>
      </c>
      <c r="I448">
        <v>6</v>
      </c>
      <c r="J448">
        <v>5263</v>
      </c>
      <c r="K448">
        <v>0</v>
      </c>
      <c r="L448">
        <v>31578</v>
      </c>
      <c r="M448">
        <v>20478.419999999998</v>
      </c>
      <c r="N448">
        <v>11099.58</v>
      </c>
      <c r="O448" t="s">
        <v>77</v>
      </c>
      <c r="P448" t="s">
        <v>82</v>
      </c>
    </row>
    <row r="449" spans="1:16" x14ac:dyDescent="0.25">
      <c r="A449">
        <v>448</v>
      </c>
      <c r="B449" s="1">
        <v>45930</v>
      </c>
      <c r="C449" t="s">
        <v>20</v>
      </c>
      <c r="D449" t="s">
        <v>26</v>
      </c>
      <c r="E449" t="s">
        <v>29</v>
      </c>
      <c r="F449" t="s">
        <v>42</v>
      </c>
      <c r="G449" t="s">
        <v>72</v>
      </c>
      <c r="H449" t="s">
        <v>74</v>
      </c>
      <c r="I449">
        <v>4</v>
      </c>
      <c r="J449">
        <v>6485</v>
      </c>
      <c r="K449">
        <v>0.05</v>
      </c>
      <c r="L449">
        <v>24643</v>
      </c>
      <c r="M449">
        <v>18138.07</v>
      </c>
      <c r="N449">
        <v>6504.93</v>
      </c>
      <c r="O449" t="s">
        <v>78</v>
      </c>
      <c r="P449" t="s">
        <v>85</v>
      </c>
    </row>
    <row r="450" spans="1:16" x14ac:dyDescent="0.25">
      <c r="A450">
        <v>449</v>
      </c>
      <c r="B450" s="1">
        <v>45894</v>
      </c>
      <c r="C450" t="s">
        <v>17</v>
      </c>
      <c r="D450" t="s">
        <v>25</v>
      </c>
      <c r="E450" t="s">
        <v>29</v>
      </c>
      <c r="F450" t="s">
        <v>36</v>
      </c>
      <c r="G450" t="s">
        <v>72</v>
      </c>
      <c r="H450" t="s">
        <v>74</v>
      </c>
      <c r="I450">
        <v>6</v>
      </c>
      <c r="J450">
        <v>10351</v>
      </c>
      <c r="K450">
        <v>0.1</v>
      </c>
      <c r="L450">
        <v>55895.4</v>
      </c>
      <c r="M450">
        <v>35065.54</v>
      </c>
      <c r="N450">
        <v>20829.86</v>
      </c>
      <c r="O450" t="s">
        <v>77</v>
      </c>
      <c r="P450" t="s">
        <v>83</v>
      </c>
    </row>
    <row r="451" spans="1:16" x14ac:dyDescent="0.25">
      <c r="A451">
        <v>450</v>
      </c>
      <c r="B451" s="1">
        <v>45844</v>
      </c>
      <c r="C451" t="s">
        <v>18</v>
      </c>
      <c r="D451" t="s">
        <v>26</v>
      </c>
      <c r="E451" t="s">
        <v>32</v>
      </c>
      <c r="F451" t="s">
        <v>39</v>
      </c>
      <c r="G451" t="s">
        <v>70</v>
      </c>
      <c r="H451" t="s">
        <v>75</v>
      </c>
      <c r="I451">
        <v>5</v>
      </c>
      <c r="J451">
        <v>20139</v>
      </c>
      <c r="K451">
        <v>0</v>
      </c>
      <c r="L451">
        <v>100695</v>
      </c>
      <c r="M451">
        <v>59158.63</v>
      </c>
      <c r="N451">
        <v>41536.370000000003</v>
      </c>
      <c r="O451" t="s">
        <v>77</v>
      </c>
      <c r="P451" t="s">
        <v>85</v>
      </c>
    </row>
    <row r="452" spans="1:16" x14ac:dyDescent="0.25">
      <c r="A452">
        <v>451</v>
      </c>
      <c r="B452" s="1">
        <v>45757</v>
      </c>
      <c r="C452" t="s">
        <v>22</v>
      </c>
      <c r="D452" t="s">
        <v>24</v>
      </c>
      <c r="E452" t="s">
        <v>33</v>
      </c>
      <c r="F452" t="s">
        <v>46</v>
      </c>
      <c r="G452" t="s">
        <v>72</v>
      </c>
      <c r="H452" t="s">
        <v>73</v>
      </c>
      <c r="I452">
        <v>7</v>
      </c>
      <c r="J452">
        <v>45096</v>
      </c>
      <c r="K452">
        <v>0.05</v>
      </c>
      <c r="L452">
        <v>299888.40000000002</v>
      </c>
      <c r="M452">
        <v>226350.89</v>
      </c>
      <c r="N452">
        <v>73537.509999999995</v>
      </c>
      <c r="O452" t="s">
        <v>77</v>
      </c>
      <c r="P452" t="s">
        <v>81</v>
      </c>
    </row>
    <row r="453" spans="1:16" x14ac:dyDescent="0.25">
      <c r="A453">
        <v>452</v>
      </c>
      <c r="B453" s="1">
        <v>45988</v>
      </c>
      <c r="C453" t="s">
        <v>23</v>
      </c>
      <c r="D453" t="s">
        <v>27</v>
      </c>
      <c r="E453" t="s">
        <v>32</v>
      </c>
      <c r="F453" t="s">
        <v>49</v>
      </c>
      <c r="G453" t="s">
        <v>70</v>
      </c>
      <c r="H453" t="s">
        <v>75</v>
      </c>
      <c r="I453">
        <v>8</v>
      </c>
      <c r="J453">
        <v>20070</v>
      </c>
      <c r="K453">
        <v>0.1</v>
      </c>
      <c r="L453">
        <v>144504</v>
      </c>
      <c r="M453">
        <v>124597.37</v>
      </c>
      <c r="N453">
        <v>19906.63</v>
      </c>
      <c r="O453" t="s">
        <v>76</v>
      </c>
      <c r="P453" t="s">
        <v>85</v>
      </c>
    </row>
    <row r="454" spans="1:16" x14ac:dyDescent="0.25">
      <c r="A454">
        <v>453</v>
      </c>
      <c r="B454" s="1">
        <v>45735</v>
      </c>
      <c r="C454" t="s">
        <v>21</v>
      </c>
      <c r="D454" t="s">
        <v>24</v>
      </c>
      <c r="E454" t="s">
        <v>33</v>
      </c>
      <c r="F454" t="s">
        <v>60</v>
      </c>
      <c r="G454" t="s">
        <v>71</v>
      </c>
      <c r="H454" t="s">
        <v>74</v>
      </c>
      <c r="I454">
        <v>5</v>
      </c>
      <c r="J454">
        <v>7155</v>
      </c>
      <c r="K454">
        <v>0.05</v>
      </c>
      <c r="L454">
        <v>33986.25</v>
      </c>
      <c r="M454">
        <v>21484.83</v>
      </c>
      <c r="N454">
        <v>12501.42</v>
      </c>
      <c r="O454" t="s">
        <v>80</v>
      </c>
      <c r="P454" t="s">
        <v>82</v>
      </c>
    </row>
    <row r="455" spans="1:16" x14ac:dyDescent="0.25">
      <c r="A455">
        <v>454</v>
      </c>
      <c r="B455" s="1">
        <v>45991</v>
      </c>
      <c r="C455" t="s">
        <v>23</v>
      </c>
      <c r="D455" t="s">
        <v>27</v>
      </c>
      <c r="E455" t="s">
        <v>30</v>
      </c>
      <c r="F455" t="s">
        <v>37</v>
      </c>
      <c r="G455" t="s">
        <v>71</v>
      </c>
      <c r="H455" t="s">
        <v>73</v>
      </c>
      <c r="I455">
        <v>3</v>
      </c>
      <c r="J455">
        <v>30832</v>
      </c>
      <c r="K455">
        <v>0.15</v>
      </c>
      <c r="L455">
        <v>78621.600000000006</v>
      </c>
      <c r="M455">
        <v>43501.599999999999</v>
      </c>
      <c r="N455">
        <v>35120</v>
      </c>
      <c r="O455" t="s">
        <v>78</v>
      </c>
      <c r="P455" t="s">
        <v>85</v>
      </c>
    </row>
    <row r="456" spans="1:16" x14ac:dyDescent="0.25">
      <c r="A456">
        <v>455</v>
      </c>
      <c r="B456" s="1">
        <v>45994</v>
      </c>
      <c r="C456" t="s">
        <v>21</v>
      </c>
      <c r="D456" t="s">
        <v>24</v>
      </c>
      <c r="E456" t="s">
        <v>29</v>
      </c>
      <c r="F456" t="s">
        <v>53</v>
      </c>
      <c r="G456" t="s">
        <v>70</v>
      </c>
      <c r="H456" t="s">
        <v>75</v>
      </c>
      <c r="I456">
        <v>6</v>
      </c>
      <c r="J456">
        <v>7850</v>
      </c>
      <c r="K456">
        <v>0</v>
      </c>
      <c r="L456">
        <v>47100</v>
      </c>
      <c r="M456">
        <v>28998.23</v>
      </c>
      <c r="N456">
        <v>18101.77</v>
      </c>
      <c r="O456" t="s">
        <v>77</v>
      </c>
      <c r="P456" t="s">
        <v>87</v>
      </c>
    </row>
    <row r="457" spans="1:16" x14ac:dyDescent="0.25">
      <c r="A457">
        <v>456</v>
      </c>
      <c r="B457" s="1">
        <v>45903</v>
      </c>
      <c r="C457" t="s">
        <v>20</v>
      </c>
      <c r="D457" t="s">
        <v>26</v>
      </c>
      <c r="E457" t="s">
        <v>32</v>
      </c>
      <c r="F457" t="s">
        <v>66</v>
      </c>
      <c r="G457" t="s">
        <v>70</v>
      </c>
      <c r="H457" t="s">
        <v>73</v>
      </c>
      <c r="I457">
        <v>4</v>
      </c>
      <c r="J457">
        <v>22347</v>
      </c>
      <c r="K457">
        <v>0</v>
      </c>
      <c r="L457">
        <v>89388</v>
      </c>
      <c r="M457">
        <v>77123.31</v>
      </c>
      <c r="N457">
        <v>12264.69</v>
      </c>
      <c r="O457" t="s">
        <v>78</v>
      </c>
      <c r="P457" t="s">
        <v>82</v>
      </c>
    </row>
    <row r="458" spans="1:16" x14ac:dyDescent="0.25">
      <c r="A458">
        <v>457</v>
      </c>
      <c r="B458" s="1">
        <v>45937</v>
      </c>
      <c r="C458" t="s">
        <v>22</v>
      </c>
      <c r="D458" t="s">
        <v>24</v>
      </c>
      <c r="E458" t="s">
        <v>29</v>
      </c>
      <c r="F458" t="s">
        <v>45</v>
      </c>
      <c r="G458" t="s">
        <v>71</v>
      </c>
      <c r="H458" t="s">
        <v>74</v>
      </c>
      <c r="I458">
        <v>5</v>
      </c>
      <c r="J458">
        <v>4781</v>
      </c>
      <c r="K458">
        <v>0.05</v>
      </c>
      <c r="L458">
        <v>22709.75</v>
      </c>
      <c r="M458">
        <v>15288.35</v>
      </c>
      <c r="N458">
        <v>7421.4</v>
      </c>
      <c r="O458" t="s">
        <v>78</v>
      </c>
      <c r="P458" t="s">
        <v>85</v>
      </c>
    </row>
    <row r="459" spans="1:16" x14ac:dyDescent="0.25">
      <c r="A459">
        <v>458</v>
      </c>
      <c r="B459" s="1">
        <v>45784</v>
      </c>
      <c r="C459" t="s">
        <v>23</v>
      </c>
      <c r="D459" t="s">
        <v>27</v>
      </c>
      <c r="E459" t="s">
        <v>28</v>
      </c>
      <c r="F459" t="s">
        <v>54</v>
      </c>
      <c r="G459" t="s">
        <v>72</v>
      </c>
      <c r="H459" t="s">
        <v>74</v>
      </c>
      <c r="I459">
        <v>7</v>
      </c>
      <c r="J459">
        <v>2081</v>
      </c>
      <c r="K459">
        <v>0.05</v>
      </c>
      <c r="L459">
        <v>13838.65</v>
      </c>
      <c r="M459">
        <v>9909.15</v>
      </c>
      <c r="N459">
        <v>3929.5</v>
      </c>
      <c r="O459" t="s">
        <v>77</v>
      </c>
      <c r="P459" t="s">
        <v>82</v>
      </c>
    </row>
    <row r="460" spans="1:16" x14ac:dyDescent="0.25">
      <c r="A460">
        <v>459</v>
      </c>
      <c r="B460" s="1">
        <v>45880</v>
      </c>
      <c r="C460" t="s">
        <v>23</v>
      </c>
      <c r="D460" t="s">
        <v>27</v>
      </c>
      <c r="E460" t="s">
        <v>32</v>
      </c>
      <c r="F460" t="s">
        <v>66</v>
      </c>
      <c r="G460" t="s">
        <v>71</v>
      </c>
      <c r="H460" t="s">
        <v>73</v>
      </c>
      <c r="I460">
        <v>3</v>
      </c>
      <c r="J460">
        <v>2924</v>
      </c>
      <c r="K460">
        <v>0.05</v>
      </c>
      <c r="L460">
        <v>8333.4</v>
      </c>
      <c r="M460">
        <v>5048.68</v>
      </c>
      <c r="N460">
        <v>3284.72</v>
      </c>
      <c r="O460" t="s">
        <v>79</v>
      </c>
      <c r="P460" t="s">
        <v>82</v>
      </c>
    </row>
    <row r="461" spans="1:16" x14ac:dyDescent="0.25">
      <c r="A461">
        <v>460</v>
      </c>
      <c r="B461" s="1">
        <v>45735</v>
      </c>
      <c r="C461" t="s">
        <v>20</v>
      </c>
      <c r="D461" t="s">
        <v>26</v>
      </c>
      <c r="E461" t="s">
        <v>33</v>
      </c>
      <c r="F461" t="s">
        <v>59</v>
      </c>
      <c r="G461" t="s">
        <v>72</v>
      </c>
      <c r="H461" t="s">
        <v>75</v>
      </c>
      <c r="I461">
        <v>8</v>
      </c>
      <c r="J461">
        <v>23303</v>
      </c>
      <c r="K461">
        <v>0.15</v>
      </c>
      <c r="L461">
        <v>158460.4</v>
      </c>
      <c r="M461">
        <v>98420.19</v>
      </c>
      <c r="N461">
        <v>60040.21</v>
      </c>
      <c r="O461" t="s">
        <v>77</v>
      </c>
      <c r="P461" t="s">
        <v>88</v>
      </c>
    </row>
    <row r="462" spans="1:16" x14ac:dyDescent="0.25">
      <c r="A462">
        <v>461</v>
      </c>
      <c r="B462" s="1">
        <v>45762</v>
      </c>
      <c r="C462" t="s">
        <v>23</v>
      </c>
      <c r="D462" t="s">
        <v>27</v>
      </c>
      <c r="E462" t="s">
        <v>32</v>
      </c>
      <c r="F462" t="s">
        <v>66</v>
      </c>
      <c r="G462" t="s">
        <v>72</v>
      </c>
      <c r="H462" t="s">
        <v>73</v>
      </c>
      <c r="I462">
        <v>6</v>
      </c>
      <c r="J462">
        <v>13082</v>
      </c>
      <c r="K462">
        <v>0.1</v>
      </c>
      <c r="L462">
        <v>70642.8</v>
      </c>
      <c r="M462">
        <v>49408.21</v>
      </c>
      <c r="N462">
        <v>21234.59</v>
      </c>
      <c r="O462" t="s">
        <v>80</v>
      </c>
      <c r="P462" t="s">
        <v>85</v>
      </c>
    </row>
    <row r="463" spans="1:16" x14ac:dyDescent="0.25">
      <c r="A463">
        <v>462</v>
      </c>
      <c r="B463" s="1">
        <v>45857</v>
      </c>
      <c r="C463" t="s">
        <v>19</v>
      </c>
      <c r="D463" t="s">
        <v>26</v>
      </c>
      <c r="E463" t="s">
        <v>31</v>
      </c>
      <c r="F463" t="s">
        <v>67</v>
      </c>
      <c r="G463" t="s">
        <v>72</v>
      </c>
      <c r="H463" t="s">
        <v>74</v>
      </c>
      <c r="I463">
        <v>7</v>
      </c>
      <c r="J463">
        <v>848</v>
      </c>
      <c r="K463">
        <v>0</v>
      </c>
      <c r="L463">
        <v>5936</v>
      </c>
      <c r="M463">
        <v>4016.91</v>
      </c>
      <c r="N463">
        <v>1919.09</v>
      </c>
      <c r="O463" t="s">
        <v>79</v>
      </c>
      <c r="P463" t="s">
        <v>87</v>
      </c>
    </row>
    <row r="464" spans="1:16" x14ac:dyDescent="0.25">
      <c r="A464">
        <v>463</v>
      </c>
      <c r="B464" s="1">
        <v>45921</v>
      </c>
      <c r="C464" t="s">
        <v>18</v>
      </c>
      <c r="D464" t="s">
        <v>26</v>
      </c>
      <c r="E464" t="s">
        <v>32</v>
      </c>
      <c r="F464" t="s">
        <v>48</v>
      </c>
      <c r="G464" t="s">
        <v>72</v>
      </c>
      <c r="H464" t="s">
        <v>73</v>
      </c>
      <c r="I464">
        <v>8</v>
      </c>
      <c r="J464">
        <v>18806</v>
      </c>
      <c r="K464">
        <v>0.05</v>
      </c>
      <c r="L464">
        <v>142925.6</v>
      </c>
      <c r="M464">
        <v>110306.74</v>
      </c>
      <c r="N464">
        <v>32618.86</v>
      </c>
      <c r="O464" t="s">
        <v>77</v>
      </c>
      <c r="P464" t="s">
        <v>86</v>
      </c>
    </row>
    <row r="465" spans="1:16" x14ac:dyDescent="0.25">
      <c r="A465">
        <v>464</v>
      </c>
      <c r="B465" s="1">
        <v>45665</v>
      </c>
      <c r="C465" t="s">
        <v>20</v>
      </c>
      <c r="D465" t="s">
        <v>26</v>
      </c>
      <c r="E465" t="s">
        <v>33</v>
      </c>
      <c r="F465" t="s">
        <v>60</v>
      </c>
      <c r="G465" t="s">
        <v>71</v>
      </c>
      <c r="H465" t="s">
        <v>74</v>
      </c>
      <c r="I465">
        <v>6</v>
      </c>
      <c r="J465">
        <v>31592</v>
      </c>
      <c r="K465">
        <v>0.1</v>
      </c>
      <c r="L465">
        <v>170596.8</v>
      </c>
      <c r="M465">
        <v>139361.18</v>
      </c>
      <c r="N465">
        <v>31235.62</v>
      </c>
      <c r="O465" t="s">
        <v>80</v>
      </c>
      <c r="P465" t="s">
        <v>87</v>
      </c>
    </row>
    <row r="466" spans="1:16" x14ac:dyDescent="0.25">
      <c r="A466">
        <v>465</v>
      </c>
      <c r="B466" s="1">
        <v>45878</v>
      </c>
      <c r="C466" t="s">
        <v>19</v>
      </c>
      <c r="D466" t="s">
        <v>26</v>
      </c>
      <c r="E466" t="s">
        <v>31</v>
      </c>
      <c r="F466" t="s">
        <v>67</v>
      </c>
      <c r="G466" t="s">
        <v>72</v>
      </c>
      <c r="H466" t="s">
        <v>74</v>
      </c>
      <c r="I466">
        <v>5</v>
      </c>
      <c r="J466">
        <v>214</v>
      </c>
      <c r="K466">
        <v>0.05</v>
      </c>
      <c r="L466">
        <v>1016.5</v>
      </c>
      <c r="M466">
        <v>586.41</v>
      </c>
      <c r="N466">
        <v>430.09</v>
      </c>
      <c r="O466" t="s">
        <v>79</v>
      </c>
      <c r="P466" t="s">
        <v>83</v>
      </c>
    </row>
    <row r="467" spans="1:16" x14ac:dyDescent="0.25">
      <c r="A467">
        <v>466</v>
      </c>
      <c r="B467" s="1">
        <v>45852</v>
      </c>
      <c r="C467" t="s">
        <v>22</v>
      </c>
      <c r="D467" t="s">
        <v>24</v>
      </c>
      <c r="E467" t="s">
        <v>32</v>
      </c>
      <c r="F467" t="s">
        <v>48</v>
      </c>
      <c r="G467" t="s">
        <v>71</v>
      </c>
      <c r="H467" t="s">
        <v>73</v>
      </c>
      <c r="I467">
        <v>1</v>
      </c>
      <c r="J467">
        <v>14522</v>
      </c>
      <c r="K467">
        <v>0</v>
      </c>
      <c r="L467">
        <v>14522</v>
      </c>
      <c r="M467">
        <v>11556.14</v>
      </c>
      <c r="N467">
        <v>2965.86</v>
      </c>
      <c r="O467" t="s">
        <v>80</v>
      </c>
      <c r="P467" t="s">
        <v>88</v>
      </c>
    </row>
    <row r="468" spans="1:16" x14ac:dyDescent="0.25">
      <c r="A468">
        <v>467</v>
      </c>
      <c r="B468" s="1">
        <v>45943</v>
      </c>
      <c r="C468" t="s">
        <v>22</v>
      </c>
      <c r="D468" t="s">
        <v>24</v>
      </c>
      <c r="E468" t="s">
        <v>33</v>
      </c>
      <c r="F468" t="s">
        <v>41</v>
      </c>
      <c r="G468" t="s">
        <v>72</v>
      </c>
      <c r="H468" t="s">
        <v>74</v>
      </c>
      <c r="I468">
        <v>4</v>
      </c>
      <c r="J468">
        <v>38170</v>
      </c>
      <c r="K468">
        <v>0.05</v>
      </c>
      <c r="L468">
        <v>145046</v>
      </c>
      <c r="M468">
        <v>113178.7</v>
      </c>
      <c r="N468">
        <v>31867.3</v>
      </c>
      <c r="O468" t="s">
        <v>77</v>
      </c>
      <c r="P468" t="s">
        <v>85</v>
      </c>
    </row>
    <row r="469" spans="1:16" x14ac:dyDescent="0.25">
      <c r="A469">
        <v>468</v>
      </c>
      <c r="B469" s="1">
        <v>45664</v>
      </c>
      <c r="C469" t="s">
        <v>20</v>
      </c>
      <c r="D469" t="s">
        <v>26</v>
      </c>
      <c r="E469" t="s">
        <v>28</v>
      </c>
      <c r="F469" t="s">
        <v>58</v>
      </c>
      <c r="G469" t="s">
        <v>71</v>
      </c>
      <c r="H469" t="s">
        <v>73</v>
      </c>
      <c r="I469">
        <v>6</v>
      </c>
      <c r="J469">
        <v>1436</v>
      </c>
      <c r="K469">
        <v>0.1</v>
      </c>
      <c r="L469">
        <v>7754.4</v>
      </c>
      <c r="M469">
        <v>4430.99</v>
      </c>
      <c r="N469">
        <v>3323.41</v>
      </c>
      <c r="O469" t="s">
        <v>76</v>
      </c>
      <c r="P469" t="s">
        <v>85</v>
      </c>
    </row>
    <row r="470" spans="1:16" x14ac:dyDescent="0.25">
      <c r="A470">
        <v>469</v>
      </c>
      <c r="B470" s="1">
        <v>45750</v>
      </c>
      <c r="C470" t="s">
        <v>19</v>
      </c>
      <c r="D470" t="s">
        <v>26</v>
      </c>
      <c r="E470" t="s">
        <v>31</v>
      </c>
      <c r="F470" t="s">
        <v>69</v>
      </c>
      <c r="G470" t="s">
        <v>70</v>
      </c>
      <c r="H470" t="s">
        <v>74</v>
      </c>
      <c r="I470">
        <v>7</v>
      </c>
      <c r="J470">
        <v>1805</v>
      </c>
      <c r="K470">
        <v>0.15</v>
      </c>
      <c r="L470">
        <v>10739.75</v>
      </c>
      <c r="M470">
        <v>9139.83</v>
      </c>
      <c r="N470">
        <v>1599.92</v>
      </c>
      <c r="O470" t="s">
        <v>76</v>
      </c>
      <c r="P470" t="s">
        <v>85</v>
      </c>
    </row>
    <row r="471" spans="1:16" x14ac:dyDescent="0.25">
      <c r="A471">
        <v>470</v>
      </c>
      <c r="B471" s="1">
        <v>45742</v>
      </c>
      <c r="C471" t="s">
        <v>21</v>
      </c>
      <c r="D471" t="s">
        <v>24</v>
      </c>
      <c r="E471" t="s">
        <v>34</v>
      </c>
      <c r="F471" t="s">
        <v>68</v>
      </c>
      <c r="G471" t="s">
        <v>70</v>
      </c>
      <c r="H471" t="s">
        <v>73</v>
      </c>
      <c r="I471">
        <v>3</v>
      </c>
      <c r="J471">
        <v>1544</v>
      </c>
      <c r="K471">
        <v>0.05</v>
      </c>
      <c r="L471">
        <v>4400.3999999999996</v>
      </c>
      <c r="M471">
        <v>3332.89</v>
      </c>
      <c r="N471">
        <v>1067.51</v>
      </c>
      <c r="O471" t="s">
        <v>76</v>
      </c>
      <c r="P471" t="s">
        <v>85</v>
      </c>
    </row>
    <row r="472" spans="1:16" x14ac:dyDescent="0.25">
      <c r="A472">
        <v>471</v>
      </c>
      <c r="B472" s="1">
        <v>45694</v>
      </c>
      <c r="C472" t="s">
        <v>17</v>
      </c>
      <c r="D472" t="s">
        <v>25</v>
      </c>
      <c r="E472" t="s">
        <v>29</v>
      </c>
      <c r="F472" t="s">
        <v>57</v>
      </c>
      <c r="G472" t="s">
        <v>72</v>
      </c>
      <c r="H472" t="s">
        <v>74</v>
      </c>
      <c r="I472">
        <v>4</v>
      </c>
      <c r="J472">
        <v>8447</v>
      </c>
      <c r="K472">
        <v>0.15</v>
      </c>
      <c r="L472">
        <v>28719.8</v>
      </c>
      <c r="M472">
        <v>20000.560000000001</v>
      </c>
      <c r="N472">
        <v>8719.24</v>
      </c>
      <c r="O472" t="s">
        <v>79</v>
      </c>
      <c r="P472" t="s">
        <v>86</v>
      </c>
    </row>
    <row r="473" spans="1:16" x14ac:dyDescent="0.25">
      <c r="A473">
        <v>472</v>
      </c>
      <c r="B473" s="1">
        <v>45780</v>
      </c>
      <c r="C473" t="s">
        <v>16</v>
      </c>
      <c r="D473" t="s">
        <v>24</v>
      </c>
      <c r="E473" t="s">
        <v>32</v>
      </c>
      <c r="F473" t="s">
        <v>66</v>
      </c>
      <c r="G473" t="s">
        <v>70</v>
      </c>
      <c r="H473" t="s">
        <v>74</v>
      </c>
      <c r="I473">
        <v>8</v>
      </c>
      <c r="J473">
        <v>18815</v>
      </c>
      <c r="K473">
        <v>0.1</v>
      </c>
      <c r="L473">
        <v>135468</v>
      </c>
      <c r="M473">
        <v>83818.34</v>
      </c>
      <c r="N473">
        <v>51649.66</v>
      </c>
      <c r="O473" t="s">
        <v>79</v>
      </c>
      <c r="P473" t="s">
        <v>85</v>
      </c>
    </row>
    <row r="474" spans="1:16" x14ac:dyDescent="0.25">
      <c r="A474">
        <v>473</v>
      </c>
      <c r="B474" s="1">
        <v>45833</v>
      </c>
      <c r="C474" t="s">
        <v>23</v>
      </c>
      <c r="D474" t="s">
        <v>27</v>
      </c>
      <c r="E474" t="s">
        <v>30</v>
      </c>
      <c r="F474" t="s">
        <v>64</v>
      </c>
      <c r="G474" t="s">
        <v>71</v>
      </c>
      <c r="H474" t="s">
        <v>73</v>
      </c>
      <c r="I474">
        <v>7</v>
      </c>
      <c r="J474">
        <v>38881</v>
      </c>
      <c r="K474">
        <v>0.1</v>
      </c>
      <c r="L474">
        <v>244950.3</v>
      </c>
      <c r="M474">
        <v>143040.85</v>
      </c>
      <c r="N474">
        <v>101909.45</v>
      </c>
      <c r="O474" t="s">
        <v>79</v>
      </c>
      <c r="P474" t="s">
        <v>86</v>
      </c>
    </row>
    <row r="475" spans="1:16" x14ac:dyDescent="0.25">
      <c r="A475">
        <v>474</v>
      </c>
      <c r="B475" s="1">
        <v>46003</v>
      </c>
      <c r="C475" t="s">
        <v>20</v>
      </c>
      <c r="D475" t="s">
        <v>26</v>
      </c>
      <c r="E475" t="s">
        <v>28</v>
      </c>
      <c r="F475" t="s">
        <v>35</v>
      </c>
      <c r="G475" t="s">
        <v>72</v>
      </c>
      <c r="H475" t="s">
        <v>75</v>
      </c>
      <c r="I475">
        <v>2</v>
      </c>
      <c r="J475">
        <v>2122</v>
      </c>
      <c r="K475">
        <v>0.1</v>
      </c>
      <c r="L475">
        <v>3819.6</v>
      </c>
      <c r="M475">
        <v>2578.09</v>
      </c>
      <c r="N475">
        <v>1241.51</v>
      </c>
      <c r="O475" t="s">
        <v>76</v>
      </c>
      <c r="P475" t="s">
        <v>86</v>
      </c>
    </row>
    <row r="476" spans="1:16" x14ac:dyDescent="0.25">
      <c r="A476">
        <v>475</v>
      </c>
      <c r="B476" s="1">
        <v>45703</v>
      </c>
      <c r="C476" t="s">
        <v>22</v>
      </c>
      <c r="D476" t="s">
        <v>24</v>
      </c>
      <c r="E476" t="s">
        <v>33</v>
      </c>
      <c r="F476" t="s">
        <v>46</v>
      </c>
      <c r="G476" t="s">
        <v>71</v>
      </c>
      <c r="H476" t="s">
        <v>73</v>
      </c>
      <c r="I476">
        <v>3</v>
      </c>
      <c r="J476">
        <v>10853</v>
      </c>
      <c r="K476">
        <v>0.15</v>
      </c>
      <c r="L476">
        <v>27675.15</v>
      </c>
      <c r="M476">
        <v>24325.360000000001</v>
      </c>
      <c r="N476">
        <v>3349.79</v>
      </c>
      <c r="O476" t="s">
        <v>79</v>
      </c>
      <c r="P476" t="s">
        <v>88</v>
      </c>
    </row>
    <row r="477" spans="1:16" x14ac:dyDescent="0.25">
      <c r="A477">
        <v>476</v>
      </c>
      <c r="B477" s="1">
        <v>45788</v>
      </c>
      <c r="C477" t="s">
        <v>19</v>
      </c>
      <c r="D477" t="s">
        <v>26</v>
      </c>
      <c r="E477" t="s">
        <v>31</v>
      </c>
      <c r="F477" t="s">
        <v>47</v>
      </c>
      <c r="G477" t="s">
        <v>70</v>
      </c>
      <c r="H477" t="s">
        <v>75</v>
      </c>
      <c r="I477">
        <v>1</v>
      </c>
      <c r="J477">
        <v>257</v>
      </c>
      <c r="K477">
        <v>0.15</v>
      </c>
      <c r="L477">
        <v>218.45</v>
      </c>
      <c r="M477">
        <v>124.14</v>
      </c>
      <c r="N477">
        <v>94.31</v>
      </c>
      <c r="O477" t="s">
        <v>77</v>
      </c>
      <c r="P477" t="s">
        <v>83</v>
      </c>
    </row>
    <row r="478" spans="1:16" x14ac:dyDescent="0.25">
      <c r="A478">
        <v>477</v>
      </c>
      <c r="B478" s="1">
        <v>45885</v>
      </c>
      <c r="C478" t="s">
        <v>22</v>
      </c>
      <c r="D478" t="s">
        <v>24</v>
      </c>
      <c r="E478" t="s">
        <v>32</v>
      </c>
      <c r="F478" t="s">
        <v>49</v>
      </c>
      <c r="G478" t="s">
        <v>72</v>
      </c>
      <c r="H478" t="s">
        <v>74</v>
      </c>
      <c r="I478">
        <v>6</v>
      </c>
      <c r="J478">
        <v>16938</v>
      </c>
      <c r="K478">
        <v>0.1</v>
      </c>
      <c r="L478">
        <v>91465.2</v>
      </c>
      <c r="M478">
        <v>53839.28</v>
      </c>
      <c r="N478">
        <v>37625.919999999998</v>
      </c>
      <c r="O478" t="s">
        <v>77</v>
      </c>
      <c r="P478" t="s">
        <v>84</v>
      </c>
    </row>
    <row r="479" spans="1:16" x14ac:dyDescent="0.25">
      <c r="A479">
        <v>478</v>
      </c>
      <c r="B479" s="1">
        <v>45739</v>
      </c>
      <c r="C479" t="s">
        <v>23</v>
      </c>
      <c r="D479" t="s">
        <v>27</v>
      </c>
      <c r="E479" t="s">
        <v>33</v>
      </c>
      <c r="F479" t="s">
        <v>52</v>
      </c>
      <c r="G479" t="s">
        <v>71</v>
      </c>
      <c r="H479" t="s">
        <v>74</v>
      </c>
      <c r="I479">
        <v>4</v>
      </c>
      <c r="J479">
        <v>44995</v>
      </c>
      <c r="K479">
        <v>0.05</v>
      </c>
      <c r="L479">
        <v>170981</v>
      </c>
      <c r="M479">
        <v>106322.98</v>
      </c>
      <c r="N479">
        <v>64658.02</v>
      </c>
      <c r="O479" t="s">
        <v>80</v>
      </c>
      <c r="P479" t="s">
        <v>86</v>
      </c>
    </row>
    <row r="480" spans="1:16" x14ac:dyDescent="0.25">
      <c r="A480">
        <v>479</v>
      </c>
      <c r="B480" s="1">
        <v>45968</v>
      </c>
      <c r="C480" t="s">
        <v>20</v>
      </c>
      <c r="D480" t="s">
        <v>26</v>
      </c>
      <c r="E480" t="s">
        <v>28</v>
      </c>
      <c r="F480" t="s">
        <v>58</v>
      </c>
      <c r="G480" t="s">
        <v>71</v>
      </c>
      <c r="H480" t="s">
        <v>74</v>
      </c>
      <c r="I480">
        <v>1</v>
      </c>
      <c r="J480">
        <v>2138</v>
      </c>
      <c r="K480">
        <v>0</v>
      </c>
      <c r="L480">
        <v>2138</v>
      </c>
      <c r="M480">
        <v>1640.43</v>
      </c>
      <c r="N480">
        <v>497.57</v>
      </c>
      <c r="O480" t="s">
        <v>77</v>
      </c>
      <c r="P480" t="s">
        <v>81</v>
      </c>
    </row>
    <row r="481" spans="1:16" x14ac:dyDescent="0.25">
      <c r="A481">
        <v>480</v>
      </c>
      <c r="B481" s="1">
        <v>45886</v>
      </c>
      <c r="C481" t="s">
        <v>20</v>
      </c>
      <c r="D481" t="s">
        <v>26</v>
      </c>
      <c r="E481" t="s">
        <v>30</v>
      </c>
      <c r="F481" t="s">
        <v>40</v>
      </c>
      <c r="G481" t="s">
        <v>72</v>
      </c>
      <c r="H481" t="s">
        <v>75</v>
      </c>
      <c r="I481">
        <v>2</v>
      </c>
      <c r="J481">
        <v>43938</v>
      </c>
      <c r="K481">
        <v>0</v>
      </c>
      <c r="L481">
        <v>87876</v>
      </c>
      <c r="M481">
        <v>63906.73</v>
      </c>
      <c r="N481">
        <v>23969.27</v>
      </c>
      <c r="O481" t="s">
        <v>80</v>
      </c>
      <c r="P481" t="s">
        <v>84</v>
      </c>
    </row>
    <row r="482" spans="1:16" x14ac:dyDescent="0.25">
      <c r="A482">
        <v>481</v>
      </c>
      <c r="B482" s="1">
        <v>45686</v>
      </c>
      <c r="C482" t="s">
        <v>16</v>
      </c>
      <c r="D482" t="s">
        <v>24</v>
      </c>
      <c r="E482" t="s">
        <v>28</v>
      </c>
      <c r="F482" t="s">
        <v>63</v>
      </c>
      <c r="G482" t="s">
        <v>72</v>
      </c>
      <c r="H482" t="s">
        <v>74</v>
      </c>
      <c r="I482">
        <v>5</v>
      </c>
      <c r="J482">
        <v>2356</v>
      </c>
      <c r="K482">
        <v>0.1</v>
      </c>
      <c r="L482">
        <v>10602</v>
      </c>
      <c r="M482">
        <v>8985.6</v>
      </c>
      <c r="N482">
        <v>1616.4</v>
      </c>
      <c r="O482" t="s">
        <v>78</v>
      </c>
      <c r="P482" t="s">
        <v>85</v>
      </c>
    </row>
    <row r="483" spans="1:16" x14ac:dyDescent="0.25">
      <c r="A483">
        <v>482</v>
      </c>
      <c r="B483" s="1">
        <v>45760</v>
      </c>
      <c r="C483" t="s">
        <v>17</v>
      </c>
      <c r="D483" t="s">
        <v>25</v>
      </c>
      <c r="E483" t="s">
        <v>33</v>
      </c>
      <c r="F483" t="s">
        <v>41</v>
      </c>
      <c r="G483" t="s">
        <v>71</v>
      </c>
      <c r="H483" t="s">
        <v>74</v>
      </c>
      <c r="I483">
        <v>3</v>
      </c>
      <c r="J483">
        <v>41174</v>
      </c>
      <c r="K483">
        <v>0.05</v>
      </c>
      <c r="L483">
        <v>117345.9</v>
      </c>
      <c r="M483">
        <v>84638.92</v>
      </c>
      <c r="N483">
        <v>32706.98</v>
      </c>
      <c r="O483" t="s">
        <v>79</v>
      </c>
      <c r="P483" t="s">
        <v>85</v>
      </c>
    </row>
    <row r="484" spans="1:16" x14ac:dyDescent="0.25">
      <c r="A484">
        <v>483</v>
      </c>
      <c r="B484" s="1">
        <v>45850</v>
      </c>
      <c r="C484" t="s">
        <v>21</v>
      </c>
      <c r="D484" t="s">
        <v>24</v>
      </c>
      <c r="E484" t="s">
        <v>32</v>
      </c>
      <c r="F484" t="s">
        <v>39</v>
      </c>
      <c r="G484" t="s">
        <v>71</v>
      </c>
      <c r="H484" t="s">
        <v>74</v>
      </c>
      <c r="I484">
        <v>4</v>
      </c>
      <c r="J484">
        <v>12308</v>
      </c>
      <c r="K484">
        <v>0.05</v>
      </c>
      <c r="L484">
        <v>46770.400000000001</v>
      </c>
      <c r="M484">
        <v>26540.75</v>
      </c>
      <c r="N484">
        <v>20229.650000000001</v>
      </c>
      <c r="O484" t="s">
        <v>78</v>
      </c>
      <c r="P484" t="s">
        <v>88</v>
      </c>
    </row>
    <row r="485" spans="1:16" x14ac:dyDescent="0.25">
      <c r="A485">
        <v>484</v>
      </c>
      <c r="B485" s="1">
        <v>45802</v>
      </c>
      <c r="C485" t="s">
        <v>23</v>
      </c>
      <c r="D485" t="s">
        <v>27</v>
      </c>
      <c r="E485" t="s">
        <v>30</v>
      </c>
      <c r="F485" t="s">
        <v>64</v>
      </c>
      <c r="G485" t="s">
        <v>71</v>
      </c>
      <c r="H485" t="s">
        <v>75</v>
      </c>
      <c r="I485">
        <v>7</v>
      </c>
      <c r="J485">
        <v>67701</v>
      </c>
      <c r="K485">
        <v>0.2</v>
      </c>
      <c r="L485">
        <v>379125.6</v>
      </c>
      <c r="M485">
        <v>311811.52</v>
      </c>
      <c r="N485">
        <v>67314.080000000002</v>
      </c>
      <c r="O485" t="s">
        <v>79</v>
      </c>
      <c r="P485" t="s">
        <v>84</v>
      </c>
    </row>
    <row r="486" spans="1:16" x14ac:dyDescent="0.25">
      <c r="A486">
        <v>485</v>
      </c>
      <c r="B486" s="1">
        <v>46010</v>
      </c>
      <c r="C486" t="s">
        <v>18</v>
      </c>
      <c r="D486" t="s">
        <v>26</v>
      </c>
      <c r="E486" t="s">
        <v>29</v>
      </c>
      <c r="F486" t="s">
        <v>53</v>
      </c>
      <c r="G486" t="s">
        <v>70</v>
      </c>
      <c r="H486" t="s">
        <v>75</v>
      </c>
      <c r="I486">
        <v>2</v>
      </c>
      <c r="J486">
        <v>9180</v>
      </c>
      <c r="K486">
        <v>0.05</v>
      </c>
      <c r="L486">
        <v>17442</v>
      </c>
      <c r="M486">
        <v>11329.43</v>
      </c>
      <c r="N486">
        <v>6112.57</v>
      </c>
      <c r="O486" t="s">
        <v>79</v>
      </c>
      <c r="P486" t="s">
        <v>87</v>
      </c>
    </row>
    <row r="487" spans="1:16" x14ac:dyDescent="0.25">
      <c r="A487">
        <v>486</v>
      </c>
      <c r="B487" s="1">
        <v>45705</v>
      </c>
      <c r="C487" t="s">
        <v>17</v>
      </c>
      <c r="D487" t="s">
        <v>25</v>
      </c>
      <c r="E487" t="s">
        <v>31</v>
      </c>
      <c r="F487" t="s">
        <v>38</v>
      </c>
      <c r="G487" t="s">
        <v>72</v>
      </c>
      <c r="H487" t="s">
        <v>73</v>
      </c>
      <c r="I487">
        <v>4</v>
      </c>
      <c r="J487">
        <v>2324</v>
      </c>
      <c r="K487">
        <v>0</v>
      </c>
      <c r="L487">
        <v>9296</v>
      </c>
      <c r="M487">
        <v>6708.41</v>
      </c>
      <c r="N487">
        <v>2587.59</v>
      </c>
      <c r="O487" t="s">
        <v>78</v>
      </c>
      <c r="P487" t="s">
        <v>84</v>
      </c>
    </row>
    <row r="488" spans="1:16" x14ac:dyDescent="0.25">
      <c r="A488">
        <v>487</v>
      </c>
      <c r="B488" s="1">
        <v>46013</v>
      </c>
      <c r="C488" t="s">
        <v>18</v>
      </c>
      <c r="D488" t="s">
        <v>26</v>
      </c>
      <c r="E488" t="s">
        <v>33</v>
      </c>
      <c r="F488" t="s">
        <v>59</v>
      </c>
      <c r="G488" t="s">
        <v>70</v>
      </c>
      <c r="H488" t="s">
        <v>73</v>
      </c>
      <c r="I488">
        <v>2</v>
      </c>
      <c r="J488">
        <v>43593</v>
      </c>
      <c r="K488">
        <v>0.1</v>
      </c>
      <c r="L488">
        <v>78467.399999999994</v>
      </c>
      <c r="M488">
        <v>58439.09</v>
      </c>
      <c r="N488">
        <v>20028.310000000001</v>
      </c>
      <c r="O488" t="s">
        <v>77</v>
      </c>
      <c r="P488" t="s">
        <v>86</v>
      </c>
    </row>
    <row r="489" spans="1:16" x14ac:dyDescent="0.25">
      <c r="A489">
        <v>488</v>
      </c>
      <c r="B489" s="1">
        <v>45833</v>
      </c>
      <c r="C489" t="s">
        <v>21</v>
      </c>
      <c r="D489" t="s">
        <v>24</v>
      </c>
      <c r="E489" t="s">
        <v>29</v>
      </c>
      <c r="F489" t="s">
        <v>42</v>
      </c>
      <c r="G489" t="s">
        <v>70</v>
      </c>
      <c r="H489" t="s">
        <v>75</v>
      </c>
      <c r="I489">
        <v>2</v>
      </c>
      <c r="J489">
        <v>4405</v>
      </c>
      <c r="K489">
        <v>0.1</v>
      </c>
      <c r="L489">
        <v>7929</v>
      </c>
      <c r="M489">
        <v>6191.31</v>
      </c>
      <c r="N489">
        <v>1737.69</v>
      </c>
      <c r="O489" t="s">
        <v>79</v>
      </c>
      <c r="P489" t="s">
        <v>88</v>
      </c>
    </row>
    <row r="490" spans="1:16" x14ac:dyDescent="0.25">
      <c r="A490">
        <v>489</v>
      </c>
      <c r="B490" s="1">
        <v>45803</v>
      </c>
      <c r="C490" t="s">
        <v>18</v>
      </c>
      <c r="D490" t="s">
        <v>26</v>
      </c>
      <c r="E490" t="s">
        <v>30</v>
      </c>
      <c r="F490" t="s">
        <v>44</v>
      </c>
      <c r="G490" t="s">
        <v>70</v>
      </c>
      <c r="H490" t="s">
        <v>74</v>
      </c>
      <c r="I490">
        <v>1</v>
      </c>
      <c r="J490">
        <v>13541</v>
      </c>
      <c r="K490">
        <v>0.15</v>
      </c>
      <c r="L490">
        <v>11509.85</v>
      </c>
      <c r="M490">
        <v>7347.09</v>
      </c>
      <c r="N490">
        <v>4162.76</v>
      </c>
      <c r="O490" t="s">
        <v>80</v>
      </c>
      <c r="P490" t="s">
        <v>82</v>
      </c>
    </row>
    <row r="491" spans="1:16" x14ac:dyDescent="0.25">
      <c r="A491">
        <v>490</v>
      </c>
      <c r="B491" s="1">
        <v>45795</v>
      </c>
      <c r="C491" t="s">
        <v>20</v>
      </c>
      <c r="D491" t="s">
        <v>26</v>
      </c>
      <c r="E491" t="s">
        <v>30</v>
      </c>
      <c r="F491" t="s">
        <v>64</v>
      </c>
      <c r="G491" t="s">
        <v>72</v>
      </c>
      <c r="H491" t="s">
        <v>75</v>
      </c>
      <c r="I491">
        <v>2</v>
      </c>
      <c r="J491">
        <v>22890</v>
      </c>
      <c r="K491">
        <v>0</v>
      </c>
      <c r="L491">
        <v>45780</v>
      </c>
      <c r="M491">
        <v>31493.42</v>
      </c>
      <c r="N491">
        <v>14286.58</v>
      </c>
      <c r="O491" t="s">
        <v>78</v>
      </c>
      <c r="P491" t="s">
        <v>88</v>
      </c>
    </row>
    <row r="492" spans="1:16" x14ac:dyDescent="0.25">
      <c r="A492">
        <v>491</v>
      </c>
      <c r="B492" s="1">
        <v>45722</v>
      </c>
      <c r="C492" t="s">
        <v>21</v>
      </c>
      <c r="D492" t="s">
        <v>24</v>
      </c>
      <c r="E492" t="s">
        <v>30</v>
      </c>
      <c r="F492" t="s">
        <v>37</v>
      </c>
      <c r="G492" t="s">
        <v>72</v>
      </c>
      <c r="H492" t="s">
        <v>74</v>
      </c>
      <c r="I492">
        <v>2</v>
      </c>
      <c r="J492">
        <v>25624</v>
      </c>
      <c r="K492">
        <v>0</v>
      </c>
      <c r="L492">
        <v>51248</v>
      </c>
      <c r="M492">
        <v>34031.589999999997</v>
      </c>
      <c r="N492">
        <v>17216.41</v>
      </c>
      <c r="O492" t="s">
        <v>77</v>
      </c>
      <c r="P492" t="s">
        <v>86</v>
      </c>
    </row>
    <row r="493" spans="1:16" x14ac:dyDescent="0.25">
      <c r="A493">
        <v>492</v>
      </c>
      <c r="B493" s="1">
        <v>46008</v>
      </c>
      <c r="C493" t="s">
        <v>21</v>
      </c>
      <c r="D493" t="s">
        <v>24</v>
      </c>
      <c r="E493" t="s">
        <v>34</v>
      </c>
      <c r="F493" t="s">
        <v>68</v>
      </c>
      <c r="G493" t="s">
        <v>70</v>
      </c>
      <c r="H493" t="s">
        <v>73</v>
      </c>
      <c r="I493">
        <v>2</v>
      </c>
      <c r="J493">
        <v>1336</v>
      </c>
      <c r="K493">
        <v>0.1</v>
      </c>
      <c r="L493">
        <v>2404.8000000000002</v>
      </c>
      <c r="M493">
        <v>1335.44</v>
      </c>
      <c r="N493">
        <v>1069.3599999999999</v>
      </c>
      <c r="O493" t="s">
        <v>80</v>
      </c>
      <c r="P493" t="s">
        <v>88</v>
      </c>
    </row>
    <row r="494" spans="1:16" x14ac:dyDescent="0.25">
      <c r="A494">
        <v>493</v>
      </c>
      <c r="B494" s="1">
        <v>45795</v>
      </c>
      <c r="C494" t="s">
        <v>16</v>
      </c>
      <c r="D494" t="s">
        <v>24</v>
      </c>
      <c r="E494" t="s">
        <v>29</v>
      </c>
      <c r="F494" t="s">
        <v>53</v>
      </c>
      <c r="G494" t="s">
        <v>72</v>
      </c>
      <c r="H494" t="s">
        <v>74</v>
      </c>
      <c r="I494">
        <v>7</v>
      </c>
      <c r="J494">
        <v>6569</v>
      </c>
      <c r="K494">
        <v>0.05</v>
      </c>
      <c r="L494">
        <v>43683.85</v>
      </c>
      <c r="M494">
        <v>35686.36</v>
      </c>
      <c r="N494">
        <v>7997.49</v>
      </c>
      <c r="O494" t="s">
        <v>80</v>
      </c>
      <c r="P494" t="s">
        <v>84</v>
      </c>
    </row>
    <row r="495" spans="1:16" x14ac:dyDescent="0.25">
      <c r="A495">
        <v>494</v>
      </c>
      <c r="B495" s="1">
        <v>45679</v>
      </c>
      <c r="C495" t="s">
        <v>23</v>
      </c>
      <c r="D495" t="s">
        <v>27</v>
      </c>
      <c r="E495" t="s">
        <v>30</v>
      </c>
      <c r="F495" t="s">
        <v>56</v>
      </c>
      <c r="G495" t="s">
        <v>72</v>
      </c>
      <c r="H495" t="s">
        <v>75</v>
      </c>
      <c r="I495">
        <v>1</v>
      </c>
      <c r="J495">
        <v>63279</v>
      </c>
      <c r="K495">
        <v>0</v>
      </c>
      <c r="L495">
        <v>63279</v>
      </c>
      <c r="M495">
        <v>49606.75</v>
      </c>
      <c r="N495">
        <v>13672.25</v>
      </c>
      <c r="O495" t="s">
        <v>79</v>
      </c>
      <c r="P495" t="s">
        <v>87</v>
      </c>
    </row>
    <row r="496" spans="1:16" x14ac:dyDescent="0.25">
      <c r="A496">
        <v>495</v>
      </c>
      <c r="B496" s="1">
        <v>45868</v>
      </c>
      <c r="C496" t="s">
        <v>22</v>
      </c>
      <c r="D496" t="s">
        <v>24</v>
      </c>
      <c r="E496" t="s">
        <v>28</v>
      </c>
      <c r="F496" t="s">
        <v>63</v>
      </c>
      <c r="G496" t="s">
        <v>71</v>
      </c>
      <c r="H496" t="s">
        <v>74</v>
      </c>
      <c r="I496">
        <v>8</v>
      </c>
      <c r="J496">
        <v>271</v>
      </c>
      <c r="K496">
        <v>0</v>
      </c>
      <c r="L496">
        <v>2168</v>
      </c>
      <c r="M496">
        <v>1433.76</v>
      </c>
      <c r="N496">
        <v>734.24</v>
      </c>
      <c r="O496" t="s">
        <v>79</v>
      </c>
      <c r="P496" t="s">
        <v>81</v>
      </c>
    </row>
    <row r="497" spans="1:16" x14ac:dyDescent="0.25">
      <c r="A497">
        <v>496</v>
      </c>
      <c r="B497" s="1">
        <v>45943</v>
      </c>
      <c r="C497" t="s">
        <v>23</v>
      </c>
      <c r="D497" t="s">
        <v>27</v>
      </c>
      <c r="E497" t="s">
        <v>31</v>
      </c>
      <c r="F497" t="s">
        <v>47</v>
      </c>
      <c r="G497" t="s">
        <v>72</v>
      </c>
      <c r="H497" t="s">
        <v>74</v>
      </c>
      <c r="I497">
        <v>3</v>
      </c>
      <c r="J497">
        <v>1627</v>
      </c>
      <c r="K497">
        <v>0</v>
      </c>
      <c r="L497">
        <v>4881</v>
      </c>
      <c r="M497">
        <v>3068.1</v>
      </c>
      <c r="N497">
        <v>1812.9</v>
      </c>
      <c r="O497" t="s">
        <v>78</v>
      </c>
      <c r="P497" t="s">
        <v>84</v>
      </c>
    </row>
    <row r="498" spans="1:16" x14ac:dyDescent="0.25">
      <c r="A498">
        <v>497</v>
      </c>
      <c r="B498" s="1">
        <v>45858</v>
      </c>
      <c r="C498" t="s">
        <v>21</v>
      </c>
      <c r="D498" t="s">
        <v>24</v>
      </c>
      <c r="E498" t="s">
        <v>30</v>
      </c>
      <c r="F498" t="s">
        <v>44</v>
      </c>
      <c r="G498" t="s">
        <v>71</v>
      </c>
      <c r="H498" t="s">
        <v>75</v>
      </c>
      <c r="I498">
        <v>2</v>
      </c>
      <c r="J498">
        <v>16901</v>
      </c>
      <c r="K498">
        <v>0.05</v>
      </c>
      <c r="L498">
        <v>32111.9</v>
      </c>
      <c r="M498">
        <v>23573.35</v>
      </c>
      <c r="N498">
        <v>8538.5499999999993</v>
      </c>
      <c r="O498" t="s">
        <v>80</v>
      </c>
      <c r="P498" t="s">
        <v>83</v>
      </c>
    </row>
    <row r="499" spans="1:16" x14ac:dyDescent="0.25">
      <c r="A499">
        <v>498</v>
      </c>
      <c r="B499" s="1">
        <v>45762</v>
      </c>
      <c r="C499" t="s">
        <v>20</v>
      </c>
      <c r="D499" t="s">
        <v>26</v>
      </c>
      <c r="E499" t="s">
        <v>32</v>
      </c>
      <c r="F499" t="s">
        <v>48</v>
      </c>
      <c r="G499" t="s">
        <v>70</v>
      </c>
      <c r="H499" t="s">
        <v>73</v>
      </c>
      <c r="I499">
        <v>4</v>
      </c>
      <c r="J499">
        <v>23522</v>
      </c>
      <c r="K499">
        <v>0.2</v>
      </c>
      <c r="L499">
        <v>75270.399999999994</v>
      </c>
      <c r="M499">
        <v>47168.62</v>
      </c>
      <c r="N499">
        <v>28101.78</v>
      </c>
      <c r="O499" t="s">
        <v>80</v>
      </c>
      <c r="P499" t="s">
        <v>86</v>
      </c>
    </row>
    <row r="500" spans="1:16" x14ac:dyDescent="0.25">
      <c r="A500">
        <v>499</v>
      </c>
      <c r="B500" s="1">
        <v>45742</v>
      </c>
      <c r="C500" t="s">
        <v>17</v>
      </c>
      <c r="D500" t="s">
        <v>25</v>
      </c>
      <c r="E500" t="s">
        <v>29</v>
      </c>
      <c r="F500" t="s">
        <v>53</v>
      </c>
      <c r="G500" t="s">
        <v>71</v>
      </c>
      <c r="H500" t="s">
        <v>74</v>
      </c>
      <c r="I500">
        <v>8</v>
      </c>
      <c r="J500">
        <v>6041</v>
      </c>
      <c r="K500">
        <v>0</v>
      </c>
      <c r="L500">
        <v>48328</v>
      </c>
      <c r="M500">
        <v>33376.300000000003</v>
      </c>
      <c r="N500">
        <v>14951.7</v>
      </c>
      <c r="O500" t="s">
        <v>80</v>
      </c>
      <c r="P500" t="s">
        <v>82</v>
      </c>
    </row>
    <row r="501" spans="1:16" x14ac:dyDescent="0.25">
      <c r="A501">
        <v>500</v>
      </c>
      <c r="B501" s="1">
        <v>45974</v>
      </c>
      <c r="C501" t="s">
        <v>23</v>
      </c>
      <c r="D501" t="s">
        <v>27</v>
      </c>
      <c r="E501" t="s">
        <v>28</v>
      </c>
      <c r="F501" t="s">
        <v>61</v>
      </c>
      <c r="G501" t="s">
        <v>71</v>
      </c>
      <c r="H501" t="s">
        <v>74</v>
      </c>
      <c r="I501">
        <v>2</v>
      </c>
      <c r="J501">
        <v>1369</v>
      </c>
      <c r="K501">
        <v>0.05</v>
      </c>
      <c r="L501">
        <v>2601.1</v>
      </c>
      <c r="M501">
        <v>1772.64</v>
      </c>
      <c r="N501">
        <v>828.46</v>
      </c>
      <c r="O501" t="s">
        <v>79</v>
      </c>
      <c r="P501" t="s">
        <v>82</v>
      </c>
    </row>
    <row r="502" spans="1:16" x14ac:dyDescent="0.25">
      <c r="A502">
        <v>501</v>
      </c>
      <c r="B502" s="1">
        <v>45880</v>
      </c>
      <c r="C502" t="s">
        <v>18</v>
      </c>
      <c r="D502" t="s">
        <v>26</v>
      </c>
      <c r="E502" t="s">
        <v>34</v>
      </c>
      <c r="F502" t="s">
        <v>65</v>
      </c>
      <c r="G502" t="s">
        <v>70</v>
      </c>
      <c r="H502" t="s">
        <v>74</v>
      </c>
      <c r="I502">
        <v>1</v>
      </c>
      <c r="J502">
        <v>5237</v>
      </c>
      <c r="K502">
        <v>0.05</v>
      </c>
      <c r="L502">
        <v>4975.1499999999996</v>
      </c>
      <c r="M502">
        <v>4049.27</v>
      </c>
      <c r="N502">
        <v>925.88</v>
      </c>
      <c r="O502" t="s">
        <v>78</v>
      </c>
      <c r="P502" t="s">
        <v>86</v>
      </c>
    </row>
    <row r="503" spans="1:16" x14ac:dyDescent="0.25">
      <c r="A503">
        <v>502</v>
      </c>
      <c r="B503" s="1">
        <v>45862</v>
      </c>
      <c r="C503" t="s">
        <v>19</v>
      </c>
      <c r="D503" t="s">
        <v>26</v>
      </c>
      <c r="E503" t="s">
        <v>34</v>
      </c>
      <c r="F503" t="s">
        <v>51</v>
      </c>
      <c r="G503" t="s">
        <v>72</v>
      </c>
      <c r="H503" t="s">
        <v>75</v>
      </c>
      <c r="I503">
        <v>3</v>
      </c>
      <c r="J503">
        <v>1039</v>
      </c>
      <c r="K503">
        <v>0.15</v>
      </c>
      <c r="L503">
        <v>2649.45</v>
      </c>
      <c r="M503">
        <v>2156.79</v>
      </c>
      <c r="N503">
        <v>492.66</v>
      </c>
      <c r="O503" t="s">
        <v>78</v>
      </c>
      <c r="P503" t="s">
        <v>87</v>
      </c>
    </row>
    <row r="504" spans="1:16" x14ac:dyDescent="0.25">
      <c r="A504">
        <v>503</v>
      </c>
      <c r="B504" s="1">
        <v>45935</v>
      </c>
      <c r="C504" t="s">
        <v>20</v>
      </c>
      <c r="D504" t="s">
        <v>26</v>
      </c>
      <c r="E504" t="s">
        <v>32</v>
      </c>
      <c r="F504" t="s">
        <v>39</v>
      </c>
      <c r="G504" t="s">
        <v>71</v>
      </c>
      <c r="H504" t="s">
        <v>73</v>
      </c>
      <c r="I504">
        <v>8</v>
      </c>
      <c r="J504">
        <v>11172</v>
      </c>
      <c r="K504">
        <v>0.05</v>
      </c>
      <c r="L504">
        <v>84907.199999999997</v>
      </c>
      <c r="M504">
        <v>72901.52</v>
      </c>
      <c r="N504">
        <v>12005.68</v>
      </c>
      <c r="O504" t="s">
        <v>77</v>
      </c>
      <c r="P504" t="s">
        <v>85</v>
      </c>
    </row>
    <row r="505" spans="1:16" x14ac:dyDescent="0.25">
      <c r="A505">
        <v>504</v>
      </c>
      <c r="B505" s="1">
        <v>45823</v>
      </c>
      <c r="C505" t="s">
        <v>21</v>
      </c>
      <c r="D505" t="s">
        <v>24</v>
      </c>
      <c r="E505" t="s">
        <v>34</v>
      </c>
      <c r="F505" t="s">
        <v>65</v>
      </c>
      <c r="G505" t="s">
        <v>70</v>
      </c>
      <c r="H505" t="s">
        <v>73</v>
      </c>
      <c r="I505">
        <v>4</v>
      </c>
      <c r="J505">
        <v>3039</v>
      </c>
      <c r="K505">
        <v>0.1</v>
      </c>
      <c r="L505">
        <v>10940.4</v>
      </c>
      <c r="M505">
        <v>7212.21</v>
      </c>
      <c r="N505">
        <v>3728.19</v>
      </c>
      <c r="O505" t="s">
        <v>80</v>
      </c>
      <c r="P505" t="s">
        <v>88</v>
      </c>
    </row>
    <row r="506" spans="1:16" x14ac:dyDescent="0.25">
      <c r="A506">
        <v>505</v>
      </c>
      <c r="B506" s="1">
        <v>45983</v>
      </c>
      <c r="C506" t="s">
        <v>20</v>
      </c>
      <c r="D506" t="s">
        <v>26</v>
      </c>
      <c r="E506" t="s">
        <v>32</v>
      </c>
      <c r="F506" t="s">
        <v>48</v>
      </c>
      <c r="G506" t="s">
        <v>72</v>
      </c>
      <c r="H506" t="s">
        <v>74</v>
      </c>
      <c r="I506">
        <v>3</v>
      </c>
      <c r="J506">
        <v>6498</v>
      </c>
      <c r="K506">
        <v>0.1</v>
      </c>
      <c r="L506">
        <v>17544.599999999999</v>
      </c>
      <c r="M506">
        <v>10065.85</v>
      </c>
      <c r="N506">
        <v>7478.75</v>
      </c>
      <c r="O506" t="s">
        <v>77</v>
      </c>
      <c r="P506" t="s">
        <v>85</v>
      </c>
    </row>
    <row r="507" spans="1:16" x14ac:dyDescent="0.25">
      <c r="A507">
        <v>506</v>
      </c>
      <c r="B507" s="1">
        <v>45683</v>
      </c>
      <c r="C507" t="s">
        <v>19</v>
      </c>
      <c r="D507" t="s">
        <v>26</v>
      </c>
      <c r="E507" t="s">
        <v>31</v>
      </c>
      <c r="F507" t="s">
        <v>50</v>
      </c>
      <c r="G507" t="s">
        <v>72</v>
      </c>
      <c r="H507" t="s">
        <v>73</v>
      </c>
      <c r="I507">
        <v>1</v>
      </c>
      <c r="J507">
        <v>767</v>
      </c>
      <c r="K507">
        <v>0</v>
      </c>
      <c r="L507">
        <v>767</v>
      </c>
      <c r="M507">
        <v>578.78</v>
      </c>
      <c r="N507">
        <v>188.22</v>
      </c>
      <c r="O507" t="s">
        <v>77</v>
      </c>
      <c r="P507" t="s">
        <v>83</v>
      </c>
    </row>
    <row r="508" spans="1:16" x14ac:dyDescent="0.25">
      <c r="A508">
        <v>507</v>
      </c>
      <c r="B508" s="1">
        <v>45769</v>
      </c>
      <c r="C508" t="s">
        <v>20</v>
      </c>
      <c r="D508" t="s">
        <v>26</v>
      </c>
      <c r="E508" t="s">
        <v>29</v>
      </c>
      <c r="F508" t="s">
        <v>36</v>
      </c>
      <c r="G508" t="s">
        <v>71</v>
      </c>
      <c r="H508" t="s">
        <v>74</v>
      </c>
      <c r="I508">
        <v>4</v>
      </c>
      <c r="J508">
        <v>4877</v>
      </c>
      <c r="K508">
        <v>0</v>
      </c>
      <c r="L508">
        <v>19508</v>
      </c>
      <c r="M508">
        <v>16759.29</v>
      </c>
      <c r="N508">
        <v>2748.71</v>
      </c>
      <c r="O508" t="s">
        <v>77</v>
      </c>
      <c r="P508" t="s">
        <v>81</v>
      </c>
    </row>
    <row r="509" spans="1:16" x14ac:dyDescent="0.25">
      <c r="A509">
        <v>508</v>
      </c>
      <c r="B509" s="1">
        <v>45988</v>
      </c>
      <c r="C509" t="s">
        <v>23</v>
      </c>
      <c r="D509" t="s">
        <v>27</v>
      </c>
      <c r="E509" t="s">
        <v>33</v>
      </c>
      <c r="F509" t="s">
        <v>41</v>
      </c>
      <c r="G509" t="s">
        <v>70</v>
      </c>
      <c r="H509" t="s">
        <v>74</v>
      </c>
      <c r="I509">
        <v>2</v>
      </c>
      <c r="J509">
        <v>13794</v>
      </c>
      <c r="K509">
        <v>0.05</v>
      </c>
      <c r="L509">
        <v>26208.6</v>
      </c>
      <c r="M509">
        <v>18062.59</v>
      </c>
      <c r="N509">
        <v>8146.01</v>
      </c>
      <c r="O509" t="s">
        <v>77</v>
      </c>
      <c r="P509" t="s">
        <v>86</v>
      </c>
    </row>
    <row r="510" spans="1:16" x14ac:dyDescent="0.25">
      <c r="A510">
        <v>509</v>
      </c>
      <c r="B510" s="1">
        <v>45877</v>
      </c>
      <c r="C510" t="s">
        <v>22</v>
      </c>
      <c r="D510" t="s">
        <v>24</v>
      </c>
      <c r="E510" t="s">
        <v>33</v>
      </c>
      <c r="F510" t="s">
        <v>59</v>
      </c>
      <c r="G510" t="s">
        <v>70</v>
      </c>
      <c r="H510" t="s">
        <v>75</v>
      </c>
      <c r="I510">
        <v>4</v>
      </c>
      <c r="J510">
        <v>17748</v>
      </c>
      <c r="K510">
        <v>0.05</v>
      </c>
      <c r="L510">
        <v>67442.399999999994</v>
      </c>
      <c r="M510">
        <v>58856.42</v>
      </c>
      <c r="N510">
        <v>8585.98</v>
      </c>
      <c r="O510" t="s">
        <v>76</v>
      </c>
      <c r="P510" t="s">
        <v>85</v>
      </c>
    </row>
    <row r="511" spans="1:16" x14ac:dyDescent="0.25">
      <c r="A511">
        <v>510</v>
      </c>
      <c r="B511" s="1">
        <v>45767</v>
      </c>
      <c r="C511" t="s">
        <v>20</v>
      </c>
      <c r="D511" t="s">
        <v>26</v>
      </c>
      <c r="E511" t="s">
        <v>31</v>
      </c>
      <c r="F511" t="s">
        <v>69</v>
      </c>
      <c r="G511" t="s">
        <v>71</v>
      </c>
      <c r="H511" t="s">
        <v>74</v>
      </c>
      <c r="I511">
        <v>4</v>
      </c>
      <c r="J511">
        <v>1875</v>
      </c>
      <c r="K511">
        <v>0.15</v>
      </c>
      <c r="L511">
        <v>6375</v>
      </c>
      <c r="M511">
        <v>4662.1099999999997</v>
      </c>
      <c r="N511">
        <v>1712.89</v>
      </c>
      <c r="O511" t="s">
        <v>80</v>
      </c>
      <c r="P511" t="s">
        <v>82</v>
      </c>
    </row>
    <row r="512" spans="1:16" x14ac:dyDescent="0.25">
      <c r="A512">
        <v>511</v>
      </c>
      <c r="B512" s="1">
        <v>45986</v>
      </c>
      <c r="C512" t="s">
        <v>22</v>
      </c>
      <c r="D512" t="s">
        <v>24</v>
      </c>
      <c r="E512" t="s">
        <v>32</v>
      </c>
      <c r="F512" t="s">
        <v>39</v>
      </c>
      <c r="G512" t="s">
        <v>71</v>
      </c>
      <c r="H512" t="s">
        <v>73</v>
      </c>
      <c r="I512">
        <v>5</v>
      </c>
      <c r="J512">
        <v>24608</v>
      </c>
      <c r="K512">
        <v>0.05</v>
      </c>
      <c r="L512">
        <v>116888</v>
      </c>
      <c r="M512">
        <v>95608.46</v>
      </c>
      <c r="N512">
        <v>21279.54</v>
      </c>
      <c r="O512" t="s">
        <v>76</v>
      </c>
      <c r="P512" t="s">
        <v>86</v>
      </c>
    </row>
    <row r="513" spans="1:16" x14ac:dyDescent="0.25">
      <c r="A513">
        <v>512</v>
      </c>
      <c r="B513" s="1">
        <v>45741</v>
      </c>
      <c r="C513" t="s">
        <v>20</v>
      </c>
      <c r="D513" t="s">
        <v>26</v>
      </c>
      <c r="E513" t="s">
        <v>30</v>
      </c>
      <c r="F513" t="s">
        <v>56</v>
      </c>
      <c r="G513" t="s">
        <v>71</v>
      </c>
      <c r="H513" t="s">
        <v>73</v>
      </c>
      <c r="I513">
        <v>8</v>
      </c>
      <c r="J513">
        <v>52121</v>
      </c>
      <c r="K513">
        <v>0.15</v>
      </c>
      <c r="L513">
        <v>354422.8</v>
      </c>
      <c r="M513">
        <v>205822.31</v>
      </c>
      <c r="N513">
        <v>148600.49</v>
      </c>
      <c r="O513" t="s">
        <v>77</v>
      </c>
      <c r="P513" t="s">
        <v>88</v>
      </c>
    </row>
    <row r="514" spans="1:16" x14ac:dyDescent="0.25">
      <c r="A514">
        <v>513</v>
      </c>
      <c r="B514" s="1">
        <v>45834</v>
      </c>
      <c r="C514" t="s">
        <v>22</v>
      </c>
      <c r="D514" t="s">
        <v>24</v>
      </c>
      <c r="E514" t="s">
        <v>33</v>
      </c>
      <c r="F514" t="s">
        <v>60</v>
      </c>
      <c r="G514" t="s">
        <v>71</v>
      </c>
      <c r="H514" t="s">
        <v>73</v>
      </c>
      <c r="I514">
        <v>3</v>
      </c>
      <c r="J514">
        <v>20705</v>
      </c>
      <c r="K514">
        <v>0.1</v>
      </c>
      <c r="L514">
        <v>55903.5</v>
      </c>
      <c r="M514">
        <v>47402.46</v>
      </c>
      <c r="N514">
        <v>8501.0400000000009</v>
      </c>
      <c r="O514" t="s">
        <v>80</v>
      </c>
      <c r="P514" t="s">
        <v>81</v>
      </c>
    </row>
    <row r="515" spans="1:16" x14ac:dyDescent="0.25">
      <c r="A515">
        <v>514</v>
      </c>
      <c r="B515" s="1">
        <v>45703</v>
      </c>
      <c r="C515" t="s">
        <v>21</v>
      </c>
      <c r="D515" t="s">
        <v>24</v>
      </c>
      <c r="E515" t="s">
        <v>29</v>
      </c>
      <c r="F515" t="s">
        <v>57</v>
      </c>
      <c r="G515" t="s">
        <v>71</v>
      </c>
      <c r="H515" t="s">
        <v>74</v>
      </c>
      <c r="I515">
        <v>6</v>
      </c>
      <c r="J515">
        <v>10179</v>
      </c>
      <c r="K515">
        <v>0.1</v>
      </c>
      <c r="L515">
        <v>54966.6</v>
      </c>
      <c r="M515">
        <v>39458.78</v>
      </c>
      <c r="N515">
        <v>15507.82</v>
      </c>
      <c r="O515" t="s">
        <v>79</v>
      </c>
      <c r="P515" t="s">
        <v>81</v>
      </c>
    </row>
    <row r="516" spans="1:16" x14ac:dyDescent="0.25">
      <c r="A516">
        <v>515</v>
      </c>
      <c r="B516" s="1">
        <v>45970</v>
      </c>
      <c r="C516" t="s">
        <v>19</v>
      </c>
      <c r="D516" t="s">
        <v>26</v>
      </c>
      <c r="E516" t="s">
        <v>28</v>
      </c>
      <c r="F516" t="s">
        <v>63</v>
      </c>
      <c r="G516" t="s">
        <v>72</v>
      </c>
      <c r="H516" t="s">
        <v>75</v>
      </c>
      <c r="I516">
        <v>1</v>
      </c>
      <c r="J516">
        <v>1234</v>
      </c>
      <c r="K516">
        <v>0</v>
      </c>
      <c r="L516">
        <v>1234</v>
      </c>
      <c r="M516">
        <v>1056.81</v>
      </c>
      <c r="N516">
        <v>177.19</v>
      </c>
      <c r="O516" t="s">
        <v>79</v>
      </c>
      <c r="P516" t="s">
        <v>81</v>
      </c>
    </row>
    <row r="517" spans="1:16" x14ac:dyDescent="0.25">
      <c r="A517">
        <v>516</v>
      </c>
      <c r="B517" s="1">
        <v>45724</v>
      </c>
      <c r="C517" t="s">
        <v>22</v>
      </c>
      <c r="D517" t="s">
        <v>24</v>
      </c>
      <c r="E517" t="s">
        <v>28</v>
      </c>
      <c r="F517" t="s">
        <v>61</v>
      </c>
      <c r="G517" t="s">
        <v>70</v>
      </c>
      <c r="H517" t="s">
        <v>74</v>
      </c>
      <c r="I517">
        <v>3</v>
      </c>
      <c r="J517">
        <v>2184</v>
      </c>
      <c r="K517">
        <v>0.05</v>
      </c>
      <c r="L517">
        <v>6224.4</v>
      </c>
      <c r="M517">
        <v>4134.34</v>
      </c>
      <c r="N517">
        <v>2090.06</v>
      </c>
      <c r="O517" t="s">
        <v>80</v>
      </c>
      <c r="P517" t="s">
        <v>87</v>
      </c>
    </row>
    <row r="518" spans="1:16" x14ac:dyDescent="0.25">
      <c r="A518">
        <v>517</v>
      </c>
      <c r="B518" s="1">
        <v>45677</v>
      </c>
      <c r="C518" t="s">
        <v>19</v>
      </c>
      <c r="D518" t="s">
        <v>26</v>
      </c>
      <c r="E518" t="s">
        <v>30</v>
      </c>
      <c r="F518" t="s">
        <v>64</v>
      </c>
      <c r="G518" t="s">
        <v>71</v>
      </c>
      <c r="H518" t="s">
        <v>73</v>
      </c>
      <c r="I518">
        <v>1</v>
      </c>
      <c r="J518">
        <v>47746</v>
      </c>
      <c r="K518">
        <v>0.15</v>
      </c>
      <c r="L518">
        <v>40584.1</v>
      </c>
      <c r="M518">
        <v>23303.02</v>
      </c>
      <c r="N518">
        <v>17281.080000000002</v>
      </c>
      <c r="O518" t="s">
        <v>80</v>
      </c>
      <c r="P518" t="s">
        <v>83</v>
      </c>
    </row>
    <row r="519" spans="1:16" x14ac:dyDescent="0.25">
      <c r="A519">
        <v>518</v>
      </c>
      <c r="B519" s="1">
        <v>45848</v>
      </c>
      <c r="C519" t="s">
        <v>17</v>
      </c>
      <c r="D519" t="s">
        <v>25</v>
      </c>
      <c r="E519" t="s">
        <v>34</v>
      </c>
      <c r="F519" t="s">
        <v>43</v>
      </c>
      <c r="G519" t="s">
        <v>70</v>
      </c>
      <c r="H519" t="s">
        <v>73</v>
      </c>
      <c r="I519">
        <v>7</v>
      </c>
      <c r="J519">
        <v>4909</v>
      </c>
      <c r="K519">
        <v>0.1</v>
      </c>
      <c r="L519">
        <v>30926.7</v>
      </c>
      <c r="M519">
        <v>22998.13</v>
      </c>
      <c r="N519">
        <v>7928.57</v>
      </c>
      <c r="O519" t="s">
        <v>78</v>
      </c>
      <c r="P519" t="s">
        <v>87</v>
      </c>
    </row>
    <row r="520" spans="1:16" x14ac:dyDescent="0.25">
      <c r="A520">
        <v>519</v>
      </c>
      <c r="B520" s="1">
        <v>45886</v>
      </c>
      <c r="C520" t="s">
        <v>17</v>
      </c>
      <c r="D520" t="s">
        <v>25</v>
      </c>
      <c r="E520" t="s">
        <v>30</v>
      </c>
      <c r="F520" t="s">
        <v>40</v>
      </c>
      <c r="G520" t="s">
        <v>71</v>
      </c>
      <c r="H520" t="s">
        <v>75</v>
      </c>
      <c r="I520">
        <v>5</v>
      </c>
      <c r="J520">
        <v>7412</v>
      </c>
      <c r="K520">
        <v>0</v>
      </c>
      <c r="L520">
        <v>37060</v>
      </c>
      <c r="M520">
        <v>22892.400000000001</v>
      </c>
      <c r="N520">
        <v>14167.6</v>
      </c>
      <c r="O520" t="s">
        <v>76</v>
      </c>
      <c r="P520" t="s">
        <v>88</v>
      </c>
    </row>
    <row r="521" spans="1:16" x14ac:dyDescent="0.25">
      <c r="A521">
        <v>520</v>
      </c>
      <c r="B521" s="1">
        <v>45762</v>
      </c>
      <c r="C521" t="s">
        <v>18</v>
      </c>
      <c r="D521" t="s">
        <v>26</v>
      </c>
      <c r="E521" t="s">
        <v>28</v>
      </c>
      <c r="F521" t="s">
        <v>61</v>
      </c>
      <c r="G521" t="s">
        <v>72</v>
      </c>
      <c r="H521" t="s">
        <v>74</v>
      </c>
      <c r="I521">
        <v>6</v>
      </c>
      <c r="J521">
        <v>1310</v>
      </c>
      <c r="K521">
        <v>0.1</v>
      </c>
      <c r="L521">
        <v>7074</v>
      </c>
      <c r="M521">
        <v>5471.32</v>
      </c>
      <c r="N521">
        <v>1602.68</v>
      </c>
      <c r="O521" t="s">
        <v>77</v>
      </c>
      <c r="P521" t="s">
        <v>86</v>
      </c>
    </row>
    <row r="522" spans="1:16" x14ac:dyDescent="0.25">
      <c r="A522">
        <v>521</v>
      </c>
      <c r="B522" s="1">
        <v>45940</v>
      </c>
      <c r="C522" t="s">
        <v>18</v>
      </c>
      <c r="D522" t="s">
        <v>26</v>
      </c>
      <c r="E522" t="s">
        <v>28</v>
      </c>
      <c r="F522" t="s">
        <v>61</v>
      </c>
      <c r="G522" t="s">
        <v>71</v>
      </c>
      <c r="H522" t="s">
        <v>74</v>
      </c>
      <c r="I522">
        <v>8</v>
      </c>
      <c r="J522">
        <v>1424</v>
      </c>
      <c r="K522">
        <v>0</v>
      </c>
      <c r="L522">
        <v>11392</v>
      </c>
      <c r="M522">
        <v>9728.58</v>
      </c>
      <c r="N522">
        <v>1663.42</v>
      </c>
      <c r="O522" t="s">
        <v>78</v>
      </c>
      <c r="P522" t="s">
        <v>83</v>
      </c>
    </row>
    <row r="523" spans="1:16" x14ac:dyDescent="0.25">
      <c r="A523">
        <v>522</v>
      </c>
      <c r="B523" s="1">
        <v>45760</v>
      </c>
      <c r="C523" t="s">
        <v>23</v>
      </c>
      <c r="D523" t="s">
        <v>27</v>
      </c>
      <c r="E523" t="s">
        <v>31</v>
      </c>
      <c r="F523" t="s">
        <v>50</v>
      </c>
      <c r="G523" t="s">
        <v>70</v>
      </c>
      <c r="H523" t="s">
        <v>74</v>
      </c>
      <c r="I523">
        <v>4</v>
      </c>
      <c r="J523">
        <v>763</v>
      </c>
      <c r="K523">
        <v>0.05</v>
      </c>
      <c r="L523">
        <v>2899.4</v>
      </c>
      <c r="M523">
        <v>1631.01</v>
      </c>
      <c r="N523">
        <v>1268.3900000000001</v>
      </c>
      <c r="O523" t="s">
        <v>80</v>
      </c>
      <c r="P523" t="s">
        <v>86</v>
      </c>
    </row>
    <row r="524" spans="1:16" x14ac:dyDescent="0.25">
      <c r="A524">
        <v>523</v>
      </c>
      <c r="B524" s="1">
        <v>45685</v>
      </c>
      <c r="C524" t="s">
        <v>23</v>
      </c>
      <c r="D524" t="s">
        <v>27</v>
      </c>
      <c r="E524" t="s">
        <v>28</v>
      </c>
      <c r="F524" t="s">
        <v>54</v>
      </c>
      <c r="G524" t="s">
        <v>72</v>
      </c>
      <c r="H524" t="s">
        <v>73</v>
      </c>
      <c r="I524">
        <v>2</v>
      </c>
      <c r="J524">
        <v>283</v>
      </c>
      <c r="K524">
        <v>0</v>
      </c>
      <c r="L524">
        <v>566</v>
      </c>
      <c r="M524">
        <v>490.43</v>
      </c>
      <c r="N524">
        <v>75.569999999999993</v>
      </c>
      <c r="O524" t="s">
        <v>80</v>
      </c>
      <c r="P524" t="s">
        <v>85</v>
      </c>
    </row>
    <row r="525" spans="1:16" x14ac:dyDescent="0.25">
      <c r="A525">
        <v>524</v>
      </c>
      <c r="B525" s="1">
        <v>45688</v>
      </c>
      <c r="C525" t="s">
        <v>21</v>
      </c>
      <c r="D525" t="s">
        <v>24</v>
      </c>
      <c r="E525" t="s">
        <v>30</v>
      </c>
      <c r="F525" t="s">
        <v>64</v>
      </c>
      <c r="G525" t="s">
        <v>70</v>
      </c>
      <c r="H525" t="s">
        <v>74</v>
      </c>
      <c r="I525">
        <v>2</v>
      </c>
      <c r="J525">
        <v>38912</v>
      </c>
      <c r="K525">
        <v>0.1</v>
      </c>
      <c r="L525">
        <v>70041.600000000006</v>
      </c>
      <c r="M525">
        <v>59512.08</v>
      </c>
      <c r="N525">
        <v>10529.52</v>
      </c>
      <c r="O525" t="s">
        <v>78</v>
      </c>
      <c r="P525" t="s">
        <v>88</v>
      </c>
    </row>
    <row r="526" spans="1:16" x14ac:dyDescent="0.25">
      <c r="A526">
        <v>525</v>
      </c>
      <c r="B526" s="1">
        <v>45749</v>
      </c>
      <c r="C526" t="s">
        <v>20</v>
      </c>
      <c r="D526" t="s">
        <v>26</v>
      </c>
      <c r="E526" t="s">
        <v>34</v>
      </c>
      <c r="F526" t="s">
        <v>43</v>
      </c>
      <c r="G526" t="s">
        <v>71</v>
      </c>
      <c r="H526" t="s">
        <v>73</v>
      </c>
      <c r="I526">
        <v>8</v>
      </c>
      <c r="J526">
        <v>4687</v>
      </c>
      <c r="K526">
        <v>0.1</v>
      </c>
      <c r="L526">
        <v>33746.400000000001</v>
      </c>
      <c r="M526">
        <v>19337.830000000002</v>
      </c>
      <c r="N526">
        <v>14408.57</v>
      </c>
      <c r="O526" t="s">
        <v>78</v>
      </c>
      <c r="P526" t="s">
        <v>84</v>
      </c>
    </row>
    <row r="527" spans="1:16" x14ac:dyDescent="0.25">
      <c r="A527">
        <v>526</v>
      </c>
      <c r="B527" s="1">
        <v>45984</v>
      </c>
      <c r="C527" t="s">
        <v>18</v>
      </c>
      <c r="D527" t="s">
        <v>26</v>
      </c>
      <c r="E527" t="s">
        <v>29</v>
      </c>
      <c r="F527" t="s">
        <v>36</v>
      </c>
      <c r="G527" t="s">
        <v>70</v>
      </c>
      <c r="H527" t="s">
        <v>73</v>
      </c>
      <c r="I527">
        <v>3</v>
      </c>
      <c r="J527">
        <v>7836</v>
      </c>
      <c r="K527">
        <v>0.15</v>
      </c>
      <c r="L527">
        <v>19981.8</v>
      </c>
      <c r="M527">
        <v>11864.18</v>
      </c>
      <c r="N527">
        <v>8117.62</v>
      </c>
      <c r="O527" t="s">
        <v>79</v>
      </c>
      <c r="P527" t="s">
        <v>84</v>
      </c>
    </row>
    <row r="528" spans="1:16" x14ac:dyDescent="0.25">
      <c r="A528">
        <v>527</v>
      </c>
      <c r="B528" s="1">
        <v>45928</v>
      </c>
      <c r="C528" t="s">
        <v>16</v>
      </c>
      <c r="D528" t="s">
        <v>24</v>
      </c>
      <c r="E528" t="s">
        <v>29</v>
      </c>
      <c r="F528" t="s">
        <v>45</v>
      </c>
      <c r="G528" t="s">
        <v>70</v>
      </c>
      <c r="H528" t="s">
        <v>75</v>
      </c>
      <c r="I528">
        <v>5</v>
      </c>
      <c r="J528">
        <v>5230</v>
      </c>
      <c r="K528">
        <v>0.15</v>
      </c>
      <c r="L528">
        <v>22227.5</v>
      </c>
      <c r="M528">
        <v>16511.150000000001</v>
      </c>
      <c r="N528">
        <v>5716.35</v>
      </c>
      <c r="O528" t="s">
        <v>80</v>
      </c>
      <c r="P528" t="s">
        <v>83</v>
      </c>
    </row>
    <row r="529" spans="1:16" x14ac:dyDescent="0.25">
      <c r="A529">
        <v>528</v>
      </c>
      <c r="B529" s="1">
        <v>46014</v>
      </c>
      <c r="C529" t="s">
        <v>16</v>
      </c>
      <c r="D529" t="s">
        <v>24</v>
      </c>
      <c r="E529" t="s">
        <v>29</v>
      </c>
      <c r="F529" t="s">
        <v>36</v>
      </c>
      <c r="G529" t="s">
        <v>71</v>
      </c>
      <c r="H529" t="s">
        <v>74</v>
      </c>
      <c r="I529">
        <v>2</v>
      </c>
      <c r="J529">
        <v>10250</v>
      </c>
      <c r="K529">
        <v>0.1</v>
      </c>
      <c r="L529">
        <v>18450</v>
      </c>
      <c r="M529">
        <v>11827.49</v>
      </c>
      <c r="N529">
        <v>6622.51</v>
      </c>
      <c r="O529" t="s">
        <v>77</v>
      </c>
      <c r="P529" t="s">
        <v>82</v>
      </c>
    </row>
    <row r="530" spans="1:16" x14ac:dyDescent="0.25">
      <c r="A530">
        <v>529</v>
      </c>
      <c r="B530" s="1">
        <v>45708</v>
      </c>
      <c r="C530" t="s">
        <v>23</v>
      </c>
      <c r="D530" t="s">
        <v>27</v>
      </c>
      <c r="E530" t="s">
        <v>33</v>
      </c>
      <c r="F530" t="s">
        <v>52</v>
      </c>
      <c r="G530" t="s">
        <v>70</v>
      </c>
      <c r="H530" t="s">
        <v>74</v>
      </c>
      <c r="I530">
        <v>3</v>
      </c>
      <c r="J530">
        <v>11871</v>
      </c>
      <c r="K530">
        <v>0.2</v>
      </c>
      <c r="L530">
        <v>28490.400000000001</v>
      </c>
      <c r="M530">
        <v>16936.59</v>
      </c>
      <c r="N530">
        <v>11553.81</v>
      </c>
      <c r="O530" t="s">
        <v>80</v>
      </c>
      <c r="P530" t="s">
        <v>81</v>
      </c>
    </row>
    <row r="531" spans="1:16" x14ac:dyDescent="0.25">
      <c r="A531">
        <v>530</v>
      </c>
      <c r="B531" s="1">
        <v>45980</v>
      </c>
      <c r="C531" t="s">
        <v>21</v>
      </c>
      <c r="D531" t="s">
        <v>24</v>
      </c>
      <c r="E531" t="s">
        <v>30</v>
      </c>
      <c r="F531" t="s">
        <v>56</v>
      </c>
      <c r="G531" t="s">
        <v>71</v>
      </c>
      <c r="H531" t="s">
        <v>75</v>
      </c>
      <c r="I531">
        <v>1</v>
      </c>
      <c r="J531">
        <v>30881</v>
      </c>
      <c r="K531">
        <v>0.15</v>
      </c>
      <c r="L531">
        <v>26248.85</v>
      </c>
      <c r="M531">
        <v>16715.32</v>
      </c>
      <c r="N531">
        <v>9533.5300000000007</v>
      </c>
      <c r="O531" t="s">
        <v>78</v>
      </c>
      <c r="P531" t="s">
        <v>84</v>
      </c>
    </row>
    <row r="532" spans="1:16" x14ac:dyDescent="0.25">
      <c r="A532">
        <v>531</v>
      </c>
      <c r="B532" s="1">
        <v>45713</v>
      </c>
      <c r="C532" t="s">
        <v>22</v>
      </c>
      <c r="D532" t="s">
        <v>24</v>
      </c>
      <c r="E532" t="s">
        <v>28</v>
      </c>
      <c r="F532" t="s">
        <v>58</v>
      </c>
      <c r="G532" t="s">
        <v>70</v>
      </c>
      <c r="H532" t="s">
        <v>73</v>
      </c>
      <c r="I532">
        <v>6</v>
      </c>
      <c r="J532">
        <v>1302</v>
      </c>
      <c r="K532">
        <v>0.1</v>
      </c>
      <c r="L532">
        <v>7030.8</v>
      </c>
      <c r="M532">
        <v>4842.18</v>
      </c>
      <c r="N532">
        <v>2188.62</v>
      </c>
      <c r="O532" t="s">
        <v>79</v>
      </c>
      <c r="P532" t="s">
        <v>85</v>
      </c>
    </row>
    <row r="533" spans="1:16" x14ac:dyDescent="0.25">
      <c r="A533">
        <v>532</v>
      </c>
      <c r="B533" s="1">
        <v>45705</v>
      </c>
      <c r="C533" t="s">
        <v>20</v>
      </c>
      <c r="D533" t="s">
        <v>26</v>
      </c>
      <c r="E533" t="s">
        <v>29</v>
      </c>
      <c r="F533" t="s">
        <v>57</v>
      </c>
      <c r="G533" t="s">
        <v>71</v>
      </c>
      <c r="H533" t="s">
        <v>73</v>
      </c>
      <c r="I533">
        <v>4</v>
      </c>
      <c r="J533">
        <v>3518</v>
      </c>
      <c r="K533">
        <v>0.2</v>
      </c>
      <c r="L533">
        <v>11257.6</v>
      </c>
      <c r="M533">
        <v>7821.4</v>
      </c>
      <c r="N533">
        <v>3436.2</v>
      </c>
      <c r="O533" t="s">
        <v>80</v>
      </c>
      <c r="P533" t="s">
        <v>86</v>
      </c>
    </row>
    <row r="534" spans="1:16" x14ac:dyDescent="0.25">
      <c r="A534">
        <v>533</v>
      </c>
      <c r="B534" s="1">
        <v>45878</v>
      </c>
      <c r="C534" t="s">
        <v>17</v>
      </c>
      <c r="D534" t="s">
        <v>25</v>
      </c>
      <c r="E534" t="s">
        <v>31</v>
      </c>
      <c r="F534" t="s">
        <v>67</v>
      </c>
      <c r="G534" t="s">
        <v>71</v>
      </c>
      <c r="H534" t="s">
        <v>75</v>
      </c>
      <c r="I534">
        <v>6</v>
      </c>
      <c r="J534">
        <v>2052</v>
      </c>
      <c r="K534">
        <v>0.15</v>
      </c>
      <c r="L534">
        <v>10465.200000000001</v>
      </c>
      <c r="M534">
        <v>7026.24</v>
      </c>
      <c r="N534">
        <v>3438.96</v>
      </c>
      <c r="O534" t="s">
        <v>78</v>
      </c>
      <c r="P534" t="s">
        <v>83</v>
      </c>
    </row>
    <row r="535" spans="1:16" x14ac:dyDescent="0.25">
      <c r="A535">
        <v>534</v>
      </c>
      <c r="B535" s="1">
        <v>45659</v>
      </c>
      <c r="C535" t="s">
        <v>16</v>
      </c>
      <c r="D535" t="s">
        <v>24</v>
      </c>
      <c r="E535" t="s">
        <v>28</v>
      </c>
      <c r="F535" t="s">
        <v>54</v>
      </c>
      <c r="G535" t="s">
        <v>71</v>
      </c>
      <c r="H535" t="s">
        <v>74</v>
      </c>
      <c r="I535">
        <v>2</v>
      </c>
      <c r="J535">
        <v>2294</v>
      </c>
      <c r="K535">
        <v>0.15</v>
      </c>
      <c r="L535">
        <v>3899.8</v>
      </c>
      <c r="M535">
        <v>2354.5300000000002</v>
      </c>
      <c r="N535">
        <v>1545.27</v>
      </c>
      <c r="O535" t="s">
        <v>79</v>
      </c>
      <c r="P535" t="s">
        <v>84</v>
      </c>
    </row>
    <row r="536" spans="1:16" x14ac:dyDescent="0.25">
      <c r="A536">
        <v>535</v>
      </c>
      <c r="B536" s="1">
        <v>45963</v>
      </c>
      <c r="C536" t="s">
        <v>18</v>
      </c>
      <c r="D536" t="s">
        <v>26</v>
      </c>
      <c r="E536" t="s">
        <v>33</v>
      </c>
      <c r="F536" t="s">
        <v>52</v>
      </c>
      <c r="G536" t="s">
        <v>71</v>
      </c>
      <c r="H536" t="s">
        <v>73</v>
      </c>
      <c r="I536">
        <v>3</v>
      </c>
      <c r="J536">
        <v>6247</v>
      </c>
      <c r="K536">
        <v>0.1</v>
      </c>
      <c r="L536">
        <v>16866.900000000001</v>
      </c>
      <c r="M536">
        <v>11090.11</v>
      </c>
      <c r="N536">
        <v>5776.79</v>
      </c>
      <c r="O536" t="s">
        <v>76</v>
      </c>
      <c r="P536" t="s">
        <v>87</v>
      </c>
    </row>
    <row r="537" spans="1:16" x14ac:dyDescent="0.25">
      <c r="A537">
        <v>536</v>
      </c>
      <c r="B537" s="1">
        <v>45713</v>
      </c>
      <c r="C537" t="s">
        <v>16</v>
      </c>
      <c r="D537" t="s">
        <v>24</v>
      </c>
      <c r="E537" t="s">
        <v>34</v>
      </c>
      <c r="F537" t="s">
        <v>65</v>
      </c>
      <c r="G537" t="s">
        <v>72</v>
      </c>
      <c r="H537" t="s">
        <v>74</v>
      </c>
      <c r="I537">
        <v>2</v>
      </c>
      <c r="J537">
        <v>2485</v>
      </c>
      <c r="K537">
        <v>0</v>
      </c>
      <c r="L537">
        <v>4970</v>
      </c>
      <c r="M537">
        <v>3439.03</v>
      </c>
      <c r="N537">
        <v>1530.97</v>
      </c>
      <c r="O537" t="s">
        <v>76</v>
      </c>
      <c r="P537" t="s">
        <v>82</v>
      </c>
    </row>
    <row r="538" spans="1:16" x14ac:dyDescent="0.25">
      <c r="A538">
        <v>537</v>
      </c>
      <c r="B538" s="1">
        <v>45914</v>
      </c>
      <c r="C538" t="s">
        <v>18</v>
      </c>
      <c r="D538" t="s">
        <v>26</v>
      </c>
      <c r="E538" t="s">
        <v>30</v>
      </c>
      <c r="F538" t="s">
        <v>56</v>
      </c>
      <c r="G538" t="s">
        <v>70</v>
      </c>
      <c r="H538" t="s">
        <v>74</v>
      </c>
      <c r="I538">
        <v>2</v>
      </c>
      <c r="J538">
        <v>42920</v>
      </c>
      <c r="K538">
        <v>0.1</v>
      </c>
      <c r="L538">
        <v>77256</v>
      </c>
      <c r="M538">
        <v>49718.67</v>
      </c>
      <c r="N538">
        <v>27537.33</v>
      </c>
      <c r="O538" t="s">
        <v>80</v>
      </c>
      <c r="P538" t="s">
        <v>88</v>
      </c>
    </row>
    <row r="539" spans="1:16" x14ac:dyDescent="0.25">
      <c r="A539">
        <v>538</v>
      </c>
      <c r="B539" s="1">
        <v>45873</v>
      </c>
      <c r="C539" t="s">
        <v>20</v>
      </c>
      <c r="D539" t="s">
        <v>26</v>
      </c>
      <c r="E539" t="s">
        <v>30</v>
      </c>
      <c r="F539" t="s">
        <v>56</v>
      </c>
      <c r="G539" t="s">
        <v>72</v>
      </c>
      <c r="H539" t="s">
        <v>74</v>
      </c>
      <c r="I539">
        <v>1</v>
      </c>
      <c r="J539">
        <v>67292</v>
      </c>
      <c r="K539">
        <v>0.1</v>
      </c>
      <c r="L539">
        <v>60562.8</v>
      </c>
      <c r="M539">
        <v>35888.43</v>
      </c>
      <c r="N539">
        <v>24674.37</v>
      </c>
      <c r="O539" t="s">
        <v>79</v>
      </c>
      <c r="P539" t="s">
        <v>83</v>
      </c>
    </row>
    <row r="540" spans="1:16" x14ac:dyDescent="0.25">
      <c r="A540">
        <v>539</v>
      </c>
      <c r="B540" s="1">
        <v>45989</v>
      </c>
      <c r="C540" t="s">
        <v>20</v>
      </c>
      <c r="D540" t="s">
        <v>26</v>
      </c>
      <c r="E540" t="s">
        <v>32</v>
      </c>
      <c r="F540" t="s">
        <v>49</v>
      </c>
      <c r="G540" t="s">
        <v>72</v>
      </c>
      <c r="H540" t="s">
        <v>74</v>
      </c>
      <c r="I540">
        <v>3</v>
      </c>
      <c r="J540">
        <v>18560</v>
      </c>
      <c r="K540">
        <v>0.05</v>
      </c>
      <c r="L540">
        <v>52896</v>
      </c>
      <c r="M540">
        <v>35421.94</v>
      </c>
      <c r="N540">
        <v>17474.060000000001</v>
      </c>
      <c r="O540" t="s">
        <v>78</v>
      </c>
      <c r="P540" t="s">
        <v>83</v>
      </c>
    </row>
    <row r="541" spans="1:16" x14ac:dyDescent="0.25">
      <c r="A541">
        <v>540</v>
      </c>
      <c r="B541" s="1">
        <v>45745</v>
      </c>
      <c r="C541" t="s">
        <v>18</v>
      </c>
      <c r="D541" t="s">
        <v>26</v>
      </c>
      <c r="E541" t="s">
        <v>29</v>
      </c>
      <c r="F541" t="s">
        <v>53</v>
      </c>
      <c r="G541" t="s">
        <v>71</v>
      </c>
      <c r="H541" t="s">
        <v>75</v>
      </c>
      <c r="I541">
        <v>1</v>
      </c>
      <c r="J541">
        <v>4014</v>
      </c>
      <c r="K541">
        <v>0</v>
      </c>
      <c r="L541">
        <v>4014</v>
      </c>
      <c r="M541">
        <v>2970.89</v>
      </c>
      <c r="N541">
        <v>1043.1099999999999</v>
      </c>
      <c r="O541" t="s">
        <v>76</v>
      </c>
      <c r="P541" t="s">
        <v>84</v>
      </c>
    </row>
    <row r="542" spans="1:16" x14ac:dyDescent="0.25">
      <c r="A542">
        <v>541</v>
      </c>
      <c r="B542" s="1">
        <v>45838</v>
      </c>
      <c r="C542" t="s">
        <v>20</v>
      </c>
      <c r="D542" t="s">
        <v>26</v>
      </c>
      <c r="E542" t="s">
        <v>34</v>
      </c>
      <c r="F542" t="s">
        <v>68</v>
      </c>
      <c r="G542" t="s">
        <v>70</v>
      </c>
      <c r="H542" t="s">
        <v>73</v>
      </c>
      <c r="I542">
        <v>8</v>
      </c>
      <c r="J542">
        <v>4201</v>
      </c>
      <c r="K542">
        <v>0.05</v>
      </c>
      <c r="L542">
        <v>31927.599999999999</v>
      </c>
      <c r="M542">
        <v>22036.22</v>
      </c>
      <c r="N542">
        <v>9891.3799999999992</v>
      </c>
      <c r="O542" t="s">
        <v>77</v>
      </c>
      <c r="P542" t="s">
        <v>83</v>
      </c>
    </row>
    <row r="543" spans="1:16" x14ac:dyDescent="0.25">
      <c r="A543">
        <v>542</v>
      </c>
      <c r="B543" s="1">
        <v>45774</v>
      </c>
      <c r="C543" t="s">
        <v>22</v>
      </c>
      <c r="D543" t="s">
        <v>24</v>
      </c>
      <c r="E543" t="s">
        <v>33</v>
      </c>
      <c r="F543" t="s">
        <v>59</v>
      </c>
      <c r="G543" t="s">
        <v>72</v>
      </c>
      <c r="H543" t="s">
        <v>75</v>
      </c>
      <c r="I543">
        <v>5</v>
      </c>
      <c r="J543">
        <v>15431</v>
      </c>
      <c r="K543">
        <v>0.2</v>
      </c>
      <c r="L543">
        <v>61724</v>
      </c>
      <c r="M543">
        <v>53212.61</v>
      </c>
      <c r="N543">
        <v>8511.39</v>
      </c>
      <c r="O543" t="s">
        <v>78</v>
      </c>
      <c r="P543" t="s">
        <v>85</v>
      </c>
    </row>
    <row r="544" spans="1:16" x14ac:dyDescent="0.25">
      <c r="A544">
        <v>543</v>
      </c>
      <c r="B544" s="1">
        <v>45813</v>
      </c>
      <c r="C544" t="s">
        <v>23</v>
      </c>
      <c r="D544" t="s">
        <v>27</v>
      </c>
      <c r="E544" t="s">
        <v>31</v>
      </c>
      <c r="F544" t="s">
        <v>69</v>
      </c>
      <c r="G544" t="s">
        <v>72</v>
      </c>
      <c r="H544" t="s">
        <v>73</v>
      </c>
      <c r="I544">
        <v>5</v>
      </c>
      <c r="J544">
        <v>1720</v>
      </c>
      <c r="K544">
        <v>0</v>
      </c>
      <c r="L544">
        <v>8600</v>
      </c>
      <c r="M544">
        <v>7286.78</v>
      </c>
      <c r="N544">
        <v>1313.22</v>
      </c>
      <c r="O544" t="s">
        <v>80</v>
      </c>
      <c r="P544" t="s">
        <v>86</v>
      </c>
    </row>
    <row r="545" spans="1:16" x14ac:dyDescent="0.25">
      <c r="A545">
        <v>544</v>
      </c>
      <c r="B545" s="1">
        <v>45783</v>
      </c>
      <c r="C545" t="s">
        <v>21</v>
      </c>
      <c r="D545" t="s">
        <v>24</v>
      </c>
      <c r="E545" t="s">
        <v>30</v>
      </c>
      <c r="F545" t="s">
        <v>56</v>
      </c>
      <c r="G545" t="s">
        <v>72</v>
      </c>
      <c r="H545" t="s">
        <v>73</v>
      </c>
      <c r="I545">
        <v>7</v>
      </c>
      <c r="J545">
        <v>17331</v>
      </c>
      <c r="K545">
        <v>0</v>
      </c>
      <c r="L545">
        <v>121317</v>
      </c>
      <c r="M545">
        <v>83978.59</v>
      </c>
      <c r="N545">
        <v>37338.410000000003</v>
      </c>
      <c r="O545" t="s">
        <v>76</v>
      </c>
      <c r="P545" t="s">
        <v>85</v>
      </c>
    </row>
    <row r="546" spans="1:16" x14ac:dyDescent="0.25">
      <c r="A546">
        <v>545</v>
      </c>
      <c r="B546" s="1">
        <v>45915</v>
      </c>
      <c r="C546" t="s">
        <v>22</v>
      </c>
      <c r="D546" t="s">
        <v>24</v>
      </c>
      <c r="E546" t="s">
        <v>33</v>
      </c>
      <c r="F546" t="s">
        <v>60</v>
      </c>
      <c r="G546" t="s">
        <v>71</v>
      </c>
      <c r="H546" t="s">
        <v>75</v>
      </c>
      <c r="I546">
        <v>6</v>
      </c>
      <c r="J546">
        <v>3265</v>
      </c>
      <c r="K546">
        <v>0.15</v>
      </c>
      <c r="L546">
        <v>16651.5</v>
      </c>
      <c r="M546">
        <v>12106.82</v>
      </c>
      <c r="N546">
        <v>4544.68</v>
      </c>
      <c r="O546" t="s">
        <v>77</v>
      </c>
      <c r="P546" t="s">
        <v>83</v>
      </c>
    </row>
    <row r="547" spans="1:16" x14ac:dyDescent="0.25">
      <c r="A547">
        <v>546</v>
      </c>
      <c r="B547" s="1">
        <v>45780</v>
      </c>
      <c r="C547" t="s">
        <v>20</v>
      </c>
      <c r="D547" t="s">
        <v>26</v>
      </c>
      <c r="E547" t="s">
        <v>33</v>
      </c>
      <c r="F547" t="s">
        <v>60</v>
      </c>
      <c r="G547" t="s">
        <v>70</v>
      </c>
      <c r="H547" t="s">
        <v>73</v>
      </c>
      <c r="I547">
        <v>1</v>
      </c>
      <c r="J547">
        <v>8399</v>
      </c>
      <c r="K547">
        <v>0.1</v>
      </c>
      <c r="L547">
        <v>7559.1</v>
      </c>
      <c r="M547">
        <v>5437.61</v>
      </c>
      <c r="N547">
        <v>2121.4899999999998</v>
      </c>
      <c r="O547" t="s">
        <v>79</v>
      </c>
      <c r="P547" t="s">
        <v>83</v>
      </c>
    </row>
    <row r="548" spans="1:16" x14ac:dyDescent="0.25">
      <c r="A548">
        <v>547</v>
      </c>
      <c r="B548" s="1">
        <v>45747</v>
      </c>
      <c r="C548" t="s">
        <v>23</v>
      </c>
      <c r="D548" t="s">
        <v>27</v>
      </c>
      <c r="E548" t="s">
        <v>34</v>
      </c>
      <c r="F548" t="s">
        <v>55</v>
      </c>
      <c r="G548" t="s">
        <v>70</v>
      </c>
      <c r="H548" t="s">
        <v>74</v>
      </c>
      <c r="I548">
        <v>1</v>
      </c>
      <c r="J548">
        <v>4169</v>
      </c>
      <c r="K548">
        <v>0</v>
      </c>
      <c r="L548">
        <v>4169</v>
      </c>
      <c r="M548">
        <v>3275.41</v>
      </c>
      <c r="N548">
        <v>893.59</v>
      </c>
      <c r="O548" t="s">
        <v>80</v>
      </c>
      <c r="P548" t="s">
        <v>81</v>
      </c>
    </row>
    <row r="549" spans="1:16" x14ac:dyDescent="0.25">
      <c r="A549">
        <v>548</v>
      </c>
      <c r="B549" s="1">
        <v>45685</v>
      </c>
      <c r="C549" t="s">
        <v>23</v>
      </c>
      <c r="D549" t="s">
        <v>27</v>
      </c>
      <c r="E549" t="s">
        <v>33</v>
      </c>
      <c r="F549" t="s">
        <v>41</v>
      </c>
      <c r="G549" t="s">
        <v>70</v>
      </c>
      <c r="H549" t="s">
        <v>74</v>
      </c>
      <c r="I549">
        <v>4</v>
      </c>
      <c r="J549">
        <v>4486</v>
      </c>
      <c r="K549">
        <v>0</v>
      </c>
      <c r="L549">
        <v>17944</v>
      </c>
      <c r="M549">
        <v>12425.28</v>
      </c>
      <c r="N549">
        <v>5518.72</v>
      </c>
      <c r="O549" t="s">
        <v>77</v>
      </c>
      <c r="P549" t="s">
        <v>84</v>
      </c>
    </row>
    <row r="550" spans="1:16" x14ac:dyDescent="0.25">
      <c r="A550">
        <v>549</v>
      </c>
      <c r="B550" s="1">
        <v>45950</v>
      </c>
      <c r="C550" t="s">
        <v>17</v>
      </c>
      <c r="D550" t="s">
        <v>25</v>
      </c>
      <c r="E550" t="s">
        <v>30</v>
      </c>
      <c r="F550" t="s">
        <v>56</v>
      </c>
      <c r="G550" t="s">
        <v>70</v>
      </c>
      <c r="H550" t="s">
        <v>74</v>
      </c>
      <c r="I550">
        <v>4</v>
      </c>
      <c r="J550">
        <v>49493</v>
      </c>
      <c r="K550">
        <v>0.1</v>
      </c>
      <c r="L550">
        <v>178174.8</v>
      </c>
      <c r="M550">
        <v>130771.42</v>
      </c>
      <c r="N550">
        <v>47403.38</v>
      </c>
      <c r="O550" t="s">
        <v>76</v>
      </c>
      <c r="P550" t="s">
        <v>84</v>
      </c>
    </row>
    <row r="551" spans="1:16" x14ac:dyDescent="0.25">
      <c r="A551">
        <v>550</v>
      </c>
      <c r="B551" s="1">
        <v>45880</v>
      </c>
      <c r="C551" t="s">
        <v>21</v>
      </c>
      <c r="D551" t="s">
        <v>24</v>
      </c>
      <c r="E551" t="s">
        <v>30</v>
      </c>
      <c r="F551" t="s">
        <v>64</v>
      </c>
      <c r="G551" t="s">
        <v>72</v>
      </c>
      <c r="H551" t="s">
        <v>75</v>
      </c>
      <c r="I551">
        <v>3</v>
      </c>
      <c r="J551">
        <v>24321</v>
      </c>
      <c r="K551">
        <v>0.2</v>
      </c>
      <c r="L551">
        <v>58370.400000000001</v>
      </c>
      <c r="M551">
        <v>50609.23</v>
      </c>
      <c r="N551">
        <v>7761.17</v>
      </c>
      <c r="O551" t="s">
        <v>79</v>
      </c>
      <c r="P551" t="s">
        <v>87</v>
      </c>
    </row>
    <row r="552" spans="1:16" x14ac:dyDescent="0.25">
      <c r="A552">
        <v>551</v>
      </c>
      <c r="B552" s="1">
        <v>45991</v>
      </c>
      <c r="C552" t="s">
        <v>21</v>
      </c>
      <c r="D552" t="s">
        <v>24</v>
      </c>
      <c r="E552" t="s">
        <v>33</v>
      </c>
      <c r="F552" t="s">
        <v>46</v>
      </c>
      <c r="G552" t="s">
        <v>72</v>
      </c>
      <c r="H552" t="s">
        <v>75</v>
      </c>
      <c r="I552">
        <v>8</v>
      </c>
      <c r="J552">
        <v>12111</v>
      </c>
      <c r="K552">
        <v>0.05</v>
      </c>
      <c r="L552">
        <v>92043.6</v>
      </c>
      <c r="M552">
        <v>75467.320000000007</v>
      </c>
      <c r="N552">
        <v>16576.28</v>
      </c>
      <c r="O552" t="s">
        <v>79</v>
      </c>
      <c r="P552" t="s">
        <v>86</v>
      </c>
    </row>
    <row r="553" spans="1:16" x14ac:dyDescent="0.25">
      <c r="A553">
        <v>552</v>
      </c>
      <c r="B553" s="1">
        <v>45703</v>
      </c>
      <c r="C553" t="s">
        <v>22</v>
      </c>
      <c r="D553" t="s">
        <v>24</v>
      </c>
      <c r="E553" t="s">
        <v>31</v>
      </c>
      <c r="F553" t="s">
        <v>47</v>
      </c>
      <c r="G553" t="s">
        <v>70</v>
      </c>
      <c r="H553" t="s">
        <v>75</v>
      </c>
      <c r="I553">
        <v>8</v>
      </c>
      <c r="J553">
        <v>688</v>
      </c>
      <c r="K553">
        <v>0</v>
      </c>
      <c r="L553">
        <v>5504</v>
      </c>
      <c r="M553">
        <v>4344.8999999999996</v>
      </c>
      <c r="N553">
        <v>1159.0999999999999</v>
      </c>
      <c r="O553" t="s">
        <v>76</v>
      </c>
      <c r="P553" t="s">
        <v>86</v>
      </c>
    </row>
    <row r="554" spans="1:16" x14ac:dyDescent="0.25">
      <c r="A554">
        <v>553</v>
      </c>
      <c r="B554" s="1">
        <v>45882</v>
      </c>
      <c r="C554" t="s">
        <v>17</v>
      </c>
      <c r="D554" t="s">
        <v>25</v>
      </c>
      <c r="E554" t="s">
        <v>34</v>
      </c>
      <c r="F554" t="s">
        <v>65</v>
      </c>
      <c r="G554" t="s">
        <v>71</v>
      </c>
      <c r="H554" t="s">
        <v>75</v>
      </c>
      <c r="I554">
        <v>5</v>
      </c>
      <c r="J554">
        <v>1874</v>
      </c>
      <c r="K554">
        <v>0.05</v>
      </c>
      <c r="L554">
        <v>8901.5</v>
      </c>
      <c r="M554">
        <v>5520.71</v>
      </c>
      <c r="N554">
        <v>3380.79</v>
      </c>
      <c r="O554" t="s">
        <v>79</v>
      </c>
      <c r="P554" t="s">
        <v>88</v>
      </c>
    </row>
    <row r="555" spans="1:16" x14ac:dyDescent="0.25">
      <c r="A555">
        <v>554</v>
      </c>
      <c r="B555" s="1">
        <v>45770</v>
      </c>
      <c r="C555" t="s">
        <v>20</v>
      </c>
      <c r="D555" t="s">
        <v>26</v>
      </c>
      <c r="E555" t="s">
        <v>28</v>
      </c>
      <c r="F555" t="s">
        <v>54</v>
      </c>
      <c r="G555" t="s">
        <v>71</v>
      </c>
      <c r="H555" t="s">
        <v>74</v>
      </c>
      <c r="I555">
        <v>4</v>
      </c>
      <c r="J555">
        <v>1142</v>
      </c>
      <c r="K555">
        <v>0.05</v>
      </c>
      <c r="L555">
        <v>4339.6000000000004</v>
      </c>
      <c r="M555">
        <v>3255.6</v>
      </c>
      <c r="N555">
        <v>1084</v>
      </c>
      <c r="O555" t="s">
        <v>76</v>
      </c>
      <c r="P555" t="s">
        <v>85</v>
      </c>
    </row>
    <row r="556" spans="1:16" x14ac:dyDescent="0.25">
      <c r="A556">
        <v>555</v>
      </c>
      <c r="B556" s="1">
        <v>45905</v>
      </c>
      <c r="C556" t="s">
        <v>20</v>
      </c>
      <c r="D556" t="s">
        <v>26</v>
      </c>
      <c r="E556" t="s">
        <v>28</v>
      </c>
      <c r="F556" t="s">
        <v>58</v>
      </c>
      <c r="G556" t="s">
        <v>71</v>
      </c>
      <c r="H556" t="s">
        <v>75</v>
      </c>
      <c r="I556">
        <v>6</v>
      </c>
      <c r="J556">
        <v>770</v>
      </c>
      <c r="K556">
        <v>0.2</v>
      </c>
      <c r="L556">
        <v>3696</v>
      </c>
      <c r="M556">
        <v>3168.43</v>
      </c>
      <c r="N556">
        <v>527.57000000000005</v>
      </c>
      <c r="O556" t="s">
        <v>78</v>
      </c>
      <c r="P556" t="s">
        <v>83</v>
      </c>
    </row>
    <row r="557" spans="1:16" x14ac:dyDescent="0.25">
      <c r="A557">
        <v>556</v>
      </c>
      <c r="B557" s="1">
        <v>45899</v>
      </c>
      <c r="C557" t="s">
        <v>21</v>
      </c>
      <c r="D557" t="s">
        <v>24</v>
      </c>
      <c r="E557" t="s">
        <v>34</v>
      </c>
      <c r="F557" t="s">
        <v>68</v>
      </c>
      <c r="G557" t="s">
        <v>72</v>
      </c>
      <c r="H557" t="s">
        <v>74</v>
      </c>
      <c r="I557">
        <v>7</v>
      </c>
      <c r="J557">
        <v>4662</v>
      </c>
      <c r="K557">
        <v>0.1</v>
      </c>
      <c r="L557">
        <v>29370.6</v>
      </c>
      <c r="M557">
        <v>23801.45</v>
      </c>
      <c r="N557">
        <v>5569.15</v>
      </c>
      <c r="O557" t="s">
        <v>79</v>
      </c>
      <c r="P557" t="s">
        <v>83</v>
      </c>
    </row>
    <row r="558" spans="1:16" x14ac:dyDescent="0.25">
      <c r="A558">
        <v>557</v>
      </c>
      <c r="B558" s="1">
        <v>45915</v>
      </c>
      <c r="C558" t="s">
        <v>16</v>
      </c>
      <c r="D558" t="s">
        <v>24</v>
      </c>
      <c r="E558" t="s">
        <v>31</v>
      </c>
      <c r="F558" t="s">
        <v>47</v>
      </c>
      <c r="G558" t="s">
        <v>72</v>
      </c>
      <c r="H558" t="s">
        <v>73</v>
      </c>
      <c r="I558">
        <v>1</v>
      </c>
      <c r="J558">
        <v>991</v>
      </c>
      <c r="K558">
        <v>0.1</v>
      </c>
      <c r="L558">
        <v>891.9</v>
      </c>
      <c r="M558">
        <v>521.53</v>
      </c>
      <c r="N558">
        <v>370.37</v>
      </c>
      <c r="O558" t="s">
        <v>80</v>
      </c>
      <c r="P558" t="s">
        <v>86</v>
      </c>
    </row>
    <row r="559" spans="1:16" x14ac:dyDescent="0.25">
      <c r="A559">
        <v>558</v>
      </c>
      <c r="B559" s="1">
        <v>45921</v>
      </c>
      <c r="C559" t="s">
        <v>21</v>
      </c>
      <c r="D559" t="s">
        <v>24</v>
      </c>
      <c r="E559" t="s">
        <v>34</v>
      </c>
      <c r="F559" t="s">
        <v>43</v>
      </c>
      <c r="G559" t="s">
        <v>70</v>
      </c>
      <c r="H559" t="s">
        <v>74</v>
      </c>
      <c r="I559">
        <v>1</v>
      </c>
      <c r="J559">
        <v>3051</v>
      </c>
      <c r="K559">
        <v>0.1</v>
      </c>
      <c r="L559">
        <v>2745.9</v>
      </c>
      <c r="M559">
        <v>2111.7399999999998</v>
      </c>
      <c r="N559">
        <v>634.16</v>
      </c>
      <c r="O559" t="s">
        <v>76</v>
      </c>
      <c r="P559" t="s">
        <v>82</v>
      </c>
    </row>
    <row r="560" spans="1:16" x14ac:dyDescent="0.25">
      <c r="A560">
        <v>559</v>
      </c>
      <c r="B560" s="1">
        <v>45668</v>
      </c>
      <c r="C560" t="s">
        <v>18</v>
      </c>
      <c r="D560" t="s">
        <v>26</v>
      </c>
      <c r="E560" t="s">
        <v>30</v>
      </c>
      <c r="F560" t="s">
        <v>40</v>
      </c>
      <c r="G560" t="s">
        <v>71</v>
      </c>
      <c r="H560" t="s">
        <v>75</v>
      </c>
      <c r="I560">
        <v>6</v>
      </c>
      <c r="J560">
        <v>21437</v>
      </c>
      <c r="K560">
        <v>0.05</v>
      </c>
      <c r="L560">
        <v>122190.9</v>
      </c>
      <c r="M560">
        <v>76228.41</v>
      </c>
      <c r="N560">
        <v>45962.49</v>
      </c>
      <c r="O560" t="s">
        <v>77</v>
      </c>
      <c r="P560" t="s">
        <v>82</v>
      </c>
    </row>
    <row r="561" spans="1:16" x14ac:dyDescent="0.25">
      <c r="A561">
        <v>560</v>
      </c>
      <c r="B561" s="1">
        <v>45754</v>
      </c>
      <c r="C561" t="s">
        <v>22</v>
      </c>
      <c r="D561" t="s">
        <v>24</v>
      </c>
      <c r="E561" t="s">
        <v>34</v>
      </c>
      <c r="F561" t="s">
        <v>51</v>
      </c>
      <c r="G561" t="s">
        <v>72</v>
      </c>
      <c r="H561" t="s">
        <v>74</v>
      </c>
      <c r="I561">
        <v>1</v>
      </c>
      <c r="J561">
        <v>357</v>
      </c>
      <c r="K561">
        <v>0.1</v>
      </c>
      <c r="L561">
        <v>321.3</v>
      </c>
      <c r="M561">
        <v>184.58</v>
      </c>
      <c r="N561">
        <v>136.72</v>
      </c>
      <c r="O561" t="s">
        <v>76</v>
      </c>
      <c r="P561" t="s">
        <v>84</v>
      </c>
    </row>
    <row r="562" spans="1:16" x14ac:dyDescent="0.25">
      <c r="A562">
        <v>561</v>
      </c>
      <c r="B562" s="1">
        <v>45737</v>
      </c>
      <c r="C562" t="s">
        <v>17</v>
      </c>
      <c r="D562" t="s">
        <v>25</v>
      </c>
      <c r="E562" t="s">
        <v>32</v>
      </c>
      <c r="F562" t="s">
        <v>48</v>
      </c>
      <c r="G562" t="s">
        <v>72</v>
      </c>
      <c r="H562" t="s">
        <v>74</v>
      </c>
      <c r="I562">
        <v>3</v>
      </c>
      <c r="J562">
        <v>12908</v>
      </c>
      <c r="K562">
        <v>0.05</v>
      </c>
      <c r="L562">
        <v>36787.800000000003</v>
      </c>
      <c r="M562">
        <v>22370.41</v>
      </c>
      <c r="N562">
        <v>14417.39</v>
      </c>
      <c r="O562" t="s">
        <v>79</v>
      </c>
      <c r="P562" t="s">
        <v>85</v>
      </c>
    </row>
    <row r="563" spans="1:16" x14ac:dyDescent="0.25">
      <c r="A563">
        <v>562</v>
      </c>
      <c r="B563" s="1">
        <v>45803</v>
      </c>
      <c r="C563" t="s">
        <v>17</v>
      </c>
      <c r="D563" t="s">
        <v>25</v>
      </c>
      <c r="E563" t="s">
        <v>28</v>
      </c>
      <c r="F563" t="s">
        <v>61</v>
      </c>
      <c r="G563" t="s">
        <v>70</v>
      </c>
      <c r="H563" t="s">
        <v>74</v>
      </c>
      <c r="I563">
        <v>7</v>
      </c>
      <c r="J563">
        <v>2271</v>
      </c>
      <c r="K563">
        <v>0</v>
      </c>
      <c r="L563">
        <v>15897</v>
      </c>
      <c r="M563">
        <v>13602.62</v>
      </c>
      <c r="N563">
        <v>2294.38</v>
      </c>
      <c r="O563" t="s">
        <v>76</v>
      </c>
      <c r="P563" t="s">
        <v>86</v>
      </c>
    </row>
    <row r="564" spans="1:16" x14ac:dyDescent="0.25">
      <c r="A564">
        <v>563</v>
      </c>
      <c r="B564" s="1">
        <v>45841</v>
      </c>
      <c r="C564" t="s">
        <v>21</v>
      </c>
      <c r="D564" t="s">
        <v>24</v>
      </c>
      <c r="E564" t="s">
        <v>30</v>
      </c>
      <c r="F564" t="s">
        <v>37</v>
      </c>
      <c r="G564" t="s">
        <v>70</v>
      </c>
      <c r="H564" t="s">
        <v>74</v>
      </c>
      <c r="I564">
        <v>3</v>
      </c>
      <c r="J564">
        <v>30548</v>
      </c>
      <c r="K564">
        <v>0.05</v>
      </c>
      <c r="L564">
        <v>87061.8</v>
      </c>
      <c r="M564">
        <v>51121.14</v>
      </c>
      <c r="N564">
        <v>35940.660000000003</v>
      </c>
      <c r="O564" t="s">
        <v>79</v>
      </c>
      <c r="P564" t="s">
        <v>86</v>
      </c>
    </row>
    <row r="565" spans="1:16" x14ac:dyDescent="0.25">
      <c r="A565">
        <v>564</v>
      </c>
      <c r="B565" s="1">
        <v>45883</v>
      </c>
      <c r="C565" t="s">
        <v>17</v>
      </c>
      <c r="D565" t="s">
        <v>25</v>
      </c>
      <c r="E565" t="s">
        <v>34</v>
      </c>
      <c r="F565" t="s">
        <v>65</v>
      </c>
      <c r="G565" t="s">
        <v>71</v>
      </c>
      <c r="H565" t="s">
        <v>74</v>
      </c>
      <c r="I565">
        <v>7</v>
      </c>
      <c r="J565">
        <v>1311</v>
      </c>
      <c r="K565">
        <v>0.05</v>
      </c>
      <c r="L565">
        <v>8718.15</v>
      </c>
      <c r="M565">
        <v>6055.96</v>
      </c>
      <c r="N565">
        <v>2662.19</v>
      </c>
      <c r="O565" t="s">
        <v>79</v>
      </c>
      <c r="P565" t="s">
        <v>85</v>
      </c>
    </row>
    <row r="566" spans="1:16" x14ac:dyDescent="0.25">
      <c r="A566">
        <v>565</v>
      </c>
      <c r="B566" s="1">
        <v>45757</v>
      </c>
      <c r="C566" t="s">
        <v>21</v>
      </c>
      <c r="D566" t="s">
        <v>24</v>
      </c>
      <c r="E566" t="s">
        <v>31</v>
      </c>
      <c r="F566" t="s">
        <v>47</v>
      </c>
      <c r="G566" t="s">
        <v>71</v>
      </c>
      <c r="H566" t="s">
        <v>75</v>
      </c>
      <c r="I566">
        <v>8</v>
      </c>
      <c r="J566">
        <v>1968</v>
      </c>
      <c r="K566">
        <v>0.1</v>
      </c>
      <c r="L566">
        <v>14169.6</v>
      </c>
      <c r="M566">
        <v>11142.79</v>
      </c>
      <c r="N566">
        <v>3026.81</v>
      </c>
      <c r="O566" t="s">
        <v>76</v>
      </c>
      <c r="P566" t="s">
        <v>83</v>
      </c>
    </row>
    <row r="567" spans="1:16" x14ac:dyDescent="0.25">
      <c r="A567">
        <v>566</v>
      </c>
      <c r="B567" s="1">
        <v>45911</v>
      </c>
      <c r="C567" t="s">
        <v>20</v>
      </c>
      <c r="D567" t="s">
        <v>26</v>
      </c>
      <c r="E567" t="s">
        <v>28</v>
      </c>
      <c r="F567" t="s">
        <v>63</v>
      </c>
      <c r="G567" t="s">
        <v>71</v>
      </c>
      <c r="H567" t="s">
        <v>74</v>
      </c>
      <c r="I567">
        <v>5</v>
      </c>
      <c r="J567">
        <v>345</v>
      </c>
      <c r="K567">
        <v>0.15</v>
      </c>
      <c r="L567">
        <v>1466.25</v>
      </c>
      <c r="M567">
        <v>972.08</v>
      </c>
      <c r="N567">
        <v>494.17</v>
      </c>
      <c r="O567" t="s">
        <v>77</v>
      </c>
      <c r="P567" t="s">
        <v>81</v>
      </c>
    </row>
    <row r="568" spans="1:16" x14ac:dyDescent="0.25">
      <c r="A568">
        <v>567</v>
      </c>
      <c r="B568" s="1">
        <v>45811</v>
      </c>
      <c r="C568" t="s">
        <v>18</v>
      </c>
      <c r="D568" t="s">
        <v>26</v>
      </c>
      <c r="E568" t="s">
        <v>30</v>
      </c>
      <c r="F568" t="s">
        <v>44</v>
      </c>
      <c r="G568" t="s">
        <v>70</v>
      </c>
      <c r="H568" t="s">
        <v>75</v>
      </c>
      <c r="I568">
        <v>5</v>
      </c>
      <c r="J568">
        <v>7107</v>
      </c>
      <c r="K568">
        <v>0</v>
      </c>
      <c r="L568">
        <v>35535</v>
      </c>
      <c r="M568">
        <v>28551.29</v>
      </c>
      <c r="N568">
        <v>6983.71</v>
      </c>
      <c r="O568" t="s">
        <v>79</v>
      </c>
      <c r="P568" t="s">
        <v>82</v>
      </c>
    </row>
    <row r="569" spans="1:16" x14ac:dyDescent="0.25">
      <c r="A569">
        <v>568</v>
      </c>
      <c r="B569" s="1">
        <v>45953</v>
      </c>
      <c r="C569" t="s">
        <v>17</v>
      </c>
      <c r="D569" t="s">
        <v>25</v>
      </c>
      <c r="E569" t="s">
        <v>32</v>
      </c>
      <c r="F569" t="s">
        <v>66</v>
      </c>
      <c r="G569" t="s">
        <v>71</v>
      </c>
      <c r="H569" t="s">
        <v>74</v>
      </c>
      <c r="I569">
        <v>1</v>
      </c>
      <c r="J569">
        <v>6466</v>
      </c>
      <c r="K569">
        <v>0.15</v>
      </c>
      <c r="L569">
        <v>5496.1</v>
      </c>
      <c r="M569">
        <v>4650.78</v>
      </c>
      <c r="N569">
        <v>845.32</v>
      </c>
      <c r="O569" t="s">
        <v>79</v>
      </c>
      <c r="P569" t="s">
        <v>88</v>
      </c>
    </row>
    <row r="570" spans="1:16" x14ac:dyDescent="0.25">
      <c r="A570">
        <v>569</v>
      </c>
      <c r="B570" s="1">
        <v>45735</v>
      </c>
      <c r="C570" t="s">
        <v>22</v>
      </c>
      <c r="D570" t="s">
        <v>24</v>
      </c>
      <c r="E570" t="s">
        <v>29</v>
      </c>
      <c r="F570" t="s">
        <v>53</v>
      </c>
      <c r="G570" t="s">
        <v>72</v>
      </c>
      <c r="H570" t="s">
        <v>73</v>
      </c>
      <c r="I570">
        <v>7</v>
      </c>
      <c r="J570">
        <v>3480</v>
      </c>
      <c r="K570">
        <v>0.05</v>
      </c>
      <c r="L570">
        <v>23142</v>
      </c>
      <c r="M570">
        <v>16066.72</v>
      </c>
      <c r="N570">
        <v>7075.28</v>
      </c>
      <c r="O570" t="s">
        <v>78</v>
      </c>
      <c r="P570" t="s">
        <v>86</v>
      </c>
    </row>
    <row r="571" spans="1:16" x14ac:dyDescent="0.25">
      <c r="A571">
        <v>570</v>
      </c>
      <c r="B571" s="1">
        <v>46008</v>
      </c>
      <c r="C571" t="s">
        <v>18</v>
      </c>
      <c r="D571" t="s">
        <v>26</v>
      </c>
      <c r="E571" t="s">
        <v>33</v>
      </c>
      <c r="F571" t="s">
        <v>52</v>
      </c>
      <c r="G571" t="s">
        <v>72</v>
      </c>
      <c r="H571" t="s">
        <v>75</v>
      </c>
      <c r="I571">
        <v>2</v>
      </c>
      <c r="J571">
        <v>15935</v>
      </c>
      <c r="K571">
        <v>0.1</v>
      </c>
      <c r="L571">
        <v>28683</v>
      </c>
      <c r="M571">
        <v>24562.71</v>
      </c>
      <c r="N571">
        <v>4120.29</v>
      </c>
      <c r="O571" t="s">
        <v>77</v>
      </c>
      <c r="P571" t="s">
        <v>83</v>
      </c>
    </row>
    <row r="572" spans="1:16" x14ac:dyDescent="0.25">
      <c r="A572">
        <v>571</v>
      </c>
      <c r="B572" s="1">
        <v>45840</v>
      </c>
      <c r="C572" t="s">
        <v>23</v>
      </c>
      <c r="D572" t="s">
        <v>27</v>
      </c>
      <c r="E572" t="s">
        <v>31</v>
      </c>
      <c r="F572" t="s">
        <v>38</v>
      </c>
      <c r="G572" t="s">
        <v>72</v>
      </c>
      <c r="H572" t="s">
        <v>74</v>
      </c>
      <c r="I572">
        <v>3</v>
      </c>
      <c r="J572">
        <v>2483</v>
      </c>
      <c r="K572">
        <v>0</v>
      </c>
      <c r="L572">
        <v>7449</v>
      </c>
      <c r="M572">
        <v>5732.3</v>
      </c>
      <c r="N572">
        <v>1716.7</v>
      </c>
      <c r="O572" t="s">
        <v>78</v>
      </c>
      <c r="P572" t="s">
        <v>85</v>
      </c>
    </row>
    <row r="573" spans="1:16" x14ac:dyDescent="0.25">
      <c r="A573">
        <v>572</v>
      </c>
      <c r="B573" s="1">
        <v>45777</v>
      </c>
      <c r="C573" t="s">
        <v>18</v>
      </c>
      <c r="D573" t="s">
        <v>26</v>
      </c>
      <c r="E573" t="s">
        <v>32</v>
      </c>
      <c r="F573" t="s">
        <v>48</v>
      </c>
      <c r="G573" t="s">
        <v>71</v>
      </c>
      <c r="H573" t="s">
        <v>73</v>
      </c>
      <c r="I573">
        <v>2</v>
      </c>
      <c r="J573">
        <v>6179</v>
      </c>
      <c r="K573">
        <v>0</v>
      </c>
      <c r="L573">
        <v>12358</v>
      </c>
      <c r="M573">
        <v>8531.56</v>
      </c>
      <c r="N573">
        <v>3826.44</v>
      </c>
      <c r="O573" t="s">
        <v>76</v>
      </c>
      <c r="P573" t="s">
        <v>87</v>
      </c>
    </row>
    <row r="574" spans="1:16" x14ac:dyDescent="0.25">
      <c r="A574">
        <v>573</v>
      </c>
      <c r="B574" s="1">
        <v>46002</v>
      </c>
      <c r="C574" t="s">
        <v>17</v>
      </c>
      <c r="D574" t="s">
        <v>25</v>
      </c>
      <c r="E574" t="s">
        <v>29</v>
      </c>
      <c r="F574" t="s">
        <v>36</v>
      </c>
      <c r="G574" t="s">
        <v>72</v>
      </c>
      <c r="H574" t="s">
        <v>75</v>
      </c>
      <c r="I574">
        <v>4</v>
      </c>
      <c r="J574">
        <v>587</v>
      </c>
      <c r="K574">
        <v>0.2</v>
      </c>
      <c r="L574">
        <v>1878.4</v>
      </c>
      <c r="M574">
        <v>1360.31</v>
      </c>
      <c r="N574">
        <v>518.09</v>
      </c>
      <c r="O574" t="s">
        <v>77</v>
      </c>
      <c r="P574" t="s">
        <v>83</v>
      </c>
    </row>
    <row r="575" spans="1:16" x14ac:dyDescent="0.25">
      <c r="A575">
        <v>574</v>
      </c>
      <c r="B575" s="1">
        <v>45926</v>
      </c>
      <c r="C575" t="s">
        <v>22</v>
      </c>
      <c r="D575" t="s">
        <v>24</v>
      </c>
      <c r="E575" t="s">
        <v>29</v>
      </c>
      <c r="F575" t="s">
        <v>45</v>
      </c>
      <c r="G575" t="s">
        <v>71</v>
      </c>
      <c r="H575" t="s">
        <v>73</v>
      </c>
      <c r="I575">
        <v>6</v>
      </c>
      <c r="J575">
        <v>3974</v>
      </c>
      <c r="K575">
        <v>0.15</v>
      </c>
      <c r="L575">
        <v>20267.400000000001</v>
      </c>
      <c r="M575">
        <v>17148.419999999998</v>
      </c>
      <c r="N575">
        <v>3118.98</v>
      </c>
      <c r="O575" t="s">
        <v>78</v>
      </c>
      <c r="P575" t="s">
        <v>87</v>
      </c>
    </row>
    <row r="576" spans="1:16" x14ac:dyDescent="0.25">
      <c r="A576">
        <v>575</v>
      </c>
      <c r="B576" s="1">
        <v>45985</v>
      </c>
      <c r="C576" t="s">
        <v>19</v>
      </c>
      <c r="D576" t="s">
        <v>26</v>
      </c>
      <c r="E576" t="s">
        <v>31</v>
      </c>
      <c r="F576" t="s">
        <v>38</v>
      </c>
      <c r="G576" t="s">
        <v>72</v>
      </c>
      <c r="H576" t="s">
        <v>75</v>
      </c>
      <c r="I576">
        <v>7</v>
      </c>
      <c r="J576">
        <v>1520</v>
      </c>
      <c r="K576">
        <v>0.05</v>
      </c>
      <c r="L576">
        <v>10108</v>
      </c>
      <c r="M576">
        <v>8743.74</v>
      </c>
      <c r="N576">
        <v>1364.26</v>
      </c>
      <c r="O576" t="s">
        <v>77</v>
      </c>
      <c r="P576" t="s">
        <v>82</v>
      </c>
    </row>
    <row r="577" spans="1:16" x14ac:dyDescent="0.25">
      <c r="A577">
        <v>576</v>
      </c>
      <c r="B577" s="1">
        <v>45884</v>
      </c>
      <c r="C577" t="s">
        <v>20</v>
      </c>
      <c r="D577" t="s">
        <v>26</v>
      </c>
      <c r="E577" t="s">
        <v>29</v>
      </c>
      <c r="F577" t="s">
        <v>57</v>
      </c>
      <c r="G577" t="s">
        <v>72</v>
      </c>
      <c r="H577" t="s">
        <v>73</v>
      </c>
      <c r="I577">
        <v>4</v>
      </c>
      <c r="J577">
        <v>3193</v>
      </c>
      <c r="K577">
        <v>0</v>
      </c>
      <c r="L577">
        <v>12772</v>
      </c>
      <c r="M577">
        <v>7475.54</v>
      </c>
      <c r="N577">
        <v>5296.46</v>
      </c>
      <c r="O577" t="s">
        <v>80</v>
      </c>
      <c r="P577" t="s">
        <v>84</v>
      </c>
    </row>
    <row r="578" spans="1:16" x14ac:dyDescent="0.25">
      <c r="A578">
        <v>577</v>
      </c>
      <c r="B578" s="1">
        <v>46012</v>
      </c>
      <c r="C578" t="s">
        <v>19</v>
      </c>
      <c r="D578" t="s">
        <v>26</v>
      </c>
      <c r="E578" t="s">
        <v>28</v>
      </c>
      <c r="F578" t="s">
        <v>61</v>
      </c>
      <c r="G578" t="s">
        <v>71</v>
      </c>
      <c r="H578" t="s">
        <v>75</v>
      </c>
      <c r="I578">
        <v>3</v>
      </c>
      <c r="J578">
        <v>1162</v>
      </c>
      <c r="K578">
        <v>0.05</v>
      </c>
      <c r="L578">
        <v>3311.7</v>
      </c>
      <c r="M578">
        <v>2849.31</v>
      </c>
      <c r="N578">
        <v>462.39</v>
      </c>
      <c r="O578" t="s">
        <v>77</v>
      </c>
      <c r="P578" t="s">
        <v>85</v>
      </c>
    </row>
    <row r="579" spans="1:16" x14ac:dyDescent="0.25">
      <c r="A579">
        <v>578</v>
      </c>
      <c r="B579" s="1">
        <v>45675</v>
      </c>
      <c r="C579" t="s">
        <v>23</v>
      </c>
      <c r="D579" t="s">
        <v>27</v>
      </c>
      <c r="E579" t="s">
        <v>28</v>
      </c>
      <c r="F579" t="s">
        <v>58</v>
      </c>
      <c r="G579" t="s">
        <v>72</v>
      </c>
      <c r="H579" t="s">
        <v>75</v>
      </c>
      <c r="I579">
        <v>6</v>
      </c>
      <c r="J579">
        <v>396</v>
      </c>
      <c r="K579">
        <v>0.05</v>
      </c>
      <c r="L579">
        <v>2257.1999999999998</v>
      </c>
      <c r="M579">
        <v>1533.74</v>
      </c>
      <c r="N579">
        <v>723.46</v>
      </c>
      <c r="O579" t="s">
        <v>80</v>
      </c>
      <c r="P579" t="s">
        <v>87</v>
      </c>
    </row>
    <row r="580" spans="1:16" x14ac:dyDescent="0.25">
      <c r="A580">
        <v>579</v>
      </c>
      <c r="B580" s="1">
        <v>45823</v>
      </c>
      <c r="C580" t="s">
        <v>21</v>
      </c>
      <c r="D580" t="s">
        <v>24</v>
      </c>
      <c r="E580" t="s">
        <v>28</v>
      </c>
      <c r="F580" t="s">
        <v>61</v>
      </c>
      <c r="G580" t="s">
        <v>70</v>
      </c>
      <c r="H580" t="s">
        <v>73</v>
      </c>
      <c r="I580">
        <v>3</v>
      </c>
      <c r="J580">
        <v>1658</v>
      </c>
      <c r="K580">
        <v>0.05</v>
      </c>
      <c r="L580">
        <v>4725.3</v>
      </c>
      <c r="M580">
        <v>3878.73</v>
      </c>
      <c r="N580">
        <v>846.57</v>
      </c>
      <c r="O580" t="s">
        <v>78</v>
      </c>
      <c r="P580" t="s">
        <v>85</v>
      </c>
    </row>
    <row r="581" spans="1:16" x14ac:dyDescent="0.25">
      <c r="A581">
        <v>580</v>
      </c>
      <c r="B581" s="1">
        <v>45958</v>
      </c>
      <c r="C581" t="s">
        <v>20</v>
      </c>
      <c r="D581" t="s">
        <v>26</v>
      </c>
      <c r="E581" t="s">
        <v>29</v>
      </c>
      <c r="F581" t="s">
        <v>36</v>
      </c>
      <c r="G581" t="s">
        <v>72</v>
      </c>
      <c r="H581" t="s">
        <v>75</v>
      </c>
      <c r="I581">
        <v>1</v>
      </c>
      <c r="J581">
        <v>1791</v>
      </c>
      <c r="K581">
        <v>0</v>
      </c>
      <c r="L581">
        <v>1791</v>
      </c>
      <c r="M581">
        <v>1101.3</v>
      </c>
      <c r="N581">
        <v>689.7</v>
      </c>
      <c r="O581" t="s">
        <v>78</v>
      </c>
      <c r="P581" t="s">
        <v>88</v>
      </c>
    </row>
    <row r="582" spans="1:16" x14ac:dyDescent="0.25">
      <c r="A582">
        <v>581</v>
      </c>
      <c r="B582" s="1">
        <v>45841</v>
      </c>
      <c r="C582" t="s">
        <v>22</v>
      </c>
      <c r="D582" t="s">
        <v>24</v>
      </c>
      <c r="E582" t="s">
        <v>29</v>
      </c>
      <c r="F582" t="s">
        <v>53</v>
      </c>
      <c r="G582" t="s">
        <v>70</v>
      </c>
      <c r="H582" t="s">
        <v>74</v>
      </c>
      <c r="I582">
        <v>8</v>
      </c>
      <c r="J582">
        <v>5783</v>
      </c>
      <c r="K582">
        <v>0</v>
      </c>
      <c r="L582">
        <v>46264</v>
      </c>
      <c r="M582">
        <v>39799.040000000001</v>
      </c>
      <c r="N582">
        <v>6464.96</v>
      </c>
      <c r="O582" t="s">
        <v>78</v>
      </c>
      <c r="P582" t="s">
        <v>85</v>
      </c>
    </row>
    <row r="583" spans="1:16" x14ac:dyDescent="0.25">
      <c r="A583">
        <v>582</v>
      </c>
      <c r="B583" s="1">
        <v>45767</v>
      </c>
      <c r="C583" t="s">
        <v>20</v>
      </c>
      <c r="D583" t="s">
        <v>26</v>
      </c>
      <c r="E583" t="s">
        <v>31</v>
      </c>
      <c r="F583" t="s">
        <v>38</v>
      </c>
      <c r="G583" t="s">
        <v>70</v>
      </c>
      <c r="H583" t="s">
        <v>75</v>
      </c>
      <c r="I583">
        <v>1</v>
      </c>
      <c r="J583">
        <v>1597</v>
      </c>
      <c r="K583">
        <v>0</v>
      </c>
      <c r="L583">
        <v>1597</v>
      </c>
      <c r="M583">
        <v>1311.89</v>
      </c>
      <c r="N583">
        <v>285.11</v>
      </c>
      <c r="O583" t="s">
        <v>78</v>
      </c>
      <c r="P583" t="s">
        <v>85</v>
      </c>
    </row>
    <row r="584" spans="1:16" x14ac:dyDescent="0.25">
      <c r="A584">
        <v>583</v>
      </c>
      <c r="B584" s="1">
        <v>45758</v>
      </c>
      <c r="C584" t="s">
        <v>23</v>
      </c>
      <c r="D584" t="s">
        <v>27</v>
      </c>
      <c r="E584" t="s">
        <v>30</v>
      </c>
      <c r="F584" t="s">
        <v>56</v>
      </c>
      <c r="G584" t="s">
        <v>72</v>
      </c>
      <c r="H584" t="s">
        <v>74</v>
      </c>
      <c r="I584">
        <v>3</v>
      </c>
      <c r="J584">
        <v>30930</v>
      </c>
      <c r="K584">
        <v>0.05</v>
      </c>
      <c r="L584">
        <v>88150.5</v>
      </c>
      <c r="M584">
        <v>74225</v>
      </c>
      <c r="N584">
        <v>13925.5</v>
      </c>
      <c r="O584" t="s">
        <v>77</v>
      </c>
      <c r="P584" t="s">
        <v>84</v>
      </c>
    </row>
    <row r="585" spans="1:16" x14ac:dyDescent="0.25">
      <c r="A585">
        <v>584</v>
      </c>
      <c r="B585" s="1">
        <v>45712</v>
      </c>
      <c r="C585" t="s">
        <v>16</v>
      </c>
      <c r="D585" t="s">
        <v>24</v>
      </c>
      <c r="E585" t="s">
        <v>28</v>
      </c>
      <c r="F585" t="s">
        <v>54</v>
      </c>
      <c r="G585" t="s">
        <v>71</v>
      </c>
      <c r="H585" t="s">
        <v>74</v>
      </c>
      <c r="I585">
        <v>1</v>
      </c>
      <c r="J585">
        <v>2266</v>
      </c>
      <c r="K585">
        <v>0.1</v>
      </c>
      <c r="L585">
        <v>2039.4</v>
      </c>
      <c r="M585">
        <v>1154.8499999999999</v>
      </c>
      <c r="N585">
        <v>884.55</v>
      </c>
      <c r="O585" t="s">
        <v>79</v>
      </c>
      <c r="P585" t="s">
        <v>88</v>
      </c>
    </row>
    <row r="586" spans="1:16" x14ac:dyDescent="0.25">
      <c r="A586">
        <v>585</v>
      </c>
      <c r="B586" s="1">
        <v>45683</v>
      </c>
      <c r="C586" t="s">
        <v>20</v>
      </c>
      <c r="D586" t="s">
        <v>26</v>
      </c>
      <c r="E586" t="s">
        <v>33</v>
      </c>
      <c r="F586" t="s">
        <v>41</v>
      </c>
      <c r="G586" t="s">
        <v>70</v>
      </c>
      <c r="H586" t="s">
        <v>74</v>
      </c>
      <c r="I586">
        <v>4</v>
      </c>
      <c r="J586">
        <v>49418</v>
      </c>
      <c r="K586">
        <v>0.05</v>
      </c>
      <c r="L586">
        <v>187788.4</v>
      </c>
      <c r="M586">
        <v>122749.06</v>
      </c>
      <c r="N586">
        <v>65039.34</v>
      </c>
      <c r="O586" t="s">
        <v>78</v>
      </c>
      <c r="P586" t="s">
        <v>84</v>
      </c>
    </row>
    <row r="587" spans="1:16" x14ac:dyDescent="0.25">
      <c r="A587">
        <v>586</v>
      </c>
      <c r="B587" s="1">
        <v>45902</v>
      </c>
      <c r="C587" t="s">
        <v>16</v>
      </c>
      <c r="D587" t="s">
        <v>24</v>
      </c>
      <c r="E587" t="s">
        <v>30</v>
      </c>
      <c r="F587" t="s">
        <v>40</v>
      </c>
      <c r="G587" t="s">
        <v>70</v>
      </c>
      <c r="H587" t="s">
        <v>74</v>
      </c>
      <c r="I587">
        <v>6</v>
      </c>
      <c r="J587">
        <v>16191</v>
      </c>
      <c r="K587">
        <v>0.05</v>
      </c>
      <c r="L587">
        <v>92288.7</v>
      </c>
      <c r="M587">
        <v>54470.95</v>
      </c>
      <c r="N587">
        <v>37817.75</v>
      </c>
      <c r="O587" t="s">
        <v>76</v>
      </c>
      <c r="P587" t="s">
        <v>88</v>
      </c>
    </row>
    <row r="588" spans="1:16" x14ac:dyDescent="0.25">
      <c r="A588">
        <v>587</v>
      </c>
      <c r="B588" s="1">
        <v>45864</v>
      </c>
      <c r="C588" t="s">
        <v>23</v>
      </c>
      <c r="D588" t="s">
        <v>27</v>
      </c>
      <c r="E588" t="s">
        <v>28</v>
      </c>
      <c r="F588" t="s">
        <v>58</v>
      </c>
      <c r="G588" t="s">
        <v>72</v>
      </c>
      <c r="H588" t="s">
        <v>75</v>
      </c>
      <c r="I588">
        <v>6</v>
      </c>
      <c r="J588">
        <v>1851</v>
      </c>
      <c r="K588">
        <v>0.2</v>
      </c>
      <c r="L588">
        <v>8884.7999999999993</v>
      </c>
      <c r="M588">
        <v>7794.85</v>
      </c>
      <c r="N588">
        <v>1089.95</v>
      </c>
      <c r="O588" t="s">
        <v>77</v>
      </c>
      <c r="P588" t="s">
        <v>88</v>
      </c>
    </row>
    <row r="589" spans="1:16" x14ac:dyDescent="0.25">
      <c r="A589">
        <v>588</v>
      </c>
      <c r="B589" s="1">
        <v>45915</v>
      </c>
      <c r="C589" t="s">
        <v>18</v>
      </c>
      <c r="D589" t="s">
        <v>26</v>
      </c>
      <c r="E589" t="s">
        <v>28</v>
      </c>
      <c r="F589" t="s">
        <v>58</v>
      </c>
      <c r="G589" t="s">
        <v>72</v>
      </c>
      <c r="H589" t="s">
        <v>73</v>
      </c>
      <c r="I589">
        <v>7</v>
      </c>
      <c r="J589">
        <v>174</v>
      </c>
      <c r="K589">
        <v>0.15</v>
      </c>
      <c r="L589">
        <v>1035.3</v>
      </c>
      <c r="M589">
        <v>620.77</v>
      </c>
      <c r="N589">
        <v>414.53</v>
      </c>
      <c r="O589" t="s">
        <v>80</v>
      </c>
      <c r="P589" t="s">
        <v>88</v>
      </c>
    </row>
    <row r="590" spans="1:16" x14ac:dyDescent="0.25">
      <c r="A590">
        <v>589</v>
      </c>
      <c r="B590" s="1">
        <v>45681</v>
      </c>
      <c r="C590" t="s">
        <v>20</v>
      </c>
      <c r="D590" t="s">
        <v>26</v>
      </c>
      <c r="E590" t="s">
        <v>31</v>
      </c>
      <c r="F590" t="s">
        <v>50</v>
      </c>
      <c r="G590" t="s">
        <v>71</v>
      </c>
      <c r="H590" t="s">
        <v>73</v>
      </c>
      <c r="I590">
        <v>4</v>
      </c>
      <c r="J590">
        <v>769</v>
      </c>
      <c r="K590">
        <v>0</v>
      </c>
      <c r="L590">
        <v>3076</v>
      </c>
      <c r="M590">
        <v>1777.46</v>
      </c>
      <c r="N590">
        <v>1298.54</v>
      </c>
      <c r="O590" t="s">
        <v>77</v>
      </c>
      <c r="P590" t="s">
        <v>84</v>
      </c>
    </row>
    <row r="591" spans="1:16" x14ac:dyDescent="0.25">
      <c r="A591">
        <v>590</v>
      </c>
      <c r="B591" s="1">
        <v>45779</v>
      </c>
      <c r="C591" t="s">
        <v>21</v>
      </c>
      <c r="D591" t="s">
        <v>24</v>
      </c>
      <c r="E591" t="s">
        <v>34</v>
      </c>
      <c r="F591" t="s">
        <v>51</v>
      </c>
      <c r="G591" t="s">
        <v>72</v>
      </c>
      <c r="H591" t="s">
        <v>74</v>
      </c>
      <c r="I591">
        <v>1</v>
      </c>
      <c r="J591">
        <v>4442</v>
      </c>
      <c r="K591">
        <v>0.1</v>
      </c>
      <c r="L591">
        <v>3997.8</v>
      </c>
      <c r="M591">
        <v>2488.66</v>
      </c>
      <c r="N591">
        <v>1509.14</v>
      </c>
      <c r="O591" t="s">
        <v>76</v>
      </c>
      <c r="P591" t="s">
        <v>84</v>
      </c>
    </row>
    <row r="592" spans="1:16" x14ac:dyDescent="0.25">
      <c r="A592">
        <v>591</v>
      </c>
      <c r="B592" s="1">
        <v>45718</v>
      </c>
      <c r="C592" t="s">
        <v>16</v>
      </c>
      <c r="D592" t="s">
        <v>24</v>
      </c>
      <c r="E592" t="s">
        <v>34</v>
      </c>
      <c r="F592" t="s">
        <v>51</v>
      </c>
      <c r="G592" t="s">
        <v>71</v>
      </c>
      <c r="H592" t="s">
        <v>73</v>
      </c>
      <c r="I592">
        <v>6</v>
      </c>
      <c r="J592">
        <v>2679</v>
      </c>
      <c r="K592">
        <v>0.05</v>
      </c>
      <c r="L592">
        <v>15270.3</v>
      </c>
      <c r="M592">
        <v>12976.46</v>
      </c>
      <c r="N592">
        <v>2293.84</v>
      </c>
      <c r="O592" t="s">
        <v>78</v>
      </c>
      <c r="P592" t="s">
        <v>81</v>
      </c>
    </row>
    <row r="593" spans="1:16" x14ac:dyDescent="0.25">
      <c r="A593">
        <v>592</v>
      </c>
      <c r="B593" s="1">
        <v>45796</v>
      </c>
      <c r="C593" t="s">
        <v>20</v>
      </c>
      <c r="D593" t="s">
        <v>26</v>
      </c>
      <c r="E593" t="s">
        <v>32</v>
      </c>
      <c r="F593" t="s">
        <v>48</v>
      </c>
      <c r="G593" t="s">
        <v>72</v>
      </c>
      <c r="H593" t="s">
        <v>75</v>
      </c>
      <c r="I593">
        <v>7</v>
      </c>
      <c r="J593">
        <v>2015</v>
      </c>
      <c r="K593">
        <v>0.1</v>
      </c>
      <c r="L593">
        <v>12694.5</v>
      </c>
      <c r="M593">
        <v>7908.78</v>
      </c>
      <c r="N593">
        <v>4785.72</v>
      </c>
      <c r="O593" t="s">
        <v>78</v>
      </c>
      <c r="P593" t="s">
        <v>87</v>
      </c>
    </row>
    <row r="594" spans="1:16" x14ac:dyDescent="0.25">
      <c r="A594">
        <v>593</v>
      </c>
      <c r="B594" s="1">
        <v>45688</v>
      </c>
      <c r="C594" t="s">
        <v>19</v>
      </c>
      <c r="D594" t="s">
        <v>26</v>
      </c>
      <c r="E594" t="s">
        <v>31</v>
      </c>
      <c r="F594" t="s">
        <v>50</v>
      </c>
      <c r="G594" t="s">
        <v>71</v>
      </c>
      <c r="H594" t="s">
        <v>74</v>
      </c>
      <c r="I594">
        <v>2</v>
      </c>
      <c r="J594">
        <v>2295</v>
      </c>
      <c r="K594">
        <v>0</v>
      </c>
      <c r="L594">
        <v>4590</v>
      </c>
      <c r="M594">
        <v>3139.59</v>
      </c>
      <c r="N594">
        <v>1450.41</v>
      </c>
      <c r="O594" t="s">
        <v>76</v>
      </c>
      <c r="P594" t="s">
        <v>86</v>
      </c>
    </row>
    <row r="595" spans="1:16" x14ac:dyDescent="0.25">
      <c r="A595">
        <v>594</v>
      </c>
      <c r="B595" s="1">
        <v>45728</v>
      </c>
      <c r="C595" t="s">
        <v>16</v>
      </c>
      <c r="D595" t="s">
        <v>24</v>
      </c>
      <c r="E595" t="s">
        <v>31</v>
      </c>
      <c r="F595" t="s">
        <v>47</v>
      </c>
      <c r="G595" t="s">
        <v>70</v>
      </c>
      <c r="H595" t="s">
        <v>75</v>
      </c>
      <c r="I595">
        <v>3</v>
      </c>
      <c r="J595">
        <v>1058</v>
      </c>
      <c r="K595">
        <v>0.05</v>
      </c>
      <c r="L595">
        <v>3015.3</v>
      </c>
      <c r="M595">
        <v>2466.2800000000002</v>
      </c>
      <c r="N595">
        <v>549.02</v>
      </c>
      <c r="O595" t="s">
        <v>79</v>
      </c>
      <c r="P595" t="s">
        <v>83</v>
      </c>
    </row>
    <row r="596" spans="1:16" x14ac:dyDescent="0.25">
      <c r="A596">
        <v>595</v>
      </c>
      <c r="B596" s="1">
        <v>45849</v>
      </c>
      <c r="C596" t="s">
        <v>18</v>
      </c>
      <c r="D596" t="s">
        <v>26</v>
      </c>
      <c r="E596" t="s">
        <v>32</v>
      </c>
      <c r="F596" t="s">
        <v>49</v>
      </c>
      <c r="G596" t="s">
        <v>70</v>
      </c>
      <c r="H596" t="s">
        <v>75</v>
      </c>
      <c r="I596">
        <v>4</v>
      </c>
      <c r="J596">
        <v>15326</v>
      </c>
      <c r="K596">
        <v>0</v>
      </c>
      <c r="L596">
        <v>61304</v>
      </c>
      <c r="M596">
        <v>37271.11</v>
      </c>
      <c r="N596">
        <v>24032.89</v>
      </c>
      <c r="O596" t="s">
        <v>76</v>
      </c>
      <c r="P596" t="s">
        <v>82</v>
      </c>
    </row>
    <row r="597" spans="1:16" x14ac:dyDescent="0.25">
      <c r="A597">
        <v>596</v>
      </c>
      <c r="B597" s="1">
        <v>45658</v>
      </c>
      <c r="C597" t="s">
        <v>23</v>
      </c>
      <c r="D597" t="s">
        <v>27</v>
      </c>
      <c r="E597" t="s">
        <v>31</v>
      </c>
      <c r="F597" t="s">
        <v>50</v>
      </c>
      <c r="G597" t="s">
        <v>71</v>
      </c>
      <c r="H597" t="s">
        <v>74</v>
      </c>
      <c r="I597">
        <v>1</v>
      </c>
      <c r="J597">
        <v>1303</v>
      </c>
      <c r="K597">
        <v>0</v>
      </c>
      <c r="L597">
        <v>1303</v>
      </c>
      <c r="M597">
        <v>923.53</v>
      </c>
      <c r="N597">
        <v>379.47</v>
      </c>
      <c r="O597" t="s">
        <v>80</v>
      </c>
      <c r="P597" t="s">
        <v>81</v>
      </c>
    </row>
    <row r="598" spans="1:16" x14ac:dyDescent="0.25">
      <c r="A598">
        <v>597</v>
      </c>
      <c r="B598" s="1">
        <v>46000</v>
      </c>
      <c r="C598" t="s">
        <v>23</v>
      </c>
      <c r="D598" t="s">
        <v>27</v>
      </c>
      <c r="E598" t="s">
        <v>32</v>
      </c>
      <c r="F598" t="s">
        <v>48</v>
      </c>
      <c r="G598" t="s">
        <v>71</v>
      </c>
      <c r="H598" t="s">
        <v>75</v>
      </c>
      <c r="I598">
        <v>2</v>
      </c>
      <c r="J598">
        <v>18694</v>
      </c>
      <c r="K598">
        <v>0.1</v>
      </c>
      <c r="L598">
        <v>33649.199999999997</v>
      </c>
      <c r="M598">
        <v>28845.39</v>
      </c>
      <c r="N598">
        <v>4803.8100000000004</v>
      </c>
      <c r="O598" t="s">
        <v>77</v>
      </c>
      <c r="P598" t="s">
        <v>83</v>
      </c>
    </row>
    <row r="599" spans="1:16" x14ac:dyDescent="0.25">
      <c r="A599">
        <v>598</v>
      </c>
      <c r="B599" s="1">
        <v>45922</v>
      </c>
      <c r="C599" t="s">
        <v>16</v>
      </c>
      <c r="D599" t="s">
        <v>24</v>
      </c>
      <c r="E599" t="s">
        <v>30</v>
      </c>
      <c r="F599" t="s">
        <v>40</v>
      </c>
      <c r="G599" t="s">
        <v>72</v>
      </c>
      <c r="H599" t="s">
        <v>74</v>
      </c>
      <c r="I599">
        <v>8</v>
      </c>
      <c r="J599">
        <v>63036</v>
      </c>
      <c r="K599">
        <v>0.15</v>
      </c>
      <c r="L599">
        <v>428644.8</v>
      </c>
      <c r="M599">
        <v>298463.53000000003</v>
      </c>
      <c r="N599">
        <v>130181.27</v>
      </c>
      <c r="O599" t="s">
        <v>78</v>
      </c>
      <c r="P599" t="s">
        <v>84</v>
      </c>
    </row>
    <row r="600" spans="1:16" x14ac:dyDescent="0.25">
      <c r="A600">
        <v>599</v>
      </c>
      <c r="B600" s="1">
        <v>46001</v>
      </c>
      <c r="C600" t="s">
        <v>17</v>
      </c>
      <c r="D600" t="s">
        <v>25</v>
      </c>
      <c r="E600" t="s">
        <v>31</v>
      </c>
      <c r="F600" t="s">
        <v>47</v>
      </c>
      <c r="G600" t="s">
        <v>70</v>
      </c>
      <c r="H600" t="s">
        <v>73</v>
      </c>
      <c r="I600">
        <v>5</v>
      </c>
      <c r="J600">
        <v>919</v>
      </c>
      <c r="K600">
        <v>0.05</v>
      </c>
      <c r="L600">
        <v>4365.25</v>
      </c>
      <c r="M600">
        <v>3775.73</v>
      </c>
      <c r="N600">
        <v>589.52</v>
      </c>
      <c r="O600" t="s">
        <v>77</v>
      </c>
      <c r="P600" t="s">
        <v>83</v>
      </c>
    </row>
    <row r="601" spans="1:16" x14ac:dyDescent="0.25">
      <c r="A601">
        <v>600</v>
      </c>
      <c r="B601" s="1">
        <v>45885</v>
      </c>
      <c r="C601" t="s">
        <v>16</v>
      </c>
      <c r="D601" t="s">
        <v>24</v>
      </c>
      <c r="E601" t="s">
        <v>34</v>
      </c>
      <c r="F601" t="s">
        <v>68</v>
      </c>
      <c r="G601" t="s">
        <v>71</v>
      </c>
      <c r="H601" t="s">
        <v>75</v>
      </c>
      <c r="I601">
        <v>6</v>
      </c>
      <c r="J601">
        <v>614</v>
      </c>
      <c r="K601">
        <v>0.05</v>
      </c>
      <c r="L601">
        <v>3499.8</v>
      </c>
      <c r="M601">
        <v>2779.89</v>
      </c>
      <c r="N601">
        <v>719.91</v>
      </c>
      <c r="O601" t="s">
        <v>79</v>
      </c>
      <c r="P601" t="s">
        <v>86</v>
      </c>
    </row>
    <row r="602" spans="1:16" x14ac:dyDescent="0.25">
      <c r="A602">
        <v>601</v>
      </c>
      <c r="B602" s="1">
        <v>45931</v>
      </c>
      <c r="C602" t="s">
        <v>18</v>
      </c>
      <c r="D602" t="s">
        <v>26</v>
      </c>
      <c r="E602" t="s">
        <v>34</v>
      </c>
      <c r="F602" t="s">
        <v>65</v>
      </c>
      <c r="G602" t="s">
        <v>70</v>
      </c>
      <c r="H602" t="s">
        <v>73</v>
      </c>
      <c r="I602">
        <v>7</v>
      </c>
      <c r="J602">
        <v>3189</v>
      </c>
      <c r="K602">
        <v>0.05</v>
      </c>
      <c r="L602">
        <v>21206.85</v>
      </c>
      <c r="M602">
        <v>17534.52</v>
      </c>
      <c r="N602">
        <v>3672.33</v>
      </c>
      <c r="O602" t="s">
        <v>79</v>
      </c>
      <c r="P602" t="s">
        <v>82</v>
      </c>
    </row>
    <row r="603" spans="1:16" x14ac:dyDescent="0.25">
      <c r="A603">
        <v>602</v>
      </c>
      <c r="B603" s="1">
        <v>45915</v>
      </c>
      <c r="C603" t="s">
        <v>21</v>
      </c>
      <c r="D603" t="s">
        <v>24</v>
      </c>
      <c r="E603" t="s">
        <v>29</v>
      </c>
      <c r="F603" t="s">
        <v>45</v>
      </c>
      <c r="G603" t="s">
        <v>72</v>
      </c>
      <c r="H603" t="s">
        <v>73</v>
      </c>
      <c r="I603">
        <v>4</v>
      </c>
      <c r="J603">
        <v>5727</v>
      </c>
      <c r="K603">
        <v>0.05</v>
      </c>
      <c r="L603">
        <v>21762.6</v>
      </c>
      <c r="M603">
        <v>14862.03</v>
      </c>
      <c r="N603">
        <v>6900.57</v>
      </c>
      <c r="O603" t="s">
        <v>79</v>
      </c>
      <c r="P603" t="s">
        <v>88</v>
      </c>
    </row>
    <row r="604" spans="1:16" x14ac:dyDescent="0.25">
      <c r="A604">
        <v>603</v>
      </c>
      <c r="B604" s="1">
        <v>45848</v>
      </c>
      <c r="C604" t="s">
        <v>19</v>
      </c>
      <c r="D604" t="s">
        <v>26</v>
      </c>
      <c r="E604" t="s">
        <v>33</v>
      </c>
      <c r="F604" t="s">
        <v>60</v>
      </c>
      <c r="G604" t="s">
        <v>72</v>
      </c>
      <c r="H604" t="s">
        <v>73</v>
      </c>
      <c r="I604">
        <v>3</v>
      </c>
      <c r="J604">
        <v>46528</v>
      </c>
      <c r="K604">
        <v>0.1</v>
      </c>
      <c r="L604">
        <v>125625.60000000001</v>
      </c>
      <c r="M604">
        <v>89803.59</v>
      </c>
      <c r="N604">
        <v>35822.01</v>
      </c>
      <c r="O604" t="s">
        <v>77</v>
      </c>
      <c r="P604" t="s">
        <v>87</v>
      </c>
    </row>
    <row r="605" spans="1:16" x14ac:dyDescent="0.25">
      <c r="A605">
        <v>604</v>
      </c>
      <c r="B605" s="1">
        <v>45929</v>
      </c>
      <c r="C605" t="s">
        <v>21</v>
      </c>
      <c r="D605" t="s">
        <v>24</v>
      </c>
      <c r="E605" t="s">
        <v>33</v>
      </c>
      <c r="F605" t="s">
        <v>52</v>
      </c>
      <c r="G605" t="s">
        <v>71</v>
      </c>
      <c r="H605" t="s">
        <v>73</v>
      </c>
      <c r="I605">
        <v>1</v>
      </c>
      <c r="J605">
        <v>20129</v>
      </c>
      <c r="K605">
        <v>0</v>
      </c>
      <c r="L605">
        <v>20129</v>
      </c>
      <c r="M605">
        <v>17625.150000000001</v>
      </c>
      <c r="N605">
        <v>2503.85</v>
      </c>
      <c r="O605" t="s">
        <v>78</v>
      </c>
      <c r="P605" t="s">
        <v>86</v>
      </c>
    </row>
    <row r="606" spans="1:16" x14ac:dyDescent="0.25">
      <c r="A606">
        <v>605</v>
      </c>
      <c r="B606" s="1">
        <v>45968</v>
      </c>
      <c r="C606" t="s">
        <v>22</v>
      </c>
      <c r="D606" t="s">
        <v>24</v>
      </c>
      <c r="E606" t="s">
        <v>30</v>
      </c>
      <c r="F606" t="s">
        <v>56</v>
      </c>
      <c r="G606" t="s">
        <v>72</v>
      </c>
      <c r="H606" t="s">
        <v>74</v>
      </c>
      <c r="I606">
        <v>8</v>
      </c>
      <c r="J606">
        <v>11708</v>
      </c>
      <c r="K606">
        <v>0</v>
      </c>
      <c r="L606">
        <v>93664</v>
      </c>
      <c r="M606">
        <v>58433.22</v>
      </c>
      <c r="N606">
        <v>35230.78</v>
      </c>
      <c r="O606" t="s">
        <v>79</v>
      </c>
      <c r="P606" t="s">
        <v>88</v>
      </c>
    </row>
    <row r="607" spans="1:16" x14ac:dyDescent="0.25">
      <c r="A607">
        <v>606</v>
      </c>
      <c r="B607" s="1">
        <v>45779</v>
      </c>
      <c r="C607" t="s">
        <v>23</v>
      </c>
      <c r="D607" t="s">
        <v>27</v>
      </c>
      <c r="E607" t="s">
        <v>28</v>
      </c>
      <c r="F607" t="s">
        <v>54</v>
      </c>
      <c r="G607" t="s">
        <v>72</v>
      </c>
      <c r="H607" t="s">
        <v>75</v>
      </c>
      <c r="I607">
        <v>6</v>
      </c>
      <c r="J607">
        <v>2028</v>
      </c>
      <c r="K607">
        <v>0.1</v>
      </c>
      <c r="L607">
        <v>10951.2</v>
      </c>
      <c r="M607">
        <v>8072.28</v>
      </c>
      <c r="N607">
        <v>2878.92</v>
      </c>
      <c r="O607" t="s">
        <v>77</v>
      </c>
      <c r="P607" t="s">
        <v>83</v>
      </c>
    </row>
    <row r="608" spans="1:16" x14ac:dyDescent="0.25">
      <c r="A608">
        <v>607</v>
      </c>
      <c r="B608" s="1">
        <v>45675</v>
      </c>
      <c r="C608" t="s">
        <v>20</v>
      </c>
      <c r="D608" t="s">
        <v>26</v>
      </c>
      <c r="E608" t="s">
        <v>32</v>
      </c>
      <c r="F608" t="s">
        <v>62</v>
      </c>
      <c r="G608" t="s">
        <v>72</v>
      </c>
      <c r="H608" t="s">
        <v>75</v>
      </c>
      <c r="I608">
        <v>2</v>
      </c>
      <c r="J608">
        <v>17902</v>
      </c>
      <c r="K608">
        <v>0.15</v>
      </c>
      <c r="L608">
        <v>30433.4</v>
      </c>
      <c r="M608">
        <v>24085.89</v>
      </c>
      <c r="N608">
        <v>6347.51</v>
      </c>
      <c r="O608" t="s">
        <v>78</v>
      </c>
      <c r="P608" t="s">
        <v>85</v>
      </c>
    </row>
    <row r="609" spans="1:16" x14ac:dyDescent="0.25">
      <c r="A609">
        <v>608</v>
      </c>
      <c r="B609" s="1">
        <v>45925</v>
      </c>
      <c r="C609" t="s">
        <v>22</v>
      </c>
      <c r="D609" t="s">
        <v>24</v>
      </c>
      <c r="E609" t="s">
        <v>34</v>
      </c>
      <c r="F609" t="s">
        <v>68</v>
      </c>
      <c r="G609" t="s">
        <v>70</v>
      </c>
      <c r="H609" t="s">
        <v>74</v>
      </c>
      <c r="I609">
        <v>5</v>
      </c>
      <c r="J609">
        <v>1407</v>
      </c>
      <c r="K609">
        <v>0.1</v>
      </c>
      <c r="L609">
        <v>6331.5</v>
      </c>
      <c r="M609">
        <v>4366.95</v>
      </c>
      <c r="N609">
        <v>1964.55</v>
      </c>
      <c r="O609" t="s">
        <v>79</v>
      </c>
      <c r="P609" t="s">
        <v>88</v>
      </c>
    </row>
    <row r="610" spans="1:16" x14ac:dyDescent="0.25">
      <c r="A610">
        <v>609</v>
      </c>
      <c r="B610" s="1">
        <v>45750</v>
      </c>
      <c r="C610" t="s">
        <v>20</v>
      </c>
      <c r="D610" t="s">
        <v>26</v>
      </c>
      <c r="E610" t="s">
        <v>34</v>
      </c>
      <c r="F610" t="s">
        <v>65</v>
      </c>
      <c r="G610" t="s">
        <v>72</v>
      </c>
      <c r="H610" t="s">
        <v>73</v>
      </c>
      <c r="I610">
        <v>6</v>
      </c>
      <c r="J610">
        <v>2790</v>
      </c>
      <c r="K610">
        <v>0.1</v>
      </c>
      <c r="L610">
        <v>15066</v>
      </c>
      <c r="M610">
        <v>11917.76</v>
      </c>
      <c r="N610">
        <v>3148.24</v>
      </c>
      <c r="O610" t="s">
        <v>76</v>
      </c>
      <c r="P610" t="s">
        <v>84</v>
      </c>
    </row>
    <row r="611" spans="1:16" x14ac:dyDescent="0.25">
      <c r="A611">
        <v>610</v>
      </c>
      <c r="B611" s="1">
        <v>45950</v>
      </c>
      <c r="C611" t="s">
        <v>22</v>
      </c>
      <c r="D611" t="s">
        <v>24</v>
      </c>
      <c r="E611" t="s">
        <v>33</v>
      </c>
      <c r="F611" t="s">
        <v>59</v>
      </c>
      <c r="G611" t="s">
        <v>71</v>
      </c>
      <c r="H611" t="s">
        <v>75</v>
      </c>
      <c r="I611">
        <v>4</v>
      </c>
      <c r="J611">
        <v>26559</v>
      </c>
      <c r="K611">
        <v>0.2</v>
      </c>
      <c r="L611">
        <v>84988.800000000003</v>
      </c>
      <c r="M611">
        <v>49643.21</v>
      </c>
      <c r="N611">
        <v>35345.589999999997</v>
      </c>
      <c r="O611" t="s">
        <v>79</v>
      </c>
      <c r="P611" t="s">
        <v>86</v>
      </c>
    </row>
    <row r="612" spans="1:16" x14ac:dyDescent="0.25">
      <c r="A612">
        <v>611</v>
      </c>
      <c r="B612" s="1">
        <v>45785</v>
      </c>
      <c r="C612" t="s">
        <v>20</v>
      </c>
      <c r="D612" t="s">
        <v>26</v>
      </c>
      <c r="E612" t="s">
        <v>29</v>
      </c>
      <c r="F612" t="s">
        <v>42</v>
      </c>
      <c r="G612" t="s">
        <v>72</v>
      </c>
      <c r="H612" t="s">
        <v>75</v>
      </c>
      <c r="I612">
        <v>2</v>
      </c>
      <c r="J612">
        <v>2907</v>
      </c>
      <c r="K612">
        <v>0.1</v>
      </c>
      <c r="L612">
        <v>5232.6000000000004</v>
      </c>
      <c r="M612">
        <v>3469.3</v>
      </c>
      <c r="N612">
        <v>1763.3</v>
      </c>
      <c r="O612" t="s">
        <v>76</v>
      </c>
      <c r="P612" t="s">
        <v>81</v>
      </c>
    </row>
    <row r="613" spans="1:16" x14ac:dyDescent="0.25">
      <c r="A613">
        <v>612</v>
      </c>
      <c r="B613" s="1">
        <v>45750</v>
      </c>
      <c r="C613" t="s">
        <v>21</v>
      </c>
      <c r="D613" t="s">
        <v>24</v>
      </c>
      <c r="E613" t="s">
        <v>32</v>
      </c>
      <c r="F613" t="s">
        <v>49</v>
      </c>
      <c r="G613" t="s">
        <v>70</v>
      </c>
      <c r="H613" t="s">
        <v>75</v>
      </c>
      <c r="I613">
        <v>8</v>
      </c>
      <c r="J613">
        <v>13212</v>
      </c>
      <c r="K613">
        <v>0.1</v>
      </c>
      <c r="L613">
        <v>95126.399999999994</v>
      </c>
      <c r="M613">
        <v>77758.25</v>
      </c>
      <c r="N613">
        <v>17368.150000000001</v>
      </c>
      <c r="O613" t="s">
        <v>76</v>
      </c>
      <c r="P613" t="s">
        <v>82</v>
      </c>
    </row>
    <row r="614" spans="1:16" x14ac:dyDescent="0.25">
      <c r="A614">
        <v>613</v>
      </c>
      <c r="B614" s="1">
        <v>45718</v>
      </c>
      <c r="C614" t="s">
        <v>20</v>
      </c>
      <c r="D614" t="s">
        <v>26</v>
      </c>
      <c r="E614" t="s">
        <v>34</v>
      </c>
      <c r="F614" t="s">
        <v>55</v>
      </c>
      <c r="G614" t="s">
        <v>72</v>
      </c>
      <c r="H614" t="s">
        <v>73</v>
      </c>
      <c r="I614">
        <v>7</v>
      </c>
      <c r="J614">
        <v>5338</v>
      </c>
      <c r="K614">
        <v>0.15</v>
      </c>
      <c r="L614">
        <v>31761.1</v>
      </c>
      <c r="M614">
        <v>23942.76</v>
      </c>
      <c r="N614">
        <v>7818.34</v>
      </c>
      <c r="O614" t="s">
        <v>78</v>
      </c>
      <c r="P614" t="s">
        <v>83</v>
      </c>
    </row>
    <row r="615" spans="1:16" x14ac:dyDescent="0.25">
      <c r="A615">
        <v>614</v>
      </c>
      <c r="B615" s="1">
        <v>45958</v>
      </c>
      <c r="C615" t="s">
        <v>16</v>
      </c>
      <c r="D615" t="s">
        <v>24</v>
      </c>
      <c r="E615" t="s">
        <v>30</v>
      </c>
      <c r="F615" t="s">
        <v>44</v>
      </c>
      <c r="G615" t="s">
        <v>71</v>
      </c>
      <c r="H615" t="s">
        <v>73</v>
      </c>
      <c r="I615">
        <v>4</v>
      </c>
      <c r="J615">
        <v>18545</v>
      </c>
      <c r="K615">
        <v>0.05</v>
      </c>
      <c r="L615">
        <v>70471</v>
      </c>
      <c r="M615">
        <v>45053.7</v>
      </c>
      <c r="N615">
        <v>25417.3</v>
      </c>
      <c r="O615" t="s">
        <v>78</v>
      </c>
      <c r="P615" t="s">
        <v>84</v>
      </c>
    </row>
    <row r="616" spans="1:16" x14ac:dyDescent="0.25">
      <c r="A616">
        <v>615</v>
      </c>
      <c r="B616" s="1">
        <v>45779</v>
      </c>
      <c r="C616" t="s">
        <v>18</v>
      </c>
      <c r="D616" t="s">
        <v>26</v>
      </c>
      <c r="E616" t="s">
        <v>33</v>
      </c>
      <c r="F616" t="s">
        <v>60</v>
      </c>
      <c r="G616" t="s">
        <v>72</v>
      </c>
      <c r="H616" t="s">
        <v>74</v>
      </c>
      <c r="I616">
        <v>3</v>
      </c>
      <c r="J616">
        <v>15134</v>
      </c>
      <c r="K616">
        <v>0</v>
      </c>
      <c r="L616">
        <v>45402</v>
      </c>
      <c r="M616">
        <v>31581.89</v>
      </c>
      <c r="N616">
        <v>13820.11</v>
      </c>
      <c r="O616" t="s">
        <v>77</v>
      </c>
      <c r="P616" t="s">
        <v>88</v>
      </c>
    </row>
    <row r="617" spans="1:16" x14ac:dyDescent="0.25">
      <c r="A617">
        <v>616</v>
      </c>
      <c r="B617" s="1">
        <v>45993</v>
      </c>
      <c r="C617" t="s">
        <v>22</v>
      </c>
      <c r="D617" t="s">
        <v>24</v>
      </c>
      <c r="E617" t="s">
        <v>34</v>
      </c>
      <c r="F617" t="s">
        <v>55</v>
      </c>
      <c r="G617" t="s">
        <v>71</v>
      </c>
      <c r="H617" t="s">
        <v>73</v>
      </c>
      <c r="I617">
        <v>8</v>
      </c>
      <c r="J617">
        <v>2367</v>
      </c>
      <c r="K617">
        <v>0.05</v>
      </c>
      <c r="L617">
        <v>17989.2</v>
      </c>
      <c r="M617">
        <v>10903.19</v>
      </c>
      <c r="N617">
        <v>7086.01</v>
      </c>
      <c r="O617" t="s">
        <v>76</v>
      </c>
      <c r="P617" t="s">
        <v>83</v>
      </c>
    </row>
    <row r="618" spans="1:16" x14ac:dyDescent="0.25">
      <c r="A618">
        <v>617</v>
      </c>
      <c r="B618" s="1">
        <v>45875</v>
      </c>
      <c r="C618" t="s">
        <v>16</v>
      </c>
      <c r="D618" t="s">
        <v>24</v>
      </c>
      <c r="E618" t="s">
        <v>31</v>
      </c>
      <c r="F618" t="s">
        <v>50</v>
      </c>
      <c r="G618" t="s">
        <v>71</v>
      </c>
      <c r="H618" t="s">
        <v>73</v>
      </c>
      <c r="I618">
        <v>3</v>
      </c>
      <c r="J618">
        <v>516</v>
      </c>
      <c r="K618">
        <v>0.15</v>
      </c>
      <c r="L618">
        <v>1315.8</v>
      </c>
      <c r="M618">
        <v>766.27</v>
      </c>
      <c r="N618">
        <v>549.53</v>
      </c>
      <c r="O618" t="s">
        <v>77</v>
      </c>
      <c r="P618" t="s">
        <v>82</v>
      </c>
    </row>
    <row r="619" spans="1:16" x14ac:dyDescent="0.25">
      <c r="A619">
        <v>618</v>
      </c>
      <c r="B619" s="1">
        <v>45986</v>
      </c>
      <c r="C619" t="s">
        <v>21</v>
      </c>
      <c r="D619" t="s">
        <v>24</v>
      </c>
      <c r="E619" t="s">
        <v>30</v>
      </c>
      <c r="F619" t="s">
        <v>40</v>
      </c>
      <c r="G619" t="s">
        <v>71</v>
      </c>
      <c r="H619" t="s">
        <v>73</v>
      </c>
      <c r="I619">
        <v>8</v>
      </c>
      <c r="J619">
        <v>20846</v>
      </c>
      <c r="K619">
        <v>0</v>
      </c>
      <c r="L619">
        <v>166768</v>
      </c>
      <c r="M619">
        <v>136447.69</v>
      </c>
      <c r="N619">
        <v>30320.31</v>
      </c>
      <c r="O619" t="s">
        <v>76</v>
      </c>
      <c r="P619" t="s">
        <v>88</v>
      </c>
    </row>
    <row r="620" spans="1:16" x14ac:dyDescent="0.25">
      <c r="A620">
        <v>619</v>
      </c>
      <c r="B620" s="1">
        <v>46005</v>
      </c>
      <c r="C620" t="s">
        <v>23</v>
      </c>
      <c r="D620" t="s">
        <v>27</v>
      </c>
      <c r="E620" t="s">
        <v>31</v>
      </c>
      <c r="F620" t="s">
        <v>67</v>
      </c>
      <c r="G620" t="s">
        <v>70</v>
      </c>
      <c r="H620" t="s">
        <v>75</v>
      </c>
      <c r="I620">
        <v>6</v>
      </c>
      <c r="J620">
        <v>1700</v>
      </c>
      <c r="K620">
        <v>0.05</v>
      </c>
      <c r="L620">
        <v>9690</v>
      </c>
      <c r="M620">
        <v>6268.86</v>
      </c>
      <c r="N620">
        <v>3421.14</v>
      </c>
      <c r="O620" t="s">
        <v>77</v>
      </c>
      <c r="P620" t="s">
        <v>85</v>
      </c>
    </row>
    <row r="621" spans="1:16" x14ac:dyDescent="0.25">
      <c r="A621">
        <v>620</v>
      </c>
      <c r="B621" s="1">
        <v>45729</v>
      </c>
      <c r="C621" t="s">
        <v>23</v>
      </c>
      <c r="D621" t="s">
        <v>27</v>
      </c>
      <c r="E621" t="s">
        <v>34</v>
      </c>
      <c r="F621" t="s">
        <v>43</v>
      </c>
      <c r="G621" t="s">
        <v>70</v>
      </c>
      <c r="H621" t="s">
        <v>73</v>
      </c>
      <c r="I621">
        <v>8</v>
      </c>
      <c r="J621">
        <v>2100</v>
      </c>
      <c r="K621">
        <v>0.1</v>
      </c>
      <c r="L621">
        <v>15120</v>
      </c>
      <c r="M621">
        <v>9770.39</v>
      </c>
      <c r="N621">
        <v>5349.61</v>
      </c>
      <c r="O621" t="s">
        <v>76</v>
      </c>
      <c r="P621" t="s">
        <v>87</v>
      </c>
    </row>
    <row r="622" spans="1:16" x14ac:dyDescent="0.25">
      <c r="A622">
        <v>621</v>
      </c>
      <c r="B622" s="1">
        <v>45937</v>
      </c>
      <c r="C622" t="s">
        <v>18</v>
      </c>
      <c r="D622" t="s">
        <v>26</v>
      </c>
      <c r="E622" t="s">
        <v>31</v>
      </c>
      <c r="F622" t="s">
        <v>69</v>
      </c>
      <c r="G622" t="s">
        <v>72</v>
      </c>
      <c r="H622" t="s">
        <v>75</v>
      </c>
      <c r="I622">
        <v>1</v>
      </c>
      <c r="J622">
        <v>1803</v>
      </c>
      <c r="K622">
        <v>0.2</v>
      </c>
      <c r="L622">
        <v>1442.4</v>
      </c>
      <c r="M622">
        <v>1030.8599999999999</v>
      </c>
      <c r="N622">
        <v>411.54</v>
      </c>
      <c r="O622" t="s">
        <v>76</v>
      </c>
      <c r="P622" t="s">
        <v>88</v>
      </c>
    </row>
    <row r="623" spans="1:16" x14ac:dyDescent="0.25">
      <c r="A623">
        <v>622</v>
      </c>
      <c r="B623" s="1">
        <v>45671</v>
      </c>
      <c r="C623" t="s">
        <v>23</v>
      </c>
      <c r="D623" t="s">
        <v>27</v>
      </c>
      <c r="E623" t="s">
        <v>31</v>
      </c>
      <c r="F623" t="s">
        <v>50</v>
      </c>
      <c r="G623" t="s">
        <v>72</v>
      </c>
      <c r="H623" t="s">
        <v>75</v>
      </c>
      <c r="I623">
        <v>5</v>
      </c>
      <c r="J623">
        <v>1319</v>
      </c>
      <c r="K623">
        <v>0.1</v>
      </c>
      <c r="L623">
        <v>5935.5</v>
      </c>
      <c r="M623">
        <v>4755.6499999999996</v>
      </c>
      <c r="N623">
        <v>1179.8499999999999</v>
      </c>
      <c r="O623" t="s">
        <v>80</v>
      </c>
      <c r="P623" t="s">
        <v>86</v>
      </c>
    </row>
    <row r="624" spans="1:16" x14ac:dyDescent="0.25">
      <c r="A624">
        <v>623</v>
      </c>
      <c r="B624" s="1">
        <v>45913</v>
      </c>
      <c r="C624" t="s">
        <v>20</v>
      </c>
      <c r="D624" t="s">
        <v>26</v>
      </c>
      <c r="E624" t="s">
        <v>30</v>
      </c>
      <c r="F624" t="s">
        <v>37</v>
      </c>
      <c r="G624" t="s">
        <v>71</v>
      </c>
      <c r="H624" t="s">
        <v>74</v>
      </c>
      <c r="I624">
        <v>8</v>
      </c>
      <c r="J624">
        <v>48233</v>
      </c>
      <c r="K624">
        <v>0.05</v>
      </c>
      <c r="L624">
        <v>366570.8</v>
      </c>
      <c r="M624">
        <v>215752.57</v>
      </c>
      <c r="N624">
        <v>150818.23000000001</v>
      </c>
      <c r="O624" t="s">
        <v>79</v>
      </c>
      <c r="P624" t="s">
        <v>88</v>
      </c>
    </row>
    <row r="625" spans="1:16" x14ac:dyDescent="0.25">
      <c r="A625">
        <v>624</v>
      </c>
      <c r="B625" s="1">
        <v>45912</v>
      </c>
      <c r="C625" t="s">
        <v>22</v>
      </c>
      <c r="D625" t="s">
        <v>24</v>
      </c>
      <c r="E625" t="s">
        <v>34</v>
      </c>
      <c r="F625" t="s">
        <v>51</v>
      </c>
      <c r="G625" t="s">
        <v>72</v>
      </c>
      <c r="H625" t="s">
        <v>75</v>
      </c>
      <c r="I625">
        <v>8</v>
      </c>
      <c r="J625">
        <v>3202</v>
      </c>
      <c r="K625">
        <v>0.1</v>
      </c>
      <c r="L625">
        <v>23054.400000000001</v>
      </c>
      <c r="M625">
        <v>15829.05</v>
      </c>
      <c r="N625">
        <v>7225.35</v>
      </c>
      <c r="O625" t="s">
        <v>76</v>
      </c>
      <c r="P625" t="s">
        <v>88</v>
      </c>
    </row>
    <row r="626" spans="1:16" x14ac:dyDescent="0.25">
      <c r="A626">
        <v>625</v>
      </c>
      <c r="B626" s="1">
        <v>45762</v>
      </c>
      <c r="C626" t="s">
        <v>21</v>
      </c>
      <c r="D626" t="s">
        <v>24</v>
      </c>
      <c r="E626" t="s">
        <v>32</v>
      </c>
      <c r="F626" t="s">
        <v>62</v>
      </c>
      <c r="G626" t="s">
        <v>71</v>
      </c>
      <c r="H626" t="s">
        <v>75</v>
      </c>
      <c r="I626">
        <v>4</v>
      </c>
      <c r="J626">
        <v>6237</v>
      </c>
      <c r="K626">
        <v>0.05</v>
      </c>
      <c r="L626">
        <v>23700.6</v>
      </c>
      <c r="M626">
        <v>20046.82</v>
      </c>
      <c r="N626">
        <v>3653.78</v>
      </c>
      <c r="O626" t="s">
        <v>77</v>
      </c>
      <c r="P626" t="s">
        <v>85</v>
      </c>
    </row>
    <row r="627" spans="1:16" x14ac:dyDescent="0.25">
      <c r="A627">
        <v>626</v>
      </c>
      <c r="B627" s="1">
        <v>45798</v>
      </c>
      <c r="C627" t="s">
        <v>18</v>
      </c>
      <c r="D627" t="s">
        <v>26</v>
      </c>
      <c r="E627" t="s">
        <v>28</v>
      </c>
      <c r="F627" t="s">
        <v>61</v>
      </c>
      <c r="G627" t="s">
        <v>71</v>
      </c>
      <c r="H627" t="s">
        <v>73</v>
      </c>
      <c r="I627">
        <v>2</v>
      </c>
      <c r="J627">
        <v>1600</v>
      </c>
      <c r="K627">
        <v>0.1</v>
      </c>
      <c r="L627">
        <v>2880</v>
      </c>
      <c r="M627">
        <v>2191.0500000000002</v>
      </c>
      <c r="N627">
        <v>688.95</v>
      </c>
      <c r="O627" t="s">
        <v>76</v>
      </c>
      <c r="P627" t="s">
        <v>85</v>
      </c>
    </row>
    <row r="628" spans="1:16" x14ac:dyDescent="0.25">
      <c r="A628">
        <v>627</v>
      </c>
      <c r="B628" s="1">
        <v>45812</v>
      </c>
      <c r="C628" t="s">
        <v>21</v>
      </c>
      <c r="D628" t="s">
        <v>24</v>
      </c>
      <c r="E628" t="s">
        <v>33</v>
      </c>
      <c r="F628" t="s">
        <v>60</v>
      </c>
      <c r="G628" t="s">
        <v>70</v>
      </c>
      <c r="H628" t="s">
        <v>75</v>
      </c>
      <c r="I628">
        <v>4</v>
      </c>
      <c r="J628">
        <v>32599</v>
      </c>
      <c r="K628">
        <v>0.1</v>
      </c>
      <c r="L628">
        <v>117356.4</v>
      </c>
      <c r="M628">
        <v>94829.18</v>
      </c>
      <c r="N628">
        <v>22527.22</v>
      </c>
      <c r="O628" t="s">
        <v>76</v>
      </c>
      <c r="P628" t="s">
        <v>87</v>
      </c>
    </row>
    <row r="629" spans="1:16" x14ac:dyDescent="0.25">
      <c r="A629">
        <v>628</v>
      </c>
      <c r="B629" s="1">
        <v>45958</v>
      </c>
      <c r="C629" t="s">
        <v>19</v>
      </c>
      <c r="D629" t="s">
        <v>26</v>
      </c>
      <c r="E629" t="s">
        <v>30</v>
      </c>
      <c r="F629" t="s">
        <v>40</v>
      </c>
      <c r="G629" t="s">
        <v>71</v>
      </c>
      <c r="H629" t="s">
        <v>75</v>
      </c>
      <c r="I629">
        <v>5</v>
      </c>
      <c r="J629">
        <v>10180</v>
      </c>
      <c r="K629">
        <v>0.05</v>
      </c>
      <c r="L629">
        <v>48355</v>
      </c>
      <c r="M629">
        <v>33401.699999999997</v>
      </c>
      <c r="N629">
        <v>14953.3</v>
      </c>
      <c r="O629" t="s">
        <v>79</v>
      </c>
      <c r="P629" t="s">
        <v>83</v>
      </c>
    </row>
    <row r="630" spans="1:16" x14ac:dyDescent="0.25">
      <c r="A630">
        <v>629</v>
      </c>
      <c r="B630" s="1">
        <v>45916</v>
      </c>
      <c r="C630" t="s">
        <v>23</v>
      </c>
      <c r="D630" t="s">
        <v>27</v>
      </c>
      <c r="E630" t="s">
        <v>28</v>
      </c>
      <c r="F630" t="s">
        <v>58</v>
      </c>
      <c r="G630" t="s">
        <v>71</v>
      </c>
      <c r="H630" t="s">
        <v>75</v>
      </c>
      <c r="I630">
        <v>6</v>
      </c>
      <c r="J630">
        <v>1675</v>
      </c>
      <c r="K630">
        <v>0.15</v>
      </c>
      <c r="L630">
        <v>8542.5</v>
      </c>
      <c r="M630">
        <v>5510.07</v>
      </c>
      <c r="N630">
        <v>3032.43</v>
      </c>
      <c r="O630" t="s">
        <v>78</v>
      </c>
      <c r="P630" t="s">
        <v>84</v>
      </c>
    </row>
    <row r="631" spans="1:16" x14ac:dyDescent="0.25">
      <c r="A631">
        <v>630</v>
      </c>
      <c r="B631" s="1">
        <v>45984</v>
      </c>
      <c r="C631" t="s">
        <v>22</v>
      </c>
      <c r="D631" t="s">
        <v>24</v>
      </c>
      <c r="E631" t="s">
        <v>34</v>
      </c>
      <c r="F631" t="s">
        <v>55</v>
      </c>
      <c r="G631" t="s">
        <v>72</v>
      </c>
      <c r="H631" t="s">
        <v>73</v>
      </c>
      <c r="I631">
        <v>8</v>
      </c>
      <c r="J631">
        <v>993</v>
      </c>
      <c r="K631">
        <v>0</v>
      </c>
      <c r="L631">
        <v>7944</v>
      </c>
      <c r="M631">
        <v>5487.03</v>
      </c>
      <c r="N631">
        <v>2456.9699999999998</v>
      </c>
      <c r="O631" t="s">
        <v>79</v>
      </c>
      <c r="P631" t="s">
        <v>84</v>
      </c>
    </row>
    <row r="632" spans="1:16" x14ac:dyDescent="0.25">
      <c r="A632">
        <v>631</v>
      </c>
      <c r="B632" s="1">
        <v>45661</v>
      </c>
      <c r="C632" t="s">
        <v>23</v>
      </c>
      <c r="D632" t="s">
        <v>27</v>
      </c>
      <c r="E632" t="s">
        <v>34</v>
      </c>
      <c r="F632" t="s">
        <v>51</v>
      </c>
      <c r="G632" t="s">
        <v>71</v>
      </c>
      <c r="H632" t="s">
        <v>73</v>
      </c>
      <c r="I632">
        <v>7</v>
      </c>
      <c r="J632">
        <v>442</v>
      </c>
      <c r="K632">
        <v>0</v>
      </c>
      <c r="L632">
        <v>3094</v>
      </c>
      <c r="M632">
        <v>1993.06</v>
      </c>
      <c r="N632">
        <v>1100.94</v>
      </c>
      <c r="O632" t="s">
        <v>80</v>
      </c>
      <c r="P632" t="s">
        <v>83</v>
      </c>
    </row>
    <row r="633" spans="1:16" x14ac:dyDescent="0.25">
      <c r="A633">
        <v>632</v>
      </c>
      <c r="B633" s="1">
        <v>45854</v>
      </c>
      <c r="C633" t="s">
        <v>20</v>
      </c>
      <c r="D633" t="s">
        <v>26</v>
      </c>
      <c r="E633" t="s">
        <v>33</v>
      </c>
      <c r="F633" t="s">
        <v>46</v>
      </c>
      <c r="G633" t="s">
        <v>71</v>
      </c>
      <c r="H633" t="s">
        <v>74</v>
      </c>
      <c r="I633">
        <v>6</v>
      </c>
      <c r="J633">
        <v>25946</v>
      </c>
      <c r="K633">
        <v>0.2</v>
      </c>
      <c r="L633">
        <v>124540.8</v>
      </c>
      <c r="M633">
        <v>83188.89</v>
      </c>
      <c r="N633">
        <v>41351.910000000003</v>
      </c>
      <c r="O633" t="s">
        <v>78</v>
      </c>
      <c r="P633" t="s">
        <v>82</v>
      </c>
    </row>
    <row r="634" spans="1:16" x14ac:dyDescent="0.25">
      <c r="A634">
        <v>633</v>
      </c>
      <c r="B634" s="1">
        <v>45672</v>
      </c>
      <c r="C634" t="s">
        <v>23</v>
      </c>
      <c r="D634" t="s">
        <v>27</v>
      </c>
      <c r="E634" t="s">
        <v>31</v>
      </c>
      <c r="F634" t="s">
        <v>69</v>
      </c>
      <c r="G634" t="s">
        <v>71</v>
      </c>
      <c r="H634" t="s">
        <v>75</v>
      </c>
      <c r="I634">
        <v>7</v>
      </c>
      <c r="J634">
        <v>280</v>
      </c>
      <c r="K634">
        <v>0</v>
      </c>
      <c r="L634">
        <v>1960</v>
      </c>
      <c r="M634">
        <v>1393.52</v>
      </c>
      <c r="N634">
        <v>566.48</v>
      </c>
      <c r="O634" t="s">
        <v>79</v>
      </c>
      <c r="P634" t="s">
        <v>82</v>
      </c>
    </row>
    <row r="635" spans="1:16" x14ac:dyDescent="0.25">
      <c r="A635">
        <v>634</v>
      </c>
      <c r="B635" s="1">
        <v>45993</v>
      </c>
      <c r="C635" t="s">
        <v>23</v>
      </c>
      <c r="D635" t="s">
        <v>27</v>
      </c>
      <c r="E635" t="s">
        <v>29</v>
      </c>
      <c r="F635" t="s">
        <v>53</v>
      </c>
      <c r="G635" t="s">
        <v>70</v>
      </c>
      <c r="H635" t="s">
        <v>74</v>
      </c>
      <c r="I635">
        <v>7</v>
      </c>
      <c r="J635">
        <v>11962</v>
      </c>
      <c r="K635">
        <v>0</v>
      </c>
      <c r="L635">
        <v>83734</v>
      </c>
      <c r="M635">
        <v>50437.2</v>
      </c>
      <c r="N635">
        <v>33296.800000000003</v>
      </c>
      <c r="O635" t="s">
        <v>80</v>
      </c>
      <c r="P635" t="s">
        <v>86</v>
      </c>
    </row>
    <row r="636" spans="1:16" x14ac:dyDescent="0.25">
      <c r="A636">
        <v>635</v>
      </c>
      <c r="B636" s="1">
        <v>45706</v>
      </c>
      <c r="C636" t="s">
        <v>16</v>
      </c>
      <c r="D636" t="s">
        <v>24</v>
      </c>
      <c r="E636" t="s">
        <v>28</v>
      </c>
      <c r="F636" t="s">
        <v>58</v>
      </c>
      <c r="G636" t="s">
        <v>71</v>
      </c>
      <c r="H636" t="s">
        <v>75</v>
      </c>
      <c r="I636">
        <v>1</v>
      </c>
      <c r="J636">
        <v>1362</v>
      </c>
      <c r="K636">
        <v>0.1</v>
      </c>
      <c r="L636">
        <v>1225.8</v>
      </c>
      <c r="M636">
        <v>917.46</v>
      </c>
      <c r="N636">
        <v>308.33999999999997</v>
      </c>
      <c r="O636" t="s">
        <v>76</v>
      </c>
      <c r="P636" t="s">
        <v>84</v>
      </c>
    </row>
    <row r="637" spans="1:16" x14ac:dyDescent="0.25">
      <c r="A637">
        <v>636</v>
      </c>
      <c r="B637" s="1">
        <v>45988</v>
      </c>
      <c r="C637" t="s">
        <v>21</v>
      </c>
      <c r="D637" t="s">
        <v>24</v>
      </c>
      <c r="E637" t="s">
        <v>30</v>
      </c>
      <c r="F637" t="s">
        <v>56</v>
      </c>
      <c r="G637" t="s">
        <v>70</v>
      </c>
      <c r="H637" t="s">
        <v>74</v>
      </c>
      <c r="I637">
        <v>6</v>
      </c>
      <c r="J637">
        <v>8732</v>
      </c>
      <c r="K637">
        <v>0.05</v>
      </c>
      <c r="L637">
        <v>49772.4</v>
      </c>
      <c r="M637">
        <v>37732.949999999997</v>
      </c>
      <c r="N637">
        <v>12039.45</v>
      </c>
      <c r="O637" t="s">
        <v>79</v>
      </c>
      <c r="P637" t="s">
        <v>81</v>
      </c>
    </row>
    <row r="638" spans="1:16" x14ac:dyDescent="0.25">
      <c r="A638">
        <v>637</v>
      </c>
      <c r="B638" s="1">
        <v>45805</v>
      </c>
      <c r="C638" t="s">
        <v>23</v>
      </c>
      <c r="D638" t="s">
        <v>27</v>
      </c>
      <c r="E638" t="s">
        <v>28</v>
      </c>
      <c r="F638" t="s">
        <v>63</v>
      </c>
      <c r="G638" t="s">
        <v>72</v>
      </c>
      <c r="H638" t="s">
        <v>74</v>
      </c>
      <c r="I638">
        <v>5</v>
      </c>
      <c r="J638">
        <v>1755</v>
      </c>
      <c r="K638">
        <v>0.1</v>
      </c>
      <c r="L638">
        <v>7897.5</v>
      </c>
      <c r="M638">
        <v>5676.63</v>
      </c>
      <c r="N638">
        <v>2220.87</v>
      </c>
      <c r="O638" t="s">
        <v>76</v>
      </c>
      <c r="P638" t="s">
        <v>83</v>
      </c>
    </row>
    <row r="639" spans="1:16" x14ac:dyDescent="0.25">
      <c r="A639">
        <v>638</v>
      </c>
      <c r="B639" s="1">
        <v>45717</v>
      </c>
      <c r="C639" t="s">
        <v>20</v>
      </c>
      <c r="D639" t="s">
        <v>26</v>
      </c>
      <c r="E639" t="s">
        <v>30</v>
      </c>
      <c r="F639" t="s">
        <v>37</v>
      </c>
      <c r="G639" t="s">
        <v>70</v>
      </c>
      <c r="H639" t="s">
        <v>73</v>
      </c>
      <c r="I639">
        <v>3</v>
      </c>
      <c r="J639">
        <v>66669</v>
      </c>
      <c r="K639">
        <v>0.05</v>
      </c>
      <c r="L639">
        <v>190006.65</v>
      </c>
      <c r="M639">
        <v>147564.75</v>
      </c>
      <c r="N639">
        <v>42441.9</v>
      </c>
      <c r="O639" t="s">
        <v>76</v>
      </c>
      <c r="P639" t="s">
        <v>83</v>
      </c>
    </row>
    <row r="640" spans="1:16" x14ac:dyDescent="0.25">
      <c r="A640">
        <v>639</v>
      </c>
      <c r="B640" s="1">
        <v>45823</v>
      </c>
      <c r="C640" t="s">
        <v>23</v>
      </c>
      <c r="D640" t="s">
        <v>27</v>
      </c>
      <c r="E640" t="s">
        <v>29</v>
      </c>
      <c r="F640" t="s">
        <v>42</v>
      </c>
      <c r="G640" t="s">
        <v>71</v>
      </c>
      <c r="H640" t="s">
        <v>74</v>
      </c>
      <c r="I640">
        <v>3</v>
      </c>
      <c r="J640">
        <v>11034</v>
      </c>
      <c r="K640">
        <v>0.05</v>
      </c>
      <c r="L640">
        <v>31446.9</v>
      </c>
      <c r="M640">
        <v>21225.15</v>
      </c>
      <c r="N640">
        <v>10221.75</v>
      </c>
      <c r="O640" t="s">
        <v>79</v>
      </c>
      <c r="P640" t="s">
        <v>83</v>
      </c>
    </row>
    <row r="641" spans="1:16" x14ac:dyDescent="0.25">
      <c r="A641">
        <v>640</v>
      </c>
      <c r="B641" s="1">
        <v>45755</v>
      </c>
      <c r="C641" t="s">
        <v>19</v>
      </c>
      <c r="D641" t="s">
        <v>26</v>
      </c>
      <c r="E641" t="s">
        <v>28</v>
      </c>
      <c r="F641" t="s">
        <v>61</v>
      </c>
      <c r="G641" t="s">
        <v>72</v>
      </c>
      <c r="H641" t="s">
        <v>74</v>
      </c>
      <c r="I641">
        <v>4</v>
      </c>
      <c r="J641">
        <v>211</v>
      </c>
      <c r="K641">
        <v>0.1</v>
      </c>
      <c r="L641">
        <v>759.6</v>
      </c>
      <c r="M641">
        <v>468.8</v>
      </c>
      <c r="N641">
        <v>290.8</v>
      </c>
      <c r="O641" t="s">
        <v>78</v>
      </c>
      <c r="P641" t="s">
        <v>84</v>
      </c>
    </row>
    <row r="642" spans="1:16" x14ac:dyDescent="0.25">
      <c r="A642">
        <v>641</v>
      </c>
      <c r="B642" s="1">
        <v>45932</v>
      </c>
      <c r="C642" t="s">
        <v>20</v>
      </c>
      <c r="D642" t="s">
        <v>26</v>
      </c>
      <c r="E642" t="s">
        <v>31</v>
      </c>
      <c r="F642" t="s">
        <v>69</v>
      </c>
      <c r="G642" t="s">
        <v>70</v>
      </c>
      <c r="H642" t="s">
        <v>73</v>
      </c>
      <c r="I642">
        <v>8</v>
      </c>
      <c r="J642">
        <v>634</v>
      </c>
      <c r="K642">
        <v>0</v>
      </c>
      <c r="L642">
        <v>5072</v>
      </c>
      <c r="M642">
        <v>3647.3</v>
      </c>
      <c r="N642">
        <v>1424.7</v>
      </c>
      <c r="O642" t="s">
        <v>77</v>
      </c>
      <c r="P642" t="s">
        <v>85</v>
      </c>
    </row>
    <row r="643" spans="1:16" x14ac:dyDescent="0.25">
      <c r="A643">
        <v>642</v>
      </c>
      <c r="B643" s="1">
        <v>45712</v>
      </c>
      <c r="C643" t="s">
        <v>23</v>
      </c>
      <c r="D643" t="s">
        <v>27</v>
      </c>
      <c r="E643" t="s">
        <v>32</v>
      </c>
      <c r="F643" t="s">
        <v>49</v>
      </c>
      <c r="G643" t="s">
        <v>70</v>
      </c>
      <c r="H643" t="s">
        <v>73</v>
      </c>
      <c r="I643">
        <v>4</v>
      </c>
      <c r="J643">
        <v>23188</v>
      </c>
      <c r="K643">
        <v>0.05</v>
      </c>
      <c r="L643">
        <v>88114.4</v>
      </c>
      <c r="M643">
        <v>68426.960000000006</v>
      </c>
      <c r="N643">
        <v>19687.439999999999</v>
      </c>
      <c r="O643" t="s">
        <v>76</v>
      </c>
      <c r="P643" t="s">
        <v>85</v>
      </c>
    </row>
    <row r="644" spans="1:16" x14ac:dyDescent="0.25">
      <c r="A644">
        <v>643</v>
      </c>
      <c r="B644" s="1">
        <v>45947</v>
      </c>
      <c r="C644" t="s">
        <v>21</v>
      </c>
      <c r="D644" t="s">
        <v>24</v>
      </c>
      <c r="E644" t="s">
        <v>32</v>
      </c>
      <c r="F644" t="s">
        <v>48</v>
      </c>
      <c r="G644" t="s">
        <v>72</v>
      </c>
      <c r="H644" t="s">
        <v>74</v>
      </c>
      <c r="I644">
        <v>4</v>
      </c>
      <c r="J644">
        <v>18763</v>
      </c>
      <c r="K644">
        <v>0.05</v>
      </c>
      <c r="L644">
        <v>71299.399999999994</v>
      </c>
      <c r="M644">
        <v>53979.14</v>
      </c>
      <c r="N644">
        <v>17320.259999999998</v>
      </c>
      <c r="O644" t="s">
        <v>79</v>
      </c>
      <c r="P644" t="s">
        <v>87</v>
      </c>
    </row>
    <row r="645" spans="1:16" x14ac:dyDescent="0.25">
      <c r="A645">
        <v>644</v>
      </c>
      <c r="B645" s="1">
        <v>45765</v>
      </c>
      <c r="C645" t="s">
        <v>21</v>
      </c>
      <c r="D645" t="s">
        <v>24</v>
      </c>
      <c r="E645" t="s">
        <v>33</v>
      </c>
      <c r="F645" t="s">
        <v>59</v>
      </c>
      <c r="G645" t="s">
        <v>70</v>
      </c>
      <c r="H645" t="s">
        <v>74</v>
      </c>
      <c r="I645">
        <v>8</v>
      </c>
      <c r="J645">
        <v>45871</v>
      </c>
      <c r="K645">
        <v>0.05</v>
      </c>
      <c r="L645">
        <v>348619.6</v>
      </c>
      <c r="M645">
        <v>294029.03999999998</v>
      </c>
      <c r="N645">
        <v>54590.559999999998</v>
      </c>
      <c r="O645" t="s">
        <v>80</v>
      </c>
      <c r="P645" t="s">
        <v>88</v>
      </c>
    </row>
    <row r="646" spans="1:16" x14ac:dyDescent="0.25">
      <c r="A646">
        <v>645</v>
      </c>
      <c r="B646" s="1">
        <v>45822</v>
      </c>
      <c r="C646" t="s">
        <v>17</v>
      </c>
      <c r="D646" t="s">
        <v>25</v>
      </c>
      <c r="E646" t="s">
        <v>31</v>
      </c>
      <c r="F646" t="s">
        <v>67</v>
      </c>
      <c r="G646" t="s">
        <v>72</v>
      </c>
      <c r="H646" t="s">
        <v>75</v>
      </c>
      <c r="I646">
        <v>8</v>
      </c>
      <c r="J646">
        <v>1860</v>
      </c>
      <c r="K646">
        <v>0.05</v>
      </c>
      <c r="L646">
        <v>14136</v>
      </c>
      <c r="M646">
        <v>8776.56</v>
      </c>
      <c r="N646">
        <v>5359.44</v>
      </c>
      <c r="O646" t="s">
        <v>76</v>
      </c>
      <c r="P646" t="s">
        <v>84</v>
      </c>
    </row>
    <row r="647" spans="1:16" x14ac:dyDescent="0.25">
      <c r="A647">
        <v>646</v>
      </c>
      <c r="B647" s="1">
        <v>45857</v>
      </c>
      <c r="C647" t="s">
        <v>16</v>
      </c>
      <c r="D647" t="s">
        <v>24</v>
      </c>
      <c r="E647" t="s">
        <v>31</v>
      </c>
      <c r="F647" t="s">
        <v>67</v>
      </c>
      <c r="G647" t="s">
        <v>70</v>
      </c>
      <c r="H647" t="s">
        <v>73</v>
      </c>
      <c r="I647">
        <v>7</v>
      </c>
      <c r="J647">
        <v>619</v>
      </c>
      <c r="K647">
        <v>0</v>
      </c>
      <c r="L647">
        <v>4333</v>
      </c>
      <c r="M647">
        <v>2786.6</v>
      </c>
      <c r="N647">
        <v>1546.4</v>
      </c>
      <c r="O647" t="s">
        <v>76</v>
      </c>
      <c r="P647" t="s">
        <v>84</v>
      </c>
    </row>
    <row r="648" spans="1:16" x14ac:dyDescent="0.25">
      <c r="A648">
        <v>647</v>
      </c>
      <c r="B648" s="1">
        <v>45977</v>
      </c>
      <c r="C648" t="s">
        <v>21</v>
      </c>
      <c r="D648" t="s">
        <v>24</v>
      </c>
      <c r="E648" t="s">
        <v>31</v>
      </c>
      <c r="F648" t="s">
        <v>69</v>
      </c>
      <c r="G648" t="s">
        <v>70</v>
      </c>
      <c r="H648" t="s">
        <v>73</v>
      </c>
      <c r="I648">
        <v>5</v>
      </c>
      <c r="J648">
        <v>1637</v>
      </c>
      <c r="K648">
        <v>0.15</v>
      </c>
      <c r="L648">
        <v>6957.25</v>
      </c>
      <c r="M648">
        <v>4655.92</v>
      </c>
      <c r="N648">
        <v>2301.33</v>
      </c>
      <c r="O648" t="s">
        <v>79</v>
      </c>
      <c r="P648" t="s">
        <v>87</v>
      </c>
    </row>
    <row r="649" spans="1:16" x14ac:dyDescent="0.25">
      <c r="A649">
        <v>648</v>
      </c>
      <c r="B649" s="1">
        <v>45961</v>
      </c>
      <c r="C649" t="s">
        <v>16</v>
      </c>
      <c r="D649" t="s">
        <v>24</v>
      </c>
      <c r="E649" t="s">
        <v>29</v>
      </c>
      <c r="F649" t="s">
        <v>45</v>
      </c>
      <c r="G649" t="s">
        <v>70</v>
      </c>
      <c r="H649" t="s">
        <v>73</v>
      </c>
      <c r="I649">
        <v>6</v>
      </c>
      <c r="J649">
        <v>2020</v>
      </c>
      <c r="K649">
        <v>0.1</v>
      </c>
      <c r="L649">
        <v>10908</v>
      </c>
      <c r="M649">
        <v>7480.33</v>
      </c>
      <c r="N649">
        <v>3427.67</v>
      </c>
      <c r="O649" t="s">
        <v>76</v>
      </c>
      <c r="P649" t="s">
        <v>86</v>
      </c>
    </row>
    <row r="650" spans="1:16" x14ac:dyDescent="0.25">
      <c r="A650">
        <v>649</v>
      </c>
      <c r="B650" s="1">
        <v>46003</v>
      </c>
      <c r="C650" t="s">
        <v>20</v>
      </c>
      <c r="D650" t="s">
        <v>26</v>
      </c>
      <c r="E650" t="s">
        <v>29</v>
      </c>
      <c r="F650" t="s">
        <v>53</v>
      </c>
      <c r="G650" t="s">
        <v>72</v>
      </c>
      <c r="H650" t="s">
        <v>75</v>
      </c>
      <c r="I650">
        <v>7</v>
      </c>
      <c r="J650">
        <v>940</v>
      </c>
      <c r="K650">
        <v>0.05</v>
      </c>
      <c r="L650">
        <v>6251</v>
      </c>
      <c r="M650">
        <v>3471.28</v>
      </c>
      <c r="N650">
        <v>2779.72</v>
      </c>
      <c r="O650" t="s">
        <v>76</v>
      </c>
      <c r="P650" t="s">
        <v>84</v>
      </c>
    </row>
    <row r="651" spans="1:16" x14ac:dyDescent="0.25">
      <c r="A651">
        <v>650</v>
      </c>
      <c r="B651" s="1">
        <v>46009</v>
      </c>
      <c r="C651" t="s">
        <v>23</v>
      </c>
      <c r="D651" t="s">
        <v>27</v>
      </c>
      <c r="E651" t="s">
        <v>30</v>
      </c>
      <c r="F651" t="s">
        <v>64</v>
      </c>
      <c r="G651" t="s">
        <v>72</v>
      </c>
      <c r="H651" t="s">
        <v>75</v>
      </c>
      <c r="I651">
        <v>8</v>
      </c>
      <c r="J651">
        <v>10971</v>
      </c>
      <c r="K651">
        <v>0</v>
      </c>
      <c r="L651">
        <v>87768</v>
      </c>
      <c r="M651">
        <v>70409.850000000006</v>
      </c>
      <c r="N651">
        <v>17358.150000000001</v>
      </c>
      <c r="O651" t="s">
        <v>78</v>
      </c>
      <c r="P651" t="s">
        <v>87</v>
      </c>
    </row>
    <row r="652" spans="1:16" x14ac:dyDescent="0.25">
      <c r="A652">
        <v>651</v>
      </c>
      <c r="B652" s="1">
        <v>45767</v>
      </c>
      <c r="C652" t="s">
        <v>16</v>
      </c>
      <c r="D652" t="s">
        <v>24</v>
      </c>
      <c r="E652" t="s">
        <v>31</v>
      </c>
      <c r="F652" t="s">
        <v>50</v>
      </c>
      <c r="G652" t="s">
        <v>71</v>
      </c>
      <c r="H652" t="s">
        <v>75</v>
      </c>
      <c r="I652">
        <v>1</v>
      </c>
      <c r="J652">
        <v>691</v>
      </c>
      <c r="K652">
        <v>0.1</v>
      </c>
      <c r="L652">
        <v>621.9</v>
      </c>
      <c r="M652">
        <v>402.44</v>
      </c>
      <c r="N652">
        <v>219.46</v>
      </c>
      <c r="O652" t="s">
        <v>80</v>
      </c>
      <c r="P652" t="s">
        <v>85</v>
      </c>
    </row>
    <row r="653" spans="1:16" x14ac:dyDescent="0.25">
      <c r="A653">
        <v>652</v>
      </c>
      <c r="B653" s="1">
        <v>45817</v>
      </c>
      <c r="C653" t="s">
        <v>23</v>
      </c>
      <c r="D653" t="s">
        <v>27</v>
      </c>
      <c r="E653" t="s">
        <v>28</v>
      </c>
      <c r="F653" t="s">
        <v>63</v>
      </c>
      <c r="G653" t="s">
        <v>71</v>
      </c>
      <c r="H653" t="s">
        <v>74</v>
      </c>
      <c r="I653">
        <v>8</v>
      </c>
      <c r="J653">
        <v>1157</v>
      </c>
      <c r="K653">
        <v>0</v>
      </c>
      <c r="L653">
        <v>9256</v>
      </c>
      <c r="M653">
        <v>6363.59</v>
      </c>
      <c r="N653">
        <v>2892.41</v>
      </c>
      <c r="O653" t="s">
        <v>79</v>
      </c>
      <c r="P653" t="s">
        <v>88</v>
      </c>
    </row>
    <row r="654" spans="1:16" x14ac:dyDescent="0.25">
      <c r="A654">
        <v>653</v>
      </c>
      <c r="B654" s="1">
        <v>45989</v>
      </c>
      <c r="C654" t="s">
        <v>22</v>
      </c>
      <c r="D654" t="s">
        <v>24</v>
      </c>
      <c r="E654" t="s">
        <v>29</v>
      </c>
      <c r="F654" t="s">
        <v>36</v>
      </c>
      <c r="G654" t="s">
        <v>71</v>
      </c>
      <c r="H654" t="s">
        <v>73</v>
      </c>
      <c r="I654">
        <v>7</v>
      </c>
      <c r="J654">
        <v>8183</v>
      </c>
      <c r="K654">
        <v>0.1</v>
      </c>
      <c r="L654">
        <v>51552.9</v>
      </c>
      <c r="M654">
        <v>34347.620000000003</v>
      </c>
      <c r="N654">
        <v>17205.28</v>
      </c>
      <c r="O654" t="s">
        <v>80</v>
      </c>
      <c r="P654" t="s">
        <v>87</v>
      </c>
    </row>
    <row r="655" spans="1:16" x14ac:dyDescent="0.25">
      <c r="A655">
        <v>654</v>
      </c>
      <c r="B655" s="1">
        <v>45782</v>
      </c>
      <c r="C655" t="s">
        <v>17</v>
      </c>
      <c r="D655" t="s">
        <v>25</v>
      </c>
      <c r="E655" t="s">
        <v>31</v>
      </c>
      <c r="F655" t="s">
        <v>47</v>
      </c>
      <c r="G655" t="s">
        <v>70</v>
      </c>
      <c r="H655" t="s">
        <v>74</v>
      </c>
      <c r="I655">
        <v>5</v>
      </c>
      <c r="J655">
        <v>353</v>
      </c>
      <c r="K655">
        <v>0.15</v>
      </c>
      <c r="L655">
        <v>1500.25</v>
      </c>
      <c r="M655">
        <v>1057.97</v>
      </c>
      <c r="N655">
        <v>442.28</v>
      </c>
      <c r="O655" t="s">
        <v>79</v>
      </c>
      <c r="P655" t="s">
        <v>86</v>
      </c>
    </row>
    <row r="656" spans="1:16" x14ac:dyDescent="0.25">
      <c r="A656">
        <v>655</v>
      </c>
      <c r="B656" s="1">
        <v>45703</v>
      </c>
      <c r="C656" t="s">
        <v>18</v>
      </c>
      <c r="D656" t="s">
        <v>26</v>
      </c>
      <c r="E656" t="s">
        <v>34</v>
      </c>
      <c r="F656" t="s">
        <v>65</v>
      </c>
      <c r="G656" t="s">
        <v>72</v>
      </c>
      <c r="H656" t="s">
        <v>75</v>
      </c>
      <c r="I656">
        <v>7</v>
      </c>
      <c r="J656">
        <v>5212</v>
      </c>
      <c r="K656">
        <v>0.15</v>
      </c>
      <c r="L656">
        <v>31011.4</v>
      </c>
      <c r="M656">
        <v>23356.42</v>
      </c>
      <c r="N656">
        <v>7654.98</v>
      </c>
      <c r="O656" t="s">
        <v>76</v>
      </c>
      <c r="P656" t="s">
        <v>85</v>
      </c>
    </row>
    <row r="657" spans="1:16" x14ac:dyDescent="0.25">
      <c r="A657">
        <v>656</v>
      </c>
      <c r="B657" s="1">
        <v>45985</v>
      </c>
      <c r="C657" t="s">
        <v>21</v>
      </c>
      <c r="D657" t="s">
        <v>24</v>
      </c>
      <c r="E657" t="s">
        <v>34</v>
      </c>
      <c r="F657" t="s">
        <v>43</v>
      </c>
      <c r="G657" t="s">
        <v>70</v>
      </c>
      <c r="H657" t="s">
        <v>75</v>
      </c>
      <c r="I657">
        <v>7</v>
      </c>
      <c r="J657">
        <v>1287</v>
      </c>
      <c r="K657">
        <v>0</v>
      </c>
      <c r="L657">
        <v>9009</v>
      </c>
      <c r="M657">
        <v>7313.81</v>
      </c>
      <c r="N657">
        <v>1695.19</v>
      </c>
      <c r="O657" t="s">
        <v>76</v>
      </c>
      <c r="P657" t="s">
        <v>87</v>
      </c>
    </row>
    <row r="658" spans="1:16" x14ac:dyDescent="0.25">
      <c r="A658">
        <v>657</v>
      </c>
      <c r="B658" s="1">
        <v>45770</v>
      </c>
      <c r="C658" t="s">
        <v>18</v>
      </c>
      <c r="D658" t="s">
        <v>26</v>
      </c>
      <c r="E658" t="s">
        <v>30</v>
      </c>
      <c r="F658" t="s">
        <v>56</v>
      </c>
      <c r="G658" t="s">
        <v>72</v>
      </c>
      <c r="H658" t="s">
        <v>73</v>
      </c>
      <c r="I658">
        <v>1</v>
      </c>
      <c r="J658">
        <v>48537</v>
      </c>
      <c r="K658">
        <v>0.1</v>
      </c>
      <c r="L658">
        <v>43683.3</v>
      </c>
      <c r="M658">
        <v>28508.639999999999</v>
      </c>
      <c r="N658">
        <v>15174.66</v>
      </c>
      <c r="O658" t="s">
        <v>77</v>
      </c>
      <c r="P658" t="s">
        <v>85</v>
      </c>
    </row>
    <row r="659" spans="1:16" x14ac:dyDescent="0.25">
      <c r="A659">
        <v>658</v>
      </c>
      <c r="B659" s="1">
        <v>45713</v>
      </c>
      <c r="C659" t="s">
        <v>21</v>
      </c>
      <c r="D659" t="s">
        <v>24</v>
      </c>
      <c r="E659" t="s">
        <v>28</v>
      </c>
      <c r="F659" t="s">
        <v>54</v>
      </c>
      <c r="G659" t="s">
        <v>70</v>
      </c>
      <c r="H659" t="s">
        <v>73</v>
      </c>
      <c r="I659">
        <v>1</v>
      </c>
      <c r="J659">
        <v>1866</v>
      </c>
      <c r="K659">
        <v>0</v>
      </c>
      <c r="L659">
        <v>1866</v>
      </c>
      <c r="M659">
        <v>1250.17</v>
      </c>
      <c r="N659">
        <v>615.83000000000004</v>
      </c>
      <c r="O659" t="s">
        <v>76</v>
      </c>
      <c r="P659" t="s">
        <v>86</v>
      </c>
    </row>
    <row r="660" spans="1:16" x14ac:dyDescent="0.25">
      <c r="A660">
        <v>659</v>
      </c>
      <c r="B660" s="1">
        <v>45797</v>
      </c>
      <c r="C660" t="s">
        <v>21</v>
      </c>
      <c r="D660" t="s">
        <v>24</v>
      </c>
      <c r="E660" t="s">
        <v>32</v>
      </c>
      <c r="F660" t="s">
        <v>39</v>
      </c>
      <c r="G660" t="s">
        <v>71</v>
      </c>
      <c r="H660" t="s">
        <v>75</v>
      </c>
      <c r="I660">
        <v>2</v>
      </c>
      <c r="J660">
        <v>13591</v>
      </c>
      <c r="K660">
        <v>0.1</v>
      </c>
      <c r="L660">
        <v>24463.8</v>
      </c>
      <c r="M660">
        <v>19388.650000000001</v>
      </c>
      <c r="N660">
        <v>5075.1499999999996</v>
      </c>
      <c r="O660" t="s">
        <v>77</v>
      </c>
      <c r="P660" t="s">
        <v>88</v>
      </c>
    </row>
    <row r="661" spans="1:16" x14ac:dyDescent="0.25">
      <c r="A661">
        <v>660</v>
      </c>
      <c r="B661" s="1">
        <v>45682</v>
      </c>
      <c r="C661" t="s">
        <v>16</v>
      </c>
      <c r="D661" t="s">
        <v>24</v>
      </c>
      <c r="E661" t="s">
        <v>29</v>
      </c>
      <c r="F661" t="s">
        <v>42</v>
      </c>
      <c r="G661" t="s">
        <v>72</v>
      </c>
      <c r="H661" t="s">
        <v>75</v>
      </c>
      <c r="I661">
        <v>1</v>
      </c>
      <c r="J661">
        <v>3085</v>
      </c>
      <c r="K661">
        <v>0.05</v>
      </c>
      <c r="L661">
        <v>2930.75</v>
      </c>
      <c r="M661">
        <v>2315.13</v>
      </c>
      <c r="N661">
        <v>615.62</v>
      </c>
      <c r="O661" t="s">
        <v>78</v>
      </c>
      <c r="P661" t="s">
        <v>87</v>
      </c>
    </row>
    <row r="662" spans="1:16" x14ac:dyDescent="0.25">
      <c r="A662">
        <v>661</v>
      </c>
      <c r="B662" s="1">
        <v>45837</v>
      </c>
      <c r="C662" t="s">
        <v>20</v>
      </c>
      <c r="D662" t="s">
        <v>26</v>
      </c>
      <c r="E662" t="s">
        <v>34</v>
      </c>
      <c r="F662" t="s">
        <v>51</v>
      </c>
      <c r="G662" t="s">
        <v>72</v>
      </c>
      <c r="H662" t="s">
        <v>74</v>
      </c>
      <c r="I662">
        <v>2</v>
      </c>
      <c r="J662">
        <v>5442</v>
      </c>
      <c r="K662">
        <v>0.1</v>
      </c>
      <c r="L662">
        <v>9795.6</v>
      </c>
      <c r="M662">
        <v>8396.4599999999991</v>
      </c>
      <c r="N662">
        <v>1399.14</v>
      </c>
      <c r="O662" t="s">
        <v>76</v>
      </c>
      <c r="P662" t="s">
        <v>85</v>
      </c>
    </row>
    <row r="663" spans="1:16" x14ac:dyDescent="0.25">
      <c r="A663">
        <v>662</v>
      </c>
      <c r="B663" s="1">
        <v>45937</v>
      </c>
      <c r="C663" t="s">
        <v>16</v>
      </c>
      <c r="D663" t="s">
        <v>24</v>
      </c>
      <c r="E663" t="s">
        <v>29</v>
      </c>
      <c r="F663" t="s">
        <v>45</v>
      </c>
      <c r="G663" t="s">
        <v>71</v>
      </c>
      <c r="H663" t="s">
        <v>74</v>
      </c>
      <c r="I663">
        <v>5</v>
      </c>
      <c r="J663">
        <v>7946</v>
      </c>
      <c r="K663">
        <v>0</v>
      </c>
      <c r="L663">
        <v>39730</v>
      </c>
      <c r="M663">
        <v>29151.81</v>
      </c>
      <c r="N663">
        <v>10578.19</v>
      </c>
      <c r="O663" t="s">
        <v>76</v>
      </c>
      <c r="P663" t="s">
        <v>83</v>
      </c>
    </row>
    <row r="664" spans="1:16" x14ac:dyDescent="0.25">
      <c r="A664">
        <v>663</v>
      </c>
      <c r="B664" s="1">
        <v>45904</v>
      </c>
      <c r="C664" t="s">
        <v>20</v>
      </c>
      <c r="D664" t="s">
        <v>26</v>
      </c>
      <c r="E664" t="s">
        <v>29</v>
      </c>
      <c r="F664" t="s">
        <v>42</v>
      </c>
      <c r="G664" t="s">
        <v>71</v>
      </c>
      <c r="H664" t="s">
        <v>75</v>
      </c>
      <c r="I664">
        <v>7</v>
      </c>
      <c r="J664">
        <v>6008</v>
      </c>
      <c r="K664">
        <v>0.1</v>
      </c>
      <c r="L664">
        <v>37850.400000000001</v>
      </c>
      <c r="M664">
        <v>29403.439999999999</v>
      </c>
      <c r="N664">
        <v>8446.9599999999991</v>
      </c>
      <c r="O664" t="s">
        <v>79</v>
      </c>
      <c r="P664" t="s">
        <v>83</v>
      </c>
    </row>
    <row r="665" spans="1:16" x14ac:dyDescent="0.25">
      <c r="A665">
        <v>664</v>
      </c>
      <c r="B665" s="1">
        <v>45865</v>
      </c>
      <c r="C665" t="s">
        <v>23</v>
      </c>
      <c r="D665" t="s">
        <v>27</v>
      </c>
      <c r="E665" t="s">
        <v>28</v>
      </c>
      <c r="F665" t="s">
        <v>54</v>
      </c>
      <c r="G665" t="s">
        <v>70</v>
      </c>
      <c r="H665" t="s">
        <v>74</v>
      </c>
      <c r="I665">
        <v>4</v>
      </c>
      <c r="J665">
        <v>770</v>
      </c>
      <c r="K665">
        <v>0.1</v>
      </c>
      <c r="L665">
        <v>2772</v>
      </c>
      <c r="M665">
        <v>2035.7</v>
      </c>
      <c r="N665">
        <v>736.3</v>
      </c>
      <c r="O665" t="s">
        <v>76</v>
      </c>
      <c r="P665" t="s">
        <v>88</v>
      </c>
    </row>
    <row r="666" spans="1:16" x14ac:dyDescent="0.25">
      <c r="A666">
        <v>665</v>
      </c>
      <c r="B666" s="1">
        <v>45930</v>
      </c>
      <c r="C666" t="s">
        <v>23</v>
      </c>
      <c r="D666" t="s">
        <v>27</v>
      </c>
      <c r="E666" t="s">
        <v>31</v>
      </c>
      <c r="F666" t="s">
        <v>47</v>
      </c>
      <c r="G666" t="s">
        <v>71</v>
      </c>
      <c r="H666" t="s">
        <v>74</v>
      </c>
      <c r="I666">
        <v>8</v>
      </c>
      <c r="J666">
        <v>2208</v>
      </c>
      <c r="K666">
        <v>0.1</v>
      </c>
      <c r="L666">
        <v>15897.6</v>
      </c>
      <c r="M666">
        <v>11535.36</v>
      </c>
      <c r="N666">
        <v>4362.24</v>
      </c>
      <c r="O666" t="s">
        <v>77</v>
      </c>
      <c r="P666" t="s">
        <v>88</v>
      </c>
    </row>
    <row r="667" spans="1:16" x14ac:dyDescent="0.25">
      <c r="A667">
        <v>666</v>
      </c>
      <c r="B667" s="1">
        <v>45872</v>
      </c>
      <c r="C667" t="s">
        <v>16</v>
      </c>
      <c r="D667" t="s">
        <v>24</v>
      </c>
      <c r="E667" t="s">
        <v>29</v>
      </c>
      <c r="F667" t="s">
        <v>57</v>
      </c>
      <c r="G667" t="s">
        <v>70</v>
      </c>
      <c r="H667" t="s">
        <v>75</v>
      </c>
      <c r="I667">
        <v>1</v>
      </c>
      <c r="J667">
        <v>2797</v>
      </c>
      <c r="K667">
        <v>0.05</v>
      </c>
      <c r="L667">
        <v>2657.15</v>
      </c>
      <c r="M667">
        <v>2061.11</v>
      </c>
      <c r="N667">
        <v>596.04</v>
      </c>
      <c r="O667" t="s">
        <v>80</v>
      </c>
      <c r="P667" t="s">
        <v>85</v>
      </c>
    </row>
    <row r="668" spans="1:16" x14ac:dyDescent="0.25">
      <c r="A668">
        <v>667</v>
      </c>
      <c r="B668" s="1">
        <v>45725</v>
      </c>
      <c r="C668" t="s">
        <v>19</v>
      </c>
      <c r="D668" t="s">
        <v>26</v>
      </c>
      <c r="E668" t="s">
        <v>32</v>
      </c>
      <c r="F668" t="s">
        <v>49</v>
      </c>
      <c r="G668" t="s">
        <v>71</v>
      </c>
      <c r="H668" t="s">
        <v>74</v>
      </c>
      <c r="I668">
        <v>1</v>
      </c>
      <c r="J668">
        <v>3443</v>
      </c>
      <c r="K668">
        <v>0.1</v>
      </c>
      <c r="L668">
        <v>3098.7</v>
      </c>
      <c r="M668">
        <v>2076.4</v>
      </c>
      <c r="N668">
        <v>1022.3</v>
      </c>
      <c r="O668" t="s">
        <v>80</v>
      </c>
      <c r="P668" t="s">
        <v>81</v>
      </c>
    </row>
    <row r="669" spans="1:16" x14ac:dyDescent="0.25">
      <c r="A669">
        <v>668</v>
      </c>
      <c r="B669" s="1">
        <v>45894</v>
      </c>
      <c r="C669" t="s">
        <v>23</v>
      </c>
      <c r="D669" t="s">
        <v>27</v>
      </c>
      <c r="E669" t="s">
        <v>29</v>
      </c>
      <c r="F669" t="s">
        <v>57</v>
      </c>
      <c r="G669" t="s">
        <v>70</v>
      </c>
      <c r="H669" t="s">
        <v>73</v>
      </c>
      <c r="I669">
        <v>6</v>
      </c>
      <c r="J669">
        <v>1189</v>
      </c>
      <c r="K669">
        <v>0.05</v>
      </c>
      <c r="L669">
        <v>6777.3</v>
      </c>
      <c r="M669">
        <v>4747.6499999999996</v>
      </c>
      <c r="N669">
        <v>2029.65</v>
      </c>
      <c r="O669" t="s">
        <v>78</v>
      </c>
      <c r="P669" t="s">
        <v>88</v>
      </c>
    </row>
    <row r="670" spans="1:16" x14ac:dyDescent="0.25">
      <c r="A670">
        <v>669</v>
      </c>
      <c r="B670" s="1">
        <v>46007</v>
      </c>
      <c r="C670" t="s">
        <v>23</v>
      </c>
      <c r="D670" t="s">
        <v>27</v>
      </c>
      <c r="E670" t="s">
        <v>32</v>
      </c>
      <c r="F670" t="s">
        <v>39</v>
      </c>
      <c r="G670" t="s">
        <v>72</v>
      </c>
      <c r="H670" t="s">
        <v>75</v>
      </c>
      <c r="I670">
        <v>8</v>
      </c>
      <c r="J670">
        <v>2015</v>
      </c>
      <c r="K670">
        <v>0.05</v>
      </c>
      <c r="L670">
        <v>15314</v>
      </c>
      <c r="M670">
        <v>10230.81</v>
      </c>
      <c r="N670">
        <v>5083.1899999999996</v>
      </c>
      <c r="O670" t="s">
        <v>77</v>
      </c>
      <c r="P670" t="s">
        <v>85</v>
      </c>
    </row>
    <row r="671" spans="1:16" x14ac:dyDescent="0.25">
      <c r="A671">
        <v>670</v>
      </c>
      <c r="B671" s="1">
        <v>45710</v>
      </c>
      <c r="C671" t="s">
        <v>16</v>
      </c>
      <c r="D671" t="s">
        <v>24</v>
      </c>
      <c r="E671" t="s">
        <v>28</v>
      </c>
      <c r="F671" t="s">
        <v>54</v>
      </c>
      <c r="G671" t="s">
        <v>71</v>
      </c>
      <c r="H671" t="s">
        <v>74</v>
      </c>
      <c r="I671">
        <v>8</v>
      </c>
      <c r="J671">
        <v>856</v>
      </c>
      <c r="K671">
        <v>0.15</v>
      </c>
      <c r="L671">
        <v>5820.8</v>
      </c>
      <c r="M671">
        <v>3712.84</v>
      </c>
      <c r="N671">
        <v>2107.96</v>
      </c>
      <c r="O671" t="s">
        <v>77</v>
      </c>
      <c r="P671" t="s">
        <v>87</v>
      </c>
    </row>
    <row r="672" spans="1:16" x14ac:dyDescent="0.25">
      <c r="A672">
        <v>671</v>
      </c>
      <c r="B672" s="1">
        <v>45977</v>
      </c>
      <c r="C672" t="s">
        <v>17</v>
      </c>
      <c r="D672" t="s">
        <v>25</v>
      </c>
      <c r="E672" t="s">
        <v>32</v>
      </c>
      <c r="F672" t="s">
        <v>66</v>
      </c>
      <c r="G672" t="s">
        <v>71</v>
      </c>
      <c r="H672" t="s">
        <v>74</v>
      </c>
      <c r="I672">
        <v>7</v>
      </c>
      <c r="J672">
        <v>6574</v>
      </c>
      <c r="K672">
        <v>0.1</v>
      </c>
      <c r="L672">
        <v>41416.199999999997</v>
      </c>
      <c r="M672">
        <v>28807.8</v>
      </c>
      <c r="N672">
        <v>12608.4</v>
      </c>
      <c r="O672" t="s">
        <v>79</v>
      </c>
      <c r="P672" t="s">
        <v>88</v>
      </c>
    </row>
    <row r="673" spans="1:16" x14ac:dyDescent="0.25">
      <c r="A673">
        <v>672</v>
      </c>
      <c r="B673" s="1">
        <v>45775</v>
      </c>
      <c r="C673" t="s">
        <v>18</v>
      </c>
      <c r="D673" t="s">
        <v>26</v>
      </c>
      <c r="E673" t="s">
        <v>33</v>
      </c>
      <c r="F673" t="s">
        <v>41</v>
      </c>
      <c r="G673" t="s">
        <v>70</v>
      </c>
      <c r="H673" t="s">
        <v>73</v>
      </c>
      <c r="I673">
        <v>8</v>
      </c>
      <c r="J673">
        <v>34041</v>
      </c>
      <c r="K673">
        <v>0.05</v>
      </c>
      <c r="L673">
        <v>258711.6</v>
      </c>
      <c r="M673">
        <v>149654.89000000001</v>
      </c>
      <c r="N673">
        <v>109056.71</v>
      </c>
      <c r="O673" t="s">
        <v>80</v>
      </c>
      <c r="P673" t="s">
        <v>81</v>
      </c>
    </row>
    <row r="674" spans="1:16" x14ac:dyDescent="0.25">
      <c r="A674">
        <v>673</v>
      </c>
      <c r="B674" s="1">
        <v>45777</v>
      </c>
      <c r="C674" t="s">
        <v>21</v>
      </c>
      <c r="D674" t="s">
        <v>24</v>
      </c>
      <c r="E674" t="s">
        <v>28</v>
      </c>
      <c r="F674" t="s">
        <v>35</v>
      </c>
      <c r="G674" t="s">
        <v>71</v>
      </c>
      <c r="H674" t="s">
        <v>75</v>
      </c>
      <c r="I674">
        <v>7</v>
      </c>
      <c r="J674">
        <v>1736</v>
      </c>
      <c r="K674">
        <v>0.1</v>
      </c>
      <c r="L674">
        <v>10936.8</v>
      </c>
      <c r="M674">
        <v>9419.74</v>
      </c>
      <c r="N674">
        <v>1517.06</v>
      </c>
      <c r="O674" t="s">
        <v>77</v>
      </c>
      <c r="P674" t="s">
        <v>86</v>
      </c>
    </row>
    <row r="675" spans="1:16" x14ac:dyDescent="0.25">
      <c r="A675">
        <v>674</v>
      </c>
      <c r="B675" s="1">
        <v>45978</v>
      </c>
      <c r="C675" t="s">
        <v>22</v>
      </c>
      <c r="D675" t="s">
        <v>24</v>
      </c>
      <c r="E675" t="s">
        <v>29</v>
      </c>
      <c r="F675" t="s">
        <v>53</v>
      </c>
      <c r="G675" t="s">
        <v>72</v>
      </c>
      <c r="H675" t="s">
        <v>75</v>
      </c>
      <c r="I675">
        <v>3</v>
      </c>
      <c r="J675">
        <v>6460</v>
      </c>
      <c r="K675">
        <v>0.05</v>
      </c>
      <c r="L675">
        <v>18411</v>
      </c>
      <c r="M675">
        <v>15969.36</v>
      </c>
      <c r="N675">
        <v>2441.64</v>
      </c>
      <c r="O675" t="s">
        <v>78</v>
      </c>
      <c r="P675" t="s">
        <v>86</v>
      </c>
    </row>
    <row r="676" spans="1:16" x14ac:dyDescent="0.25">
      <c r="A676">
        <v>675</v>
      </c>
      <c r="B676" s="1">
        <v>45712</v>
      </c>
      <c r="C676" t="s">
        <v>18</v>
      </c>
      <c r="D676" t="s">
        <v>26</v>
      </c>
      <c r="E676" t="s">
        <v>30</v>
      </c>
      <c r="F676" t="s">
        <v>40</v>
      </c>
      <c r="G676" t="s">
        <v>71</v>
      </c>
      <c r="H676" t="s">
        <v>75</v>
      </c>
      <c r="I676">
        <v>5</v>
      </c>
      <c r="J676">
        <v>11415</v>
      </c>
      <c r="K676">
        <v>0.1</v>
      </c>
      <c r="L676">
        <v>51367.5</v>
      </c>
      <c r="M676">
        <v>36305.32</v>
      </c>
      <c r="N676">
        <v>15062.18</v>
      </c>
      <c r="O676" t="s">
        <v>78</v>
      </c>
      <c r="P676" t="s">
        <v>86</v>
      </c>
    </row>
    <row r="677" spans="1:16" x14ac:dyDescent="0.25">
      <c r="A677">
        <v>676</v>
      </c>
      <c r="B677" s="1">
        <v>45717</v>
      </c>
      <c r="C677" t="s">
        <v>21</v>
      </c>
      <c r="D677" t="s">
        <v>24</v>
      </c>
      <c r="E677" t="s">
        <v>32</v>
      </c>
      <c r="F677" t="s">
        <v>62</v>
      </c>
      <c r="G677" t="s">
        <v>72</v>
      </c>
      <c r="H677" t="s">
        <v>73</v>
      </c>
      <c r="I677">
        <v>2</v>
      </c>
      <c r="J677">
        <v>14663</v>
      </c>
      <c r="K677">
        <v>0.1</v>
      </c>
      <c r="L677">
        <v>26393.4</v>
      </c>
      <c r="M677">
        <v>19249.900000000001</v>
      </c>
      <c r="N677">
        <v>7143.5</v>
      </c>
      <c r="O677" t="s">
        <v>80</v>
      </c>
      <c r="P677" t="s">
        <v>83</v>
      </c>
    </row>
    <row r="678" spans="1:16" x14ac:dyDescent="0.25">
      <c r="A678">
        <v>677</v>
      </c>
      <c r="B678" s="1">
        <v>45725</v>
      </c>
      <c r="C678" t="s">
        <v>20</v>
      </c>
      <c r="D678" t="s">
        <v>26</v>
      </c>
      <c r="E678" t="s">
        <v>33</v>
      </c>
      <c r="F678" t="s">
        <v>41</v>
      </c>
      <c r="G678" t="s">
        <v>72</v>
      </c>
      <c r="H678" t="s">
        <v>74</v>
      </c>
      <c r="I678">
        <v>2</v>
      </c>
      <c r="J678">
        <v>12956</v>
      </c>
      <c r="K678">
        <v>0</v>
      </c>
      <c r="L678">
        <v>25912</v>
      </c>
      <c r="M678">
        <v>22232.3</v>
      </c>
      <c r="N678">
        <v>3679.7</v>
      </c>
      <c r="O678" t="s">
        <v>80</v>
      </c>
      <c r="P678" t="s">
        <v>84</v>
      </c>
    </row>
    <row r="679" spans="1:16" x14ac:dyDescent="0.25">
      <c r="A679">
        <v>678</v>
      </c>
      <c r="B679" s="1">
        <v>45750</v>
      </c>
      <c r="C679" t="s">
        <v>19</v>
      </c>
      <c r="D679" t="s">
        <v>26</v>
      </c>
      <c r="E679" t="s">
        <v>33</v>
      </c>
      <c r="F679" t="s">
        <v>59</v>
      </c>
      <c r="G679" t="s">
        <v>70</v>
      </c>
      <c r="H679" t="s">
        <v>74</v>
      </c>
      <c r="I679">
        <v>8</v>
      </c>
      <c r="J679">
        <v>22602</v>
      </c>
      <c r="K679">
        <v>0</v>
      </c>
      <c r="L679">
        <v>180816</v>
      </c>
      <c r="M679">
        <v>115793.1</v>
      </c>
      <c r="N679">
        <v>65022.9</v>
      </c>
      <c r="O679" t="s">
        <v>78</v>
      </c>
      <c r="P679" t="s">
        <v>85</v>
      </c>
    </row>
    <row r="680" spans="1:16" x14ac:dyDescent="0.25">
      <c r="A680">
        <v>679</v>
      </c>
      <c r="B680" s="1">
        <v>45964</v>
      </c>
      <c r="C680" t="s">
        <v>18</v>
      </c>
      <c r="D680" t="s">
        <v>26</v>
      </c>
      <c r="E680" t="s">
        <v>34</v>
      </c>
      <c r="F680" t="s">
        <v>65</v>
      </c>
      <c r="G680" t="s">
        <v>71</v>
      </c>
      <c r="H680" t="s">
        <v>75</v>
      </c>
      <c r="I680">
        <v>1</v>
      </c>
      <c r="J680">
        <v>1207</v>
      </c>
      <c r="K680">
        <v>0</v>
      </c>
      <c r="L680">
        <v>1207</v>
      </c>
      <c r="M680">
        <v>1043.81</v>
      </c>
      <c r="N680">
        <v>163.19</v>
      </c>
      <c r="O680" t="s">
        <v>80</v>
      </c>
      <c r="P680" t="s">
        <v>82</v>
      </c>
    </row>
    <row r="681" spans="1:16" x14ac:dyDescent="0.25">
      <c r="A681">
        <v>680</v>
      </c>
      <c r="B681" s="1">
        <v>45837</v>
      </c>
      <c r="C681" t="s">
        <v>17</v>
      </c>
      <c r="D681" t="s">
        <v>25</v>
      </c>
      <c r="E681" t="s">
        <v>30</v>
      </c>
      <c r="F681" t="s">
        <v>37</v>
      </c>
      <c r="G681" t="s">
        <v>72</v>
      </c>
      <c r="H681" t="s">
        <v>75</v>
      </c>
      <c r="I681">
        <v>8</v>
      </c>
      <c r="J681">
        <v>37991</v>
      </c>
      <c r="K681">
        <v>0.05</v>
      </c>
      <c r="L681">
        <v>288731.59999999998</v>
      </c>
      <c r="M681">
        <v>215903.93</v>
      </c>
      <c r="N681">
        <v>72827.67</v>
      </c>
      <c r="O681" t="s">
        <v>79</v>
      </c>
      <c r="P681" t="s">
        <v>88</v>
      </c>
    </row>
    <row r="682" spans="1:16" x14ac:dyDescent="0.25">
      <c r="A682">
        <v>681</v>
      </c>
      <c r="B682" s="1">
        <v>45767</v>
      </c>
      <c r="C682" t="s">
        <v>21</v>
      </c>
      <c r="D682" t="s">
        <v>24</v>
      </c>
      <c r="E682" t="s">
        <v>29</v>
      </c>
      <c r="F682" t="s">
        <v>42</v>
      </c>
      <c r="G682" t="s">
        <v>70</v>
      </c>
      <c r="H682" t="s">
        <v>75</v>
      </c>
      <c r="I682">
        <v>3</v>
      </c>
      <c r="J682">
        <v>754</v>
      </c>
      <c r="K682">
        <v>0</v>
      </c>
      <c r="L682">
        <v>2262</v>
      </c>
      <c r="M682">
        <v>1490</v>
      </c>
      <c r="N682">
        <v>772</v>
      </c>
      <c r="O682" t="s">
        <v>76</v>
      </c>
      <c r="P682" t="s">
        <v>82</v>
      </c>
    </row>
    <row r="683" spans="1:16" x14ac:dyDescent="0.25">
      <c r="A683">
        <v>682</v>
      </c>
      <c r="B683" s="1">
        <v>45847</v>
      </c>
      <c r="C683" t="s">
        <v>21</v>
      </c>
      <c r="D683" t="s">
        <v>24</v>
      </c>
      <c r="E683" t="s">
        <v>31</v>
      </c>
      <c r="F683" t="s">
        <v>67</v>
      </c>
      <c r="G683" t="s">
        <v>70</v>
      </c>
      <c r="H683" t="s">
        <v>75</v>
      </c>
      <c r="I683">
        <v>5</v>
      </c>
      <c r="J683">
        <v>758</v>
      </c>
      <c r="K683">
        <v>0.1</v>
      </c>
      <c r="L683">
        <v>3411</v>
      </c>
      <c r="M683">
        <v>2411.7800000000002</v>
      </c>
      <c r="N683">
        <v>999.22</v>
      </c>
      <c r="O683" t="s">
        <v>77</v>
      </c>
      <c r="P683" t="s">
        <v>81</v>
      </c>
    </row>
    <row r="684" spans="1:16" x14ac:dyDescent="0.25">
      <c r="A684">
        <v>683</v>
      </c>
      <c r="B684" s="1">
        <v>45764</v>
      </c>
      <c r="C684" t="s">
        <v>20</v>
      </c>
      <c r="D684" t="s">
        <v>26</v>
      </c>
      <c r="E684" t="s">
        <v>31</v>
      </c>
      <c r="F684" t="s">
        <v>69</v>
      </c>
      <c r="G684" t="s">
        <v>71</v>
      </c>
      <c r="H684" t="s">
        <v>73</v>
      </c>
      <c r="I684">
        <v>8</v>
      </c>
      <c r="J684">
        <v>1875</v>
      </c>
      <c r="K684">
        <v>0.1</v>
      </c>
      <c r="L684">
        <v>13500</v>
      </c>
      <c r="M684">
        <v>10561.03</v>
      </c>
      <c r="N684">
        <v>2938.97</v>
      </c>
      <c r="O684" t="s">
        <v>78</v>
      </c>
      <c r="P684" t="s">
        <v>85</v>
      </c>
    </row>
    <row r="685" spans="1:16" x14ac:dyDescent="0.25">
      <c r="A685">
        <v>684</v>
      </c>
      <c r="B685" s="1">
        <v>45782</v>
      </c>
      <c r="C685" t="s">
        <v>23</v>
      </c>
      <c r="D685" t="s">
        <v>27</v>
      </c>
      <c r="E685" t="s">
        <v>34</v>
      </c>
      <c r="F685" t="s">
        <v>51</v>
      </c>
      <c r="G685" t="s">
        <v>70</v>
      </c>
      <c r="H685" t="s">
        <v>75</v>
      </c>
      <c r="I685">
        <v>3</v>
      </c>
      <c r="J685">
        <v>691</v>
      </c>
      <c r="K685">
        <v>0</v>
      </c>
      <c r="L685">
        <v>2073</v>
      </c>
      <c r="M685">
        <v>1450.56</v>
      </c>
      <c r="N685">
        <v>622.44000000000005</v>
      </c>
      <c r="O685" t="s">
        <v>77</v>
      </c>
      <c r="P685" t="s">
        <v>81</v>
      </c>
    </row>
    <row r="686" spans="1:16" x14ac:dyDescent="0.25">
      <c r="A686">
        <v>685</v>
      </c>
      <c r="B686" s="1">
        <v>45777</v>
      </c>
      <c r="C686" t="s">
        <v>16</v>
      </c>
      <c r="D686" t="s">
        <v>24</v>
      </c>
      <c r="E686" t="s">
        <v>33</v>
      </c>
      <c r="F686" t="s">
        <v>59</v>
      </c>
      <c r="G686" t="s">
        <v>70</v>
      </c>
      <c r="H686" t="s">
        <v>73</v>
      </c>
      <c r="I686">
        <v>8</v>
      </c>
      <c r="J686">
        <v>26371</v>
      </c>
      <c r="K686">
        <v>0.1</v>
      </c>
      <c r="L686">
        <v>189871.2</v>
      </c>
      <c r="M686">
        <v>146015.22</v>
      </c>
      <c r="N686">
        <v>43855.98</v>
      </c>
      <c r="O686" t="s">
        <v>76</v>
      </c>
      <c r="P686" t="s">
        <v>86</v>
      </c>
    </row>
    <row r="687" spans="1:16" x14ac:dyDescent="0.25">
      <c r="A687">
        <v>686</v>
      </c>
      <c r="B687" s="1">
        <v>45762</v>
      </c>
      <c r="C687" t="s">
        <v>18</v>
      </c>
      <c r="D687" t="s">
        <v>26</v>
      </c>
      <c r="E687" t="s">
        <v>30</v>
      </c>
      <c r="F687" t="s">
        <v>40</v>
      </c>
      <c r="G687" t="s">
        <v>72</v>
      </c>
      <c r="H687" t="s">
        <v>75</v>
      </c>
      <c r="I687">
        <v>6</v>
      </c>
      <c r="J687">
        <v>4920</v>
      </c>
      <c r="K687">
        <v>0.1</v>
      </c>
      <c r="L687">
        <v>26568</v>
      </c>
      <c r="M687">
        <v>19954.43</v>
      </c>
      <c r="N687">
        <v>6613.57</v>
      </c>
      <c r="O687" t="s">
        <v>80</v>
      </c>
      <c r="P687" t="s">
        <v>81</v>
      </c>
    </row>
    <row r="688" spans="1:16" x14ac:dyDescent="0.25">
      <c r="A688">
        <v>687</v>
      </c>
      <c r="B688" s="1">
        <v>45894</v>
      </c>
      <c r="C688" t="s">
        <v>18</v>
      </c>
      <c r="D688" t="s">
        <v>26</v>
      </c>
      <c r="E688" t="s">
        <v>28</v>
      </c>
      <c r="F688" t="s">
        <v>58</v>
      </c>
      <c r="G688" t="s">
        <v>71</v>
      </c>
      <c r="H688" t="s">
        <v>74</v>
      </c>
      <c r="I688">
        <v>1</v>
      </c>
      <c r="J688">
        <v>1845</v>
      </c>
      <c r="K688">
        <v>0.1</v>
      </c>
      <c r="L688">
        <v>1660.5</v>
      </c>
      <c r="M688">
        <v>961.76</v>
      </c>
      <c r="N688">
        <v>698.74</v>
      </c>
      <c r="O688" t="s">
        <v>76</v>
      </c>
      <c r="P688" t="s">
        <v>84</v>
      </c>
    </row>
    <row r="689" spans="1:16" x14ac:dyDescent="0.25">
      <c r="A689">
        <v>688</v>
      </c>
      <c r="B689" s="1">
        <v>45729</v>
      </c>
      <c r="C689" t="s">
        <v>20</v>
      </c>
      <c r="D689" t="s">
        <v>26</v>
      </c>
      <c r="E689" t="s">
        <v>29</v>
      </c>
      <c r="F689" t="s">
        <v>36</v>
      </c>
      <c r="G689" t="s">
        <v>72</v>
      </c>
      <c r="H689" t="s">
        <v>74</v>
      </c>
      <c r="I689">
        <v>2</v>
      </c>
      <c r="J689">
        <v>3764</v>
      </c>
      <c r="K689">
        <v>0.1</v>
      </c>
      <c r="L689">
        <v>6775.2</v>
      </c>
      <c r="M689">
        <v>4967.25</v>
      </c>
      <c r="N689">
        <v>1807.95</v>
      </c>
      <c r="O689" t="s">
        <v>77</v>
      </c>
      <c r="P689" t="s">
        <v>86</v>
      </c>
    </row>
    <row r="690" spans="1:16" x14ac:dyDescent="0.25">
      <c r="A690">
        <v>689</v>
      </c>
      <c r="B690" s="1">
        <v>45976</v>
      </c>
      <c r="C690" t="s">
        <v>23</v>
      </c>
      <c r="D690" t="s">
        <v>27</v>
      </c>
      <c r="E690" t="s">
        <v>33</v>
      </c>
      <c r="F690" t="s">
        <v>41</v>
      </c>
      <c r="G690" t="s">
        <v>70</v>
      </c>
      <c r="H690" t="s">
        <v>75</v>
      </c>
      <c r="I690">
        <v>3</v>
      </c>
      <c r="J690">
        <v>10963</v>
      </c>
      <c r="K690">
        <v>0</v>
      </c>
      <c r="L690">
        <v>32889</v>
      </c>
      <c r="M690">
        <v>28696.7</v>
      </c>
      <c r="N690">
        <v>4192.3</v>
      </c>
      <c r="O690" t="s">
        <v>78</v>
      </c>
      <c r="P690" t="s">
        <v>87</v>
      </c>
    </row>
    <row r="691" spans="1:16" x14ac:dyDescent="0.25">
      <c r="A691">
        <v>690</v>
      </c>
      <c r="B691" s="1">
        <v>45864</v>
      </c>
      <c r="C691" t="s">
        <v>22</v>
      </c>
      <c r="D691" t="s">
        <v>24</v>
      </c>
      <c r="E691" t="s">
        <v>30</v>
      </c>
      <c r="F691" t="s">
        <v>37</v>
      </c>
      <c r="G691" t="s">
        <v>72</v>
      </c>
      <c r="H691" t="s">
        <v>75</v>
      </c>
      <c r="I691">
        <v>3</v>
      </c>
      <c r="J691">
        <v>66296</v>
      </c>
      <c r="K691">
        <v>0.2</v>
      </c>
      <c r="L691">
        <v>159110.39999999999</v>
      </c>
      <c r="M691">
        <v>103819.27</v>
      </c>
      <c r="N691">
        <v>55291.13</v>
      </c>
      <c r="O691" t="s">
        <v>80</v>
      </c>
      <c r="P691" t="s">
        <v>86</v>
      </c>
    </row>
    <row r="692" spans="1:16" x14ac:dyDescent="0.25">
      <c r="A692">
        <v>691</v>
      </c>
      <c r="B692" s="1">
        <v>45746</v>
      </c>
      <c r="C692" t="s">
        <v>23</v>
      </c>
      <c r="D692" t="s">
        <v>27</v>
      </c>
      <c r="E692" t="s">
        <v>33</v>
      </c>
      <c r="F692" t="s">
        <v>52</v>
      </c>
      <c r="G692" t="s">
        <v>72</v>
      </c>
      <c r="H692" t="s">
        <v>75</v>
      </c>
      <c r="I692">
        <v>8</v>
      </c>
      <c r="J692">
        <v>31783</v>
      </c>
      <c r="K692">
        <v>0.15</v>
      </c>
      <c r="L692">
        <v>216124.4</v>
      </c>
      <c r="M692">
        <v>126883.69</v>
      </c>
      <c r="N692">
        <v>89240.71</v>
      </c>
      <c r="O692" t="s">
        <v>79</v>
      </c>
      <c r="P692" t="s">
        <v>81</v>
      </c>
    </row>
    <row r="693" spans="1:16" x14ac:dyDescent="0.25">
      <c r="A693">
        <v>692</v>
      </c>
      <c r="B693" s="1">
        <v>45813</v>
      </c>
      <c r="C693" t="s">
        <v>22</v>
      </c>
      <c r="D693" t="s">
        <v>24</v>
      </c>
      <c r="E693" t="s">
        <v>30</v>
      </c>
      <c r="F693" t="s">
        <v>40</v>
      </c>
      <c r="G693" t="s">
        <v>72</v>
      </c>
      <c r="H693" t="s">
        <v>75</v>
      </c>
      <c r="I693">
        <v>3</v>
      </c>
      <c r="J693">
        <v>56433</v>
      </c>
      <c r="K693">
        <v>0</v>
      </c>
      <c r="L693">
        <v>169299</v>
      </c>
      <c r="M693">
        <v>96991.47</v>
      </c>
      <c r="N693">
        <v>72307.53</v>
      </c>
      <c r="O693" t="s">
        <v>78</v>
      </c>
      <c r="P693" t="s">
        <v>87</v>
      </c>
    </row>
    <row r="694" spans="1:16" x14ac:dyDescent="0.25">
      <c r="A694">
        <v>693</v>
      </c>
      <c r="B694" s="1">
        <v>45710</v>
      </c>
      <c r="C694" t="s">
        <v>16</v>
      </c>
      <c r="D694" t="s">
        <v>24</v>
      </c>
      <c r="E694" t="s">
        <v>31</v>
      </c>
      <c r="F694" t="s">
        <v>47</v>
      </c>
      <c r="G694" t="s">
        <v>70</v>
      </c>
      <c r="H694" t="s">
        <v>74</v>
      </c>
      <c r="I694">
        <v>7</v>
      </c>
      <c r="J694">
        <v>2429</v>
      </c>
      <c r="K694">
        <v>0.15</v>
      </c>
      <c r="L694">
        <v>14452.55</v>
      </c>
      <c r="M694">
        <v>8219.42</v>
      </c>
      <c r="N694">
        <v>6233.13</v>
      </c>
      <c r="O694" t="s">
        <v>77</v>
      </c>
      <c r="P694" t="s">
        <v>84</v>
      </c>
    </row>
    <row r="695" spans="1:16" x14ac:dyDescent="0.25">
      <c r="A695">
        <v>694</v>
      </c>
      <c r="B695" s="1">
        <v>45794</v>
      </c>
      <c r="C695" t="s">
        <v>21</v>
      </c>
      <c r="D695" t="s">
        <v>24</v>
      </c>
      <c r="E695" t="s">
        <v>30</v>
      </c>
      <c r="F695" t="s">
        <v>64</v>
      </c>
      <c r="G695" t="s">
        <v>71</v>
      </c>
      <c r="H695" t="s">
        <v>75</v>
      </c>
      <c r="I695">
        <v>7</v>
      </c>
      <c r="J695">
        <v>49615</v>
      </c>
      <c r="K695">
        <v>0.1</v>
      </c>
      <c r="L695">
        <v>312574.5</v>
      </c>
      <c r="M695">
        <v>246152.17</v>
      </c>
      <c r="N695">
        <v>66422.33</v>
      </c>
      <c r="O695" t="s">
        <v>79</v>
      </c>
      <c r="P695" t="s">
        <v>87</v>
      </c>
    </row>
    <row r="696" spans="1:16" x14ac:dyDescent="0.25">
      <c r="A696">
        <v>695</v>
      </c>
      <c r="B696" s="1">
        <v>45661</v>
      </c>
      <c r="C696" t="s">
        <v>21</v>
      </c>
      <c r="D696" t="s">
        <v>24</v>
      </c>
      <c r="E696" t="s">
        <v>33</v>
      </c>
      <c r="F696" t="s">
        <v>52</v>
      </c>
      <c r="G696" t="s">
        <v>71</v>
      </c>
      <c r="H696" t="s">
        <v>75</v>
      </c>
      <c r="I696">
        <v>3</v>
      </c>
      <c r="J696">
        <v>44386</v>
      </c>
      <c r="K696">
        <v>0</v>
      </c>
      <c r="L696">
        <v>133158</v>
      </c>
      <c r="M696">
        <v>96737.2</v>
      </c>
      <c r="N696">
        <v>36420.800000000003</v>
      </c>
      <c r="O696" t="s">
        <v>80</v>
      </c>
      <c r="P696" t="s">
        <v>83</v>
      </c>
    </row>
    <row r="697" spans="1:16" x14ac:dyDescent="0.25">
      <c r="A697">
        <v>696</v>
      </c>
      <c r="B697" s="1">
        <v>45967</v>
      </c>
      <c r="C697" t="s">
        <v>22</v>
      </c>
      <c r="D697" t="s">
        <v>24</v>
      </c>
      <c r="E697" t="s">
        <v>30</v>
      </c>
      <c r="F697" t="s">
        <v>56</v>
      </c>
      <c r="G697" t="s">
        <v>70</v>
      </c>
      <c r="H697" t="s">
        <v>73</v>
      </c>
      <c r="I697">
        <v>2</v>
      </c>
      <c r="J697">
        <v>43960</v>
      </c>
      <c r="K697">
        <v>0.15</v>
      </c>
      <c r="L697">
        <v>74732</v>
      </c>
      <c r="M697">
        <v>41303.5</v>
      </c>
      <c r="N697">
        <v>33428.5</v>
      </c>
      <c r="O697" t="s">
        <v>79</v>
      </c>
      <c r="P697" t="s">
        <v>88</v>
      </c>
    </row>
    <row r="698" spans="1:16" x14ac:dyDescent="0.25">
      <c r="A698">
        <v>697</v>
      </c>
      <c r="B698" s="1">
        <v>45682</v>
      </c>
      <c r="C698" t="s">
        <v>16</v>
      </c>
      <c r="D698" t="s">
        <v>24</v>
      </c>
      <c r="E698" t="s">
        <v>33</v>
      </c>
      <c r="F698" t="s">
        <v>41</v>
      </c>
      <c r="G698" t="s">
        <v>72</v>
      </c>
      <c r="H698" t="s">
        <v>73</v>
      </c>
      <c r="I698">
        <v>4</v>
      </c>
      <c r="J698">
        <v>47999</v>
      </c>
      <c r="K698">
        <v>0.1</v>
      </c>
      <c r="L698">
        <v>172796.4</v>
      </c>
      <c r="M698">
        <v>104425.53</v>
      </c>
      <c r="N698">
        <v>68370.87</v>
      </c>
      <c r="O698" t="s">
        <v>78</v>
      </c>
      <c r="P698" t="s">
        <v>85</v>
      </c>
    </row>
    <row r="699" spans="1:16" x14ac:dyDescent="0.25">
      <c r="A699">
        <v>698</v>
      </c>
      <c r="B699" s="1">
        <v>45991</v>
      </c>
      <c r="C699" t="s">
        <v>20</v>
      </c>
      <c r="D699" t="s">
        <v>26</v>
      </c>
      <c r="E699" t="s">
        <v>29</v>
      </c>
      <c r="F699" t="s">
        <v>53</v>
      </c>
      <c r="G699" t="s">
        <v>71</v>
      </c>
      <c r="H699" t="s">
        <v>73</v>
      </c>
      <c r="I699">
        <v>5</v>
      </c>
      <c r="J699">
        <v>3223</v>
      </c>
      <c r="K699">
        <v>0.05</v>
      </c>
      <c r="L699">
        <v>15309.25</v>
      </c>
      <c r="M699">
        <v>10632.7</v>
      </c>
      <c r="N699">
        <v>4676.55</v>
      </c>
      <c r="O699" t="s">
        <v>79</v>
      </c>
      <c r="P699" t="s">
        <v>85</v>
      </c>
    </row>
    <row r="700" spans="1:16" x14ac:dyDescent="0.25">
      <c r="A700">
        <v>699</v>
      </c>
      <c r="B700" s="1">
        <v>45678</v>
      </c>
      <c r="C700" t="s">
        <v>19</v>
      </c>
      <c r="D700" t="s">
        <v>26</v>
      </c>
      <c r="E700" t="s">
        <v>30</v>
      </c>
      <c r="F700" t="s">
        <v>64</v>
      </c>
      <c r="G700" t="s">
        <v>72</v>
      </c>
      <c r="H700" t="s">
        <v>74</v>
      </c>
      <c r="I700">
        <v>2</v>
      </c>
      <c r="J700">
        <v>34399</v>
      </c>
      <c r="K700">
        <v>0.05</v>
      </c>
      <c r="L700">
        <v>65358.1</v>
      </c>
      <c r="M700">
        <v>53962.99</v>
      </c>
      <c r="N700">
        <v>11395.11</v>
      </c>
      <c r="O700" t="s">
        <v>79</v>
      </c>
      <c r="P700" t="s">
        <v>85</v>
      </c>
    </row>
    <row r="701" spans="1:16" x14ac:dyDescent="0.25">
      <c r="A701">
        <v>700</v>
      </c>
      <c r="B701" s="1">
        <v>45887</v>
      </c>
      <c r="C701" t="s">
        <v>21</v>
      </c>
      <c r="D701" t="s">
        <v>24</v>
      </c>
      <c r="E701" t="s">
        <v>34</v>
      </c>
      <c r="F701" t="s">
        <v>65</v>
      </c>
      <c r="G701" t="s">
        <v>71</v>
      </c>
      <c r="H701" t="s">
        <v>73</v>
      </c>
      <c r="I701">
        <v>1</v>
      </c>
      <c r="J701">
        <v>1439</v>
      </c>
      <c r="K701">
        <v>0.15</v>
      </c>
      <c r="L701">
        <v>1223.1500000000001</v>
      </c>
      <c r="M701">
        <v>924.5</v>
      </c>
      <c r="N701">
        <v>298.64999999999998</v>
      </c>
      <c r="O701" t="s">
        <v>80</v>
      </c>
      <c r="P701" t="s">
        <v>86</v>
      </c>
    </row>
    <row r="702" spans="1:16" x14ac:dyDescent="0.25">
      <c r="A702">
        <v>701</v>
      </c>
      <c r="B702" s="1">
        <v>45966</v>
      </c>
      <c r="C702" t="s">
        <v>23</v>
      </c>
      <c r="D702" t="s">
        <v>27</v>
      </c>
      <c r="E702" t="s">
        <v>28</v>
      </c>
      <c r="F702" t="s">
        <v>54</v>
      </c>
      <c r="G702" t="s">
        <v>72</v>
      </c>
      <c r="H702" t="s">
        <v>75</v>
      </c>
      <c r="I702">
        <v>8</v>
      </c>
      <c r="J702">
        <v>1869</v>
      </c>
      <c r="K702">
        <v>0.05</v>
      </c>
      <c r="L702">
        <v>14204.4</v>
      </c>
      <c r="M702">
        <v>10134.200000000001</v>
      </c>
      <c r="N702">
        <v>4070.2</v>
      </c>
      <c r="O702" t="s">
        <v>76</v>
      </c>
      <c r="P702" t="s">
        <v>86</v>
      </c>
    </row>
    <row r="703" spans="1:16" x14ac:dyDescent="0.25">
      <c r="A703">
        <v>702</v>
      </c>
      <c r="B703" s="1">
        <v>45908</v>
      </c>
      <c r="C703" t="s">
        <v>16</v>
      </c>
      <c r="D703" t="s">
        <v>24</v>
      </c>
      <c r="E703" t="s">
        <v>29</v>
      </c>
      <c r="F703" t="s">
        <v>53</v>
      </c>
      <c r="G703" t="s">
        <v>70</v>
      </c>
      <c r="H703" t="s">
        <v>73</v>
      </c>
      <c r="I703">
        <v>1</v>
      </c>
      <c r="J703">
        <v>1268</v>
      </c>
      <c r="K703">
        <v>0.1</v>
      </c>
      <c r="L703">
        <v>1141.2</v>
      </c>
      <c r="M703">
        <v>828.13</v>
      </c>
      <c r="N703">
        <v>313.07</v>
      </c>
      <c r="O703" t="s">
        <v>79</v>
      </c>
      <c r="P703" t="s">
        <v>83</v>
      </c>
    </row>
    <row r="704" spans="1:16" x14ac:dyDescent="0.25">
      <c r="A704">
        <v>703</v>
      </c>
      <c r="B704" s="1">
        <v>45741</v>
      </c>
      <c r="C704" t="s">
        <v>23</v>
      </c>
      <c r="D704" t="s">
        <v>27</v>
      </c>
      <c r="E704" t="s">
        <v>32</v>
      </c>
      <c r="F704" t="s">
        <v>48</v>
      </c>
      <c r="G704" t="s">
        <v>71</v>
      </c>
      <c r="H704" t="s">
        <v>73</v>
      </c>
      <c r="I704">
        <v>6</v>
      </c>
      <c r="J704">
        <v>20259</v>
      </c>
      <c r="K704">
        <v>0.05</v>
      </c>
      <c r="L704">
        <v>115476.3</v>
      </c>
      <c r="M704">
        <v>77359.09</v>
      </c>
      <c r="N704">
        <v>38117.21</v>
      </c>
      <c r="O704" t="s">
        <v>76</v>
      </c>
      <c r="P704" t="s">
        <v>83</v>
      </c>
    </row>
    <row r="705" spans="1:16" x14ac:dyDescent="0.25">
      <c r="A705">
        <v>704</v>
      </c>
      <c r="B705" s="1">
        <v>45714</v>
      </c>
      <c r="C705" t="s">
        <v>22</v>
      </c>
      <c r="D705" t="s">
        <v>24</v>
      </c>
      <c r="E705" t="s">
        <v>32</v>
      </c>
      <c r="F705" t="s">
        <v>66</v>
      </c>
      <c r="G705" t="s">
        <v>70</v>
      </c>
      <c r="H705" t="s">
        <v>74</v>
      </c>
      <c r="I705">
        <v>5</v>
      </c>
      <c r="J705">
        <v>9466</v>
      </c>
      <c r="K705">
        <v>0.1</v>
      </c>
      <c r="L705">
        <v>42597</v>
      </c>
      <c r="M705">
        <v>23903.32</v>
      </c>
      <c r="N705">
        <v>18693.68</v>
      </c>
      <c r="O705" t="s">
        <v>77</v>
      </c>
      <c r="P705" t="s">
        <v>82</v>
      </c>
    </row>
    <row r="706" spans="1:16" x14ac:dyDescent="0.25">
      <c r="A706">
        <v>705</v>
      </c>
      <c r="B706" s="1">
        <v>45877</v>
      </c>
      <c r="C706" t="s">
        <v>23</v>
      </c>
      <c r="D706" t="s">
        <v>27</v>
      </c>
      <c r="E706" t="s">
        <v>32</v>
      </c>
      <c r="F706" t="s">
        <v>66</v>
      </c>
      <c r="G706" t="s">
        <v>72</v>
      </c>
      <c r="H706" t="s">
        <v>73</v>
      </c>
      <c r="I706">
        <v>7</v>
      </c>
      <c r="J706">
        <v>12838</v>
      </c>
      <c r="K706">
        <v>0.1</v>
      </c>
      <c r="L706">
        <v>80879.399999999994</v>
      </c>
      <c r="M706">
        <v>53503.51</v>
      </c>
      <c r="N706">
        <v>27375.89</v>
      </c>
      <c r="O706" t="s">
        <v>78</v>
      </c>
      <c r="P706" t="s">
        <v>88</v>
      </c>
    </row>
    <row r="707" spans="1:16" x14ac:dyDescent="0.25">
      <c r="A707">
        <v>706</v>
      </c>
      <c r="B707" s="1">
        <v>45750</v>
      </c>
      <c r="C707" t="s">
        <v>22</v>
      </c>
      <c r="D707" t="s">
        <v>24</v>
      </c>
      <c r="E707" t="s">
        <v>31</v>
      </c>
      <c r="F707" t="s">
        <v>47</v>
      </c>
      <c r="G707" t="s">
        <v>71</v>
      </c>
      <c r="H707" t="s">
        <v>73</v>
      </c>
      <c r="I707">
        <v>5</v>
      </c>
      <c r="J707">
        <v>1643</v>
      </c>
      <c r="K707">
        <v>0.05</v>
      </c>
      <c r="L707">
        <v>7804.25</v>
      </c>
      <c r="M707">
        <v>5168.68</v>
      </c>
      <c r="N707">
        <v>2635.57</v>
      </c>
      <c r="O707" t="s">
        <v>78</v>
      </c>
      <c r="P707" t="s">
        <v>82</v>
      </c>
    </row>
    <row r="708" spans="1:16" x14ac:dyDescent="0.25">
      <c r="A708">
        <v>707</v>
      </c>
      <c r="B708" s="1">
        <v>45825</v>
      </c>
      <c r="C708" t="s">
        <v>21</v>
      </c>
      <c r="D708" t="s">
        <v>24</v>
      </c>
      <c r="E708" t="s">
        <v>28</v>
      </c>
      <c r="F708" t="s">
        <v>58</v>
      </c>
      <c r="G708" t="s">
        <v>70</v>
      </c>
      <c r="H708" t="s">
        <v>73</v>
      </c>
      <c r="I708">
        <v>1</v>
      </c>
      <c r="J708">
        <v>2273</v>
      </c>
      <c r="K708">
        <v>0</v>
      </c>
      <c r="L708">
        <v>2273</v>
      </c>
      <c r="M708">
        <v>1439.37</v>
      </c>
      <c r="N708">
        <v>833.63</v>
      </c>
      <c r="O708" t="s">
        <v>76</v>
      </c>
      <c r="P708" t="s">
        <v>86</v>
      </c>
    </row>
    <row r="709" spans="1:16" x14ac:dyDescent="0.25">
      <c r="A709">
        <v>708</v>
      </c>
      <c r="B709" s="1">
        <v>45791</v>
      </c>
      <c r="C709" t="s">
        <v>23</v>
      </c>
      <c r="D709" t="s">
        <v>27</v>
      </c>
      <c r="E709" t="s">
        <v>33</v>
      </c>
      <c r="F709" t="s">
        <v>41</v>
      </c>
      <c r="G709" t="s">
        <v>71</v>
      </c>
      <c r="H709" t="s">
        <v>73</v>
      </c>
      <c r="I709">
        <v>5</v>
      </c>
      <c r="J709">
        <v>18361</v>
      </c>
      <c r="K709">
        <v>0.05</v>
      </c>
      <c r="L709">
        <v>87214.75</v>
      </c>
      <c r="M709">
        <v>70047.88</v>
      </c>
      <c r="N709">
        <v>17166.87</v>
      </c>
      <c r="O709" t="s">
        <v>78</v>
      </c>
      <c r="P709" t="s">
        <v>86</v>
      </c>
    </row>
    <row r="710" spans="1:16" x14ac:dyDescent="0.25">
      <c r="A710">
        <v>709</v>
      </c>
      <c r="B710" s="1">
        <v>45919</v>
      </c>
      <c r="C710" t="s">
        <v>16</v>
      </c>
      <c r="D710" t="s">
        <v>24</v>
      </c>
      <c r="E710" t="s">
        <v>30</v>
      </c>
      <c r="F710" t="s">
        <v>44</v>
      </c>
      <c r="G710" t="s">
        <v>72</v>
      </c>
      <c r="H710" t="s">
        <v>73</v>
      </c>
      <c r="I710">
        <v>7</v>
      </c>
      <c r="J710">
        <v>45897</v>
      </c>
      <c r="K710">
        <v>0.1</v>
      </c>
      <c r="L710">
        <v>289151.09999999998</v>
      </c>
      <c r="M710">
        <v>234218.32</v>
      </c>
      <c r="N710">
        <v>54932.78</v>
      </c>
      <c r="O710" t="s">
        <v>76</v>
      </c>
      <c r="P710" t="s">
        <v>83</v>
      </c>
    </row>
    <row r="711" spans="1:16" x14ac:dyDescent="0.25">
      <c r="A711">
        <v>710</v>
      </c>
      <c r="B711" s="1">
        <v>45992</v>
      </c>
      <c r="C711" t="s">
        <v>16</v>
      </c>
      <c r="D711" t="s">
        <v>24</v>
      </c>
      <c r="E711" t="s">
        <v>33</v>
      </c>
      <c r="F711" t="s">
        <v>46</v>
      </c>
      <c r="G711" t="s">
        <v>72</v>
      </c>
      <c r="H711" t="s">
        <v>73</v>
      </c>
      <c r="I711">
        <v>2</v>
      </c>
      <c r="J711">
        <v>28468</v>
      </c>
      <c r="K711">
        <v>0.15</v>
      </c>
      <c r="L711">
        <v>48395.6</v>
      </c>
      <c r="M711">
        <v>37898.68</v>
      </c>
      <c r="N711">
        <v>10496.92</v>
      </c>
      <c r="O711" t="s">
        <v>78</v>
      </c>
      <c r="P711" t="s">
        <v>83</v>
      </c>
    </row>
    <row r="712" spans="1:16" x14ac:dyDescent="0.25">
      <c r="A712">
        <v>711</v>
      </c>
      <c r="B712" s="1">
        <v>45937</v>
      </c>
      <c r="C712" t="s">
        <v>20</v>
      </c>
      <c r="D712" t="s">
        <v>26</v>
      </c>
      <c r="E712" t="s">
        <v>34</v>
      </c>
      <c r="F712" t="s">
        <v>65</v>
      </c>
      <c r="G712" t="s">
        <v>70</v>
      </c>
      <c r="H712" t="s">
        <v>74</v>
      </c>
      <c r="I712">
        <v>8</v>
      </c>
      <c r="J712">
        <v>5032</v>
      </c>
      <c r="K712">
        <v>0</v>
      </c>
      <c r="L712">
        <v>40256</v>
      </c>
      <c r="M712">
        <v>27261.57</v>
      </c>
      <c r="N712">
        <v>12994.43</v>
      </c>
      <c r="O712" t="s">
        <v>78</v>
      </c>
      <c r="P712" t="s">
        <v>85</v>
      </c>
    </row>
    <row r="713" spans="1:16" x14ac:dyDescent="0.25">
      <c r="A713">
        <v>712</v>
      </c>
      <c r="B713" s="1">
        <v>45723</v>
      </c>
      <c r="C713" t="s">
        <v>22</v>
      </c>
      <c r="D713" t="s">
        <v>24</v>
      </c>
      <c r="E713" t="s">
        <v>28</v>
      </c>
      <c r="F713" t="s">
        <v>58</v>
      </c>
      <c r="G713" t="s">
        <v>70</v>
      </c>
      <c r="H713" t="s">
        <v>73</v>
      </c>
      <c r="I713">
        <v>3</v>
      </c>
      <c r="J713">
        <v>2471</v>
      </c>
      <c r="K713">
        <v>0.1</v>
      </c>
      <c r="L713">
        <v>6671.7</v>
      </c>
      <c r="M713">
        <v>4377.63</v>
      </c>
      <c r="N713">
        <v>2294.0700000000002</v>
      </c>
      <c r="O713" t="s">
        <v>78</v>
      </c>
      <c r="P713" t="s">
        <v>88</v>
      </c>
    </row>
    <row r="714" spans="1:16" x14ac:dyDescent="0.25">
      <c r="A714">
        <v>713</v>
      </c>
      <c r="B714" s="1">
        <v>45692</v>
      </c>
      <c r="C714" t="s">
        <v>21</v>
      </c>
      <c r="D714" t="s">
        <v>24</v>
      </c>
      <c r="E714" t="s">
        <v>28</v>
      </c>
      <c r="F714" t="s">
        <v>63</v>
      </c>
      <c r="G714" t="s">
        <v>70</v>
      </c>
      <c r="H714" t="s">
        <v>73</v>
      </c>
      <c r="I714">
        <v>5</v>
      </c>
      <c r="J714">
        <v>825</v>
      </c>
      <c r="K714">
        <v>0.15</v>
      </c>
      <c r="L714">
        <v>3506.25</v>
      </c>
      <c r="M714">
        <v>2989.99</v>
      </c>
      <c r="N714">
        <v>516.26</v>
      </c>
      <c r="O714" t="s">
        <v>76</v>
      </c>
      <c r="P714" t="s">
        <v>83</v>
      </c>
    </row>
    <row r="715" spans="1:16" x14ac:dyDescent="0.25">
      <c r="A715">
        <v>714</v>
      </c>
      <c r="B715" s="1">
        <v>45987</v>
      </c>
      <c r="C715" t="s">
        <v>17</v>
      </c>
      <c r="D715" t="s">
        <v>25</v>
      </c>
      <c r="E715" t="s">
        <v>33</v>
      </c>
      <c r="F715" t="s">
        <v>60</v>
      </c>
      <c r="G715" t="s">
        <v>72</v>
      </c>
      <c r="H715" t="s">
        <v>73</v>
      </c>
      <c r="I715">
        <v>8</v>
      </c>
      <c r="J715">
        <v>4973</v>
      </c>
      <c r="K715">
        <v>0.1</v>
      </c>
      <c r="L715">
        <v>35805.599999999999</v>
      </c>
      <c r="M715">
        <v>24277.06</v>
      </c>
      <c r="N715">
        <v>11528.54</v>
      </c>
      <c r="O715" t="s">
        <v>76</v>
      </c>
      <c r="P715" t="s">
        <v>82</v>
      </c>
    </row>
    <row r="716" spans="1:16" x14ac:dyDescent="0.25">
      <c r="A716">
        <v>715</v>
      </c>
      <c r="B716" s="1">
        <v>45787</v>
      </c>
      <c r="C716" t="s">
        <v>18</v>
      </c>
      <c r="D716" t="s">
        <v>26</v>
      </c>
      <c r="E716" t="s">
        <v>29</v>
      </c>
      <c r="F716" t="s">
        <v>42</v>
      </c>
      <c r="G716" t="s">
        <v>72</v>
      </c>
      <c r="H716" t="s">
        <v>73</v>
      </c>
      <c r="I716">
        <v>7</v>
      </c>
      <c r="J716">
        <v>2067</v>
      </c>
      <c r="K716">
        <v>0.15</v>
      </c>
      <c r="L716">
        <v>12298.65</v>
      </c>
      <c r="M716">
        <v>9012.4599999999991</v>
      </c>
      <c r="N716">
        <v>3286.19</v>
      </c>
      <c r="O716" t="s">
        <v>78</v>
      </c>
      <c r="P716" t="s">
        <v>86</v>
      </c>
    </row>
    <row r="717" spans="1:16" x14ac:dyDescent="0.25">
      <c r="A717">
        <v>716</v>
      </c>
      <c r="B717" s="1">
        <v>45832</v>
      </c>
      <c r="C717" t="s">
        <v>23</v>
      </c>
      <c r="D717" t="s">
        <v>27</v>
      </c>
      <c r="E717" t="s">
        <v>32</v>
      </c>
      <c r="F717" t="s">
        <v>48</v>
      </c>
      <c r="G717" t="s">
        <v>71</v>
      </c>
      <c r="H717" t="s">
        <v>75</v>
      </c>
      <c r="I717">
        <v>3</v>
      </c>
      <c r="J717">
        <v>19004</v>
      </c>
      <c r="K717">
        <v>0.1</v>
      </c>
      <c r="L717">
        <v>51310.8</v>
      </c>
      <c r="M717">
        <v>41919.97</v>
      </c>
      <c r="N717">
        <v>9390.83</v>
      </c>
      <c r="O717" t="s">
        <v>76</v>
      </c>
      <c r="P717" t="s">
        <v>82</v>
      </c>
    </row>
    <row r="718" spans="1:16" x14ac:dyDescent="0.25">
      <c r="A718">
        <v>717</v>
      </c>
      <c r="B718" s="1">
        <v>45709</v>
      </c>
      <c r="C718" t="s">
        <v>22</v>
      </c>
      <c r="D718" t="s">
        <v>24</v>
      </c>
      <c r="E718" t="s">
        <v>33</v>
      </c>
      <c r="F718" t="s">
        <v>41</v>
      </c>
      <c r="G718" t="s">
        <v>72</v>
      </c>
      <c r="H718" t="s">
        <v>73</v>
      </c>
      <c r="I718">
        <v>6</v>
      </c>
      <c r="J718">
        <v>35313</v>
      </c>
      <c r="K718">
        <v>0</v>
      </c>
      <c r="L718">
        <v>211878</v>
      </c>
      <c r="M718">
        <v>176640.49</v>
      </c>
      <c r="N718">
        <v>35237.51</v>
      </c>
      <c r="O718" t="s">
        <v>76</v>
      </c>
      <c r="P718" t="s">
        <v>81</v>
      </c>
    </row>
    <row r="719" spans="1:16" x14ac:dyDescent="0.25">
      <c r="A719">
        <v>718</v>
      </c>
      <c r="B719" s="1">
        <v>46014</v>
      </c>
      <c r="C719" t="s">
        <v>20</v>
      </c>
      <c r="D719" t="s">
        <v>26</v>
      </c>
      <c r="E719" t="s">
        <v>33</v>
      </c>
      <c r="F719" t="s">
        <v>46</v>
      </c>
      <c r="G719" t="s">
        <v>71</v>
      </c>
      <c r="H719" t="s">
        <v>73</v>
      </c>
      <c r="I719">
        <v>7</v>
      </c>
      <c r="J719">
        <v>38865</v>
      </c>
      <c r="K719">
        <v>0.1</v>
      </c>
      <c r="L719">
        <v>244849.5</v>
      </c>
      <c r="M719">
        <v>155726.5</v>
      </c>
      <c r="N719">
        <v>89123</v>
      </c>
      <c r="O719" t="s">
        <v>80</v>
      </c>
      <c r="P719" t="s">
        <v>86</v>
      </c>
    </row>
    <row r="720" spans="1:16" x14ac:dyDescent="0.25">
      <c r="A720">
        <v>719</v>
      </c>
      <c r="B720" s="1">
        <v>45970</v>
      </c>
      <c r="C720" t="s">
        <v>21</v>
      </c>
      <c r="D720" t="s">
        <v>24</v>
      </c>
      <c r="E720" t="s">
        <v>31</v>
      </c>
      <c r="F720" t="s">
        <v>38</v>
      </c>
      <c r="G720" t="s">
        <v>71</v>
      </c>
      <c r="H720" t="s">
        <v>75</v>
      </c>
      <c r="I720">
        <v>4</v>
      </c>
      <c r="J720">
        <v>1571</v>
      </c>
      <c r="K720">
        <v>0.1</v>
      </c>
      <c r="L720">
        <v>5655.6</v>
      </c>
      <c r="M720">
        <v>4062.53</v>
      </c>
      <c r="N720">
        <v>1593.07</v>
      </c>
      <c r="O720" t="s">
        <v>77</v>
      </c>
      <c r="P720" t="s">
        <v>87</v>
      </c>
    </row>
    <row r="721" spans="1:16" x14ac:dyDescent="0.25">
      <c r="A721">
        <v>720</v>
      </c>
      <c r="B721" s="1">
        <v>45912</v>
      </c>
      <c r="C721" t="s">
        <v>20</v>
      </c>
      <c r="D721" t="s">
        <v>26</v>
      </c>
      <c r="E721" t="s">
        <v>31</v>
      </c>
      <c r="F721" t="s">
        <v>38</v>
      </c>
      <c r="G721" t="s">
        <v>71</v>
      </c>
      <c r="H721" t="s">
        <v>74</v>
      </c>
      <c r="I721">
        <v>4</v>
      </c>
      <c r="J721">
        <v>1459</v>
      </c>
      <c r="K721">
        <v>0.1</v>
      </c>
      <c r="L721">
        <v>5252.4</v>
      </c>
      <c r="M721">
        <v>3420.58</v>
      </c>
      <c r="N721">
        <v>1831.82</v>
      </c>
      <c r="O721" t="s">
        <v>80</v>
      </c>
      <c r="P721" t="s">
        <v>88</v>
      </c>
    </row>
    <row r="722" spans="1:16" x14ac:dyDescent="0.25">
      <c r="A722">
        <v>721</v>
      </c>
      <c r="B722" s="1">
        <v>45899</v>
      </c>
      <c r="C722" t="s">
        <v>20</v>
      </c>
      <c r="D722" t="s">
        <v>26</v>
      </c>
      <c r="E722" t="s">
        <v>33</v>
      </c>
      <c r="F722" t="s">
        <v>52</v>
      </c>
      <c r="G722" t="s">
        <v>70</v>
      </c>
      <c r="H722" t="s">
        <v>74</v>
      </c>
      <c r="I722">
        <v>4</v>
      </c>
      <c r="J722">
        <v>22159</v>
      </c>
      <c r="K722">
        <v>0.1</v>
      </c>
      <c r="L722">
        <v>79772.399999999994</v>
      </c>
      <c r="M722">
        <v>68232.31</v>
      </c>
      <c r="N722">
        <v>11540.09</v>
      </c>
      <c r="O722" t="s">
        <v>80</v>
      </c>
      <c r="P722" t="s">
        <v>85</v>
      </c>
    </row>
    <row r="723" spans="1:16" x14ac:dyDescent="0.25">
      <c r="A723">
        <v>722</v>
      </c>
      <c r="B723" s="1">
        <v>45698</v>
      </c>
      <c r="C723" t="s">
        <v>16</v>
      </c>
      <c r="D723" t="s">
        <v>24</v>
      </c>
      <c r="E723" t="s">
        <v>33</v>
      </c>
      <c r="F723" t="s">
        <v>59</v>
      </c>
      <c r="G723" t="s">
        <v>70</v>
      </c>
      <c r="H723" t="s">
        <v>75</v>
      </c>
      <c r="I723">
        <v>8</v>
      </c>
      <c r="J723">
        <v>19238</v>
      </c>
      <c r="K723">
        <v>0</v>
      </c>
      <c r="L723">
        <v>153904</v>
      </c>
      <c r="M723">
        <v>106048.23</v>
      </c>
      <c r="N723">
        <v>47855.77</v>
      </c>
      <c r="O723" t="s">
        <v>78</v>
      </c>
      <c r="P723" t="s">
        <v>86</v>
      </c>
    </row>
    <row r="724" spans="1:16" x14ac:dyDescent="0.25">
      <c r="A724">
        <v>723</v>
      </c>
      <c r="B724" s="1">
        <v>45760</v>
      </c>
      <c r="C724" t="s">
        <v>20</v>
      </c>
      <c r="D724" t="s">
        <v>26</v>
      </c>
      <c r="E724" t="s">
        <v>31</v>
      </c>
      <c r="F724" t="s">
        <v>69</v>
      </c>
      <c r="G724" t="s">
        <v>71</v>
      </c>
      <c r="H724" t="s">
        <v>75</v>
      </c>
      <c r="I724">
        <v>4</v>
      </c>
      <c r="J724">
        <v>925</v>
      </c>
      <c r="K724">
        <v>0.1</v>
      </c>
      <c r="L724">
        <v>3330</v>
      </c>
      <c r="M724">
        <v>2675.89</v>
      </c>
      <c r="N724">
        <v>654.11</v>
      </c>
      <c r="O724" t="s">
        <v>79</v>
      </c>
      <c r="P724" t="s">
        <v>83</v>
      </c>
    </row>
    <row r="725" spans="1:16" x14ac:dyDescent="0.25">
      <c r="A725">
        <v>724</v>
      </c>
      <c r="B725" s="1">
        <v>45794</v>
      </c>
      <c r="C725" t="s">
        <v>16</v>
      </c>
      <c r="D725" t="s">
        <v>24</v>
      </c>
      <c r="E725" t="s">
        <v>32</v>
      </c>
      <c r="F725" t="s">
        <v>62</v>
      </c>
      <c r="G725" t="s">
        <v>72</v>
      </c>
      <c r="H725" t="s">
        <v>73</v>
      </c>
      <c r="I725">
        <v>1</v>
      </c>
      <c r="J725">
        <v>2219</v>
      </c>
      <c r="K725">
        <v>0.1</v>
      </c>
      <c r="L725">
        <v>1997.1</v>
      </c>
      <c r="M725">
        <v>1738.65</v>
      </c>
      <c r="N725">
        <v>258.45</v>
      </c>
      <c r="O725" t="s">
        <v>79</v>
      </c>
      <c r="P725" t="s">
        <v>82</v>
      </c>
    </row>
    <row r="726" spans="1:16" x14ac:dyDescent="0.25">
      <c r="A726">
        <v>725</v>
      </c>
      <c r="B726" s="1">
        <v>45938</v>
      </c>
      <c r="C726" t="s">
        <v>16</v>
      </c>
      <c r="D726" t="s">
        <v>24</v>
      </c>
      <c r="E726" t="s">
        <v>28</v>
      </c>
      <c r="F726" t="s">
        <v>58</v>
      </c>
      <c r="G726" t="s">
        <v>71</v>
      </c>
      <c r="H726" t="s">
        <v>75</v>
      </c>
      <c r="I726">
        <v>5</v>
      </c>
      <c r="J726">
        <v>2233</v>
      </c>
      <c r="K726">
        <v>0.15</v>
      </c>
      <c r="L726">
        <v>9490.25</v>
      </c>
      <c r="M726">
        <v>7615.09</v>
      </c>
      <c r="N726">
        <v>1875.16</v>
      </c>
      <c r="O726" t="s">
        <v>78</v>
      </c>
      <c r="P726" t="s">
        <v>82</v>
      </c>
    </row>
    <row r="727" spans="1:16" x14ac:dyDescent="0.25">
      <c r="A727">
        <v>726</v>
      </c>
      <c r="B727" s="1">
        <v>46019</v>
      </c>
      <c r="C727" t="s">
        <v>23</v>
      </c>
      <c r="D727" t="s">
        <v>27</v>
      </c>
      <c r="E727" t="s">
        <v>34</v>
      </c>
      <c r="F727" t="s">
        <v>68</v>
      </c>
      <c r="G727" t="s">
        <v>72</v>
      </c>
      <c r="H727" t="s">
        <v>75</v>
      </c>
      <c r="I727">
        <v>5</v>
      </c>
      <c r="J727">
        <v>3337</v>
      </c>
      <c r="K727">
        <v>0.05</v>
      </c>
      <c r="L727">
        <v>15850.75</v>
      </c>
      <c r="M727">
        <v>10623.93</v>
      </c>
      <c r="N727">
        <v>5226.82</v>
      </c>
      <c r="O727" t="s">
        <v>80</v>
      </c>
      <c r="P727" t="s">
        <v>83</v>
      </c>
    </row>
    <row r="728" spans="1:16" x14ac:dyDescent="0.25">
      <c r="A728">
        <v>727</v>
      </c>
      <c r="B728" s="1">
        <v>45662</v>
      </c>
      <c r="C728" t="s">
        <v>18</v>
      </c>
      <c r="D728" t="s">
        <v>26</v>
      </c>
      <c r="E728" t="s">
        <v>34</v>
      </c>
      <c r="F728" t="s">
        <v>55</v>
      </c>
      <c r="G728" t="s">
        <v>72</v>
      </c>
      <c r="H728" t="s">
        <v>74</v>
      </c>
      <c r="I728">
        <v>6</v>
      </c>
      <c r="J728">
        <v>469</v>
      </c>
      <c r="K728">
        <v>0.1</v>
      </c>
      <c r="L728">
        <v>2532.6</v>
      </c>
      <c r="M728">
        <v>1734.54</v>
      </c>
      <c r="N728">
        <v>798.06</v>
      </c>
      <c r="O728" t="s">
        <v>80</v>
      </c>
      <c r="P728" t="s">
        <v>82</v>
      </c>
    </row>
    <row r="729" spans="1:16" x14ac:dyDescent="0.25">
      <c r="A729">
        <v>728</v>
      </c>
      <c r="B729" s="1">
        <v>45978</v>
      </c>
      <c r="C729" t="s">
        <v>16</v>
      </c>
      <c r="D729" t="s">
        <v>24</v>
      </c>
      <c r="E729" t="s">
        <v>30</v>
      </c>
      <c r="F729" t="s">
        <v>37</v>
      </c>
      <c r="G729" t="s">
        <v>70</v>
      </c>
      <c r="H729" t="s">
        <v>74</v>
      </c>
      <c r="I729">
        <v>1</v>
      </c>
      <c r="J729">
        <v>28789</v>
      </c>
      <c r="K729">
        <v>0.15</v>
      </c>
      <c r="L729">
        <v>24470.65</v>
      </c>
      <c r="M729">
        <v>17361.75</v>
      </c>
      <c r="N729">
        <v>7108.9</v>
      </c>
      <c r="O729" t="s">
        <v>76</v>
      </c>
      <c r="P729" t="s">
        <v>88</v>
      </c>
    </row>
    <row r="730" spans="1:16" x14ac:dyDescent="0.25">
      <c r="A730">
        <v>729</v>
      </c>
      <c r="B730" s="1">
        <v>45919</v>
      </c>
      <c r="C730" t="s">
        <v>16</v>
      </c>
      <c r="D730" t="s">
        <v>24</v>
      </c>
      <c r="E730" t="s">
        <v>29</v>
      </c>
      <c r="F730" t="s">
        <v>57</v>
      </c>
      <c r="G730" t="s">
        <v>72</v>
      </c>
      <c r="H730" t="s">
        <v>73</v>
      </c>
      <c r="I730">
        <v>5</v>
      </c>
      <c r="J730">
        <v>506</v>
      </c>
      <c r="K730">
        <v>0.1</v>
      </c>
      <c r="L730">
        <v>2277</v>
      </c>
      <c r="M730">
        <v>1450.24</v>
      </c>
      <c r="N730">
        <v>826.76</v>
      </c>
      <c r="O730" t="s">
        <v>80</v>
      </c>
      <c r="P730" t="s">
        <v>88</v>
      </c>
    </row>
    <row r="731" spans="1:16" x14ac:dyDescent="0.25">
      <c r="A731">
        <v>730</v>
      </c>
      <c r="B731" s="1">
        <v>45872</v>
      </c>
      <c r="C731" t="s">
        <v>20</v>
      </c>
      <c r="D731" t="s">
        <v>26</v>
      </c>
      <c r="E731" t="s">
        <v>32</v>
      </c>
      <c r="F731" t="s">
        <v>49</v>
      </c>
      <c r="G731" t="s">
        <v>70</v>
      </c>
      <c r="H731" t="s">
        <v>75</v>
      </c>
      <c r="I731">
        <v>1</v>
      </c>
      <c r="J731">
        <v>7377</v>
      </c>
      <c r="K731">
        <v>0.05</v>
      </c>
      <c r="L731">
        <v>7008.15</v>
      </c>
      <c r="M731">
        <v>4499.6400000000003</v>
      </c>
      <c r="N731">
        <v>2508.5100000000002</v>
      </c>
      <c r="O731" t="s">
        <v>76</v>
      </c>
      <c r="P731" t="s">
        <v>82</v>
      </c>
    </row>
    <row r="732" spans="1:16" x14ac:dyDescent="0.25">
      <c r="A732">
        <v>731</v>
      </c>
      <c r="B732" s="1">
        <v>45991</v>
      </c>
      <c r="C732" t="s">
        <v>18</v>
      </c>
      <c r="D732" t="s">
        <v>26</v>
      </c>
      <c r="E732" t="s">
        <v>33</v>
      </c>
      <c r="F732" t="s">
        <v>46</v>
      </c>
      <c r="G732" t="s">
        <v>71</v>
      </c>
      <c r="H732" t="s">
        <v>73</v>
      </c>
      <c r="I732">
        <v>2</v>
      </c>
      <c r="J732">
        <v>24543</v>
      </c>
      <c r="K732">
        <v>0.05</v>
      </c>
      <c r="L732">
        <v>46631.7</v>
      </c>
      <c r="M732">
        <v>32934.94</v>
      </c>
      <c r="N732">
        <v>13696.76</v>
      </c>
      <c r="O732" t="s">
        <v>79</v>
      </c>
      <c r="P732" t="s">
        <v>86</v>
      </c>
    </row>
    <row r="733" spans="1:16" x14ac:dyDescent="0.25">
      <c r="A733">
        <v>732</v>
      </c>
      <c r="B733" s="1">
        <v>45907</v>
      </c>
      <c r="C733" t="s">
        <v>18</v>
      </c>
      <c r="D733" t="s">
        <v>26</v>
      </c>
      <c r="E733" t="s">
        <v>31</v>
      </c>
      <c r="F733" t="s">
        <v>38</v>
      </c>
      <c r="G733" t="s">
        <v>71</v>
      </c>
      <c r="H733" t="s">
        <v>74</v>
      </c>
      <c r="I733">
        <v>8</v>
      </c>
      <c r="J733">
        <v>177</v>
      </c>
      <c r="K733">
        <v>0.05</v>
      </c>
      <c r="L733">
        <v>1345.2</v>
      </c>
      <c r="M733">
        <v>863.19</v>
      </c>
      <c r="N733">
        <v>482.01</v>
      </c>
      <c r="O733" t="s">
        <v>79</v>
      </c>
      <c r="P733" t="s">
        <v>88</v>
      </c>
    </row>
    <row r="734" spans="1:16" x14ac:dyDescent="0.25">
      <c r="A734">
        <v>733</v>
      </c>
      <c r="B734" s="1">
        <v>45843</v>
      </c>
      <c r="C734" t="s">
        <v>19</v>
      </c>
      <c r="D734" t="s">
        <v>26</v>
      </c>
      <c r="E734" t="s">
        <v>31</v>
      </c>
      <c r="F734" t="s">
        <v>47</v>
      </c>
      <c r="G734" t="s">
        <v>71</v>
      </c>
      <c r="H734" t="s">
        <v>74</v>
      </c>
      <c r="I734">
        <v>7</v>
      </c>
      <c r="J734">
        <v>1845</v>
      </c>
      <c r="K734">
        <v>0.05</v>
      </c>
      <c r="L734">
        <v>12269.25</v>
      </c>
      <c r="M734">
        <v>9934.24</v>
      </c>
      <c r="N734">
        <v>2335.0100000000002</v>
      </c>
      <c r="O734" t="s">
        <v>76</v>
      </c>
      <c r="P734" t="s">
        <v>87</v>
      </c>
    </row>
    <row r="735" spans="1:16" x14ac:dyDescent="0.25">
      <c r="A735">
        <v>734</v>
      </c>
      <c r="B735" s="1">
        <v>45994</v>
      </c>
      <c r="C735" t="s">
        <v>20</v>
      </c>
      <c r="D735" t="s">
        <v>26</v>
      </c>
      <c r="E735" t="s">
        <v>31</v>
      </c>
      <c r="F735" t="s">
        <v>50</v>
      </c>
      <c r="G735" t="s">
        <v>70</v>
      </c>
      <c r="H735" t="s">
        <v>73</v>
      </c>
      <c r="I735">
        <v>8</v>
      </c>
      <c r="J735">
        <v>133</v>
      </c>
      <c r="K735">
        <v>0.1</v>
      </c>
      <c r="L735">
        <v>957.6</v>
      </c>
      <c r="M735">
        <v>739.26</v>
      </c>
      <c r="N735">
        <v>218.34</v>
      </c>
      <c r="O735" t="s">
        <v>80</v>
      </c>
      <c r="P735" t="s">
        <v>81</v>
      </c>
    </row>
    <row r="736" spans="1:16" x14ac:dyDescent="0.25">
      <c r="A736">
        <v>735</v>
      </c>
      <c r="B736" s="1">
        <v>45749</v>
      </c>
      <c r="C736" t="s">
        <v>23</v>
      </c>
      <c r="D736" t="s">
        <v>27</v>
      </c>
      <c r="E736" t="s">
        <v>33</v>
      </c>
      <c r="F736" t="s">
        <v>52</v>
      </c>
      <c r="G736" t="s">
        <v>71</v>
      </c>
      <c r="H736" t="s">
        <v>74</v>
      </c>
      <c r="I736">
        <v>2</v>
      </c>
      <c r="J736">
        <v>20215</v>
      </c>
      <c r="K736">
        <v>0.1</v>
      </c>
      <c r="L736">
        <v>36387</v>
      </c>
      <c r="M736">
        <v>25918.13</v>
      </c>
      <c r="N736">
        <v>10468.870000000001</v>
      </c>
      <c r="O736" t="s">
        <v>78</v>
      </c>
      <c r="P736" t="s">
        <v>85</v>
      </c>
    </row>
    <row r="737" spans="1:16" x14ac:dyDescent="0.25">
      <c r="A737">
        <v>736</v>
      </c>
      <c r="B737" s="1">
        <v>45974</v>
      </c>
      <c r="C737" t="s">
        <v>19</v>
      </c>
      <c r="D737" t="s">
        <v>26</v>
      </c>
      <c r="E737" t="s">
        <v>32</v>
      </c>
      <c r="F737" t="s">
        <v>49</v>
      </c>
      <c r="G737" t="s">
        <v>71</v>
      </c>
      <c r="H737" t="s">
        <v>73</v>
      </c>
      <c r="I737">
        <v>2</v>
      </c>
      <c r="J737">
        <v>9450</v>
      </c>
      <c r="K737">
        <v>0</v>
      </c>
      <c r="L737">
        <v>18900</v>
      </c>
      <c r="M737">
        <v>13422.1</v>
      </c>
      <c r="N737">
        <v>5477.9</v>
      </c>
      <c r="O737" t="s">
        <v>77</v>
      </c>
      <c r="P737" t="s">
        <v>82</v>
      </c>
    </row>
    <row r="738" spans="1:16" x14ac:dyDescent="0.25">
      <c r="A738">
        <v>737</v>
      </c>
      <c r="B738" s="1">
        <v>45937</v>
      </c>
      <c r="C738" t="s">
        <v>21</v>
      </c>
      <c r="D738" t="s">
        <v>24</v>
      </c>
      <c r="E738" t="s">
        <v>31</v>
      </c>
      <c r="F738" t="s">
        <v>67</v>
      </c>
      <c r="G738" t="s">
        <v>70</v>
      </c>
      <c r="H738" t="s">
        <v>74</v>
      </c>
      <c r="I738">
        <v>3</v>
      </c>
      <c r="J738">
        <v>1379</v>
      </c>
      <c r="K738">
        <v>0.1</v>
      </c>
      <c r="L738">
        <v>3723.3</v>
      </c>
      <c r="M738">
        <v>3212.45</v>
      </c>
      <c r="N738">
        <v>510.85</v>
      </c>
      <c r="O738" t="s">
        <v>80</v>
      </c>
      <c r="P738" t="s">
        <v>83</v>
      </c>
    </row>
    <row r="739" spans="1:16" x14ac:dyDescent="0.25">
      <c r="A739">
        <v>738</v>
      </c>
      <c r="B739" s="1">
        <v>45671</v>
      </c>
      <c r="C739" t="s">
        <v>17</v>
      </c>
      <c r="D739" t="s">
        <v>25</v>
      </c>
      <c r="E739" t="s">
        <v>32</v>
      </c>
      <c r="F739" t="s">
        <v>48</v>
      </c>
      <c r="G739" t="s">
        <v>72</v>
      </c>
      <c r="H739" t="s">
        <v>74</v>
      </c>
      <c r="I739">
        <v>5</v>
      </c>
      <c r="J739">
        <v>2071</v>
      </c>
      <c r="K739">
        <v>0.1</v>
      </c>
      <c r="L739">
        <v>9319.5</v>
      </c>
      <c r="M739">
        <v>7996.26</v>
      </c>
      <c r="N739">
        <v>1323.24</v>
      </c>
      <c r="O739" t="s">
        <v>79</v>
      </c>
      <c r="P739" t="s">
        <v>84</v>
      </c>
    </row>
    <row r="740" spans="1:16" x14ac:dyDescent="0.25">
      <c r="A740">
        <v>739</v>
      </c>
      <c r="B740" s="1">
        <v>45701</v>
      </c>
      <c r="C740" t="s">
        <v>20</v>
      </c>
      <c r="D740" t="s">
        <v>26</v>
      </c>
      <c r="E740" t="s">
        <v>30</v>
      </c>
      <c r="F740" t="s">
        <v>37</v>
      </c>
      <c r="G740" t="s">
        <v>70</v>
      </c>
      <c r="H740" t="s">
        <v>75</v>
      </c>
      <c r="I740">
        <v>6</v>
      </c>
      <c r="J740">
        <v>47020</v>
      </c>
      <c r="K740">
        <v>0.2</v>
      </c>
      <c r="L740">
        <v>225696</v>
      </c>
      <c r="M740">
        <v>169126.64</v>
      </c>
      <c r="N740">
        <v>56569.36</v>
      </c>
      <c r="O740" t="s">
        <v>80</v>
      </c>
      <c r="P740" t="s">
        <v>86</v>
      </c>
    </row>
    <row r="741" spans="1:16" x14ac:dyDescent="0.25">
      <c r="A741">
        <v>740</v>
      </c>
      <c r="B741" s="1">
        <v>45947</v>
      </c>
      <c r="C741" t="s">
        <v>20</v>
      </c>
      <c r="D741" t="s">
        <v>26</v>
      </c>
      <c r="E741" t="s">
        <v>30</v>
      </c>
      <c r="F741" t="s">
        <v>44</v>
      </c>
      <c r="G741" t="s">
        <v>72</v>
      </c>
      <c r="H741" t="s">
        <v>75</v>
      </c>
      <c r="I741">
        <v>7</v>
      </c>
      <c r="J741">
        <v>16551</v>
      </c>
      <c r="K741">
        <v>0.1</v>
      </c>
      <c r="L741">
        <v>104271.3</v>
      </c>
      <c r="M741">
        <v>89561.63</v>
      </c>
      <c r="N741">
        <v>14709.67</v>
      </c>
      <c r="O741" t="s">
        <v>77</v>
      </c>
      <c r="P741" t="s">
        <v>88</v>
      </c>
    </row>
    <row r="742" spans="1:16" x14ac:dyDescent="0.25">
      <c r="A742">
        <v>741</v>
      </c>
      <c r="B742" s="1">
        <v>45754</v>
      </c>
      <c r="C742" t="s">
        <v>16</v>
      </c>
      <c r="D742" t="s">
        <v>24</v>
      </c>
      <c r="E742" t="s">
        <v>34</v>
      </c>
      <c r="F742" t="s">
        <v>43</v>
      </c>
      <c r="G742" t="s">
        <v>70</v>
      </c>
      <c r="H742" t="s">
        <v>75</v>
      </c>
      <c r="I742">
        <v>1</v>
      </c>
      <c r="J742">
        <v>2036</v>
      </c>
      <c r="K742">
        <v>0.1</v>
      </c>
      <c r="L742">
        <v>1832.4</v>
      </c>
      <c r="M742">
        <v>1148.19</v>
      </c>
      <c r="N742">
        <v>684.21</v>
      </c>
      <c r="O742" t="s">
        <v>80</v>
      </c>
      <c r="P742" t="s">
        <v>84</v>
      </c>
    </row>
    <row r="743" spans="1:16" x14ac:dyDescent="0.25">
      <c r="A743">
        <v>742</v>
      </c>
      <c r="B743" s="1">
        <v>45661</v>
      </c>
      <c r="C743" t="s">
        <v>17</v>
      </c>
      <c r="D743" t="s">
        <v>25</v>
      </c>
      <c r="E743" t="s">
        <v>34</v>
      </c>
      <c r="F743" t="s">
        <v>55</v>
      </c>
      <c r="G743" t="s">
        <v>71</v>
      </c>
      <c r="H743" t="s">
        <v>74</v>
      </c>
      <c r="I743">
        <v>3</v>
      </c>
      <c r="J743">
        <v>3511</v>
      </c>
      <c r="K743">
        <v>0.1</v>
      </c>
      <c r="L743">
        <v>9479.7000000000007</v>
      </c>
      <c r="M743">
        <v>6861.73</v>
      </c>
      <c r="N743">
        <v>2617.9699999999998</v>
      </c>
      <c r="O743" t="s">
        <v>79</v>
      </c>
      <c r="P743" t="s">
        <v>81</v>
      </c>
    </row>
    <row r="744" spans="1:16" x14ac:dyDescent="0.25">
      <c r="A744">
        <v>743</v>
      </c>
      <c r="B744" s="1">
        <v>45909</v>
      </c>
      <c r="C744" t="s">
        <v>20</v>
      </c>
      <c r="D744" t="s">
        <v>26</v>
      </c>
      <c r="E744" t="s">
        <v>32</v>
      </c>
      <c r="F744" t="s">
        <v>49</v>
      </c>
      <c r="G744" t="s">
        <v>72</v>
      </c>
      <c r="H744" t="s">
        <v>73</v>
      </c>
      <c r="I744">
        <v>7</v>
      </c>
      <c r="J744">
        <v>10687</v>
      </c>
      <c r="K744">
        <v>0.15</v>
      </c>
      <c r="L744">
        <v>63587.65</v>
      </c>
      <c r="M744">
        <v>55755.15</v>
      </c>
      <c r="N744">
        <v>7832.5</v>
      </c>
      <c r="O744" t="s">
        <v>80</v>
      </c>
      <c r="P744" t="s">
        <v>87</v>
      </c>
    </row>
    <row r="745" spans="1:16" x14ac:dyDescent="0.25">
      <c r="A745">
        <v>744</v>
      </c>
      <c r="B745" s="1">
        <v>45900</v>
      </c>
      <c r="C745" t="s">
        <v>19</v>
      </c>
      <c r="D745" t="s">
        <v>26</v>
      </c>
      <c r="E745" t="s">
        <v>31</v>
      </c>
      <c r="F745" t="s">
        <v>47</v>
      </c>
      <c r="G745" t="s">
        <v>72</v>
      </c>
      <c r="H745" t="s">
        <v>73</v>
      </c>
      <c r="I745">
        <v>3</v>
      </c>
      <c r="J745">
        <v>357</v>
      </c>
      <c r="K745">
        <v>0.1</v>
      </c>
      <c r="L745">
        <v>963.9</v>
      </c>
      <c r="M745">
        <v>688.24</v>
      </c>
      <c r="N745">
        <v>275.66000000000003</v>
      </c>
      <c r="O745" t="s">
        <v>79</v>
      </c>
      <c r="P745" t="s">
        <v>81</v>
      </c>
    </row>
    <row r="746" spans="1:16" x14ac:dyDescent="0.25">
      <c r="A746">
        <v>745</v>
      </c>
      <c r="B746" s="1">
        <v>45933</v>
      </c>
      <c r="C746" t="s">
        <v>16</v>
      </c>
      <c r="D746" t="s">
        <v>24</v>
      </c>
      <c r="E746" t="s">
        <v>30</v>
      </c>
      <c r="F746" t="s">
        <v>40</v>
      </c>
      <c r="G746" t="s">
        <v>71</v>
      </c>
      <c r="H746" t="s">
        <v>75</v>
      </c>
      <c r="I746">
        <v>8</v>
      </c>
      <c r="J746">
        <v>8950</v>
      </c>
      <c r="K746">
        <v>0.2</v>
      </c>
      <c r="L746">
        <v>57280</v>
      </c>
      <c r="M746">
        <v>43177.32</v>
      </c>
      <c r="N746">
        <v>14102.68</v>
      </c>
      <c r="O746" t="s">
        <v>79</v>
      </c>
      <c r="P746" t="s">
        <v>87</v>
      </c>
    </row>
    <row r="747" spans="1:16" x14ac:dyDescent="0.25">
      <c r="A747">
        <v>746</v>
      </c>
      <c r="B747" s="1">
        <v>45839</v>
      </c>
      <c r="C747" t="s">
        <v>21</v>
      </c>
      <c r="D747" t="s">
        <v>24</v>
      </c>
      <c r="E747" t="s">
        <v>28</v>
      </c>
      <c r="F747" t="s">
        <v>54</v>
      </c>
      <c r="G747" t="s">
        <v>72</v>
      </c>
      <c r="H747" t="s">
        <v>73</v>
      </c>
      <c r="I747">
        <v>7</v>
      </c>
      <c r="J747">
        <v>1325</v>
      </c>
      <c r="K747">
        <v>0.1</v>
      </c>
      <c r="L747">
        <v>8347.5</v>
      </c>
      <c r="M747">
        <v>5946.75</v>
      </c>
      <c r="N747">
        <v>2400.75</v>
      </c>
      <c r="O747" t="s">
        <v>79</v>
      </c>
      <c r="P747" t="s">
        <v>81</v>
      </c>
    </row>
    <row r="748" spans="1:16" x14ac:dyDescent="0.25">
      <c r="A748">
        <v>747</v>
      </c>
      <c r="B748" s="1">
        <v>45913</v>
      </c>
      <c r="C748" t="s">
        <v>21</v>
      </c>
      <c r="D748" t="s">
        <v>24</v>
      </c>
      <c r="E748" t="s">
        <v>34</v>
      </c>
      <c r="F748" t="s">
        <v>55</v>
      </c>
      <c r="G748" t="s">
        <v>72</v>
      </c>
      <c r="H748" t="s">
        <v>74</v>
      </c>
      <c r="I748">
        <v>3</v>
      </c>
      <c r="J748">
        <v>3604</v>
      </c>
      <c r="K748">
        <v>0</v>
      </c>
      <c r="L748">
        <v>10812</v>
      </c>
      <c r="M748">
        <v>8934.16</v>
      </c>
      <c r="N748">
        <v>1877.84</v>
      </c>
      <c r="O748" t="s">
        <v>80</v>
      </c>
      <c r="P748" t="s">
        <v>86</v>
      </c>
    </row>
    <row r="749" spans="1:16" x14ac:dyDescent="0.25">
      <c r="A749">
        <v>748</v>
      </c>
      <c r="B749" s="1">
        <v>45728</v>
      </c>
      <c r="C749" t="s">
        <v>20</v>
      </c>
      <c r="D749" t="s">
        <v>26</v>
      </c>
      <c r="E749" t="s">
        <v>30</v>
      </c>
      <c r="F749" t="s">
        <v>40</v>
      </c>
      <c r="G749" t="s">
        <v>70</v>
      </c>
      <c r="H749" t="s">
        <v>74</v>
      </c>
      <c r="I749">
        <v>1</v>
      </c>
      <c r="J749">
        <v>24287</v>
      </c>
      <c r="K749">
        <v>0</v>
      </c>
      <c r="L749">
        <v>24287</v>
      </c>
      <c r="M749">
        <v>17119.18</v>
      </c>
      <c r="N749">
        <v>7167.82</v>
      </c>
      <c r="O749" t="s">
        <v>80</v>
      </c>
      <c r="P749" t="s">
        <v>88</v>
      </c>
    </row>
    <row r="750" spans="1:16" x14ac:dyDescent="0.25">
      <c r="A750">
        <v>749</v>
      </c>
      <c r="B750" s="1">
        <v>46006</v>
      </c>
      <c r="C750" t="s">
        <v>20</v>
      </c>
      <c r="D750" t="s">
        <v>26</v>
      </c>
      <c r="E750" t="s">
        <v>31</v>
      </c>
      <c r="F750" t="s">
        <v>47</v>
      </c>
      <c r="G750" t="s">
        <v>71</v>
      </c>
      <c r="H750" t="s">
        <v>73</v>
      </c>
      <c r="I750">
        <v>3</v>
      </c>
      <c r="J750">
        <v>1653</v>
      </c>
      <c r="K750">
        <v>0.05</v>
      </c>
      <c r="L750">
        <v>4711.05</v>
      </c>
      <c r="M750">
        <v>2673.66</v>
      </c>
      <c r="N750">
        <v>2037.39</v>
      </c>
      <c r="O750" t="s">
        <v>77</v>
      </c>
      <c r="P750" t="s">
        <v>83</v>
      </c>
    </row>
    <row r="751" spans="1:16" x14ac:dyDescent="0.25">
      <c r="A751">
        <v>750</v>
      </c>
      <c r="B751" s="1">
        <v>45858</v>
      </c>
      <c r="C751" t="s">
        <v>17</v>
      </c>
      <c r="D751" t="s">
        <v>25</v>
      </c>
      <c r="E751" t="s">
        <v>31</v>
      </c>
      <c r="F751" t="s">
        <v>50</v>
      </c>
      <c r="G751" t="s">
        <v>72</v>
      </c>
      <c r="H751" t="s">
        <v>74</v>
      </c>
      <c r="I751">
        <v>7</v>
      </c>
      <c r="J751">
        <v>478</v>
      </c>
      <c r="K751">
        <v>0.05</v>
      </c>
      <c r="L751">
        <v>3178.7</v>
      </c>
      <c r="M751">
        <v>2215.58</v>
      </c>
      <c r="N751">
        <v>963.12</v>
      </c>
      <c r="O751" t="s">
        <v>78</v>
      </c>
      <c r="P751" t="s">
        <v>86</v>
      </c>
    </row>
    <row r="752" spans="1:16" x14ac:dyDescent="0.25">
      <c r="A752">
        <v>751</v>
      </c>
      <c r="B752" s="1">
        <v>45900</v>
      </c>
      <c r="C752" t="s">
        <v>19</v>
      </c>
      <c r="D752" t="s">
        <v>26</v>
      </c>
      <c r="E752" t="s">
        <v>34</v>
      </c>
      <c r="F752" t="s">
        <v>65</v>
      </c>
      <c r="G752" t="s">
        <v>71</v>
      </c>
      <c r="H752" t="s">
        <v>75</v>
      </c>
      <c r="I752">
        <v>5</v>
      </c>
      <c r="J752">
        <v>3901</v>
      </c>
      <c r="K752">
        <v>0.05</v>
      </c>
      <c r="L752">
        <v>18529.75</v>
      </c>
      <c r="M752">
        <v>13484.7</v>
      </c>
      <c r="N752">
        <v>5045.05</v>
      </c>
      <c r="O752" t="s">
        <v>80</v>
      </c>
      <c r="P752" t="s">
        <v>84</v>
      </c>
    </row>
    <row r="753" spans="1:16" x14ac:dyDescent="0.25">
      <c r="A753">
        <v>752</v>
      </c>
      <c r="B753" s="1">
        <v>45964</v>
      </c>
      <c r="C753" t="s">
        <v>20</v>
      </c>
      <c r="D753" t="s">
        <v>26</v>
      </c>
      <c r="E753" t="s">
        <v>28</v>
      </c>
      <c r="F753" t="s">
        <v>61</v>
      </c>
      <c r="G753" t="s">
        <v>71</v>
      </c>
      <c r="H753" t="s">
        <v>75</v>
      </c>
      <c r="I753">
        <v>1</v>
      </c>
      <c r="J753">
        <v>1956</v>
      </c>
      <c r="K753">
        <v>0.15</v>
      </c>
      <c r="L753">
        <v>1662.6</v>
      </c>
      <c r="M753">
        <v>1308.06</v>
      </c>
      <c r="N753">
        <v>354.54</v>
      </c>
      <c r="O753" t="s">
        <v>77</v>
      </c>
      <c r="P753" t="s">
        <v>85</v>
      </c>
    </row>
    <row r="754" spans="1:16" x14ac:dyDescent="0.25">
      <c r="A754">
        <v>753</v>
      </c>
      <c r="B754" s="1">
        <v>45772</v>
      </c>
      <c r="C754" t="s">
        <v>22</v>
      </c>
      <c r="D754" t="s">
        <v>24</v>
      </c>
      <c r="E754" t="s">
        <v>33</v>
      </c>
      <c r="F754" t="s">
        <v>59</v>
      </c>
      <c r="G754" t="s">
        <v>70</v>
      </c>
      <c r="H754" t="s">
        <v>75</v>
      </c>
      <c r="I754">
        <v>8</v>
      </c>
      <c r="J754">
        <v>13495</v>
      </c>
      <c r="K754">
        <v>0.1</v>
      </c>
      <c r="L754">
        <v>97164</v>
      </c>
      <c r="M754">
        <v>80733.42</v>
      </c>
      <c r="N754">
        <v>16430.580000000002</v>
      </c>
      <c r="O754" t="s">
        <v>78</v>
      </c>
      <c r="P754" t="s">
        <v>87</v>
      </c>
    </row>
    <row r="755" spans="1:16" x14ac:dyDescent="0.25">
      <c r="A755">
        <v>754</v>
      </c>
      <c r="B755" s="1">
        <v>45734</v>
      </c>
      <c r="C755" t="s">
        <v>18</v>
      </c>
      <c r="D755" t="s">
        <v>26</v>
      </c>
      <c r="E755" t="s">
        <v>34</v>
      </c>
      <c r="F755" t="s">
        <v>43</v>
      </c>
      <c r="G755" t="s">
        <v>72</v>
      </c>
      <c r="H755" t="s">
        <v>74</v>
      </c>
      <c r="I755">
        <v>5</v>
      </c>
      <c r="J755">
        <v>1304</v>
      </c>
      <c r="K755">
        <v>0.15</v>
      </c>
      <c r="L755">
        <v>5542</v>
      </c>
      <c r="M755">
        <v>4202.0600000000004</v>
      </c>
      <c r="N755">
        <v>1339.94</v>
      </c>
      <c r="O755" t="s">
        <v>79</v>
      </c>
      <c r="P755" t="s">
        <v>84</v>
      </c>
    </row>
    <row r="756" spans="1:16" x14ac:dyDescent="0.25">
      <c r="A756">
        <v>755</v>
      </c>
      <c r="B756" s="1">
        <v>45978</v>
      </c>
      <c r="C756" t="s">
        <v>19</v>
      </c>
      <c r="D756" t="s">
        <v>26</v>
      </c>
      <c r="E756" t="s">
        <v>31</v>
      </c>
      <c r="F756" t="s">
        <v>50</v>
      </c>
      <c r="G756" t="s">
        <v>70</v>
      </c>
      <c r="H756" t="s">
        <v>75</v>
      </c>
      <c r="I756">
        <v>5</v>
      </c>
      <c r="J756">
        <v>2374</v>
      </c>
      <c r="K756">
        <v>0.05</v>
      </c>
      <c r="L756">
        <v>11276.5</v>
      </c>
      <c r="M756">
        <v>9295.98</v>
      </c>
      <c r="N756">
        <v>1980.52</v>
      </c>
      <c r="O756" t="s">
        <v>80</v>
      </c>
      <c r="P756" t="s">
        <v>81</v>
      </c>
    </row>
    <row r="757" spans="1:16" x14ac:dyDescent="0.25">
      <c r="A757">
        <v>756</v>
      </c>
      <c r="B757" s="1">
        <v>45957</v>
      </c>
      <c r="C757" t="s">
        <v>23</v>
      </c>
      <c r="D757" t="s">
        <v>27</v>
      </c>
      <c r="E757" t="s">
        <v>33</v>
      </c>
      <c r="F757" t="s">
        <v>60</v>
      </c>
      <c r="G757" t="s">
        <v>72</v>
      </c>
      <c r="H757" t="s">
        <v>73</v>
      </c>
      <c r="I757">
        <v>7</v>
      </c>
      <c r="J757">
        <v>3725</v>
      </c>
      <c r="K757">
        <v>0.05</v>
      </c>
      <c r="L757">
        <v>24771.25</v>
      </c>
      <c r="M757">
        <v>21194.95</v>
      </c>
      <c r="N757">
        <v>3576.3</v>
      </c>
      <c r="O757" t="s">
        <v>80</v>
      </c>
      <c r="P757" t="s">
        <v>83</v>
      </c>
    </row>
    <row r="758" spans="1:16" x14ac:dyDescent="0.25">
      <c r="A758">
        <v>757</v>
      </c>
      <c r="B758" s="1">
        <v>45904</v>
      </c>
      <c r="C758" t="s">
        <v>21</v>
      </c>
      <c r="D758" t="s">
        <v>24</v>
      </c>
      <c r="E758" t="s">
        <v>29</v>
      </c>
      <c r="F758" t="s">
        <v>42</v>
      </c>
      <c r="G758" t="s">
        <v>70</v>
      </c>
      <c r="H758" t="s">
        <v>74</v>
      </c>
      <c r="I758">
        <v>7</v>
      </c>
      <c r="J758">
        <v>9660</v>
      </c>
      <c r="K758">
        <v>0.15</v>
      </c>
      <c r="L758">
        <v>57477</v>
      </c>
      <c r="M758">
        <v>33289.78</v>
      </c>
      <c r="N758">
        <v>24187.22</v>
      </c>
      <c r="O758" t="s">
        <v>79</v>
      </c>
      <c r="P758" t="s">
        <v>81</v>
      </c>
    </row>
    <row r="759" spans="1:16" x14ac:dyDescent="0.25">
      <c r="A759">
        <v>758</v>
      </c>
      <c r="B759" s="1">
        <v>45907</v>
      </c>
      <c r="C759" t="s">
        <v>23</v>
      </c>
      <c r="D759" t="s">
        <v>27</v>
      </c>
      <c r="E759" t="s">
        <v>29</v>
      </c>
      <c r="F759" t="s">
        <v>53</v>
      </c>
      <c r="G759" t="s">
        <v>72</v>
      </c>
      <c r="H759" t="s">
        <v>73</v>
      </c>
      <c r="I759">
        <v>3</v>
      </c>
      <c r="J759">
        <v>1451</v>
      </c>
      <c r="K759">
        <v>0</v>
      </c>
      <c r="L759">
        <v>4353</v>
      </c>
      <c r="M759">
        <v>3261.4</v>
      </c>
      <c r="N759">
        <v>1091.5999999999999</v>
      </c>
      <c r="O759" t="s">
        <v>78</v>
      </c>
      <c r="P759" t="s">
        <v>85</v>
      </c>
    </row>
    <row r="760" spans="1:16" x14ac:dyDescent="0.25">
      <c r="A760">
        <v>759</v>
      </c>
      <c r="B760" s="1">
        <v>45840</v>
      </c>
      <c r="C760" t="s">
        <v>18</v>
      </c>
      <c r="D760" t="s">
        <v>26</v>
      </c>
      <c r="E760" t="s">
        <v>31</v>
      </c>
      <c r="F760" t="s">
        <v>67</v>
      </c>
      <c r="G760" t="s">
        <v>70</v>
      </c>
      <c r="H760" t="s">
        <v>73</v>
      </c>
      <c r="I760">
        <v>5</v>
      </c>
      <c r="J760">
        <v>769</v>
      </c>
      <c r="K760">
        <v>0.1</v>
      </c>
      <c r="L760">
        <v>3460.5</v>
      </c>
      <c r="M760">
        <v>2911.77</v>
      </c>
      <c r="N760">
        <v>548.73</v>
      </c>
      <c r="O760" t="s">
        <v>78</v>
      </c>
      <c r="P760" t="s">
        <v>88</v>
      </c>
    </row>
    <row r="761" spans="1:16" x14ac:dyDescent="0.25">
      <c r="A761">
        <v>760</v>
      </c>
      <c r="B761" s="1">
        <v>45756</v>
      </c>
      <c r="C761" t="s">
        <v>16</v>
      </c>
      <c r="D761" t="s">
        <v>24</v>
      </c>
      <c r="E761" t="s">
        <v>30</v>
      </c>
      <c r="F761" t="s">
        <v>40</v>
      </c>
      <c r="G761" t="s">
        <v>71</v>
      </c>
      <c r="H761" t="s">
        <v>73</v>
      </c>
      <c r="I761">
        <v>4</v>
      </c>
      <c r="J761">
        <v>67441</v>
      </c>
      <c r="K761">
        <v>0.05</v>
      </c>
      <c r="L761">
        <v>256275.8</v>
      </c>
      <c r="M761">
        <v>147517.1</v>
      </c>
      <c r="N761">
        <v>108758.7</v>
      </c>
      <c r="O761" t="s">
        <v>79</v>
      </c>
      <c r="P761" t="s">
        <v>81</v>
      </c>
    </row>
    <row r="762" spans="1:16" x14ac:dyDescent="0.25">
      <c r="A762">
        <v>761</v>
      </c>
      <c r="B762" s="1">
        <v>45964</v>
      </c>
      <c r="C762" t="s">
        <v>19</v>
      </c>
      <c r="D762" t="s">
        <v>26</v>
      </c>
      <c r="E762" t="s">
        <v>28</v>
      </c>
      <c r="F762" t="s">
        <v>63</v>
      </c>
      <c r="G762" t="s">
        <v>71</v>
      </c>
      <c r="H762" t="s">
        <v>75</v>
      </c>
      <c r="I762">
        <v>2</v>
      </c>
      <c r="J762">
        <v>1655</v>
      </c>
      <c r="K762">
        <v>0.1</v>
      </c>
      <c r="L762">
        <v>2979</v>
      </c>
      <c r="M762">
        <v>2108.2399999999998</v>
      </c>
      <c r="N762">
        <v>870.76</v>
      </c>
      <c r="O762" t="s">
        <v>79</v>
      </c>
      <c r="P762" t="s">
        <v>85</v>
      </c>
    </row>
    <row r="763" spans="1:16" x14ac:dyDescent="0.25">
      <c r="A763">
        <v>762</v>
      </c>
      <c r="B763" s="1">
        <v>45990</v>
      </c>
      <c r="C763" t="s">
        <v>21</v>
      </c>
      <c r="D763" t="s">
        <v>24</v>
      </c>
      <c r="E763" t="s">
        <v>30</v>
      </c>
      <c r="F763" t="s">
        <v>56</v>
      </c>
      <c r="G763" t="s">
        <v>72</v>
      </c>
      <c r="H763" t="s">
        <v>74</v>
      </c>
      <c r="I763">
        <v>6</v>
      </c>
      <c r="J763">
        <v>5015</v>
      </c>
      <c r="K763">
        <v>0.15</v>
      </c>
      <c r="L763">
        <v>25576.5</v>
      </c>
      <c r="M763">
        <v>20077.060000000001</v>
      </c>
      <c r="N763">
        <v>5499.44</v>
      </c>
      <c r="O763" t="s">
        <v>78</v>
      </c>
      <c r="P763" t="s">
        <v>84</v>
      </c>
    </row>
    <row r="764" spans="1:16" x14ac:dyDescent="0.25">
      <c r="A764">
        <v>763</v>
      </c>
      <c r="B764" s="1">
        <v>45768</v>
      </c>
      <c r="C764" t="s">
        <v>20</v>
      </c>
      <c r="D764" t="s">
        <v>26</v>
      </c>
      <c r="E764" t="s">
        <v>30</v>
      </c>
      <c r="F764" t="s">
        <v>64</v>
      </c>
      <c r="G764" t="s">
        <v>72</v>
      </c>
      <c r="H764" t="s">
        <v>73</v>
      </c>
      <c r="I764">
        <v>6</v>
      </c>
      <c r="J764">
        <v>14375</v>
      </c>
      <c r="K764">
        <v>0.1</v>
      </c>
      <c r="L764">
        <v>77625</v>
      </c>
      <c r="M764">
        <v>65878.460000000006</v>
      </c>
      <c r="N764">
        <v>11746.54</v>
      </c>
      <c r="O764" t="s">
        <v>78</v>
      </c>
      <c r="P764" t="s">
        <v>86</v>
      </c>
    </row>
    <row r="765" spans="1:16" x14ac:dyDescent="0.25">
      <c r="A765">
        <v>764</v>
      </c>
      <c r="B765" s="1">
        <v>45927</v>
      </c>
      <c r="C765" t="s">
        <v>21</v>
      </c>
      <c r="D765" t="s">
        <v>24</v>
      </c>
      <c r="E765" t="s">
        <v>31</v>
      </c>
      <c r="F765" t="s">
        <v>67</v>
      </c>
      <c r="G765" t="s">
        <v>72</v>
      </c>
      <c r="H765" t="s">
        <v>75</v>
      </c>
      <c r="I765">
        <v>7</v>
      </c>
      <c r="J765">
        <v>607</v>
      </c>
      <c r="K765">
        <v>0.1</v>
      </c>
      <c r="L765">
        <v>3824.1</v>
      </c>
      <c r="M765">
        <v>3074.2</v>
      </c>
      <c r="N765">
        <v>749.9</v>
      </c>
      <c r="O765" t="s">
        <v>77</v>
      </c>
      <c r="P765" t="s">
        <v>85</v>
      </c>
    </row>
    <row r="766" spans="1:16" x14ac:dyDescent="0.25">
      <c r="A766">
        <v>765</v>
      </c>
      <c r="B766" s="1">
        <v>45948</v>
      </c>
      <c r="C766" t="s">
        <v>17</v>
      </c>
      <c r="D766" t="s">
        <v>25</v>
      </c>
      <c r="E766" t="s">
        <v>30</v>
      </c>
      <c r="F766" t="s">
        <v>64</v>
      </c>
      <c r="G766" t="s">
        <v>70</v>
      </c>
      <c r="H766" t="s">
        <v>75</v>
      </c>
      <c r="I766">
        <v>1</v>
      </c>
      <c r="J766">
        <v>62455</v>
      </c>
      <c r="K766">
        <v>0.1</v>
      </c>
      <c r="L766">
        <v>56209.5</v>
      </c>
      <c r="M766">
        <v>39536.57</v>
      </c>
      <c r="N766">
        <v>16672.93</v>
      </c>
      <c r="O766" t="s">
        <v>77</v>
      </c>
      <c r="P766" t="s">
        <v>87</v>
      </c>
    </row>
    <row r="767" spans="1:16" x14ac:dyDescent="0.25">
      <c r="A767">
        <v>766</v>
      </c>
      <c r="B767" s="1">
        <v>45851</v>
      </c>
      <c r="C767" t="s">
        <v>21</v>
      </c>
      <c r="D767" t="s">
        <v>24</v>
      </c>
      <c r="E767" t="s">
        <v>32</v>
      </c>
      <c r="F767" t="s">
        <v>49</v>
      </c>
      <c r="G767" t="s">
        <v>72</v>
      </c>
      <c r="H767" t="s">
        <v>74</v>
      </c>
      <c r="I767">
        <v>4</v>
      </c>
      <c r="J767">
        <v>7122</v>
      </c>
      <c r="K767">
        <v>0.15</v>
      </c>
      <c r="L767">
        <v>24214.799999999999</v>
      </c>
      <c r="M767">
        <v>14869.59</v>
      </c>
      <c r="N767">
        <v>9345.2099999999991</v>
      </c>
      <c r="O767" t="s">
        <v>76</v>
      </c>
      <c r="P767" t="s">
        <v>88</v>
      </c>
    </row>
    <row r="768" spans="1:16" x14ac:dyDescent="0.25">
      <c r="A768">
        <v>767</v>
      </c>
      <c r="B768" s="1">
        <v>45845</v>
      </c>
      <c r="C768" t="s">
        <v>21</v>
      </c>
      <c r="D768" t="s">
        <v>24</v>
      </c>
      <c r="E768" t="s">
        <v>28</v>
      </c>
      <c r="F768" t="s">
        <v>63</v>
      </c>
      <c r="G768" t="s">
        <v>71</v>
      </c>
      <c r="H768" t="s">
        <v>73</v>
      </c>
      <c r="I768">
        <v>7</v>
      </c>
      <c r="J768">
        <v>1079</v>
      </c>
      <c r="K768">
        <v>0.1</v>
      </c>
      <c r="L768">
        <v>6797.7</v>
      </c>
      <c r="M768">
        <v>4841.99</v>
      </c>
      <c r="N768">
        <v>1955.71</v>
      </c>
      <c r="O768" t="s">
        <v>80</v>
      </c>
      <c r="P768" t="s">
        <v>83</v>
      </c>
    </row>
    <row r="769" spans="1:16" x14ac:dyDescent="0.25">
      <c r="A769">
        <v>768</v>
      </c>
      <c r="B769" s="1">
        <v>45898</v>
      </c>
      <c r="C769" t="s">
        <v>18</v>
      </c>
      <c r="D769" t="s">
        <v>26</v>
      </c>
      <c r="E769" t="s">
        <v>28</v>
      </c>
      <c r="F769" t="s">
        <v>58</v>
      </c>
      <c r="G769" t="s">
        <v>71</v>
      </c>
      <c r="H769" t="s">
        <v>73</v>
      </c>
      <c r="I769">
        <v>7</v>
      </c>
      <c r="J769">
        <v>1564</v>
      </c>
      <c r="K769">
        <v>0</v>
      </c>
      <c r="L769">
        <v>10948</v>
      </c>
      <c r="M769">
        <v>7064.31</v>
      </c>
      <c r="N769">
        <v>3883.69</v>
      </c>
      <c r="O769" t="s">
        <v>80</v>
      </c>
      <c r="P769" t="s">
        <v>81</v>
      </c>
    </row>
    <row r="770" spans="1:16" x14ac:dyDescent="0.25">
      <c r="A770">
        <v>769</v>
      </c>
      <c r="B770" s="1">
        <v>45680</v>
      </c>
      <c r="C770" t="s">
        <v>23</v>
      </c>
      <c r="D770" t="s">
        <v>27</v>
      </c>
      <c r="E770" t="s">
        <v>33</v>
      </c>
      <c r="F770" t="s">
        <v>59</v>
      </c>
      <c r="G770" t="s">
        <v>70</v>
      </c>
      <c r="H770" t="s">
        <v>73</v>
      </c>
      <c r="I770">
        <v>7</v>
      </c>
      <c r="J770">
        <v>48781</v>
      </c>
      <c r="K770">
        <v>0.05</v>
      </c>
      <c r="L770">
        <v>324393.65000000002</v>
      </c>
      <c r="M770">
        <v>258353.5</v>
      </c>
      <c r="N770">
        <v>66040.149999999994</v>
      </c>
      <c r="O770" t="s">
        <v>80</v>
      </c>
      <c r="P770" t="s">
        <v>88</v>
      </c>
    </row>
    <row r="771" spans="1:16" x14ac:dyDescent="0.25">
      <c r="A771">
        <v>770</v>
      </c>
      <c r="B771" s="1">
        <v>45725</v>
      </c>
      <c r="C771" t="s">
        <v>20</v>
      </c>
      <c r="D771" t="s">
        <v>26</v>
      </c>
      <c r="E771" t="s">
        <v>34</v>
      </c>
      <c r="F771" t="s">
        <v>51</v>
      </c>
      <c r="G771" t="s">
        <v>70</v>
      </c>
      <c r="H771" t="s">
        <v>74</v>
      </c>
      <c r="I771">
        <v>6</v>
      </c>
      <c r="J771">
        <v>3597</v>
      </c>
      <c r="K771">
        <v>0.1</v>
      </c>
      <c r="L771">
        <v>19423.8</v>
      </c>
      <c r="M771">
        <v>13605.64</v>
      </c>
      <c r="N771">
        <v>5818.16</v>
      </c>
      <c r="O771" t="s">
        <v>78</v>
      </c>
      <c r="P771" t="s">
        <v>87</v>
      </c>
    </row>
    <row r="772" spans="1:16" x14ac:dyDescent="0.25">
      <c r="A772">
        <v>771</v>
      </c>
      <c r="B772" s="1">
        <v>45716</v>
      </c>
      <c r="C772" t="s">
        <v>17</v>
      </c>
      <c r="D772" t="s">
        <v>25</v>
      </c>
      <c r="E772" t="s">
        <v>32</v>
      </c>
      <c r="F772" t="s">
        <v>49</v>
      </c>
      <c r="G772" t="s">
        <v>72</v>
      </c>
      <c r="H772" t="s">
        <v>74</v>
      </c>
      <c r="I772">
        <v>7</v>
      </c>
      <c r="J772">
        <v>11912</v>
      </c>
      <c r="K772">
        <v>0.05</v>
      </c>
      <c r="L772">
        <v>79214.8</v>
      </c>
      <c r="M772">
        <v>51142.14</v>
      </c>
      <c r="N772">
        <v>28072.66</v>
      </c>
      <c r="O772" t="s">
        <v>76</v>
      </c>
      <c r="P772" t="s">
        <v>87</v>
      </c>
    </row>
    <row r="773" spans="1:16" x14ac:dyDescent="0.25">
      <c r="A773">
        <v>772</v>
      </c>
      <c r="B773" s="1">
        <v>45794</v>
      </c>
      <c r="C773" t="s">
        <v>23</v>
      </c>
      <c r="D773" t="s">
        <v>27</v>
      </c>
      <c r="E773" t="s">
        <v>34</v>
      </c>
      <c r="F773" t="s">
        <v>43</v>
      </c>
      <c r="G773" t="s">
        <v>72</v>
      </c>
      <c r="H773" t="s">
        <v>73</v>
      </c>
      <c r="I773">
        <v>1</v>
      </c>
      <c r="J773">
        <v>1284</v>
      </c>
      <c r="K773">
        <v>0</v>
      </c>
      <c r="L773">
        <v>1284</v>
      </c>
      <c r="M773">
        <v>728.27</v>
      </c>
      <c r="N773">
        <v>555.73</v>
      </c>
      <c r="O773" t="s">
        <v>79</v>
      </c>
      <c r="P773" t="s">
        <v>84</v>
      </c>
    </row>
    <row r="774" spans="1:16" x14ac:dyDescent="0.25">
      <c r="A774">
        <v>773</v>
      </c>
      <c r="B774" s="1">
        <v>45964</v>
      </c>
      <c r="C774" t="s">
        <v>23</v>
      </c>
      <c r="D774" t="s">
        <v>27</v>
      </c>
      <c r="E774" t="s">
        <v>32</v>
      </c>
      <c r="F774" t="s">
        <v>48</v>
      </c>
      <c r="G774" t="s">
        <v>71</v>
      </c>
      <c r="H774" t="s">
        <v>73</v>
      </c>
      <c r="I774">
        <v>6</v>
      </c>
      <c r="J774">
        <v>20418</v>
      </c>
      <c r="K774">
        <v>0.05</v>
      </c>
      <c r="L774">
        <v>116382.6</v>
      </c>
      <c r="M774">
        <v>79937.429999999993</v>
      </c>
      <c r="N774">
        <v>36445.17</v>
      </c>
      <c r="O774" t="s">
        <v>79</v>
      </c>
      <c r="P774" t="s">
        <v>84</v>
      </c>
    </row>
    <row r="775" spans="1:16" x14ac:dyDescent="0.25">
      <c r="A775">
        <v>774</v>
      </c>
      <c r="B775" s="1">
        <v>45843</v>
      </c>
      <c r="C775" t="s">
        <v>17</v>
      </c>
      <c r="D775" t="s">
        <v>25</v>
      </c>
      <c r="E775" t="s">
        <v>31</v>
      </c>
      <c r="F775" t="s">
        <v>47</v>
      </c>
      <c r="G775" t="s">
        <v>70</v>
      </c>
      <c r="H775" t="s">
        <v>75</v>
      </c>
      <c r="I775">
        <v>5</v>
      </c>
      <c r="J775">
        <v>599</v>
      </c>
      <c r="K775">
        <v>0.1</v>
      </c>
      <c r="L775">
        <v>2695.5</v>
      </c>
      <c r="M775">
        <v>2007.44</v>
      </c>
      <c r="N775">
        <v>688.06</v>
      </c>
      <c r="O775" t="s">
        <v>79</v>
      </c>
      <c r="P775" t="s">
        <v>82</v>
      </c>
    </row>
    <row r="776" spans="1:16" x14ac:dyDescent="0.25">
      <c r="A776">
        <v>775</v>
      </c>
      <c r="B776" s="1">
        <v>45900</v>
      </c>
      <c r="C776" t="s">
        <v>20</v>
      </c>
      <c r="D776" t="s">
        <v>26</v>
      </c>
      <c r="E776" t="s">
        <v>30</v>
      </c>
      <c r="F776" t="s">
        <v>40</v>
      </c>
      <c r="G776" t="s">
        <v>71</v>
      </c>
      <c r="H776" t="s">
        <v>74</v>
      </c>
      <c r="I776">
        <v>1</v>
      </c>
      <c r="J776">
        <v>4275</v>
      </c>
      <c r="K776">
        <v>0.15</v>
      </c>
      <c r="L776">
        <v>3633.75</v>
      </c>
      <c r="M776">
        <v>2198.98</v>
      </c>
      <c r="N776">
        <v>1434.77</v>
      </c>
      <c r="O776" t="s">
        <v>79</v>
      </c>
      <c r="P776" t="s">
        <v>83</v>
      </c>
    </row>
    <row r="777" spans="1:16" x14ac:dyDescent="0.25">
      <c r="A777">
        <v>776</v>
      </c>
      <c r="B777" s="1">
        <v>45726</v>
      </c>
      <c r="C777" t="s">
        <v>22</v>
      </c>
      <c r="D777" t="s">
        <v>24</v>
      </c>
      <c r="E777" t="s">
        <v>31</v>
      </c>
      <c r="F777" t="s">
        <v>38</v>
      </c>
      <c r="G777" t="s">
        <v>70</v>
      </c>
      <c r="H777" t="s">
        <v>75</v>
      </c>
      <c r="I777">
        <v>5</v>
      </c>
      <c r="J777">
        <v>2034</v>
      </c>
      <c r="K777">
        <v>0</v>
      </c>
      <c r="L777">
        <v>10170</v>
      </c>
      <c r="M777">
        <v>8367.7900000000009</v>
      </c>
      <c r="N777">
        <v>1802.21</v>
      </c>
      <c r="O777" t="s">
        <v>80</v>
      </c>
      <c r="P777" t="s">
        <v>84</v>
      </c>
    </row>
    <row r="778" spans="1:16" x14ac:dyDescent="0.25">
      <c r="A778">
        <v>777</v>
      </c>
      <c r="B778" s="1">
        <v>45687</v>
      </c>
      <c r="C778" t="s">
        <v>20</v>
      </c>
      <c r="D778" t="s">
        <v>26</v>
      </c>
      <c r="E778" t="s">
        <v>34</v>
      </c>
      <c r="F778" t="s">
        <v>55</v>
      </c>
      <c r="G778" t="s">
        <v>70</v>
      </c>
      <c r="H778" t="s">
        <v>74</v>
      </c>
      <c r="I778">
        <v>6</v>
      </c>
      <c r="J778">
        <v>2174</v>
      </c>
      <c r="K778">
        <v>0.05</v>
      </c>
      <c r="L778">
        <v>12391.8</v>
      </c>
      <c r="M778">
        <v>7243.04</v>
      </c>
      <c r="N778">
        <v>5148.76</v>
      </c>
      <c r="O778" t="s">
        <v>80</v>
      </c>
      <c r="P778" t="s">
        <v>83</v>
      </c>
    </row>
    <row r="779" spans="1:16" x14ac:dyDescent="0.25">
      <c r="A779">
        <v>778</v>
      </c>
      <c r="B779" s="1">
        <v>45971</v>
      </c>
      <c r="C779" t="s">
        <v>23</v>
      </c>
      <c r="D779" t="s">
        <v>27</v>
      </c>
      <c r="E779" t="s">
        <v>28</v>
      </c>
      <c r="F779" t="s">
        <v>63</v>
      </c>
      <c r="G779" t="s">
        <v>70</v>
      </c>
      <c r="H779" t="s">
        <v>73</v>
      </c>
      <c r="I779">
        <v>7</v>
      </c>
      <c r="J779">
        <v>554</v>
      </c>
      <c r="K779">
        <v>0.1</v>
      </c>
      <c r="L779">
        <v>3490.2</v>
      </c>
      <c r="M779">
        <v>2506.88</v>
      </c>
      <c r="N779">
        <v>983.32</v>
      </c>
      <c r="O779" t="s">
        <v>78</v>
      </c>
      <c r="P779" t="s">
        <v>83</v>
      </c>
    </row>
    <row r="780" spans="1:16" x14ac:dyDescent="0.25">
      <c r="A780">
        <v>779</v>
      </c>
      <c r="B780" s="1">
        <v>46005</v>
      </c>
      <c r="C780" t="s">
        <v>21</v>
      </c>
      <c r="D780" t="s">
        <v>24</v>
      </c>
      <c r="E780" t="s">
        <v>32</v>
      </c>
      <c r="F780" t="s">
        <v>66</v>
      </c>
      <c r="G780" t="s">
        <v>72</v>
      </c>
      <c r="H780" t="s">
        <v>73</v>
      </c>
      <c r="I780">
        <v>8</v>
      </c>
      <c r="J780">
        <v>4457</v>
      </c>
      <c r="K780">
        <v>0.15</v>
      </c>
      <c r="L780">
        <v>30307.599999999999</v>
      </c>
      <c r="M780">
        <v>21010.55</v>
      </c>
      <c r="N780">
        <v>9297.0499999999993</v>
      </c>
      <c r="O780" t="s">
        <v>78</v>
      </c>
      <c r="P780" t="s">
        <v>87</v>
      </c>
    </row>
    <row r="781" spans="1:16" x14ac:dyDescent="0.25">
      <c r="A781">
        <v>780</v>
      </c>
      <c r="B781" s="1">
        <v>45908</v>
      </c>
      <c r="C781" t="s">
        <v>19</v>
      </c>
      <c r="D781" t="s">
        <v>26</v>
      </c>
      <c r="E781" t="s">
        <v>31</v>
      </c>
      <c r="F781" t="s">
        <v>50</v>
      </c>
      <c r="G781" t="s">
        <v>71</v>
      </c>
      <c r="H781" t="s">
        <v>74</v>
      </c>
      <c r="I781">
        <v>8</v>
      </c>
      <c r="J781">
        <v>1171</v>
      </c>
      <c r="K781">
        <v>0.2</v>
      </c>
      <c r="L781">
        <v>7494.4</v>
      </c>
      <c r="M781">
        <v>5289.94</v>
      </c>
      <c r="N781">
        <v>2204.46</v>
      </c>
      <c r="O781" t="s">
        <v>76</v>
      </c>
      <c r="P781" t="s">
        <v>81</v>
      </c>
    </row>
    <row r="782" spans="1:16" x14ac:dyDescent="0.25">
      <c r="A782">
        <v>781</v>
      </c>
      <c r="B782" s="1">
        <v>45957</v>
      </c>
      <c r="C782" t="s">
        <v>20</v>
      </c>
      <c r="D782" t="s">
        <v>26</v>
      </c>
      <c r="E782" t="s">
        <v>29</v>
      </c>
      <c r="F782" t="s">
        <v>42</v>
      </c>
      <c r="G782" t="s">
        <v>70</v>
      </c>
      <c r="H782" t="s">
        <v>73</v>
      </c>
      <c r="I782">
        <v>4</v>
      </c>
      <c r="J782">
        <v>10034</v>
      </c>
      <c r="K782">
        <v>0.05</v>
      </c>
      <c r="L782">
        <v>38129.199999999997</v>
      </c>
      <c r="M782">
        <v>31788.71</v>
      </c>
      <c r="N782">
        <v>6340.49</v>
      </c>
      <c r="O782" t="s">
        <v>80</v>
      </c>
      <c r="P782" t="s">
        <v>87</v>
      </c>
    </row>
    <row r="783" spans="1:16" x14ac:dyDescent="0.25">
      <c r="A783">
        <v>782</v>
      </c>
      <c r="B783" s="1">
        <v>45901</v>
      </c>
      <c r="C783" t="s">
        <v>22</v>
      </c>
      <c r="D783" t="s">
        <v>24</v>
      </c>
      <c r="E783" t="s">
        <v>32</v>
      </c>
      <c r="F783" t="s">
        <v>66</v>
      </c>
      <c r="G783" t="s">
        <v>71</v>
      </c>
      <c r="H783" t="s">
        <v>75</v>
      </c>
      <c r="I783">
        <v>8</v>
      </c>
      <c r="J783">
        <v>9889</v>
      </c>
      <c r="K783">
        <v>0.05</v>
      </c>
      <c r="L783">
        <v>75156.399999999994</v>
      </c>
      <c r="M783">
        <v>46488.54</v>
      </c>
      <c r="N783">
        <v>28667.86</v>
      </c>
      <c r="O783" t="s">
        <v>76</v>
      </c>
      <c r="P783" t="s">
        <v>85</v>
      </c>
    </row>
    <row r="784" spans="1:16" x14ac:dyDescent="0.25">
      <c r="A784">
        <v>783</v>
      </c>
      <c r="B784" s="1">
        <v>45720</v>
      </c>
      <c r="C784" t="s">
        <v>19</v>
      </c>
      <c r="D784" t="s">
        <v>26</v>
      </c>
      <c r="E784" t="s">
        <v>30</v>
      </c>
      <c r="F784" t="s">
        <v>44</v>
      </c>
      <c r="G784" t="s">
        <v>72</v>
      </c>
      <c r="H784" t="s">
        <v>75</v>
      </c>
      <c r="I784">
        <v>5</v>
      </c>
      <c r="J784">
        <v>58935</v>
      </c>
      <c r="K784">
        <v>0</v>
      </c>
      <c r="L784">
        <v>294675</v>
      </c>
      <c r="M784">
        <v>178873.79</v>
      </c>
      <c r="N784">
        <v>115801.21</v>
      </c>
      <c r="O784" t="s">
        <v>78</v>
      </c>
      <c r="P784" t="s">
        <v>86</v>
      </c>
    </row>
    <row r="785" spans="1:16" x14ac:dyDescent="0.25">
      <c r="A785">
        <v>784</v>
      </c>
      <c r="B785" s="1">
        <v>45865</v>
      </c>
      <c r="C785" t="s">
        <v>20</v>
      </c>
      <c r="D785" t="s">
        <v>26</v>
      </c>
      <c r="E785" t="s">
        <v>28</v>
      </c>
      <c r="F785" t="s">
        <v>58</v>
      </c>
      <c r="G785" t="s">
        <v>72</v>
      </c>
      <c r="H785" t="s">
        <v>75</v>
      </c>
      <c r="I785">
        <v>1</v>
      </c>
      <c r="J785">
        <v>1999</v>
      </c>
      <c r="K785">
        <v>0.15</v>
      </c>
      <c r="L785">
        <v>1699.15</v>
      </c>
      <c r="M785">
        <v>1323.46</v>
      </c>
      <c r="N785">
        <v>375.69</v>
      </c>
      <c r="O785" t="s">
        <v>79</v>
      </c>
      <c r="P785" t="s">
        <v>82</v>
      </c>
    </row>
    <row r="786" spans="1:16" x14ac:dyDescent="0.25">
      <c r="A786">
        <v>785</v>
      </c>
      <c r="B786" s="1">
        <v>45704</v>
      </c>
      <c r="C786" t="s">
        <v>20</v>
      </c>
      <c r="D786" t="s">
        <v>26</v>
      </c>
      <c r="E786" t="s">
        <v>32</v>
      </c>
      <c r="F786" t="s">
        <v>62</v>
      </c>
      <c r="G786" t="s">
        <v>71</v>
      </c>
      <c r="H786" t="s">
        <v>75</v>
      </c>
      <c r="I786">
        <v>1</v>
      </c>
      <c r="J786">
        <v>15679</v>
      </c>
      <c r="K786">
        <v>0.15</v>
      </c>
      <c r="L786">
        <v>13327.15</v>
      </c>
      <c r="M786">
        <v>11695.3</v>
      </c>
      <c r="N786">
        <v>1631.85</v>
      </c>
      <c r="O786" t="s">
        <v>78</v>
      </c>
      <c r="P786" t="s">
        <v>85</v>
      </c>
    </row>
    <row r="787" spans="1:16" x14ac:dyDescent="0.25">
      <c r="A787">
        <v>786</v>
      </c>
      <c r="B787" s="1">
        <v>45780</v>
      </c>
      <c r="C787" t="s">
        <v>19</v>
      </c>
      <c r="D787" t="s">
        <v>26</v>
      </c>
      <c r="E787" t="s">
        <v>30</v>
      </c>
      <c r="F787" t="s">
        <v>40</v>
      </c>
      <c r="G787" t="s">
        <v>72</v>
      </c>
      <c r="H787" t="s">
        <v>74</v>
      </c>
      <c r="I787">
        <v>5</v>
      </c>
      <c r="J787">
        <v>37450</v>
      </c>
      <c r="K787">
        <v>0.1</v>
      </c>
      <c r="L787">
        <v>168525</v>
      </c>
      <c r="M787">
        <v>118855.07</v>
      </c>
      <c r="N787">
        <v>49669.93</v>
      </c>
      <c r="O787" t="s">
        <v>76</v>
      </c>
      <c r="P787" t="s">
        <v>87</v>
      </c>
    </row>
    <row r="788" spans="1:16" x14ac:dyDescent="0.25">
      <c r="A788">
        <v>787</v>
      </c>
      <c r="B788" s="1">
        <v>45915</v>
      </c>
      <c r="C788" t="s">
        <v>22</v>
      </c>
      <c r="D788" t="s">
        <v>24</v>
      </c>
      <c r="E788" t="s">
        <v>33</v>
      </c>
      <c r="F788" t="s">
        <v>60</v>
      </c>
      <c r="G788" t="s">
        <v>71</v>
      </c>
      <c r="H788" t="s">
        <v>74</v>
      </c>
      <c r="I788">
        <v>7</v>
      </c>
      <c r="J788">
        <v>41529</v>
      </c>
      <c r="K788">
        <v>0.15</v>
      </c>
      <c r="L788">
        <v>247097.55</v>
      </c>
      <c r="M788">
        <v>153437.06</v>
      </c>
      <c r="N788">
        <v>93660.49</v>
      </c>
      <c r="O788" t="s">
        <v>80</v>
      </c>
      <c r="P788" t="s">
        <v>85</v>
      </c>
    </row>
    <row r="789" spans="1:16" x14ac:dyDescent="0.25">
      <c r="A789">
        <v>788</v>
      </c>
      <c r="B789" s="1">
        <v>45700</v>
      </c>
      <c r="C789" t="s">
        <v>16</v>
      </c>
      <c r="D789" t="s">
        <v>24</v>
      </c>
      <c r="E789" t="s">
        <v>31</v>
      </c>
      <c r="F789" t="s">
        <v>69</v>
      </c>
      <c r="G789" t="s">
        <v>72</v>
      </c>
      <c r="H789" t="s">
        <v>73</v>
      </c>
      <c r="I789">
        <v>7</v>
      </c>
      <c r="J789">
        <v>1100</v>
      </c>
      <c r="K789">
        <v>0.15</v>
      </c>
      <c r="L789">
        <v>6545</v>
      </c>
      <c r="M789">
        <v>3824.4</v>
      </c>
      <c r="N789">
        <v>2720.6</v>
      </c>
      <c r="O789" t="s">
        <v>79</v>
      </c>
      <c r="P789" t="s">
        <v>88</v>
      </c>
    </row>
    <row r="790" spans="1:16" x14ac:dyDescent="0.25">
      <c r="A790">
        <v>789</v>
      </c>
      <c r="B790" s="1">
        <v>45803</v>
      </c>
      <c r="C790" t="s">
        <v>19</v>
      </c>
      <c r="D790" t="s">
        <v>26</v>
      </c>
      <c r="E790" t="s">
        <v>31</v>
      </c>
      <c r="F790" t="s">
        <v>38</v>
      </c>
      <c r="G790" t="s">
        <v>70</v>
      </c>
      <c r="H790" t="s">
        <v>73</v>
      </c>
      <c r="I790">
        <v>2</v>
      </c>
      <c r="J790">
        <v>1427</v>
      </c>
      <c r="K790">
        <v>0</v>
      </c>
      <c r="L790">
        <v>2854</v>
      </c>
      <c r="M790">
        <v>1600.27</v>
      </c>
      <c r="N790">
        <v>1253.73</v>
      </c>
      <c r="O790" t="s">
        <v>79</v>
      </c>
      <c r="P790" t="s">
        <v>82</v>
      </c>
    </row>
    <row r="791" spans="1:16" x14ac:dyDescent="0.25">
      <c r="A791">
        <v>790</v>
      </c>
      <c r="B791" s="1">
        <v>45693</v>
      </c>
      <c r="C791" t="s">
        <v>23</v>
      </c>
      <c r="D791" t="s">
        <v>27</v>
      </c>
      <c r="E791" t="s">
        <v>30</v>
      </c>
      <c r="F791" t="s">
        <v>56</v>
      </c>
      <c r="G791" t="s">
        <v>72</v>
      </c>
      <c r="H791" t="s">
        <v>73</v>
      </c>
      <c r="I791">
        <v>7</v>
      </c>
      <c r="J791">
        <v>14617</v>
      </c>
      <c r="K791">
        <v>0.05</v>
      </c>
      <c r="L791">
        <v>97203.05</v>
      </c>
      <c r="M791">
        <v>77511.509999999995</v>
      </c>
      <c r="N791">
        <v>19691.54</v>
      </c>
      <c r="O791" t="s">
        <v>79</v>
      </c>
      <c r="P791" t="s">
        <v>81</v>
      </c>
    </row>
    <row r="792" spans="1:16" x14ac:dyDescent="0.25">
      <c r="A792">
        <v>791</v>
      </c>
      <c r="B792" s="1">
        <v>45713</v>
      </c>
      <c r="C792" t="s">
        <v>20</v>
      </c>
      <c r="D792" t="s">
        <v>26</v>
      </c>
      <c r="E792" t="s">
        <v>29</v>
      </c>
      <c r="F792" t="s">
        <v>57</v>
      </c>
      <c r="G792" t="s">
        <v>72</v>
      </c>
      <c r="H792" t="s">
        <v>75</v>
      </c>
      <c r="I792">
        <v>4</v>
      </c>
      <c r="J792">
        <v>11401</v>
      </c>
      <c r="K792">
        <v>0</v>
      </c>
      <c r="L792">
        <v>45604</v>
      </c>
      <c r="M792">
        <v>40084.1</v>
      </c>
      <c r="N792">
        <v>5519.9</v>
      </c>
      <c r="O792" t="s">
        <v>78</v>
      </c>
      <c r="P792" t="s">
        <v>88</v>
      </c>
    </row>
    <row r="793" spans="1:16" x14ac:dyDescent="0.25">
      <c r="A793">
        <v>792</v>
      </c>
      <c r="B793" s="1">
        <v>45697</v>
      </c>
      <c r="C793" t="s">
        <v>21</v>
      </c>
      <c r="D793" t="s">
        <v>24</v>
      </c>
      <c r="E793" t="s">
        <v>30</v>
      </c>
      <c r="F793" t="s">
        <v>40</v>
      </c>
      <c r="G793" t="s">
        <v>70</v>
      </c>
      <c r="H793" t="s">
        <v>74</v>
      </c>
      <c r="I793">
        <v>7</v>
      </c>
      <c r="J793">
        <v>41824</v>
      </c>
      <c r="K793">
        <v>0.05</v>
      </c>
      <c r="L793">
        <v>278129.59999999998</v>
      </c>
      <c r="M793">
        <v>224857.51</v>
      </c>
      <c r="N793">
        <v>53272.09</v>
      </c>
      <c r="O793" t="s">
        <v>76</v>
      </c>
      <c r="P793" t="s">
        <v>88</v>
      </c>
    </row>
    <row r="794" spans="1:16" x14ac:dyDescent="0.25">
      <c r="A794">
        <v>793</v>
      </c>
      <c r="B794" s="1">
        <v>45847</v>
      </c>
      <c r="C794" t="s">
        <v>21</v>
      </c>
      <c r="D794" t="s">
        <v>24</v>
      </c>
      <c r="E794" t="s">
        <v>30</v>
      </c>
      <c r="F794" t="s">
        <v>64</v>
      </c>
      <c r="G794" t="s">
        <v>71</v>
      </c>
      <c r="H794" t="s">
        <v>74</v>
      </c>
      <c r="I794">
        <v>8</v>
      </c>
      <c r="J794">
        <v>3299</v>
      </c>
      <c r="K794">
        <v>0.15</v>
      </c>
      <c r="L794">
        <v>22433.200000000001</v>
      </c>
      <c r="M794">
        <v>13631.55</v>
      </c>
      <c r="N794">
        <v>8801.65</v>
      </c>
      <c r="O794" t="s">
        <v>78</v>
      </c>
      <c r="P794" t="s">
        <v>86</v>
      </c>
    </row>
    <row r="795" spans="1:16" x14ac:dyDescent="0.25">
      <c r="A795">
        <v>794</v>
      </c>
      <c r="B795" s="1">
        <v>45859</v>
      </c>
      <c r="C795" t="s">
        <v>21</v>
      </c>
      <c r="D795" t="s">
        <v>24</v>
      </c>
      <c r="E795" t="s">
        <v>34</v>
      </c>
      <c r="F795" t="s">
        <v>51</v>
      </c>
      <c r="G795" t="s">
        <v>71</v>
      </c>
      <c r="H795" t="s">
        <v>74</v>
      </c>
      <c r="I795">
        <v>1</v>
      </c>
      <c r="J795">
        <v>4810</v>
      </c>
      <c r="K795">
        <v>0</v>
      </c>
      <c r="L795">
        <v>4810</v>
      </c>
      <c r="M795">
        <v>4128.8900000000003</v>
      </c>
      <c r="N795">
        <v>681.11</v>
      </c>
      <c r="O795" t="s">
        <v>79</v>
      </c>
      <c r="P795" t="s">
        <v>84</v>
      </c>
    </row>
    <row r="796" spans="1:16" x14ac:dyDescent="0.25">
      <c r="A796">
        <v>795</v>
      </c>
      <c r="B796" s="1">
        <v>45738</v>
      </c>
      <c r="C796" t="s">
        <v>21</v>
      </c>
      <c r="D796" t="s">
        <v>24</v>
      </c>
      <c r="E796" t="s">
        <v>30</v>
      </c>
      <c r="F796" t="s">
        <v>64</v>
      </c>
      <c r="G796" t="s">
        <v>70</v>
      </c>
      <c r="H796" t="s">
        <v>74</v>
      </c>
      <c r="I796">
        <v>2</v>
      </c>
      <c r="J796">
        <v>9403</v>
      </c>
      <c r="K796">
        <v>0</v>
      </c>
      <c r="L796">
        <v>18806</v>
      </c>
      <c r="M796">
        <v>10379.32</v>
      </c>
      <c r="N796">
        <v>8426.68</v>
      </c>
      <c r="O796" t="s">
        <v>80</v>
      </c>
      <c r="P796" t="s">
        <v>88</v>
      </c>
    </row>
    <row r="797" spans="1:16" x14ac:dyDescent="0.25">
      <c r="A797">
        <v>796</v>
      </c>
      <c r="B797" s="1">
        <v>45957</v>
      </c>
      <c r="C797" t="s">
        <v>20</v>
      </c>
      <c r="D797" t="s">
        <v>26</v>
      </c>
      <c r="E797" t="s">
        <v>28</v>
      </c>
      <c r="F797" t="s">
        <v>58</v>
      </c>
      <c r="G797" t="s">
        <v>71</v>
      </c>
      <c r="H797" t="s">
        <v>73</v>
      </c>
      <c r="I797">
        <v>8</v>
      </c>
      <c r="J797">
        <v>585</v>
      </c>
      <c r="K797">
        <v>0</v>
      </c>
      <c r="L797">
        <v>4680</v>
      </c>
      <c r="M797">
        <v>2587.61</v>
      </c>
      <c r="N797">
        <v>2092.39</v>
      </c>
      <c r="O797" t="s">
        <v>76</v>
      </c>
      <c r="P797" t="s">
        <v>85</v>
      </c>
    </row>
    <row r="798" spans="1:16" x14ac:dyDescent="0.25">
      <c r="A798">
        <v>797</v>
      </c>
      <c r="B798" s="1">
        <v>45986</v>
      </c>
      <c r="C798" t="s">
        <v>23</v>
      </c>
      <c r="D798" t="s">
        <v>27</v>
      </c>
      <c r="E798" t="s">
        <v>34</v>
      </c>
      <c r="F798" t="s">
        <v>65</v>
      </c>
      <c r="G798" t="s">
        <v>72</v>
      </c>
      <c r="H798" t="s">
        <v>75</v>
      </c>
      <c r="I798">
        <v>1</v>
      </c>
      <c r="J798">
        <v>5451</v>
      </c>
      <c r="K798">
        <v>0</v>
      </c>
      <c r="L798">
        <v>5451</v>
      </c>
      <c r="M798">
        <v>3629.83</v>
      </c>
      <c r="N798">
        <v>1821.17</v>
      </c>
      <c r="O798" t="s">
        <v>78</v>
      </c>
      <c r="P798" t="s">
        <v>85</v>
      </c>
    </row>
    <row r="799" spans="1:16" x14ac:dyDescent="0.25">
      <c r="A799">
        <v>798</v>
      </c>
      <c r="B799" s="1">
        <v>45824</v>
      </c>
      <c r="C799" t="s">
        <v>22</v>
      </c>
      <c r="D799" t="s">
        <v>24</v>
      </c>
      <c r="E799" t="s">
        <v>28</v>
      </c>
      <c r="F799" t="s">
        <v>54</v>
      </c>
      <c r="G799" t="s">
        <v>70</v>
      </c>
      <c r="H799" t="s">
        <v>75</v>
      </c>
      <c r="I799">
        <v>3</v>
      </c>
      <c r="J799">
        <v>1893</v>
      </c>
      <c r="K799">
        <v>0.05</v>
      </c>
      <c r="L799">
        <v>5395.05</v>
      </c>
      <c r="M799">
        <v>4656.6000000000004</v>
      </c>
      <c r="N799">
        <v>738.45</v>
      </c>
      <c r="O799" t="s">
        <v>76</v>
      </c>
      <c r="P799" t="s">
        <v>88</v>
      </c>
    </row>
    <row r="800" spans="1:16" x14ac:dyDescent="0.25">
      <c r="A800">
        <v>799</v>
      </c>
      <c r="B800" s="1">
        <v>45849</v>
      </c>
      <c r="C800" t="s">
        <v>23</v>
      </c>
      <c r="D800" t="s">
        <v>27</v>
      </c>
      <c r="E800" t="s">
        <v>32</v>
      </c>
      <c r="F800" t="s">
        <v>66</v>
      </c>
      <c r="G800" t="s">
        <v>72</v>
      </c>
      <c r="H800" t="s">
        <v>74</v>
      </c>
      <c r="I800">
        <v>2</v>
      </c>
      <c r="J800">
        <v>9331</v>
      </c>
      <c r="K800">
        <v>0.05</v>
      </c>
      <c r="L800">
        <v>17728.900000000001</v>
      </c>
      <c r="M800">
        <v>10828.85</v>
      </c>
      <c r="N800">
        <v>6900.05</v>
      </c>
      <c r="O800" t="s">
        <v>77</v>
      </c>
      <c r="P800" t="s">
        <v>87</v>
      </c>
    </row>
    <row r="801" spans="1:16" x14ac:dyDescent="0.25">
      <c r="A801">
        <v>800</v>
      </c>
      <c r="B801" s="1">
        <v>45784</v>
      </c>
      <c r="C801" t="s">
        <v>20</v>
      </c>
      <c r="D801" t="s">
        <v>26</v>
      </c>
      <c r="E801" t="s">
        <v>33</v>
      </c>
      <c r="F801" t="s">
        <v>41</v>
      </c>
      <c r="G801" t="s">
        <v>71</v>
      </c>
      <c r="H801" t="s">
        <v>73</v>
      </c>
      <c r="I801">
        <v>5</v>
      </c>
      <c r="J801">
        <v>48083</v>
      </c>
      <c r="K801">
        <v>0.05</v>
      </c>
      <c r="L801">
        <v>228394.25</v>
      </c>
      <c r="M801">
        <v>190028.7</v>
      </c>
      <c r="N801">
        <v>38365.550000000003</v>
      </c>
      <c r="O801" t="s">
        <v>79</v>
      </c>
      <c r="P801" t="s">
        <v>84</v>
      </c>
    </row>
    <row r="802" spans="1:16" x14ac:dyDescent="0.25">
      <c r="A802">
        <v>801</v>
      </c>
      <c r="B802" s="1">
        <v>45854</v>
      </c>
      <c r="C802" t="s">
        <v>20</v>
      </c>
      <c r="D802" t="s">
        <v>26</v>
      </c>
      <c r="E802" t="s">
        <v>31</v>
      </c>
      <c r="F802" t="s">
        <v>47</v>
      </c>
      <c r="G802" t="s">
        <v>71</v>
      </c>
      <c r="H802" t="s">
        <v>75</v>
      </c>
      <c r="I802">
        <v>2</v>
      </c>
      <c r="J802">
        <v>1685</v>
      </c>
      <c r="K802">
        <v>0.1</v>
      </c>
      <c r="L802">
        <v>3033</v>
      </c>
      <c r="M802">
        <v>2462.4499999999998</v>
      </c>
      <c r="N802">
        <v>570.54999999999995</v>
      </c>
      <c r="O802" t="s">
        <v>76</v>
      </c>
      <c r="P802" t="s">
        <v>83</v>
      </c>
    </row>
    <row r="803" spans="1:16" x14ac:dyDescent="0.25">
      <c r="A803">
        <v>802</v>
      </c>
      <c r="B803" s="1">
        <v>46009</v>
      </c>
      <c r="C803" t="s">
        <v>21</v>
      </c>
      <c r="D803" t="s">
        <v>24</v>
      </c>
      <c r="E803" t="s">
        <v>33</v>
      </c>
      <c r="F803" t="s">
        <v>52</v>
      </c>
      <c r="G803" t="s">
        <v>72</v>
      </c>
      <c r="H803" t="s">
        <v>73</v>
      </c>
      <c r="I803">
        <v>8</v>
      </c>
      <c r="J803">
        <v>48031</v>
      </c>
      <c r="K803">
        <v>0.1</v>
      </c>
      <c r="L803">
        <v>345823.2</v>
      </c>
      <c r="M803">
        <v>286750.07</v>
      </c>
      <c r="N803">
        <v>59073.13</v>
      </c>
      <c r="O803" t="s">
        <v>78</v>
      </c>
      <c r="P803" t="s">
        <v>86</v>
      </c>
    </row>
    <row r="804" spans="1:16" x14ac:dyDescent="0.25">
      <c r="A804">
        <v>803</v>
      </c>
      <c r="B804" s="1">
        <v>45792</v>
      </c>
      <c r="C804" t="s">
        <v>19</v>
      </c>
      <c r="D804" t="s">
        <v>26</v>
      </c>
      <c r="E804" t="s">
        <v>32</v>
      </c>
      <c r="F804" t="s">
        <v>62</v>
      </c>
      <c r="G804" t="s">
        <v>70</v>
      </c>
      <c r="H804" t="s">
        <v>75</v>
      </c>
      <c r="I804">
        <v>5</v>
      </c>
      <c r="J804">
        <v>2267</v>
      </c>
      <c r="K804">
        <v>0.1</v>
      </c>
      <c r="L804">
        <v>10201.5</v>
      </c>
      <c r="M804">
        <v>6974.78</v>
      </c>
      <c r="N804">
        <v>3226.72</v>
      </c>
      <c r="O804" t="s">
        <v>77</v>
      </c>
      <c r="P804" t="s">
        <v>86</v>
      </c>
    </row>
    <row r="805" spans="1:16" x14ac:dyDescent="0.25">
      <c r="A805">
        <v>804</v>
      </c>
      <c r="B805" s="1">
        <v>45981</v>
      </c>
      <c r="C805" t="s">
        <v>19</v>
      </c>
      <c r="D805" t="s">
        <v>26</v>
      </c>
      <c r="E805" t="s">
        <v>34</v>
      </c>
      <c r="F805" t="s">
        <v>68</v>
      </c>
      <c r="G805" t="s">
        <v>71</v>
      </c>
      <c r="H805" t="s">
        <v>75</v>
      </c>
      <c r="I805">
        <v>5</v>
      </c>
      <c r="J805">
        <v>395</v>
      </c>
      <c r="K805">
        <v>0</v>
      </c>
      <c r="L805">
        <v>1975</v>
      </c>
      <c r="M805">
        <v>1169.58</v>
      </c>
      <c r="N805">
        <v>805.42</v>
      </c>
      <c r="O805" t="s">
        <v>79</v>
      </c>
      <c r="P805" t="s">
        <v>81</v>
      </c>
    </row>
    <row r="806" spans="1:16" x14ac:dyDescent="0.25">
      <c r="A806">
        <v>805</v>
      </c>
      <c r="B806" s="1">
        <v>45837</v>
      </c>
      <c r="C806" t="s">
        <v>22</v>
      </c>
      <c r="D806" t="s">
        <v>24</v>
      </c>
      <c r="E806" t="s">
        <v>29</v>
      </c>
      <c r="F806" t="s">
        <v>53</v>
      </c>
      <c r="G806" t="s">
        <v>72</v>
      </c>
      <c r="H806" t="s">
        <v>73</v>
      </c>
      <c r="I806">
        <v>5</v>
      </c>
      <c r="J806">
        <v>3404</v>
      </c>
      <c r="K806">
        <v>0.15</v>
      </c>
      <c r="L806">
        <v>14467</v>
      </c>
      <c r="M806">
        <v>9360.07</v>
      </c>
      <c r="N806">
        <v>5106.93</v>
      </c>
      <c r="O806" t="s">
        <v>77</v>
      </c>
      <c r="P806" t="s">
        <v>82</v>
      </c>
    </row>
    <row r="807" spans="1:16" x14ac:dyDescent="0.25">
      <c r="A807">
        <v>806</v>
      </c>
      <c r="B807" s="1">
        <v>45893</v>
      </c>
      <c r="C807" t="s">
        <v>20</v>
      </c>
      <c r="D807" t="s">
        <v>26</v>
      </c>
      <c r="E807" t="s">
        <v>28</v>
      </c>
      <c r="F807" t="s">
        <v>54</v>
      </c>
      <c r="G807" t="s">
        <v>71</v>
      </c>
      <c r="H807" t="s">
        <v>73</v>
      </c>
      <c r="I807">
        <v>2</v>
      </c>
      <c r="J807">
        <v>110</v>
      </c>
      <c r="K807">
        <v>0</v>
      </c>
      <c r="L807">
        <v>220</v>
      </c>
      <c r="M807">
        <v>175.46</v>
      </c>
      <c r="N807">
        <v>44.54</v>
      </c>
      <c r="O807" t="s">
        <v>77</v>
      </c>
      <c r="P807" t="s">
        <v>85</v>
      </c>
    </row>
    <row r="808" spans="1:16" x14ac:dyDescent="0.25">
      <c r="A808">
        <v>807</v>
      </c>
      <c r="B808" s="1">
        <v>45763</v>
      </c>
      <c r="C808" t="s">
        <v>16</v>
      </c>
      <c r="D808" t="s">
        <v>24</v>
      </c>
      <c r="E808" t="s">
        <v>33</v>
      </c>
      <c r="F808" t="s">
        <v>59</v>
      </c>
      <c r="G808" t="s">
        <v>72</v>
      </c>
      <c r="H808" t="s">
        <v>74</v>
      </c>
      <c r="I808">
        <v>4</v>
      </c>
      <c r="J808">
        <v>46726</v>
      </c>
      <c r="K808">
        <v>0</v>
      </c>
      <c r="L808">
        <v>186904</v>
      </c>
      <c r="M808">
        <v>158580.64000000001</v>
      </c>
      <c r="N808">
        <v>28323.360000000001</v>
      </c>
      <c r="O808" t="s">
        <v>78</v>
      </c>
      <c r="P808" t="s">
        <v>88</v>
      </c>
    </row>
    <row r="809" spans="1:16" x14ac:dyDescent="0.25">
      <c r="A809">
        <v>808</v>
      </c>
      <c r="B809" s="1">
        <v>45666</v>
      </c>
      <c r="C809" t="s">
        <v>19</v>
      </c>
      <c r="D809" t="s">
        <v>26</v>
      </c>
      <c r="E809" t="s">
        <v>32</v>
      </c>
      <c r="F809" t="s">
        <v>49</v>
      </c>
      <c r="G809" t="s">
        <v>71</v>
      </c>
      <c r="H809" t="s">
        <v>74</v>
      </c>
      <c r="I809">
        <v>1</v>
      </c>
      <c r="J809">
        <v>24545</v>
      </c>
      <c r="K809">
        <v>0.05</v>
      </c>
      <c r="L809">
        <v>23317.75</v>
      </c>
      <c r="M809">
        <v>14829.7</v>
      </c>
      <c r="N809">
        <v>8488.0499999999993</v>
      </c>
      <c r="O809" t="s">
        <v>77</v>
      </c>
      <c r="P809" t="s">
        <v>84</v>
      </c>
    </row>
    <row r="810" spans="1:16" x14ac:dyDescent="0.25">
      <c r="A810">
        <v>809</v>
      </c>
      <c r="B810" s="1">
        <v>46005</v>
      </c>
      <c r="C810" t="s">
        <v>18</v>
      </c>
      <c r="D810" t="s">
        <v>26</v>
      </c>
      <c r="E810" t="s">
        <v>34</v>
      </c>
      <c r="F810" t="s">
        <v>68</v>
      </c>
      <c r="G810" t="s">
        <v>72</v>
      </c>
      <c r="H810" t="s">
        <v>73</v>
      </c>
      <c r="I810">
        <v>2</v>
      </c>
      <c r="J810">
        <v>3042</v>
      </c>
      <c r="K810">
        <v>0.05</v>
      </c>
      <c r="L810">
        <v>5779.8</v>
      </c>
      <c r="M810">
        <v>4879.1899999999996</v>
      </c>
      <c r="N810">
        <v>900.61</v>
      </c>
      <c r="O810" t="s">
        <v>80</v>
      </c>
      <c r="P810" t="s">
        <v>81</v>
      </c>
    </row>
    <row r="811" spans="1:16" x14ac:dyDescent="0.25">
      <c r="A811">
        <v>810</v>
      </c>
      <c r="B811" s="1">
        <v>45904</v>
      </c>
      <c r="C811" t="s">
        <v>23</v>
      </c>
      <c r="D811" t="s">
        <v>27</v>
      </c>
      <c r="E811" t="s">
        <v>33</v>
      </c>
      <c r="F811" t="s">
        <v>59</v>
      </c>
      <c r="G811" t="s">
        <v>72</v>
      </c>
      <c r="H811" t="s">
        <v>73</v>
      </c>
      <c r="I811">
        <v>1</v>
      </c>
      <c r="J811">
        <v>39355</v>
      </c>
      <c r="K811">
        <v>0.05</v>
      </c>
      <c r="L811">
        <v>37387.25</v>
      </c>
      <c r="M811">
        <v>29252.3</v>
      </c>
      <c r="N811">
        <v>8134.95</v>
      </c>
      <c r="O811" t="s">
        <v>79</v>
      </c>
      <c r="P811" t="s">
        <v>88</v>
      </c>
    </row>
    <row r="812" spans="1:16" x14ac:dyDescent="0.25">
      <c r="A812">
        <v>811</v>
      </c>
      <c r="B812" s="1">
        <v>45977</v>
      </c>
      <c r="C812" t="s">
        <v>19</v>
      </c>
      <c r="D812" t="s">
        <v>26</v>
      </c>
      <c r="E812" t="s">
        <v>32</v>
      </c>
      <c r="F812" t="s">
        <v>66</v>
      </c>
      <c r="G812" t="s">
        <v>70</v>
      </c>
      <c r="H812" t="s">
        <v>75</v>
      </c>
      <c r="I812">
        <v>7</v>
      </c>
      <c r="J812">
        <v>12532</v>
      </c>
      <c r="K812">
        <v>0.05</v>
      </c>
      <c r="L812">
        <v>83337.8</v>
      </c>
      <c r="M812">
        <v>69773.37</v>
      </c>
      <c r="N812">
        <v>13564.43</v>
      </c>
      <c r="O812" t="s">
        <v>76</v>
      </c>
      <c r="P812" t="s">
        <v>84</v>
      </c>
    </row>
    <row r="813" spans="1:16" x14ac:dyDescent="0.25">
      <c r="A813">
        <v>812</v>
      </c>
      <c r="B813" s="1">
        <v>45952</v>
      </c>
      <c r="C813" t="s">
        <v>21</v>
      </c>
      <c r="D813" t="s">
        <v>24</v>
      </c>
      <c r="E813" t="s">
        <v>33</v>
      </c>
      <c r="F813" t="s">
        <v>60</v>
      </c>
      <c r="G813" t="s">
        <v>72</v>
      </c>
      <c r="H813" t="s">
        <v>74</v>
      </c>
      <c r="I813">
        <v>4</v>
      </c>
      <c r="J813">
        <v>10882</v>
      </c>
      <c r="K813">
        <v>0.15</v>
      </c>
      <c r="L813">
        <v>36998.800000000003</v>
      </c>
      <c r="M813">
        <v>28601.71</v>
      </c>
      <c r="N813">
        <v>8397.09</v>
      </c>
      <c r="O813" t="s">
        <v>77</v>
      </c>
      <c r="P813" t="s">
        <v>82</v>
      </c>
    </row>
    <row r="814" spans="1:16" x14ac:dyDescent="0.25">
      <c r="A814">
        <v>813</v>
      </c>
      <c r="B814" s="1">
        <v>45843</v>
      </c>
      <c r="C814" t="s">
        <v>22</v>
      </c>
      <c r="D814" t="s">
        <v>24</v>
      </c>
      <c r="E814" t="s">
        <v>32</v>
      </c>
      <c r="F814" t="s">
        <v>48</v>
      </c>
      <c r="G814" t="s">
        <v>70</v>
      </c>
      <c r="H814" t="s">
        <v>74</v>
      </c>
      <c r="I814">
        <v>7</v>
      </c>
      <c r="J814">
        <v>13124</v>
      </c>
      <c r="K814">
        <v>0.2</v>
      </c>
      <c r="L814">
        <v>73494.399999999994</v>
      </c>
      <c r="M814">
        <v>57466.62</v>
      </c>
      <c r="N814">
        <v>16027.78</v>
      </c>
      <c r="O814" t="s">
        <v>80</v>
      </c>
      <c r="P814" t="s">
        <v>84</v>
      </c>
    </row>
    <row r="815" spans="1:16" x14ac:dyDescent="0.25">
      <c r="A815">
        <v>814</v>
      </c>
      <c r="B815" s="1">
        <v>45998</v>
      </c>
      <c r="C815" t="s">
        <v>20</v>
      </c>
      <c r="D815" t="s">
        <v>26</v>
      </c>
      <c r="E815" t="s">
        <v>31</v>
      </c>
      <c r="F815" t="s">
        <v>67</v>
      </c>
      <c r="G815" t="s">
        <v>72</v>
      </c>
      <c r="H815" t="s">
        <v>73</v>
      </c>
      <c r="I815">
        <v>7</v>
      </c>
      <c r="J815">
        <v>2294</v>
      </c>
      <c r="K815">
        <v>0</v>
      </c>
      <c r="L815">
        <v>16058</v>
      </c>
      <c r="M815">
        <v>9330.92</v>
      </c>
      <c r="N815">
        <v>6727.08</v>
      </c>
      <c r="O815" t="s">
        <v>80</v>
      </c>
      <c r="P815" t="s">
        <v>82</v>
      </c>
    </row>
    <row r="816" spans="1:16" x14ac:dyDescent="0.25">
      <c r="A816">
        <v>815</v>
      </c>
      <c r="B816" s="1">
        <v>45893</v>
      </c>
      <c r="C816" t="s">
        <v>16</v>
      </c>
      <c r="D816" t="s">
        <v>24</v>
      </c>
      <c r="E816" t="s">
        <v>33</v>
      </c>
      <c r="F816" t="s">
        <v>52</v>
      </c>
      <c r="G816" t="s">
        <v>72</v>
      </c>
      <c r="H816" t="s">
        <v>75</v>
      </c>
      <c r="I816">
        <v>4</v>
      </c>
      <c r="J816">
        <v>32315</v>
      </c>
      <c r="K816">
        <v>0.05</v>
      </c>
      <c r="L816">
        <v>122797</v>
      </c>
      <c r="M816">
        <v>87409.13</v>
      </c>
      <c r="N816">
        <v>35387.870000000003</v>
      </c>
      <c r="O816" t="s">
        <v>79</v>
      </c>
      <c r="P816" t="s">
        <v>81</v>
      </c>
    </row>
    <row r="817" spans="1:16" x14ac:dyDescent="0.25">
      <c r="A817">
        <v>816</v>
      </c>
      <c r="B817" s="1">
        <v>45830</v>
      </c>
      <c r="C817" t="s">
        <v>20</v>
      </c>
      <c r="D817" t="s">
        <v>26</v>
      </c>
      <c r="E817" t="s">
        <v>30</v>
      </c>
      <c r="F817" t="s">
        <v>44</v>
      </c>
      <c r="G817" t="s">
        <v>70</v>
      </c>
      <c r="H817" t="s">
        <v>75</v>
      </c>
      <c r="I817">
        <v>2</v>
      </c>
      <c r="J817">
        <v>11211</v>
      </c>
      <c r="K817">
        <v>0</v>
      </c>
      <c r="L817">
        <v>22422</v>
      </c>
      <c r="M817">
        <v>17642.150000000001</v>
      </c>
      <c r="N817">
        <v>4779.8500000000004</v>
      </c>
      <c r="O817" t="s">
        <v>79</v>
      </c>
      <c r="P817" t="s">
        <v>82</v>
      </c>
    </row>
    <row r="818" spans="1:16" x14ac:dyDescent="0.25">
      <c r="A818">
        <v>817</v>
      </c>
      <c r="B818" s="1">
        <v>45887</v>
      </c>
      <c r="C818" t="s">
        <v>22</v>
      </c>
      <c r="D818" t="s">
        <v>24</v>
      </c>
      <c r="E818" t="s">
        <v>28</v>
      </c>
      <c r="F818" t="s">
        <v>63</v>
      </c>
      <c r="G818" t="s">
        <v>72</v>
      </c>
      <c r="H818" t="s">
        <v>73</v>
      </c>
      <c r="I818">
        <v>7</v>
      </c>
      <c r="J818">
        <v>1380</v>
      </c>
      <c r="K818">
        <v>0.15</v>
      </c>
      <c r="L818">
        <v>8211</v>
      </c>
      <c r="M818">
        <v>5513.91</v>
      </c>
      <c r="N818">
        <v>2697.09</v>
      </c>
      <c r="O818" t="s">
        <v>80</v>
      </c>
      <c r="P818" t="s">
        <v>81</v>
      </c>
    </row>
    <row r="819" spans="1:16" x14ac:dyDescent="0.25">
      <c r="A819">
        <v>818</v>
      </c>
      <c r="B819" s="1">
        <v>45996</v>
      </c>
      <c r="C819" t="s">
        <v>19</v>
      </c>
      <c r="D819" t="s">
        <v>26</v>
      </c>
      <c r="E819" t="s">
        <v>29</v>
      </c>
      <c r="F819" t="s">
        <v>45</v>
      </c>
      <c r="G819" t="s">
        <v>70</v>
      </c>
      <c r="H819" t="s">
        <v>74</v>
      </c>
      <c r="I819">
        <v>3</v>
      </c>
      <c r="J819">
        <v>2406</v>
      </c>
      <c r="K819">
        <v>0.15</v>
      </c>
      <c r="L819">
        <v>6135.3</v>
      </c>
      <c r="M819">
        <v>4508.2299999999996</v>
      </c>
      <c r="N819">
        <v>1627.07</v>
      </c>
      <c r="O819" t="s">
        <v>76</v>
      </c>
      <c r="P819" t="s">
        <v>85</v>
      </c>
    </row>
    <row r="820" spans="1:16" x14ac:dyDescent="0.25">
      <c r="A820">
        <v>819</v>
      </c>
      <c r="B820" s="1">
        <v>46018</v>
      </c>
      <c r="C820" t="s">
        <v>16</v>
      </c>
      <c r="D820" t="s">
        <v>24</v>
      </c>
      <c r="E820" t="s">
        <v>29</v>
      </c>
      <c r="F820" t="s">
        <v>42</v>
      </c>
      <c r="G820" t="s">
        <v>71</v>
      </c>
      <c r="H820" t="s">
        <v>75</v>
      </c>
      <c r="I820">
        <v>7</v>
      </c>
      <c r="J820">
        <v>3539</v>
      </c>
      <c r="K820">
        <v>0.15</v>
      </c>
      <c r="L820">
        <v>21057.05</v>
      </c>
      <c r="M820">
        <v>16908.509999999998</v>
      </c>
      <c r="N820">
        <v>4148.54</v>
      </c>
      <c r="O820" t="s">
        <v>77</v>
      </c>
      <c r="P820" t="s">
        <v>85</v>
      </c>
    </row>
    <row r="821" spans="1:16" x14ac:dyDescent="0.25">
      <c r="A821">
        <v>820</v>
      </c>
      <c r="B821" s="1">
        <v>45814</v>
      </c>
      <c r="C821" t="s">
        <v>16</v>
      </c>
      <c r="D821" t="s">
        <v>24</v>
      </c>
      <c r="E821" t="s">
        <v>33</v>
      </c>
      <c r="F821" t="s">
        <v>46</v>
      </c>
      <c r="G821" t="s">
        <v>71</v>
      </c>
      <c r="H821" t="s">
        <v>74</v>
      </c>
      <c r="I821">
        <v>2</v>
      </c>
      <c r="J821">
        <v>16147</v>
      </c>
      <c r="K821">
        <v>0.05</v>
      </c>
      <c r="L821">
        <v>30679.3</v>
      </c>
      <c r="M821">
        <v>22639.45</v>
      </c>
      <c r="N821">
        <v>8039.85</v>
      </c>
      <c r="O821" t="s">
        <v>76</v>
      </c>
      <c r="P821" t="s">
        <v>88</v>
      </c>
    </row>
    <row r="822" spans="1:16" x14ac:dyDescent="0.25">
      <c r="A822">
        <v>821</v>
      </c>
      <c r="B822" s="1">
        <v>46013</v>
      </c>
      <c r="C822" t="s">
        <v>18</v>
      </c>
      <c r="D822" t="s">
        <v>26</v>
      </c>
      <c r="E822" t="s">
        <v>31</v>
      </c>
      <c r="F822" t="s">
        <v>69</v>
      </c>
      <c r="G822" t="s">
        <v>72</v>
      </c>
      <c r="H822" t="s">
        <v>73</v>
      </c>
      <c r="I822">
        <v>5</v>
      </c>
      <c r="J822">
        <v>2392</v>
      </c>
      <c r="K822">
        <v>0.05</v>
      </c>
      <c r="L822">
        <v>11362</v>
      </c>
      <c r="M822">
        <v>9440.9500000000007</v>
      </c>
      <c r="N822">
        <v>1921.05</v>
      </c>
      <c r="O822" t="s">
        <v>77</v>
      </c>
      <c r="P822" t="s">
        <v>84</v>
      </c>
    </row>
    <row r="823" spans="1:16" x14ac:dyDescent="0.25">
      <c r="A823">
        <v>822</v>
      </c>
      <c r="B823" s="1">
        <v>45847</v>
      </c>
      <c r="C823" t="s">
        <v>18</v>
      </c>
      <c r="D823" t="s">
        <v>26</v>
      </c>
      <c r="E823" t="s">
        <v>28</v>
      </c>
      <c r="F823" t="s">
        <v>54</v>
      </c>
      <c r="G823" t="s">
        <v>72</v>
      </c>
      <c r="H823" t="s">
        <v>74</v>
      </c>
      <c r="I823">
        <v>5</v>
      </c>
      <c r="J823">
        <v>917</v>
      </c>
      <c r="K823">
        <v>0.15</v>
      </c>
      <c r="L823">
        <v>3897.25</v>
      </c>
      <c r="M823">
        <v>2421.5300000000002</v>
      </c>
      <c r="N823">
        <v>1475.72</v>
      </c>
      <c r="O823" t="s">
        <v>79</v>
      </c>
      <c r="P823" t="s">
        <v>81</v>
      </c>
    </row>
    <row r="824" spans="1:16" x14ac:dyDescent="0.25">
      <c r="A824">
        <v>823</v>
      </c>
      <c r="B824" s="1">
        <v>45762</v>
      </c>
      <c r="C824" t="s">
        <v>23</v>
      </c>
      <c r="D824" t="s">
        <v>27</v>
      </c>
      <c r="E824" t="s">
        <v>29</v>
      </c>
      <c r="F824" t="s">
        <v>57</v>
      </c>
      <c r="G824" t="s">
        <v>70</v>
      </c>
      <c r="H824" t="s">
        <v>75</v>
      </c>
      <c r="I824">
        <v>5</v>
      </c>
      <c r="J824">
        <v>1025</v>
      </c>
      <c r="K824">
        <v>0.15</v>
      </c>
      <c r="L824">
        <v>4356.25</v>
      </c>
      <c r="M824">
        <v>2841.35</v>
      </c>
      <c r="N824">
        <v>1514.9</v>
      </c>
      <c r="O824" t="s">
        <v>76</v>
      </c>
      <c r="P824" t="s">
        <v>81</v>
      </c>
    </row>
    <row r="825" spans="1:16" x14ac:dyDescent="0.25">
      <c r="A825">
        <v>824</v>
      </c>
      <c r="B825" s="1">
        <v>45958</v>
      </c>
      <c r="C825" t="s">
        <v>18</v>
      </c>
      <c r="D825" t="s">
        <v>26</v>
      </c>
      <c r="E825" t="s">
        <v>31</v>
      </c>
      <c r="F825" t="s">
        <v>38</v>
      </c>
      <c r="G825" t="s">
        <v>72</v>
      </c>
      <c r="H825" t="s">
        <v>75</v>
      </c>
      <c r="I825">
        <v>3</v>
      </c>
      <c r="J825">
        <v>185</v>
      </c>
      <c r="K825">
        <v>0</v>
      </c>
      <c r="L825">
        <v>555</v>
      </c>
      <c r="M825">
        <v>394.23</v>
      </c>
      <c r="N825">
        <v>160.77000000000001</v>
      </c>
      <c r="O825" t="s">
        <v>79</v>
      </c>
      <c r="P825" t="s">
        <v>86</v>
      </c>
    </row>
    <row r="826" spans="1:16" x14ac:dyDescent="0.25">
      <c r="A826">
        <v>825</v>
      </c>
      <c r="B826" s="1">
        <v>45840</v>
      </c>
      <c r="C826" t="s">
        <v>18</v>
      </c>
      <c r="D826" t="s">
        <v>26</v>
      </c>
      <c r="E826" t="s">
        <v>32</v>
      </c>
      <c r="F826" t="s">
        <v>39</v>
      </c>
      <c r="G826" t="s">
        <v>71</v>
      </c>
      <c r="H826" t="s">
        <v>75</v>
      </c>
      <c r="I826">
        <v>2</v>
      </c>
      <c r="J826">
        <v>2732</v>
      </c>
      <c r="K826">
        <v>0.05</v>
      </c>
      <c r="L826">
        <v>5190.8</v>
      </c>
      <c r="M826">
        <v>3196.57</v>
      </c>
      <c r="N826">
        <v>1994.23</v>
      </c>
      <c r="O826" t="s">
        <v>78</v>
      </c>
      <c r="P826" t="s">
        <v>86</v>
      </c>
    </row>
    <row r="827" spans="1:16" x14ac:dyDescent="0.25">
      <c r="A827">
        <v>826</v>
      </c>
      <c r="B827" s="1">
        <v>45809</v>
      </c>
      <c r="C827" t="s">
        <v>18</v>
      </c>
      <c r="D827" t="s">
        <v>26</v>
      </c>
      <c r="E827" t="s">
        <v>28</v>
      </c>
      <c r="F827" t="s">
        <v>58</v>
      </c>
      <c r="G827" t="s">
        <v>71</v>
      </c>
      <c r="H827" t="s">
        <v>73</v>
      </c>
      <c r="I827">
        <v>6</v>
      </c>
      <c r="J827">
        <v>1301</v>
      </c>
      <c r="K827">
        <v>0.1</v>
      </c>
      <c r="L827">
        <v>7025.4</v>
      </c>
      <c r="M827">
        <v>5578.44</v>
      </c>
      <c r="N827">
        <v>1446.96</v>
      </c>
      <c r="O827" t="s">
        <v>78</v>
      </c>
      <c r="P827" t="s">
        <v>82</v>
      </c>
    </row>
    <row r="828" spans="1:16" x14ac:dyDescent="0.25">
      <c r="A828">
        <v>827</v>
      </c>
      <c r="B828" s="1">
        <v>45918</v>
      </c>
      <c r="C828" t="s">
        <v>21</v>
      </c>
      <c r="D828" t="s">
        <v>24</v>
      </c>
      <c r="E828" t="s">
        <v>29</v>
      </c>
      <c r="F828" t="s">
        <v>36</v>
      </c>
      <c r="G828" t="s">
        <v>72</v>
      </c>
      <c r="H828" t="s">
        <v>73</v>
      </c>
      <c r="I828">
        <v>6</v>
      </c>
      <c r="J828">
        <v>10510</v>
      </c>
      <c r="K828">
        <v>0.05</v>
      </c>
      <c r="L828">
        <v>59907</v>
      </c>
      <c r="M828">
        <v>35747.17</v>
      </c>
      <c r="N828">
        <v>24159.83</v>
      </c>
      <c r="O828" t="s">
        <v>76</v>
      </c>
      <c r="P828" t="s">
        <v>86</v>
      </c>
    </row>
    <row r="829" spans="1:16" x14ac:dyDescent="0.25">
      <c r="A829">
        <v>828</v>
      </c>
      <c r="B829" s="1">
        <v>45808</v>
      </c>
      <c r="C829" t="s">
        <v>19</v>
      </c>
      <c r="D829" t="s">
        <v>26</v>
      </c>
      <c r="E829" t="s">
        <v>30</v>
      </c>
      <c r="F829" t="s">
        <v>56</v>
      </c>
      <c r="G829" t="s">
        <v>70</v>
      </c>
      <c r="H829" t="s">
        <v>73</v>
      </c>
      <c r="I829">
        <v>8</v>
      </c>
      <c r="J829">
        <v>27011</v>
      </c>
      <c r="K829">
        <v>0.1</v>
      </c>
      <c r="L829">
        <v>194479.2</v>
      </c>
      <c r="M829">
        <v>165697.87</v>
      </c>
      <c r="N829">
        <v>28781.33</v>
      </c>
      <c r="O829" t="s">
        <v>78</v>
      </c>
      <c r="P829" t="s">
        <v>88</v>
      </c>
    </row>
    <row r="830" spans="1:16" x14ac:dyDescent="0.25">
      <c r="A830">
        <v>829</v>
      </c>
      <c r="B830" s="1">
        <v>45857</v>
      </c>
      <c r="C830" t="s">
        <v>18</v>
      </c>
      <c r="D830" t="s">
        <v>26</v>
      </c>
      <c r="E830" t="s">
        <v>34</v>
      </c>
      <c r="F830" t="s">
        <v>68</v>
      </c>
      <c r="G830" t="s">
        <v>70</v>
      </c>
      <c r="H830" t="s">
        <v>73</v>
      </c>
      <c r="I830">
        <v>3</v>
      </c>
      <c r="J830">
        <v>2498</v>
      </c>
      <c r="K830">
        <v>0.1</v>
      </c>
      <c r="L830">
        <v>6744.6</v>
      </c>
      <c r="M830">
        <v>4887.16</v>
      </c>
      <c r="N830">
        <v>1857.44</v>
      </c>
      <c r="O830" t="s">
        <v>78</v>
      </c>
      <c r="P830" t="s">
        <v>86</v>
      </c>
    </row>
    <row r="831" spans="1:16" x14ac:dyDescent="0.25">
      <c r="A831">
        <v>830</v>
      </c>
      <c r="B831" s="1">
        <v>45919</v>
      </c>
      <c r="C831" t="s">
        <v>19</v>
      </c>
      <c r="D831" t="s">
        <v>26</v>
      </c>
      <c r="E831" t="s">
        <v>34</v>
      </c>
      <c r="F831" t="s">
        <v>51</v>
      </c>
      <c r="G831" t="s">
        <v>71</v>
      </c>
      <c r="H831" t="s">
        <v>75</v>
      </c>
      <c r="I831">
        <v>4</v>
      </c>
      <c r="J831">
        <v>4283</v>
      </c>
      <c r="K831">
        <v>0.05</v>
      </c>
      <c r="L831">
        <v>16275.4</v>
      </c>
      <c r="M831">
        <v>13528.61</v>
      </c>
      <c r="N831">
        <v>2746.79</v>
      </c>
      <c r="O831" t="s">
        <v>79</v>
      </c>
      <c r="P831" t="s">
        <v>88</v>
      </c>
    </row>
    <row r="832" spans="1:16" x14ac:dyDescent="0.25">
      <c r="A832">
        <v>831</v>
      </c>
      <c r="B832" s="1">
        <v>45866</v>
      </c>
      <c r="C832" t="s">
        <v>17</v>
      </c>
      <c r="D832" t="s">
        <v>25</v>
      </c>
      <c r="E832" t="s">
        <v>28</v>
      </c>
      <c r="F832" t="s">
        <v>63</v>
      </c>
      <c r="G832" t="s">
        <v>72</v>
      </c>
      <c r="H832" t="s">
        <v>75</v>
      </c>
      <c r="I832">
        <v>1</v>
      </c>
      <c r="J832">
        <v>1984</v>
      </c>
      <c r="K832">
        <v>0.1</v>
      </c>
      <c r="L832">
        <v>1785.6</v>
      </c>
      <c r="M832">
        <v>1181.33</v>
      </c>
      <c r="N832">
        <v>604.27</v>
      </c>
      <c r="O832" t="s">
        <v>80</v>
      </c>
      <c r="P832" t="s">
        <v>85</v>
      </c>
    </row>
    <row r="833" spans="1:16" x14ac:dyDescent="0.25">
      <c r="A833">
        <v>832</v>
      </c>
      <c r="B833" s="1">
        <v>45701</v>
      </c>
      <c r="C833" t="s">
        <v>22</v>
      </c>
      <c r="D833" t="s">
        <v>24</v>
      </c>
      <c r="E833" t="s">
        <v>29</v>
      </c>
      <c r="F833" t="s">
        <v>45</v>
      </c>
      <c r="G833" t="s">
        <v>70</v>
      </c>
      <c r="H833" t="s">
        <v>75</v>
      </c>
      <c r="I833">
        <v>6</v>
      </c>
      <c r="J833">
        <v>6665</v>
      </c>
      <c r="K833">
        <v>0.1</v>
      </c>
      <c r="L833">
        <v>35991</v>
      </c>
      <c r="M833">
        <v>21146.21</v>
      </c>
      <c r="N833">
        <v>14844.79</v>
      </c>
      <c r="O833" t="s">
        <v>76</v>
      </c>
      <c r="P833" t="s">
        <v>88</v>
      </c>
    </row>
    <row r="834" spans="1:16" x14ac:dyDescent="0.25">
      <c r="A834">
        <v>833</v>
      </c>
      <c r="B834" s="1">
        <v>45948</v>
      </c>
      <c r="C834" t="s">
        <v>21</v>
      </c>
      <c r="D834" t="s">
        <v>24</v>
      </c>
      <c r="E834" t="s">
        <v>33</v>
      </c>
      <c r="F834" t="s">
        <v>52</v>
      </c>
      <c r="G834" t="s">
        <v>72</v>
      </c>
      <c r="H834" t="s">
        <v>73</v>
      </c>
      <c r="I834">
        <v>6</v>
      </c>
      <c r="J834">
        <v>9943</v>
      </c>
      <c r="K834">
        <v>0</v>
      </c>
      <c r="L834">
        <v>59658</v>
      </c>
      <c r="M834">
        <v>51461.22</v>
      </c>
      <c r="N834">
        <v>8196.7800000000007</v>
      </c>
      <c r="O834" t="s">
        <v>80</v>
      </c>
      <c r="P834" t="s">
        <v>87</v>
      </c>
    </row>
    <row r="835" spans="1:16" x14ac:dyDescent="0.25">
      <c r="A835">
        <v>834</v>
      </c>
      <c r="B835" s="1">
        <v>45807</v>
      </c>
      <c r="C835" t="s">
        <v>17</v>
      </c>
      <c r="D835" t="s">
        <v>25</v>
      </c>
      <c r="E835" t="s">
        <v>32</v>
      </c>
      <c r="F835" t="s">
        <v>62</v>
      </c>
      <c r="G835" t="s">
        <v>72</v>
      </c>
      <c r="H835" t="s">
        <v>75</v>
      </c>
      <c r="I835">
        <v>3</v>
      </c>
      <c r="J835">
        <v>19374</v>
      </c>
      <c r="K835">
        <v>0</v>
      </c>
      <c r="L835">
        <v>58122</v>
      </c>
      <c r="M835">
        <v>32713.13</v>
      </c>
      <c r="N835">
        <v>25408.87</v>
      </c>
      <c r="O835" t="s">
        <v>80</v>
      </c>
      <c r="P835" t="s">
        <v>83</v>
      </c>
    </row>
    <row r="836" spans="1:16" x14ac:dyDescent="0.25">
      <c r="A836">
        <v>835</v>
      </c>
      <c r="B836" s="1">
        <v>45706</v>
      </c>
      <c r="C836" t="s">
        <v>20</v>
      </c>
      <c r="D836" t="s">
        <v>26</v>
      </c>
      <c r="E836" t="s">
        <v>28</v>
      </c>
      <c r="F836" t="s">
        <v>63</v>
      </c>
      <c r="G836" t="s">
        <v>70</v>
      </c>
      <c r="H836" t="s">
        <v>75</v>
      </c>
      <c r="I836">
        <v>7</v>
      </c>
      <c r="J836">
        <v>440</v>
      </c>
      <c r="K836">
        <v>0.1</v>
      </c>
      <c r="L836">
        <v>2772</v>
      </c>
      <c r="M836">
        <v>2075.38</v>
      </c>
      <c r="N836">
        <v>696.62</v>
      </c>
      <c r="O836" t="s">
        <v>76</v>
      </c>
      <c r="P836" t="s">
        <v>84</v>
      </c>
    </row>
    <row r="837" spans="1:16" x14ac:dyDescent="0.25">
      <c r="A837">
        <v>836</v>
      </c>
      <c r="B837" s="1">
        <v>45738</v>
      </c>
      <c r="C837" t="s">
        <v>16</v>
      </c>
      <c r="D837" t="s">
        <v>24</v>
      </c>
      <c r="E837" t="s">
        <v>30</v>
      </c>
      <c r="F837" t="s">
        <v>64</v>
      </c>
      <c r="G837" t="s">
        <v>72</v>
      </c>
      <c r="H837" t="s">
        <v>73</v>
      </c>
      <c r="I837">
        <v>7</v>
      </c>
      <c r="J837">
        <v>26944</v>
      </c>
      <c r="K837">
        <v>0</v>
      </c>
      <c r="L837">
        <v>188608</v>
      </c>
      <c r="M837">
        <v>155825.10999999999</v>
      </c>
      <c r="N837">
        <v>32782.89</v>
      </c>
      <c r="O837" t="s">
        <v>77</v>
      </c>
      <c r="P837" t="s">
        <v>83</v>
      </c>
    </row>
    <row r="838" spans="1:16" x14ac:dyDescent="0.25">
      <c r="A838">
        <v>837</v>
      </c>
      <c r="B838" s="1">
        <v>45769</v>
      </c>
      <c r="C838" t="s">
        <v>17</v>
      </c>
      <c r="D838" t="s">
        <v>25</v>
      </c>
      <c r="E838" t="s">
        <v>34</v>
      </c>
      <c r="F838" t="s">
        <v>51</v>
      </c>
      <c r="G838" t="s">
        <v>70</v>
      </c>
      <c r="H838" t="s">
        <v>75</v>
      </c>
      <c r="I838">
        <v>1</v>
      </c>
      <c r="J838">
        <v>1328</v>
      </c>
      <c r="K838">
        <v>0.15</v>
      </c>
      <c r="L838">
        <v>1128.8</v>
      </c>
      <c r="M838">
        <v>810.82</v>
      </c>
      <c r="N838">
        <v>317.98</v>
      </c>
      <c r="O838" t="s">
        <v>79</v>
      </c>
      <c r="P838" t="s">
        <v>84</v>
      </c>
    </row>
    <row r="839" spans="1:16" x14ac:dyDescent="0.25">
      <c r="A839">
        <v>838</v>
      </c>
      <c r="B839" s="1">
        <v>45852</v>
      </c>
      <c r="C839" t="s">
        <v>23</v>
      </c>
      <c r="D839" t="s">
        <v>27</v>
      </c>
      <c r="E839" t="s">
        <v>30</v>
      </c>
      <c r="F839" t="s">
        <v>44</v>
      </c>
      <c r="G839" t="s">
        <v>70</v>
      </c>
      <c r="H839" t="s">
        <v>75</v>
      </c>
      <c r="I839">
        <v>5</v>
      </c>
      <c r="J839">
        <v>15121</v>
      </c>
      <c r="K839">
        <v>0.1</v>
      </c>
      <c r="L839">
        <v>68044.5</v>
      </c>
      <c r="M839">
        <v>37848.25</v>
      </c>
      <c r="N839">
        <v>30196.25</v>
      </c>
      <c r="O839" t="s">
        <v>77</v>
      </c>
      <c r="P839" t="s">
        <v>85</v>
      </c>
    </row>
    <row r="840" spans="1:16" x14ac:dyDescent="0.25">
      <c r="A840">
        <v>839</v>
      </c>
      <c r="B840" s="1">
        <v>45760</v>
      </c>
      <c r="C840" t="s">
        <v>16</v>
      </c>
      <c r="D840" t="s">
        <v>24</v>
      </c>
      <c r="E840" t="s">
        <v>29</v>
      </c>
      <c r="F840" t="s">
        <v>36</v>
      </c>
      <c r="G840" t="s">
        <v>71</v>
      </c>
      <c r="H840" t="s">
        <v>74</v>
      </c>
      <c r="I840">
        <v>7</v>
      </c>
      <c r="J840">
        <v>8510</v>
      </c>
      <c r="K840">
        <v>0.05</v>
      </c>
      <c r="L840">
        <v>56591.5</v>
      </c>
      <c r="M840">
        <v>49452.73</v>
      </c>
      <c r="N840">
        <v>7138.77</v>
      </c>
      <c r="O840" t="s">
        <v>78</v>
      </c>
      <c r="P840" t="s">
        <v>86</v>
      </c>
    </row>
    <row r="841" spans="1:16" x14ac:dyDescent="0.25">
      <c r="A841">
        <v>840</v>
      </c>
      <c r="B841" s="1">
        <v>45707</v>
      </c>
      <c r="C841" t="s">
        <v>21</v>
      </c>
      <c r="D841" t="s">
        <v>24</v>
      </c>
      <c r="E841" t="s">
        <v>32</v>
      </c>
      <c r="F841" t="s">
        <v>39</v>
      </c>
      <c r="G841" t="s">
        <v>70</v>
      </c>
      <c r="H841" t="s">
        <v>74</v>
      </c>
      <c r="I841">
        <v>5</v>
      </c>
      <c r="J841">
        <v>11907</v>
      </c>
      <c r="K841">
        <v>0.15</v>
      </c>
      <c r="L841">
        <v>50604.75</v>
      </c>
      <c r="M841">
        <v>34236.28</v>
      </c>
      <c r="N841">
        <v>16368.47</v>
      </c>
      <c r="O841" t="s">
        <v>78</v>
      </c>
      <c r="P841" t="s">
        <v>81</v>
      </c>
    </row>
    <row r="842" spans="1:16" x14ac:dyDescent="0.25">
      <c r="A842">
        <v>841</v>
      </c>
      <c r="B842" s="1">
        <v>45935</v>
      </c>
      <c r="C842" t="s">
        <v>22</v>
      </c>
      <c r="D842" t="s">
        <v>24</v>
      </c>
      <c r="E842" t="s">
        <v>34</v>
      </c>
      <c r="F842" t="s">
        <v>51</v>
      </c>
      <c r="G842" t="s">
        <v>72</v>
      </c>
      <c r="H842" t="s">
        <v>73</v>
      </c>
      <c r="I842">
        <v>8</v>
      </c>
      <c r="J842">
        <v>1064</v>
      </c>
      <c r="K842">
        <v>0.05</v>
      </c>
      <c r="L842">
        <v>8086.4</v>
      </c>
      <c r="M842">
        <v>7090.93</v>
      </c>
      <c r="N842">
        <v>995.47</v>
      </c>
      <c r="O842" t="s">
        <v>80</v>
      </c>
      <c r="P842" t="s">
        <v>85</v>
      </c>
    </row>
    <row r="843" spans="1:16" x14ac:dyDescent="0.25">
      <c r="A843">
        <v>842</v>
      </c>
      <c r="B843" s="1">
        <v>45788</v>
      </c>
      <c r="C843" t="s">
        <v>19</v>
      </c>
      <c r="D843" t="s">
        <v>26</v>
      </c>
      <c r="E843" t="s">
        <v>34</v>
      </c>
      <c r="F843" t="s">
        <v>43</v>
      </c>
      <c r="G843" t="s">
        <v>70</v>
      </c>
      <c r="H843" t="s">
        <v>73</v>
      </c>
      <c r="I843">
        <v>8</v>
      </c>
      <c r="J843">
        <v>4955</v>
      </c>
      <c r="K843">
        <v>0.15</v>
      </c>
      <c r="L843">
        <v>33694</v>
      </c>
      <c r="M843">
        <v>25531.24</v>
      </c>
      <c r="N843">
        <v>8162.76</v>
      </c>
      <c r="O843" t="s">
        <v>79</v>
      </c>
      <c r="P843" t="s">
        <v>85</v>
      </c>
    </row>
    <row r="844" spans="1:16" x14ac:dyDescent="0.25">
      <c r="A844">
        <v>843</v>
      </c>
      <c r="B844" s="1">
        <v>45954</v>
      </c>
      <c r="C844" t="s">
        <v>23</v>
      </c>
      <c r="D844" t="s">
        <v>27</v>
      </c>
      <c r="E844" t="s">
        <v>29</v>
      </c>
      <c r="F844" t="s">
        <v>36</v>
      </c>
      <c r="G844" t="s">
        <v>72</v>
      </c>
      <c r="H844" t="s">
        <v>74</v>
      </c>
      <c r="I844">
        <v>4</v>
      </c>
      <c r="J844">
        <v>10748</v>
      </c>
      <c r="K844">
        <v>0.15</v>
      </c>
      <c r="L844">
        <v>36543.199999999997</v>
      </c>
      <c r="M844">
        <v>24629.49</v>
      </c>
      <c r="N844">
        <v>11913.71</v>
      </c>
      <c r="O844" t="s">
        <v>77</v>
      </c>
      <c r="P844" t="s">
        <v>85</v>
      </c>
    </row>
    <row r="845" spans="1:16" x14ac:dyDescent="0.25">
      <c r="A845">
        <v>844</v>
      </c>
      <c r="B845" s="1">
        <v>45742</v>
      </c>
      <c r="C845" t="s">
        <v>19</v>
      </c>
      <c r="D845" t="s">
        <v>26</v>
      </c>
      <c r="E845" t="s">
        <v>29</v>
      </c>
      <c r="F845" t="s">
        <v>42</v>
      </c>
      <c r="G845" t="s">
        <v>71</v>
      </c>
      <c r="H845" t="s">
        <v>73</v>
      </c>
      <c r="I845">
        <v>4</v>
      </c>
      <c r="J845">
        <v>7864</v>
      </c>
      <c r="K845">
        <v>0</v>
      </c>
      <c r="L845">
        <v>31456</v>
      </c>
      <c r="M845">
        <v>27296.720000000001</v>
      </c>
      <c r="N845">
        <v>4159.28</v>
      </c>
      <c r="O845" t="s">
        <v>78</v>
      </c>
      <c r="P845" t="s">
        <v>86</v>
      </c>
    </row>
    <row r="846" spans="1:16" x14ac:dyDescent="0.25">
      <c r="A846">
        <v>845</v>
      </c>
      <c r="B846" s="1">
        <v>45694</v>
      </c>
      <c r="C846" t="s">
        <v>20</v>
      </c>
      <c r="D846" t="s">
        <v>26</v>
      </c>
      <c r="E846" t="s">
        <v>29</v>
      </c>
      <c r="F846" t="s">
        <v>42</v>
      </c>
      <c r="G846" t="s">
        <v>72</v>
      </c>
      <c r="H846" t="s">
        <v>75</v>
      </c>
      <c r="I846">
        <v>5</v>
      </c>
      <c r="J846">
        <v>7303</v>
      </c>
      <c r="K846">
        <v>0.05</v>
      </c>
      <c r="L846">
        <v>34689.25</v>
      </c>
      <c r="M846">
        <v>28538.84</v>
      </c>
      <c r="N846">
        <v>6150.41</v>
      </c>
      <c r="O846" t="s">
        <v>79</v>
      </c>
      <c r="P846" t="s">
        <v>88</v>
      </c>
    </row>
    <row r="847" spans="1:16" x14ac:dyDescent="0.25">
      <c r="A847">
        <v>846</v>
      </c>
      <c r="B847" s="1">
        <v>45901</v>
      </c>
      <c r="C847" t="s">
        <v>18</v>
      </c>
      <c r="D847" t="s">
        <v>26</v>
      </c>
      <c r="E847" t="s">
        <v>31</v>
      </c>
      <c r="F847" t="s">
        <v>38</v>
      </c>
      <c r="G847" t="s">
        <v>71</v>
      </c>
      <c r="H847" t="s">
        <v>75</v>
      </c>
      <c r="I847">
        <v>4</v>
      </c>
      <c r="J847">
        <v>983</v>
      </c>
      <c r="K847">
        <v>0.05</v>
      </c>
      <c r="L847">
        <v>3735.4</v>
      </c>
      <c r="M847">
        <v>3202.6</v>
      </c>
      <c r="N847">
        <v>532.79999999999995</v>
      </c>
      <c r="O847" t="s">
        <v>76</v>
      </c>
      <c r="P847" t="s">
        <v>85</v>
      </c>
    </row>
    <row r="848" spans="1:16" x14ac:dyDescent="0.25">
      <c r="A848">
        <v>847</v>
      </c>
      <c r="B848" s="1">
        <v>45667</v>
      </c>
      <c r="C848" t="s">
        <v>20</v>
      </c>
      <c r="D848" t="s">
        <v>26</v>
      </c>
      <c r="E848" t="s">
        <v>33</v>
      </c>
      <c r="F848" t="s">
        <v>52</v>
      </c>
      <c r="G848" t="s">
        <v>71</v>
      </c>
      <c r="H848" t="s">
        <v>75</v>
      </c>
      <c r="I848">
        <v>4</v>
      </c>
      <c r="J848">
        <v>39056</v>
      </c>
      <c r="K848">
        <v>0.1</v>
      </c>
      <c r="L848">
        <v>140601.60000000001</v>
      </c>
      <c r="M848">
        <v>104014.04</v>
      </c>
      <c r="N848">
        <v>36587.56</v>
      </c>
      <c r="O848" t="s">
        <v>80</v>
      </c>
      <c r="P848" t="s">
        <v>82</v>
      </c>
    </row>
    <row r="849" spans="1:16" x14ac:dyDescent="0.25">
      <c r="A849">
        <v>848</v>
      </c>
      <c r="B849" s="1">
        <v>45672</v>
      </c>
      <c r="C849" t="s">
        <v>21</v>
      </c>
      <c r="D849" t="s">
        <v>24</v>
      </c>
      <c r="E849" t="s">
        <v>33</v>
      </c>
      <c r="F849" t="s">
        <v>46</v>
      </c>
      <c r="G849" t="s">
        <v>71</v>
      </c>
      <c r="H849" t="s">
        <v>73</v>
      </c>
      <c r="I849">
        <v>3</v>
      </c>
      <c r="J849">
        <v>6046</v>
      </c>
      <c r="K849">
        <v>0.1</v>
      </c>
      <c r="L849">
        <v>16324.2</v>
      </c>
      <c r="M849">
        <v>12692.5</v>
      </c>
      <c r="N849">
        <v>3631.7</v>
      </c>
      <c r="O849" t="s">
        <v>76</v>
      </c>
      <c r="P849" t="s">
        <v>86</v>
      </c>
    </row>
    <row r="850" spans="1:16" x14ac:dyDescent="0.25">
      <c r="A850">
        <v>849</v>
      </c>
      <c r="B850" s="1">
        <v>45828</v>
      </c>
      <c r="C850" t="s">
        <v>21</v>
      </c>
      <c r="D850" t="s">
        <v>24</v>
      </c>
      <c r="E850" t="s">
        <v>31</v>
      </c>
      <c r="F850" t="s">
        <v>50</v>
      </c>
      <c r="G850" t="s">
        <v>72</v>
      </c>
      <c r="H850" t="s">
        <v>73</v>
      </c>
      <c r="I850">
        <v>3</v>
      </c>
      <c r="J850">
        <v>1656</v>
      </c>
      <c r="K850">
        <v>0.1</v>
      </c>
      <c r="L850">
        <v>4471.2</v>
      </c>
      <c r="M850">
        <v>2962.18</v>
      </c>
      <c r="N850">
        <v>1509.02</v>
      </c>
      <c r="O850" t="s">
        <v>78</v>
      </c>
      <c r="P850" t="s">
        <v>87</v>
      </c>
    </row>
    <row r="851" spans="1:16" x14ac:dyDescent="0.25">
      <c r="A851">
        <v>850</v>
      </c>
      <c r="B851" s="1">
        <v>45711</v>
      </c>
      <c r="C851" t="s">
        <v>20</v>
      </c>
      <c r="D851" t="s">
        <v>26</v>
      </c>
      <c r="E851" t="s">
        <v>30</v>
      </c>
      <c r="F851" t="s">
        <v>37</v>
      </c>
      <c r="G851" t="s">
        <v>71</v>
      </c>
      <c r="H851" t="s">
        <v>74</v>
      </c>
      <c r="I851">
        <v>7</v>
      </c>
      <c r="J851">
        <v>65266</v>
      </c>
      <c r="K851">
        <v>0.15</v>
      </c>
      <c r="L851">
        <v>388332.7</v>
      </c>
      <c r="M851">
        <v>316101.75</v>
      </c>
      <c r="N851">
        <v>72230.95</v>
      </c>
      <c r="O851" t="s">
        <v>78</v>
      </c>
      <c r="P851" t="s">
        <v>82</v>
      </c>
    </row>
    <row r="852" spans="1:16" x14ac:dyDescent="0.25">
      <c r="A852">
        <v>851</v>
      </c>
      <c r="B852" s="1">
        <v>45958</v>
      </c>
      <c r="C852" t="s">
        <v>21</v>
      </c>
      <c r="D852" t="s">
        <v>24</v>
      </c>
      <c r="E852" t="s">
        <v>28</v>
      </c>
      <c r="F852" t="s">
        <v>58</v>
      </c>
      <c r="G852" t="s">
        <v>72</v>
      </c>
      <c r="H852" t="s">
        <v>73</v>
      </c>
      <c r="I852">
        <v>2</v>
      </c>
      <c r="J852">
        <v>1630</v>
      </c>
      <c r="K852">
        <v>0.2</v>
      </c>
      <c r="L852">
        <v>2608</v>
      </c>
      <c r="M852">
        <v>1606.59</v>
      </c>
      <c r="N852">
        <v>1001.41</v>
      </c>
      <c r="O852" t="s">
        <v>76</v>
      </c>
      <c r="P852" t="s">
        <v>81</v>
      </c>
    </row>
    <row r="853" spans="1:16" x14ac:dyDescent="0.25">
      <c r="A853">
        <v>852</v>
      </c>
      <c r="B853" s="1">
        <v>45881</v>
      </c>
      <c r="C853" t="s">
        <v>19</v>
      </c>
      <c r="D853" t="s">
        <v>26</v>
      </c>
      <c r="E853" t="s">
        <v>32</v>
      </c>
      <c r="F853" t="s">
        <v>66</v>
      </c>
      <c r="G853" t="s">
        <v>71</v>
      </c>
      <c r="H853" t="s">
        <v>73</v>
      </c>
      <c r="I853">
        <v>4</v>
      </c>
      <c r="J853">
        <v>17027</v>
      </c>
      <c r="K853">
        <v>0.15</v>
      </c>
      <c r="L853">
        <v>57891.8</v>
      </c>
      <c r="M853">
        <v>41034.93</v>
      </c>
      <c r="N853">
        <v>16856.87</v>
      </c>
      <c r="O853" t="s">
        <v>79</v>
      </c>
      <c r="P853" t="s">
        <v>86</v>
      </c>
    </row>
    <row r="854" spans="1:16" x14ac:dyDescent="0.25">
      <c r="A854">
        <v>853</v>
      </c>
      <c r="B854" s="1">
        <v>45790</v>
      </c>
      <c r="C854" t="s">
        <v>18</v>
      </c>
      <c r="D854" t="s">
        <v>26</v>
      </c>
      <c r="E854" t="s">
        <v>29</v>
      </c>
      <c r="F854" t="s">
        <v>36</v>
      </c>
      <c r="G854" t="s">
        <v>70</v>
      </c>
      <c r="H854" t="s">
        <v>74</v>
      </c>
      <c r="I854">
        <v>1</v>
      </c>
      <c r="J854">
        <v>4532</v>
      </c>
      <c r="K854">
        <v>0.05</v>
      </c>
      <c r="L854">
        <v>4305.3999999999996</v>
      </c>
      <c r="M854">
        <v>3064.65</v>
      </c>
      <c r="N854">
        <v>1240.75</v>
      </c>
      <c r="O854" t="s">
        <v>79</v>
      </c>
      <c r="P854" t="s">
        <v>83</v>
      </c>
    </row>
    <row r="855" spans="1:16" x14ac:dyDescent="0.25">
      <c r="A855">
        <v>854</v>
      </c>
      <c r="B855" s="1">
        <v>45804</v>
      </c>
      <c r="C855" t="s">
        <v>20</v>
      </c>
      <c r="D855" t="s">
        <v>26</v>
      </c>
      <c r="E855" t="s">
        <v>28</v>
      </c>
      <c r="F855" t="s">
        <v>54</v>
      </c>
      <c r="G855" t="s">
        <v>71</v>
      </c>
      <c r="H855" t="s">
        <v>75</v>
      </c>
      <c r="I855">
        <v>3</v>
      </c>
      <c r="J855">
        <v>2212</v>
      </c>
      <c r="K855">
        <v>0.15</v>
      </c>
      <c r="L855">
        <v>5640.6</v>
      </c>
      <c r="M855">
        <v>4071.24</v>
      </c>
      <c r="N855">
        <v>1569.36</v>
      </c>
      <c r="O855" t="s">
        <v>80</v>
      </c>
      <c r="P855" t="s">
        <v>84</v>
      </c>
    </row>
    <row r="856" spans="1:16" x14ac:dyDescent="0.25">
      <c r="A856">
        <v>855</v>
      </c>
      <c r="B856" s="1">
        <v>45948</v>
      </c>
      <c r="C856" t="s">
        <v>20</v>
      </c>
      <c r="D856" t="s">
        <v>26</v>
      </c>
      <c r="E856" t="s">
        <v>34</v>
      </c>
      <c r="F856" t="s">
        <v>68</v>
      </c>
      <c r="G856" t="s">
        <v>71</v>
      </c>
      <c r="H856" t="s">
        <v>74</v>
      </c>
      <c r="I856">
        <v>6</v>
      </c>
      <c r="J856">
        <v>3384</v>
      </c>
      <c r="K856">
        <v>0</v>
      </c>
      <c r="L856">
        <v>20304</v>
      </c>
      <c r="M856">
        <v>16423.21</v>
      </c>
      <c r="N856">
        <v>3880.79</v>
      </c>
      <c r="O856" t="s">
        <v>76</v>
      </c>
      <c r="P856" t="s">
        <v>87</v>
      </c>
    </row>
    <row r="857" spans="1:16" x14ac:dyDescent="0.25">
      <c r="A857">
        <v>856</v>
      </c>
      <c r="B857" s="1">
        <v>45985</v>
      </c>
      <c r="C857" t="s">
        <v>23</v>
      </c>
      <c r="D857" t="s">
        <v>27</v>
      </c>
      <c r="E857" t="s">
        <v>34</v>
      </c>
      <c r="F857" t="s">
        <v>55</v>
      </c>
      <c r="G857" t="s">
        <v>70</v>
      </c>
      <c r="H857" t="s">
        <v>74</v>
      </c>
      <c r="I857">
        <v>8</v>
      </c>
      <c r="J857">
        <v>260</v>
      </c>
      <c r="K857">
        <v>0</v>
      </c>
      <c r="L857">
        <v>2080</v>
      </c>
      <c r="M857">
        <v>1626.75</v>
      </c>
      <c r="N857">
        <v>453.25</v>
      </c>
      <c r="O857" t="s">
        <v>76</v>
      </c>
      <c r="P857" t="s">
        <v>84</v>
      </c>
    </row>
    <row r="858" spans="1:16" x14ac:dyDescent="0.25">
      <c r="A858">
        <v>857</v>
      </c>
      <c r="B858" s="1">
        <v>45743</v>
      </c>
      <c r="C858" t="s">
        <v>20</v>
      </c>
      <c r="D858" t="s">
        <v>26</v>
      </c>
      <c r="E858" t="s">
        <v>29</v>
      </c>
      <c r="F858" t="s">
        <v>45</v>
      </c>
      <c r="G858" t="s">
        <v>72</v>
      </c>
      <c r="H858" t="s">
        <v>75</v>
      </c>
      <c r="I858">
        <v>3</v>
      </c>
      <c r="J858">
        <v>11506</v>
      </c>
      <c r="K858">
        <v>0.1</v>
      </c>
      <c r="L858">
        <v>31066.2</v>
      </c>
      <c r="M858">
        <v>20381.05</v>
      </c>
      <c r="N858">
        <v>10685.15</v>
      </c>
      <c r="O858" t="s">
        <v>78</v>
      </c>
      <c r="P858" t="s">
        <v>86</v>
      </c>
    </row>
    <row r="859" spans="1:16" x14ac:dyDescent="0.25">
      <c r="A859">
        <v>858</v>
      </c>
      <c r="B859" s="1">
        <v>45744</v>
      </c>
      <c r="C859" t="s">
        <v>21</v>
      </c>
      <c r="D859" t="s">
        <v>24</v>
      </c>
      <c r="E859" t="s">
        <v>28</v>
      </c>
      <c r="F859" t="s">
        <v>61</v>
      </c>
      <c r="G859" t="s">
        <v>72</v>
      </c>
      <c r="H859" t="s">
        <v>75</v>
      </c>
      <c r="I859">
        <v>4</v>
      </c>
      <c r="J859">
        <v>1779</v>
      </c>
      <c r="K859">
        <v>0.05</v>
      </c>
      <c r="L859">
        <v>6760.2</v>
      </c>
      <c r="M859">
        <v>5020.3900000000003</v>
      </c>
      <c r="N859">
        <v>1739.81</v>
      </c>
      <c r="O859" t="s">
        <v>77</v>
      </c>
      <c r="P859" t="s">
        <v>87</v>
      </c>
    </row>
    <row r="860" spans="1:16" x14ac:dyDescent="0.25">
      <c r="A860">
        <v>859</v>
      </c>
      <c r="B860" s="1">
        <v>45658</v>
      </c>
      <c r="C860" t="s">
        <v>20</v>
      </c>
      <c r="D860" t="s">
        <v>26</v>
      </c>
      <c r="E860" t="s">
        <v>34</v>
      </c>
      <c r="F860" t="s">
        <v>55</v>
      </c>
      <c r="G860" t="s">
        <v>72</v>
      </c>
      <c r="H860" t="s">
        <v>73</v>
      </c>
      <c r="I860">
        <v>1</v>
      </c>
      <c r="J860">
        <v>4277</v>
      </c>
      <c r="K860">
        <v>0.1</v>
      </c>
      <c r="L860">
        <v>3849.3</v>
      </c>
      <c r="M860">
        <v>3241.97</v>
      </c>
      <c r="N860">
        <v>607.33000000000004</v>
      </c>
      <c r="O860" t="s">
        <v>78</v>
      </c>
      <c r="P860" t="s">
        <v>82</v>
      </c>
    </row>
    <row r="861" spans="1:16" x14ac:dyDescent="0.25">
      <c r="A861">
        <v>860</v>
      </c>
      <c r="B861" s="1">
        <v>45909</v>
      </c>
      <c r="C861" t="s">
        <v>19</v>
      </c>
      <c r="D861" t="s">
        <v>26</v>
      </c>
      <c r="E861" t="s">
        <v>30</v>
      </c>
      <c r="F861" t="s">
        <v>64</v>
      </c>
      <c r="G861" t="s">
        <v>70</v>
      </c>
      <c r="H861" t="s">
        <v>74</v>
      </c>
      <c r="I861">
        <v>3</v>
      </c>
      <c r="J861">
        <v>20169</v>
      </c>
      <c r="K861">
        <v>0.05</v>
      </c>
      <c r="L861">
        <v>57481.65</v>
      </c>
      <c r="M861">
        <v>47052.33</v>
      </c>
      <c r="N861">
        <v>10429.32</v>
      </c>
      <c r="O861" t="s">
        <v>80</v>
      </c>
      <c r="P861" t="s">
        <v>84</v>
      </c>
    </row>
    <row r="862" spans="1:16" x14ac:dyDescent="0.25">
      <c r="A862">
        <v>861</v>
      </c>
      <c r="B862" s="1">
        <v>45971</v>
      </c>
      <c r="C862" t="s">
        <v>16</v>
      </c>
      <c r="D862" t="s">
        <v>24</v>
      </c>
      <c r="E862" t="s">
        <v>34</v>
      </c>
      <c r="F862" t="s">
        <v>55</v>
      </c>
      <c r="G862" t="s">
        <v>72</v>
      </c>
      <c r="H862" t="s">
        <v>73</v>
      </c>
      <c r="I862">
        <v>2</v>
      </c>
      <c r="J862">
        <v>4976</v>
      </c>
      <c r="K862">
        <v>0.15</v>
      </c>
      <c r="L862">
        <v>8459.2000000000007</v>
      </c>
      <c r="M862">
        <v>4755.55</v>
      </c>
      <c r="N862">
        <v>3703.65</v>
      </c>
      <c r="O862" t="s">
        <v>77</v>
      </c>
      <c r="P862" t="s">
        <v>83</v>
      </c>
    </row>
    <row r="863" spans="1:16" x14ac:dyDescent="0.25">
      <c r="A863">
        <v>862</v>
      </c>
      <c r="B863" s="1">
        <v>45916</v>
      </c>
      <c r="C863" t="s">
        <v>21</v>
      </c>
      <c r="D863" t="s">
        <v>24</v>
      </c>
      <c r="E863" t="s">
        <v>30</v>
      </c>
      <c r="F863" t="s">
        <v>44</v>
      </c>
      <c r="G863" t="s">
        <v>71</v>
      </c>
      <c r="H863" t="s">
        <v>74</v>
      </c>
      <c r="I863">
        <v>2</v>
      </c>
      <c r="J863">
        <v>53685</v>
      </c>
      <c r="K863">
        <v>0.05</v>
      </c>
      <c r="L863">
        <v>102001.5</v>
      </c>
      <c r="M863">
        <v>58079.93</v>
      </c>
      <c r="N863">
        <v>43921.57</v>
      </c>
      <c r="O863" t="s">
        <v>80</v>
      </c>
      <c r="P863" t="s">
        <v>81</v>
      </c>
    </row>
    <row r="864" spans="1:16" x14ac:dyDescent="0.25">
      <c r="A864">
        <v>863</v>
      </c>
      <c r="B864" s="1">
        <v>45970</v>
      </c>
      <c r="C864" t="s">
        <v>20</v>
      </c>
      <c r="D864" t="s">
        <v>26</v>
      </c>
      <c r="E864" t="s">
        <v>34</v>
      </c>
      <c r="F864" t="s">
        <v>55</v>
      </c>
      <c r="G864" t="s">
        <v>71</v>
      </c>
      <c r="H864" t="s">
        <v>75</v>
      </c>
      <c r="I864">
        <v>8</v>
      </c>
      <c r="J864">
        <v>5417</v>
      </c>
      <c r="K864">
        <v>0</v>
      </c>
      <c r="L864">
        <v>43336</v>
      </c>
      <c r="M864">
        <v>25721.51</v>
      </c>
      <c r="N864">
        <v>17614.490000000002</v>
      </c>
      <c r="O864" t="s">
        <v>78</v>
      </c>
      <c r="P864" t="s">
        <v>85</v>
      </c>
    </row>
    <row r="865" spans="1:16" x14ac:dyDescent="0.25">
      <c r="A865">
        <v>864</v>
      </c>
      <c r="B865" s="1">
        <v>45744</v>
      </c>
      <c r="C865" t="s">
        <v>20</v>
      </c>
      <c r="D865" t="s">
        <v>26</v>
      </c>
      <c r="E865" t="s">
        <v>32</v>
      </c>
      <c r="F865" t="s">
        <v>62</v>
      </c>
      <c r="G865" t="s">
        <v>70</v>
      </c>
      <c r="H865" t="s">
        <v>73</v>
      </c>
      <c r="I865">
        <v>4</v>
      </c>
      <c r="J865">
        <v>17873</v>
      </c>
      <c r="K865">
        <v>0</v>
      </c>
      <c r="L865">
        <v>71492</v>
      </c>
      <c r="M865">
        <v>48822.51</v>
      </c>
      <c r="N865">
        <v>22669.49</v>
      </c>
      <c r="O865" t="s">
        <v>78</v>
      </c>
      <c r="P865" t="s">
        <v>88</v>
      </c>
    </row>
    <row r="866" spans="1:16" x14ac:dyDescent="0.25">
      <c r="A866">
        <v>865</v>
      </c>
      <c r="B866" s="1">
        <v>45750</v>
      </c>
      <c r="C866" t="s">
        <v>16</v>
      </c>
      <c r="D866" t="s">
        <v>24</v>
      </c>
      <c r="E866" t="s">
        <v>31</v>
      </c>
      <c r="F866" t="s">
        <v>47</v>
      </c>
      <c r="G866" t="s">
        <v>72</v>
      </c>
      <c r="H866" t="s">
        <v>74</v>
      </c>
      <c r="I866">
        <v>2</v>
      </c>
      <c r="J866">
        <v>1909</v>
      </c>
      <c r="K866">
        <v>0</v>
      </c>
      <c r="L866">
        <v>3818</v>
      </c>
      <c r="M866">
        <v>3038.72</v>
      </c>
      <c r="N866">
        <v>779.28</v>
      </c>
      <c r="O866" t="s">
        <v>77</v>
      </c>
      <c r="P866" t="s">
        <v>81</v>
      </c>
    </row>
    <row r="867" spans="1:16" x14ac:dyDescent="0.25">
      <c r="A867">
        <v>866</v>
      </c>
      <c r="B867" s="1">
        <v>45838</v>
      </c>
      <c r="C867" t="s">
        <v>22</v>
      </c>
      <c r="D867" t="s">
        <v>24</v>
      </c>
      <c r="E867" t="s">
        <v>32</v>
      </c>
      <c r="F867" t="s">
        <v>62</v>
      </c>
      <c r="G867" t="s">
        <v>70</v>
      </c>
      <c r="H867" t="s">
        <v>74</v>
      </c>
      <c r="I867">
        <v>3</v>
      </c>
      <c r="J867">
        <v>16001</v>
      </c>
      <c r="K867">
        <v>0.05</v>
      </c>
      <c r="L867">
        <v>45602.85</v>
      </c>
      <c r="M867">
        <v>29708.55</v>
      </c>
      <c r="N867">
        <v>15894.3</v>
      </c>
      <c r="O867" t="s">
        <v>79</v>
      </c>
      <c r="P867" t="s">
        <v>88</v>
      </c>
    </row>
    <row r="868" spans="1:16" x14ac:dyDescent="0.25">
      <c r="A868">
        <v>867</v>
      </c>
      <c r="B868" s="1">
        <v>45743</v>
      </c>
      <c r="C868" t="s">
        <v>17</v>
      </c>
      <c r="D868" t="s">
        <v>25</v>
      </c>
      <c r="E868" t="s">
        <v>28</v>
      </c>
      <c r="F868" t="s">
        <v>61</v>
      </c>
      <c r="G868" t="s">
        <v>72</v>
      </c>
      <c r="H868" t="s">
        <v>74</v>
      </c>
      <c r="I868">
        <v>4</v>
      </c>
      <c r="J868">
        <v>1761</v>
      </c>
      <c r="K868">
        <v>0.05</v>
      </c>
      <c r="L868">
        <v>6691.8</v>
      </c>
      <c r="M868">
        <v>3867.37</v>
      </c>
      <c r="N868">
        <v>2824.43</v>
      </c>
      <c r="O868" t="s">
        <v>80</v>
      </c>
      <c r="P868" t="s">
        <v>88</v>
      </c>
    </row>
    <row r="869" spans="1:16" x14ac:dyDescent="0.25">
      <c r="A869">
        <v>868</v>
      </c>
      <c r="B869" s="1">
        <v>45936</v>
      </c>
      <c r="C869" t="s">
        <v>20</v>
      </c>
      <c r="D869" t="s">
        <v>26</v>
      </c>
      <c r="E869" t="s">
        <v>34</v>
      </c>
      <c r="F869" t="s">
        <v>65</v>
      </c>
      <c r="G869" t="s">
        <v>72</v>
      </c>
      <c r="H869" t="s">
        <v>73</v>
      </c>
      <c r="I869">
        <v>3</v>
      </c>
      <c r="J869">
        <v>4132</v>
      </c>
      <c r="K869">
        <v>0</v>
      </c>
      <c r="L869">
        <v>12396</v>
      </c>
      <c r="M869">
        <v>7269.23</v>
      </c>
      <c r="N869">
        <v>5126.7700000000004</v>
      </c>
      <c r="O869" t="s">
        <v>77</v>
      </c>
      <c r="P869" t="s">
        <v>86</v>
      </c>
    </row>
    <row r="870" spans="1:16" x14ac:dyDescent="0.25">
      <c r="A870">
        <v>869</v>
      </c>
      <c r="B870" s="1">
        <v>45896</v>
      </c>
      <c r="C870" t="s">
        <v>19</v>
      </c>
      <c r="D870" t="s">
        <v>26</v>
      </c>
      <c r="E870" t="s">
        <v>34</v>
      </c>
      <c r="F870" t="s">
        <v>55</v>
      </c>
      <c r="G870" t="s">
        <v>71</v>
      </c>
      <c r="H870" t="s">
        <v>73</v>
      </c>
      <c r="I870">
        <v>8</v>
      </c>
      <c r="J870">
        <v>5150</v>
      </c>
      <c r="K870">
        <v>0.1</v>
      </c>
      <c r="L870">
        <v>37080</v>
      </c>
      <c r="M870">
        <v>31049.58</v>
      </c>
      <c r="N870">
        <v>6030.42</v>
      </c>
      <c r="O870" t="s">
        <v>80</v>
      </c>
      <c r="P870" t="s">
        <v>83</v>
      </c>
    </row>
    <row r="871" spans="1:16" x14ac:dyDescent="0.25">
      <c r="A871">
        <v>870</v>
      </c>
      <c r="B871" s="1">
        <v>46022</v>
      </c>
      <c r="C871" t="s">
        <v>17</v>
      </c>
      <c r="D871" t="s">
        <v>25</v>
      </c>
      <c r="E871" t="s">
        <v>31</v>
      </c>
      <c r="F871" t="s">
        <v>69</v>
      </c>
      <c r="G871" t="s">
        <v>71</v>
      </c>
      <c r="H871" t="s">
        <v>73</v>
      </c>
      <c r="I871">
        <v>7</v>
      </c>
      <c r="J871">
        <v>1935</v>
      </c>
      <c r="K871">
        <v>0</v>
      </c>
      <c r="L871">
        <v>13545</v>
      </c>
      <c r="M871">
        <v>9215.68</v>
      </c>
      <c r="N871">
        <v>4329.32</v>
      </c>
      <c r="O871" t="s">
        <v>76</v>
      </c>
      <c r="P871" t="s">
        <v>82</v>
      </c>
    </row>
    <row r="872" spans="1:16" x14ac:dyDescent="0.25">
      <c r="A872">
        <v>871</v>
      </c>
      <c r="B872" s="1">
        <v>45720</v>
      </c>
      <c r="C872" t="s">
        <v>21</v>
      </c>
      <c r="D872" t="s">
        <v>24</v>
      </c>
      <c r="E872" t="s">
        <v>33</v>
      </c>
      <c r="F872" t="s">
        <v>41</v>
      </c>
      <c r="G872" t="s">
        <v>70</v>
      </c>
      <c r="H872" t="s">
        <v>73</v>
      </c>
      <c r="I872">
        <v>8</v>
      </c>
      <c r="J872">
        <v>13111</v>
      </c>
      <c r="K872">
        <v>0</v>
      </c>
      <c r="L872">
        <v>104888</v>
      </c>
      <c r="M872">
        <v>63284.37</v>
      </c>
      <c r="N872">
        <v>41603.629999999997</v>
      </c>
      <c r="O872" t="s">
        <v>76</v>
      </c>
      <c r="P872" t="s">
        <v>86</v>
      </c>
    </row>
    <row r="873" spans="1:16" x14ac:dyDescent="0.25">
      <c r="A873">
        <v>872</v>
      </c>
      <c r="B873" s="1">
        <v>45906</v>
      </c>
      <c r="C873" t="s">
        <v>19</v>
      </c>
      <c r="D873" t="s">
        <v>26</v>
      </c>
      <c r="E873" t="s">
        <v>31</v>
      </c>
      <c r="F873" t="s">
        <v>38</v>
      </c>
      <c r="G873" t="s">
        <v>72</v>
      </c>
      <c r="H873" t="s">
        <v>75</v>
      </c>
      <c r="I873">
        <v>5</v>
      </c>
      <c r="J873">
        <v>1671</v>
      </c>
      <c r="K873">
        <v>0.15</v>
      </c>
      <c r="L873">
        <v>7101.75</v>
      </c>
      <c r="M873">
        <v>4586.7299999999996</v>
      </c>
      <c r="N873">
        <v>2515.02</v>
      </c>
      <c r="O873" t="s">
        <v>78</v>
      </c>
      <c r="P873" t="s">
        <v>87</v>
      </c>
    </row>
    <row r="874" spans="1:16" x14ac:dyDescent="0.25">
      <c r="A874">
        <v>873</v>
      </c>
      <c r="B874" s="1">
        <v>45763</v>
      </c>
      <c r="C874" t="s">
        <v>18</v>
      </c>
      <c r="D874" t="s">
        <v>26</v>
      </c>
      <c r="E874" t="s">
        <v>32</v>
      </c>
      <c r="F874" t="s">
        <v>39</v>
      </c>
      <c r="G874" t="s">
        <v>70</v>
      </c>
      <c r="H874" t="s">
        <v>74</v>
      </c>
      <c r="I874">
        <v>7</v>
      </c>
      <c r="J874">
        <v>21876</v>
      </c>
      <c r="K874">
        <v>0.1</v>
      </c>
      <c r="L874">
        <v>137818.79999999999</v>
      </c>
      <c r="M874">
        <v>116129.2</v>
      </c>
      <c r="N874">
        <v>21689.599999999999</v>
      </c>
      <c r="O874" t="s">
        <v>77</v>
      </c>
      <c r="P874" t="s">
        <v>82</v>
      </c>
    </row>
    <row r="875" spans="1:16" x14ac:dyDescent="0.25">
      <c r="A875">
        <v>874</v>
      </c>
      <c r="B875" s="1">
        <v>45672</v>
      </c>
      <c r="C875" t="s">
        <v>16</v>
      </c>
      <c r="D875" t="s">
        <v>24</v>
      </c>
      <c r="E875" t="s">
        <v>29</v>
      </c>
      <c r="F875" t="s">
        <v>57</v>
      </c>
      <c r="G875" t="s">
        <v>71</v>
      </c>
      <c r="H875" t="s">
        <v>74</v>
      </c>
      <c r="I875">
        <v>7</v>
      </c>
      <c r="J875">
        <v>9127</v>
      </c>
      <c r="K875">
        <v>0.05</v>
      </c>
      <c r="L875">
        <v>60694.55</v>
      </c>
      <c r="M875">
        <v>49249.48</v>
      </c>
      <c r="N875">
        <v>11445.07</v>
      </c>
      <c r="O875" t="s">
        <v>79</v>
      </c>
      <c r="P875" t="s">
        <v>83</v>
      </c>
    </row>
    <row r="876" spans="1:16" x14ac:dyDescent="0.25">
      <c r="A876">
        <v>875</v>
      </c>
      <c r="B876" s="1">
        <v>45689</v>
      </c>
      <c r="C876" t="s">
        <v>18</v>
      </c>
      <c r="D876" t="s">
        <v>26</v>
      </c>
      <c r="E876" t="s">
        <v>33</v>
      </c>
      <c r="F876" t="s">
        <v>46</v>
      </c>
      <c r="G876" t="s">
        <v>71</v>
      </c>
      <c r="H876" t="s">
        <v>75</v>
      </c>
      <c r="I876">
        <v>8</v>
      </c>
      <c r="J876">
        <v>31781</v>
      </c>
      <c r="K876">
        <v>0.05</v>
      </c>
      <c r="L876">
        <v>241535.6</v>
      </c>
      <c r="M876">
        <v>159299.75</v>
      </c>
      <c r="N876">
        <v>82235.850000000006</v>
      </c>
      <c r="O876" t="s">
        <v>80</v>
      </c>
      <c r="P876" t="s">
        <v>84</v>
      </c>
    </row>
    <row r="877" spans="1:16" x14ac:dyDescent="0.25">
      <c r="A877">
        <v>876</v>
      </c>
      <c r="B877" s="1">
        <v>46010</v>
      </c>
      <c r="C877" t="s">
        <v>23</v>
      </c>
      <c r="D877" t="s">
        <v>27</v>
      </c>
      <c r="E877" t="s">
        <v>30</v>
      </c>
      <c r="F877" t="s">
        <v>64</v>
      </c>
      <c r="G877" t="s">
        <v>71</v>
      </c>
      <c r="H877" t="s">
        <v>73</v>
      </c>
      <c r="I877">
        <v>1</v>
      </c>
      <c r="J877">
        <v>40597</v>
      </c>
      <c r="K877">
        <v>0.15</v>
      </c>
      <c r="L877">
        <v>34507.449999999997</v>
      </c>
      <c r="M877">
        <v>29893.41</v>
      </c>
      <c r="N877">
        <v>4614.04</v>
      </c>
      <c r="O877" t="s">
        <v>78</v>
      </c>
      <c r="P877" t="s">
        <v>81</v>
      </c>
    </row>
    <row r="878" spans="1:16" x14ac:dyDescent="0.25">
      <c r="A878">
        <v>877</v>
      </c>
      <c r="B878" s="1">
        <v>45998</v>
      </c>
      <c r="C878" t="s">
        <v>23</v>
      </c>
      <c r="D878" t="s">
        <v>27</v>
      </c>
      <c r="E878" t="s">
        <v>33</v>
      </c>
      <c r="F878" t="s">
        <v>60</v>
      </c>
      <c r="G878" t="s">
        <v>70</v>
      </c>
      <c r="H878" t="s">
        <v>73</v>
      </c>
      <c r="I878">
        <v>7</v>
      </c>
      <c r="J878">
        <v>22104</v>
      </c>
      <c r="K878">
        <v>0.15</v>
      </c>
      <c r="L878">
        <v>131518.79999999999</v>
      </c>
      <c r="M878">
        <v>102363.81</v>
      </c>
      <c r="N878">
        <v>29154.99</v>
      </c>
      <c r="O878" t="s">
        <v>76</v>
      </c>
      <c r="P878" t="s">
        <v>88</v>
      </c>
    </row>
    <row r="879" spans="1:16" x14ac:dyDescent="0.25">
      <c r="A879">
        <v>878</v>
      </c>
      <c r="B879" s="1">
        <v>45782</v>
      </c>
      <c r="C879" t="s">
        <v>23</v>
      </c>
      <c r="D879" t="s">
        <v>27</v>
      </c>
      <c r="E879" t="s">
        <v>28</v>
      </c>
      <c r="F879" t="s">
        <v>35</v>
      </c>
      <c r="G879" t="s">
        <v>72</v>
      </c>
      <c r="H879" t="s">
        <v>73</v>
      </c>
      <c r="I879">
        <v>3</v>
      </c>
      <c r="J879">
        <v>2202</v>
      </c>
      <c r="K879">
        <v>0</v>
      </c>
      <c r="L879">
        <v>6606</v>
      </c>
      <c r="M879">
        <v>5638.02</v>
      </c>
      <c r="N879">
        <v>967.98</v>
      </c>
      <c r="O879" t="s">
        <v>80</v>
      </c>
      <c r="P879" t="s">
        <v>84</v>
      </c>
    </row>
    <row r="880" spans="1:16" x14ac:dyDescent="0.25">
      <c r="A880">
        <v>879</v>
      </c>
      <c r="B880" s="1">
        <v>45886</v>
      </c>
      <c r="C880" t="s">
        <v>18</v>
      </c>
      <c r="D880" t="s">
        <v>26</v>
      </c>
      <c r="E880" t="s">
        <v>31</v>
      </c>
      <c r="F880" t="s">
        <v>47</v>
      </c>
      <c r="G880" t="s">
        <v>72</v>
      </c>
      <c r="H880" t="s">
        <v>75</v>
      </c>
      <c r="I880">
        <v>6</v>
      </c>
      <c r="J880">
        <v>2369</v>
      </c>
      <c r="K880">
        <v>0.15</v>
      </c>
      <c r="L880">
        <v>12081.9</v>
      </c>
      <c r="M880">
        <v>9011.7999999999993</v>
      </c>
      <c r="N880">
        <v>3070.1</v>
      </c>
      <c r="O880" t="s">
        <v>79</v>
      </c>
      <c r="P880" t="s">
        <v>83</v>
      </c>
    </row>
    <row r="881" spans="1:16" x14ac:dyDescent="0.25">
      <c r="A881">
        <v>880</v>
      </c>
      <c r="B881" s="1">
        <v>45817</v>
      </c>
      <c r="C881" t="s">
        <v>20</v>
      </c>
      <c r="D881" t="s">
        <v>26</v>
      </c>
      <c r="E881" t="s">
        <v>28</v>
      </c>
      <c r="F881" t="s">
        <v>63</v>
      </c>
      <c r="G881" t="s">
        <v>72</v>
      </c>
      <c r="H881" t="s">
        <v>75</v>
      </c>
      <c r="I881">
        <v>6</v>
      </c>
      <c r="J881">
        <v>2415</v>
      </c>
      <c r="K881">
        <v>0</v>
      </c>
      <c r="L881">
        <v>14490</v>
      </c>
      <c r="M881">
        <v>9218.9</v>
      </c>
      <c r="N881">
        <v>5271.1</v>
      </c>
      <c r="O881" t="s">
        <v>79</v>
      </c>
      <c r="P881" t="s">
        <v>86</v>
      </c>
    </row>
    <row r="882" spans="1:16" x14ac:dyDescent="0.25">
      <c r="A882">
        <v>881</v>
      </c>
      <c r="B882" s="1">
        <v>45844</v>
      </c>
      <c r="C882" t="s">
        <v>19</v>
      </c>
      <c r="D882" t="s">
        <v>26</v>
      </c>
      <c r="E882" t="s">
        <v>31</v>
      </c>
      <c r="F882" t="s">
        <v>50</v>
      </c>
      <c r="G882" t="s">
        <v>71</v>
      </c>
      <c r="H882" t="s">
        <v>75</v>
      </c>
      <c r="I882">
        <v>6</v>
      </c>
      <c r="J882">
        <v>1779</v>
      </c>
      <c r="K882">
        <v>0.05</v>
      </c>
      <c r="L882">
        <v>10140.299999999999</v>
      </c>
      <c r="M882">
        <v>5871.48</v>
      </c>
      <c r="N882">
        <v>4268.82</v>
      </c>
      <c r="O882" t="s">
        <v>78</v>
      </c>
      <c r="P882" t="s">
        <v>82</v>
      </c>
    </row>
    <row r="883" spans="1:16" x14ac:dyDescent="0.25">
      <c r="A883">
        <v>882</v>
      </c>
      <c r="B883" s="1">
        <v>46004</v>
      </c>
      <c r="C883" t="s">
        <v>20</v>
      </c>
      <c r="D883" t="s">
        <v>26</v>
      </c>
      <c r="E883" t="s">
        <v>33</v>
      </c>
      <c r="F883" t="s">
        <v>60</v>
      </c>
      <c r="G883" t="s">
        <v>72</v>
      </c>
      <c r="H883" t="s">
        <v>73</v>
      </c>
      <c r="I883">
        <v>4</v>
      </c>
      <c r="J883">
        <v>33647</v>
      </c>
      <c r="K883">
        <v>0.05</v>
      </c>
      <c r="L883">
        <v>127858.6</v>
      </c>
      <c r="M883">
        <v>80705.97</v>
      </c>
      <c r="N883">
        <v>47152.63</v>
      </c>
      <c r="O883" t="s">
        <v>79</v>
      </c>
      <c r="P883" t="s">
        <v>82</v>
      </c>
    </row>
    <row r="884" spans="1:16" x14ac:dyDescent="0.25">
      <c r="A884">
        <v>883</v>
      </c>
      <c r="B884" s="1">
        <v>45836</v>
      </c>
      <c r="C884" t="s">
        <v>20</v>
      </c>
      <c r="D884" t="s">
        <v>26</v>
      </c>
      <c r="E884" t="s">
        <v>31</v>
      </c>
      <c r="F884" t="s">
        <v>47</v>
      </c>
      <c r="G884" t="s">
        <v>72</v>
      </c>
      <c r="H884" t="s">
        <v>75</v>
      </c>
      <c r="I884">
        <v>6</v>
      </c>
      <c r="J884">
        <v>1376</v>
      </c>
      <c r="K884">
        <v>0.05</v>
      </c>
      <c r="L884">
        <v>7843.2</v>
      </c>
      <c r="M884">
        <v>5838.95</v>
      </c>
      <c r="N884">
        <v>2004.25</v>
      </c>
      <c r="O884" t="s">
        <v>76</v>
      </c>
      <c r="P884" t="s">
        <v>83</v>
      </c>
    </row>
    <row r="885" spans="1:16" x14ac:dyDescent="0.25">
      <c r="A885">
        <v>884</v>
      </c>
      <c r="B885" s="1">
        <v>45664</v>
      </c>
      <c r="C885" t="s">
        <v>20</v>
      </c>
      <c r="D885" t="s">
        <v>26</v>
      </c>
      <c r="E885" t="s">
        <v>28</v>
      </c>
      <c r="F885" t="s">
        <v>63</v>
      </c>
      <c r="G885" t="s">
        <v>72</v>
      </c>
      <c r="H885" t="s">
        <v>73</v>
      </c>
      <c r="I885">
        <v>3</v>
      </c>
      <c r="J885">
        <v>597</v>
      </c>
      <c r="K885">
        <v>0.15</v>
      </c>
      <c r="L885">
        <v>1522.35</v>
      </c>
      <c r="M885">
        <v>991.69</v>
      </c>
      <c r="N885">
        <v>530.66</v>
      </c>
      <c r="O885" t="s">
        <v>79</v>
      </c>
      <c r="P885" t="s">
        <v>82</v>
      </c>
    </row>
    <row r="886" spans="1:16" x14ac:dyDescent="0.25">
      <c r="A886">
        <v>885</v>
      </c>
      <c r="B886" s="1">
        <v>45775</v>
      </c>
      <c r="C886" t="s">
        <v>17</v>
      </c>
      <c r="D886" t="s">
        <v>25</v>
      </c>
      <c r="E886" t="s">
        <v>33</v>
      </c>
      <c r="F886" t="s">
        <v>41</v>
      </c>
      <c r="G886" t="s">
        <v>72</v>
      </c>
      <c r="H886" t="s">
        <v>75</v>
      </c>
      <c r="I886">
        <v>1</v>
      </c>
      <c r="J886">
        <v>27452</v>
      </c>
      <c r="K886">
        <v>0</v>
      </c>
      <c r="L886">
        <v>27452</v>
      </c>
      <c r="M886">
        <v>23502.26</v>
      </c>
      <c r="N886">
        <v>3949.74</v>
      </c>
      <c r="O886" t="s">
        <v>78</v>
      </c>
      <c r="P886" t="s">
        <v>81</v>
      </c>
    </row>
    <row r="887" spans="1:16" x14ac:dyDescent="0.25">
      <c r="A887">
        <v>886</v>
      </c>
      <c r="B887" s="1">
        <v>45705</v>
      </c>
      <c r="C887" t="s">
        <v>20</v>
      </c>
      <c r="D887" t="s">
        <v>26</v>
      </c>
      <c r="E887" t="s">
        <v>33</v>
      </c>
      <c r="F887" t="s">
        <v>60</v>
      </c>
      <c r="G887" t="s">
        <v>70</v>
      </c>
      <c r="H887" t="s">
        <v>73</v>
      </c>
      <c r="I887">
        <v>8</v>
      </c>
      <c r="J887">
        <v>5053</v>
      </c>
      <c r="K887">
        <v>0.15</v>
      </c>
      <c r="L887">
        <v>34360.400000000001</v>
      </c>
      <c r="M887">
        <v>29945.09</v>
      </c>
      <c r="N887">
        <v>4415.3100000000004</v>
      </c>
      <c r="O887" t="s">
        <v>77</v>
      </c>
      <c r="P887" t="s">
        <v>87</v>
      </c>
    </row>
    <row r="888" spans="1:16" x14ac:dyDescent="0.25">
      <c r="A888">
        <v>887</v>
      </c>
      <c r="B888" s="1">
        <v>45723</v>
      </c>
      <c r="C888" t="s">
        <v>21</v>
      </c>
      <c r="D888" t="s">
        <v>24</v>
      </c>
      <c r="E888" t="s">
        <v>33</v>
      </c>
      <c r="F888" t="s">
        <v>59</v>
      </c>
      <c r="G888" t="s">
        <v>70</v>
      </c>
      <c r="H888" t="s">
        <v>73</v>
      </c>
      <c r="I888">
        <v>2</v>
      </c>
      <c r="J888">
        <v>45467</v>
      </c>
      <c r="K888">
        <v>0.15</v>
      </c>
      <c r="L888">
        <v>77293.899999999994</v>
      </c>
      <c r="M888">
        <v>56375.81</v>
      </c>
      <c r="N888">
        <v>20918.09</v>
      </c>
      <c r="O888" t="s">
        <v>78</v>
      </c>
      <c r="P888" t="s">
        <v>85</v>
      </c>
    </row>
    <row r="889" spans="1:16" x14ac:dyDescent="0.25">
      <c r="A889">
        <v>888</v>
      </c>
      <c r="B889" s="1">
        <v>45947</v>
      </c>
      <c r="C889" t="s">
        <v>22</v>
      </c>
      <c r="D889" t="s">
        <v>24</v>
      </c>
      <c r="E889" t="s">
        <v>28</v>
      </c>
      <c r="F889" t="s">
        <v>35</v>
      </c>
      <c r="G889" t="s">
        <v>72</v>
      </c>
      <c r="H889" t="s">
        <v>75</v>
      </c>
      <c r="I889">
        <v>3</v>
      </c>
      <c r="J889">
        <v>1177</v>
      </c>
      <c r="K889">
        <v>0</v>
      </c>
      <c r="L889">
        <v>3531</v>
      </c>
      <c r="M889">
        <v>2265.71</v>
      </c>
      <c r="N889">
        <v>1265.29</v>
      </c>
      <c r="O889" t="s">
        <v>78</v>
      </c>
      <c r="P889" t="s">
        <v>82</v>
      </c>
    </row>
    <row r="890" spans="1:16" x14ac:dyDescent="0.25">
      <c r="A890">
        <v>889</v>
      </c>
      <c r="B890" s="1">
        <v>45959</v>
      </c>
      <c r="C890" t="s">
        <v>21</v>
      </c>
      <c r="D890" t="s">
        <v>24</v>
      </c>
      <c r="E890" t="s">
        <v>33</v>
      </c>
      <c r="F890" t="s">
        <v>46</v>
      </c>
      <c r="G890" t="s">
        <v>70</v>
      </c>
      <c r="H890" t="s">
        <v>73</v>
      </c>
      <c r="I890">
        <v>1</v>
      </c>
      <c r="J890">
        <v>24793</v>
      </c>
      <c r="K890">
        <v>0.15</v>
      </c>
      <c r="L890">
        <v>21074.05</v>
      </c>
      <c r="M890">
        <v>14569.61</v>
      </c>
      <c r="N890">
        <v>6504.44</v>
      </c>
      <c r="O890" t="s">
        <v>79</v>
      </c>
      <c r="P890" t="s">
        <v>87</v>
      </c>
    </row>
    <row r="891" spans="1:16" x14ac:dyDescent="0.25">
      <c r="A891">
        <v>890</v>
      </c>
      <c r="B891" s="1">
        <v>45995</v>
      </c>
      <c r="C891" t="s">
        <v>20</v>
      </c>
      <c r="D891" t="s">
        <v>26</v>
      </c>
      <c r="E891" t="s">
        <v>29</v>
      </c>
      <c r="F891" t="s">
        <v>42</v>
      </c>
      <c r="G891" t="s">
        <v>72</v>
      </c>
      <c r="H891" t="s">
        <v>73</v>
      </c>
      <c r="I891">
        <v>7</v>
      </c>
      <c r="J891">
        <v>2253</v>
      </c>
      <c r="K891">
        <v>0.05</v>
      </c>
      <c r="L891">
        <v>14982.45</v>
      </c>
      <c r="M891">
        <v>11558.47</v>
      </c>
      <c r="N891">
        <v>3423.98</v>
      </c>
      <c r="O891" t="s">
        <v>79</v>
      </c>
      <c r="P891" t="s">
        <v>85</v>
      </c>
    </row>
    <row r="892" spans="1:16" x14ac:dyDescent="0.25">
      <c r="A892">
        <v>891</v>
      </c>
      <c r="B892" s="1">
        <v>45930</v>
      </c>
      <c r="C892" t="s">
        <v>20</v>
      </c>
      <c r="D892" t="s">
        <v>26</v>
      </c>
      <c r="E892" t="s">
        <v>32</v>
      </c>
      <c r="F892" t="s">
        <v>39</v>
      </c>
      <c r="G892" t="s">
        <v>71</v>
      </c>
      <c r="H892" t="s">
        <v>73</v>
      </c>
      <c r="I892">
        <v>3</v>
      </c>
      <c r="J892">
        <v>23682</v>
      </c>
      <c r="K892">
        <v>0.05</v>
      </c>
      <c r="L892">
        <v>67493.7</v>
      </c>
      <c r="M892">
        <v>42567.43</v>
      </c>
      <c r="N892">
        <v>24926.27</v>
      </c>
      <c r="O892" t="s">
        <v>77</v>
      </c>
      <c r="P892" t="s">
        <v>81</v>
      </c>
    </row>
    <row r="893" spans="1:16" x14ac:dyDescent="0.25">
      <c r="A893">
        <v>892</v>
      </c>
      <c r="B893" s="1">
        <v>45854</v>
      </c>
      <c r="C893" t="s">
        <v>20</v>
      </c>
      <c r="D893" t="s">
        <v>26</v>
      </c>
      <c r="E893" t="s">
        <v>32</v>
      </c>
      <c r="F893" t="s">
        <v>48</v>
      </c>
      <c r="G893" t="s">
        <v>70</v>
      </c>
      <c r="H893" t="s">
        <v>73</v>
      </c>
      <c r="I893">
        <v>4</v>
      </c>
      <c r="J893">
        <v>2063</v>
      </c>
      <c r="K893">
        <v>0</v>
      </c>
      <c r="L893">
        <v>8252</v>
      </c>
      <c r="M893">
        <v>5712.95</v>
      </c>
      <c r="N893">
        <v>2539.0500000000002</v>
      </c>
      <c r="O893" t="s">
        <v>80</v>
      </c>
      <c r="P893" t="s">
        <v>87</v>
      </c>
    </row>
    <row r="894" spans="1:16" x14ac:dyDescent="0.25">
      <c r="A894">
        <v>893</v>
      </c>
      <c r="B894" s="1">
        <v>45786</v>
      </c>
      <c r="C894" t="s">
        <v>23</v>
      </c>
      <c r="D894" t="s">
        <v>27</v>
      </c>
      <c r="E894" t="s">
        <v>32</v>
      </c>
      <c r="F894" t="s">
        <v>48</v>
      </c>
      <c r="G894" t="s">
        <v>72</v>
      </c>
      <c r="H894" t="s">
        <v>73</v>
      </c>
      <c r="I894">
        <v>8</v>
      </c>
      <c r="J894">
        <v>9491</v>
      </c>
      <c r="K894">
        <v>0.05</v>
      </c>
      <c r="L894">
        <v>72131.600000000006</v>
      </c>
      <c r="M894">
        <v>58764.22</v>
      </c>
      <c r="N894">
        <v>13367.38</v>
      </c>
      <c r="O894" t="s">
        <v>77</v>
      </c>
      <c r="P894" t="s">
        <v>82</v>
      </c>
    </row>
    <row r="895" spans="1:16" x14ac:dyDescent="0.25">
      <c r="A895">
        <v>894</v>
      </c>
      <c r="B895" s="1">
        <v>45732</v>
      </c>
      <c r="C895" t="s">
        <v>23</v>
      </c>
      <c r="D895" t="s">
        <v>27</v>
      </c>
      <c r="E895" t="s">
        <v>29</v>
      </c>
      <c r="F895" t="s">
        <v>57</v>
      </c>
      <c r="G895" t="s">
        <v>72</v>
      </c>
      <c r="H895" t="s">
        <v>74</v>
      </c>
      <c r="I895">
        <v>3</v>
      </c>
      <c r="J895">
        <v>9978</v>
      </c>
      <c r="K895">
        <v>0</v>
      </c>
      <c r="L895">
        <v>29934</v>
      </c>
      <c r="M895">
        <v>24323.22</v>
      </c>
      <c r="N895">
        <v>5610.78</v>
      </c>
      <c r="O895" t="s">
        <v>78</v>
      </c>
      <c r="P895" t="s">
        <v>81</v>
      </c>
    </row>
    <row r="896" spans="1:16" x14ac:dyDescent="0.25">
      <c r="A896">
        <v>895</v>
      </c>
      <c r="B896" s="1">
        <v>45921</v>
      </c>
      <c r="C896" t="s">
        <v>17</v>
      </c>
      <c r="D896" t="s">
        <v>25</v>
      </c>
      <c r="E896" t="s">
        <v>29</v>
      </c>
      <c r="F896" t="s">
        <v>42</v>
      </c>
      <c r="G896" t="s">
        <v>71</v>
      </c>
      <c r="H896" t="s">
        <v>73</v>
      </c>
      <c r="I896">
        <v>3</v>
      </c>
      <c r="J896">
        <v>2017</v>
      </c>
      <c r="K896">
        <v>0</v>
      </c>
      <c r="L896">
        <v>6051</v>
      </c>
      <c r="M896">
        <v>4232.93</v>
      </c>
      <c r="N896">
        <v>1818.07</v>
      </c>
      <c r="O896" t="s">
        <v>79</v>
      </c>
      <c r="P896" t="s">
        <v>86</v>
      </c>
    </row>
    <row r="897" spans="1:16" x14ac:dyDescent="0.25">
      <c r="A897">
        <v>896</v>
      </c>
      <c r="B897" s="1">
        <v>45674</v>
      </c>
      <c r="C897" t="s">
        <v>16</v>
      </c>
      <c r="D897" t="s">
        <v>24</v>
      </c>
      <c r="E897" t="s">
        <v>29</v>
      </c>
      <c r="F897" t="s">
        <v>57</v>
      </c>
      <c r="G897" t="s">
        <v>72</v>
      </c>
      <c r="H897" t="s">
        <v>73</v>
      </c>
      <c r="I897">
        <v>8</v>
      </c>
      <c r="J897">
        <v>682</v>
      </c>
      <c r="K897">
        <v>0.1</v>
      </c>
      <c r="L897">
        <v>4910.3999999999996</v>
      </c>
      <c r="M897">
        <v>3968.96</v>
      </c>
      <c r="N897">
        <v>941.44</v>
      </c>
      <c r="O897" t="s">
        <v>78</v>
      </c>
      <c r="P897" t="s">
        <v>87</v>
      </c>
    </row>
    <row r="898" spans="1:16" x14ac:dyDescent="0.25">
      <c r="A898">
        <v>897</v>
      </c>
      <c r="B898" s="1">
        <v>45946</v>
      </c>
      <c r="C898" t="s">
        <v>18</v>
      </c>
      <c r="D898" t="s">
        <v>26</v>
      </c>
      <c r="E898" t="s">
        <v>29</v>
      </c>
      <c r="F898" t="s">
        <v>53</v>
      </c>
      <c r="G898" t="s">
        <v>72</v>
      </c>
      <c r="H898" t="s">
        <v>75</v>
      </c>
      <c r="I898">
        <v>6</v>
      </c>
      <c r="J898">
        <v>6676</v>
      </c>
      <c r="K898">
        <v>0.1</v>
      </c>
      <c r="L898">
        <v>36050.400000000001</v>
      </c>
      <c r="M898">
        <v>24137.79</v>
      </c>
      <c r="N898">
        <v>11912.61</v>
      </c>
      <c r="O898" t="s">
        <v>79</v>
      </c>
      <c r="P898" t="s">
        <v>81</v>
      </c>
    </row>
    <row r="899" spans="1:16" x14ac:dyDescent="0.25">
      <c r="A899">
        <v>898</v>
      </c>
      <c r="B899" s="1">
        <v>45716</v>
      </c>
      <c r="C899" t="s">
        <v>22</v>
      </c>
      <c r="D899" t="s">
        <v>24</v>
      </c>
      <c r="E899" t="s">
        <v>33</v>
      </c>
      <c r="F899" t="s">
        <v>52</v>
      </c>
      <c r="G899" t="s">
        <v>71</v>
      </c>
      <c r="H899" t="s">
        <v>74</v>
      </c>
      <c r="I899">
        <v>7</v>
      </c>
      <c r="J899">
        <v>23883</v>
      </c>
      <c r="K899">
        <v>0.1</v>
      </c>
      <c r="L899">
        <v>150462.9</v>
      </c>
      <c r="M899">
        <v>112737.28</v>
      </c>
      <c r="N899">
        <v>37725.620000000003</v>
      </c>
      <c r="O899" t="s">
        <v>77</v>
      </c>
      <c r="P899" t="s">
        <v>84</v>
      </c>
    </row>
    <row r="900" spans="1:16" x14ac:dyDescent="0.25">
      <c r="A900">
        <v>899</v>
      </c>
      <c r="B900" s="1">
        <v>45786</v>
      </c>
      <c r="C900" t="s">
        <v>22</v>
      </c>
      <c r="D900" t="s">
        <v>24</v>
      </c>
      <c r="E900" t="s">
        <v>30</v>
      </c>
      <c r="F900" t="s">
        <v>40</v>
      </c>
      <c r="G900" t="s">
        <v>70</v>
      </c>
      <c r="H900" t="s">
        <v>74</v>
      </c>
      <c r="I900">
        <v>1</v>
      </c>
      <c r="J900">
        <v>33906</v>
      </c>
      <c r="K900">
        <v>0.05</v>
      </c>
      <c r="L900">
        <v>32210.7</v>
      </c>
      <c r="M900">
        <v>26279.94</v>
      </c>
      <c r="N900">
        <v>5930.76</v>
      </c>
      <c r="O900" t="s">
        <v>76</v>
      </c>
      <c r="P900" t="s">
        <v>81</v>
      </c>
    </row>
    <row r="901" spans="1:16" x14ac:dyDescent="0.25">
      <c r="A901">
        <v>900</v>
      </c>
      <c r="B901" s="1">
        <v>45892</v>
      </c>
      <c r="C901" t="s">
        <v>19</v>
      </c>
      <c r="D901" t="s">
        <v>26</v>
      </c>
      <c r="E901" t="s">
        <v>30</v>
      </c>
      <c r="F901" t="s">
        <v>44</v>
      </c>
      <c r="G901" t="s">
        <v>70</v>
      </c>
      <c r="H901" t="s">
        <v>73</v>
      </c>
      <c r="I901">
        <v>5</v>
      </c>
      <c r="J901">
        <v>22736</v>
      </c>
      <c r="K901">
        <v>0.1</v>
      </c>
      <c r="L901">
        <v>102312</v>
      </c>
      <c r="M901">
        <v>80522.62</v>
      </c>
      <c r="N901">
        <v>21789.38</v>
      </c>
      <c r="O901" t="s">
        <v>78</v>
      </c>
      <c r="P901" t="s">
        <v>84</v>
      </c>
    </row>
    <row r="902" spans="1:16" x14ac:dyDescent="0.25">
      <c r="A902">
        <v>901</v>
      </c>
      <c r="B902" s="1">
        <v>45964</v>
      </c>
      <c r="C902" t="s">
        <v>18</v>
      </c>
      <c r="D902" t="s">
        <v>26</v>
      </c>
      <c r="E902" t="s">
        <v>30</v>
      </c>
      <c r="F902" t="s">
        <v>64</v>
      </c>
      <c r="G902" t="s">
        <v>71</v>
      </c>
      <c r="H902" t="s">
        <v>75</v>
      </c>
      <c r="I902">
        <v>5</v>
      </c>
      <c r="J902">
        <v>63626</v>
      </c>
      <c r="K902">
        <v>0</v>
      </c>
      <c r="L902">
        <v>318130</v>
      </c>
      <c r="M902">
        <v>210257.14</v>
      </c>
      <c r="N902">
        <v>107872.86</v>
      </c>
      <c r="O902" t="s">
        <v>80</v>
      </c>
      <c r="P902" t="s">
        <v>83</v>
      </c>
    </row>
    <row r="903" spans="1:16" x14ac:dyDescent="0.25">
      <c r="A903">
        <v>902</v>
      </c>
      <c r="B903" s="1">
        <v>45953</v>
      </c>
      <c r="C903" t="s">
        <v>21</v>
      </c>
      <c r="D903" t="s">
        <v>24</v>
      </c>
      <c r="E903" t="s">
        <v>29</v>
      </c>
      <c r="F903" t="s">
        <v>57</v>
      </c>
      <c r="G903" t="s">
        <v>71</v>
      </c>
      <c r="H903" t="s">
        <v>73</v>
      </c>
      <c r="I903">
        <v>4</v>
      </c>
      <c r="J903">
        <v>5323</v>
      </c>
      <c r="K903">
        <v>0.1</v>
      </c>
      <c r="L903">
        <v>19162.8</v>
      </c>
      <c r="M903">
        <v>16219.69</v>
      </c>
      <c r="N903">
        <v>2943.11</v>
      </c>
      <c r="O903" t="s">
        <v>80</v>
      </c>
      <c r="P903" t="s">
        <v>81</v>
      </c>
    </row>
    <row r="904" spans="1:16" x14ac:dyDescent="0.25">
      <c r="A904">
        <v>903</v>
      </c>
      <c r="B904" s="1">
        <v>45920</v>
      </c>
      <c r="C904" t="s">
        <v>20</v>
      </c>
      <c r="D904" t="s">
        <v>26</v>
      </c>
      <c r="E904" t="s">
        <v>29</v>
      </c>
      <c r="F904" t="s">
        <v>57</v>
      </c>
      <c r="G904" t="s">
        <v>71</v>
      </c>
      <c r="H904" t="s">
        <v>74</v>
      </c>
      <c r="I904">
        <v>1</v>
      </c>
      <c r="J904">
        <v>9014</v>
      </c>
      <c r="K904">
        <v>0.2</v>
      </c>
      <c r="L904">
        <v>7211.2</v>
      </c>
      <c r="M904">
        <v>5555.46</v>
      </c>
      <c r="N904">
        <v>1655.74</v>
      </c>
      <c r="O904" t="s">
        <v>76</v>
      </c>
      <c r="P904" t="s">
        <v>88</v>
      </c>
    </row>
    <row r="905" spans="1:16" x14ac:dyDescent="0.25">
      <c r="A905">
        <v>904</v>
      </c>
      <c r="B905" s="1">
        <v>45815</v>
      </c>
      <c r="C905" t="s">
        <v>16</v>
      </c>
      <c r="D905" t="s">
        <v>24</v>
      </c>
      <c r="E905" t="s">
        <v>29</v>
      </c>
      <c r="F905" t="s">
        <v>53</v>
      </c>
      <c r="G905" t="s">
        <v>71</v>
      </c>
      <c r="H905" t="s">
        <v>73</v>
      </c>
      <c r="I905">
        <v>7</v>
      </c>
      <c r="J905">
        <v>4870</v>
      </c>
      <c r="K905">
        <v>0.1</v>
      </c>
      <c r="L905">
        <v>30681</v>
      </c>
      <c r="M905">
        <v>20635.05</v>
      </c>
      <c r="N905">
        <v>10045.950000000001</v>
      </c>
      <c r="O905" t="s">
        <v>78</v>
      </c>
      <c r="P905" t="s">
        <v>85</v>
      </c>
    </row>
    <row r="906" spans="1:16" x14ac:dyDescent="0.25">
      <c r="A906">
        <v>905</v>
      </c>
      <c r="B906" s="1">
        <v>45979</v>
      </c>
      <c r="C906" t="s">
        <v>22</v>
      </c>
      <c r="D906" t="s">
        <v>24</v>
      </c>
      <c r="E906" t="s">
        <v>29</v>
      </c>
      <c r="F906" t="s">
        <v>36</v>
      </c>
      <c r="G906" t="s">
        <v>70</v>
      </c>
      <c r="H906" t="s">
        <v>75</v>
      </c>
      <c r="I906">
        <v>2</v>
      </c>
      <c r="J906">
        <v>3997</v>
      </c>
      <c r="K906">
        <v>0.1</v>
      </c>
      <c r="L906">
        <v>7194.6</v>
      </c>
      <c r="M906">
        <v>5551.66</v>
      </c>
      <c r="N906">
        <v>1642.94</v>
      </c>
      <c r="O906" t="s">
        <v>78</v>
      </c>
      <c r="P906" t="s">
        <v>85</v>
      </c>
    </row>
    <row r="907" spans="1:16" x14ac:dyDescent="0.25">
      <c r="A907">
        <v>906</v>
      </c>
      <c r="B907" s="1">
        <v>45693</v>
      </c>
      <c r="C907" t="s">
        <v>22</v>
      </c>
      <c r="D907" t="s">
        <v>24</v>
      </c>
      <c r="E907" t="s">
        <v>31</v>
      </c>
      <c r="F907" t="s">
        <v>38</v>
      </c>
      <c r="G907" t="s">
        <v>71</v>
      </c>
      <c r="H907" t="s">
        <v>73</v>
      </c>
      <c r="I907">
        <v>4</v>
      </c>
      <c r="J907">
        <v>1308</v>
      </c>
      <c r="K907">
        <v>0.05</v>
      </c>
      <c r="L907">
        <v>4970.3999999999996</v>
      </c>
      <c r="M907">
        <v>3406.77</v>
      </c>
      <c r="N907">
        <v>1563.63</v>
      </c>
      <c r="O907" t="s">
        <v>78</v>
      </c>
      <c r="P907" t="s">
        <v>84</v>
      </c>
    </row>
    <row r="908" spans="1:16" x14ac:dyDescent="0.25">
      <c r="A908">
        <v>907</v>
      </c>
      <c r="B908" s="1">
        <v>45875</v>
      </c>
      <c r="C908" t="s">
        <v>22</v>
      </c>
      <c r="D908" t="s">
        <v>24</v>
      </c>
      <c r="E908" t="s">
        <v>33</v>
      </c>
      <c r="F908" t="s">
        <v>52</v>
      </c>
      <c r="G908" t="s">
        <v>72</v>
      </c>
      <c r="H908" t="s">
        <v>75</v>
      </c>
      <c r="I908">
        <v>3</v>
      </c>
      <c r="J908">
        <v>33566</v>
      </c>
      <c r="K908">
        <v>0.1</v>
      </c>
      <c r="L908">
        <v>90628.2</v>
      </c>
      <c r="M908">
        <v>77073.45</v>
      </c>
      <c r="N908">
        <v>13554.75</v>
      </c>
      <c r="O908" t="s">
        <v>80</v>
      </c>
      <c r="P908" t="s">
        <v>86</v>
      </c>
    </row>
    <row r="909" spans="1:16" x14ac:dyDescent="0.25">
      <c r="A909">
        <v>908</v>
      </c>
      <c r="B909" s="1">
        <v>45698</v>
      </c>
      <c r="C909" t="s">
        <v>23</v>
      </c>
      <c r="D909" t="s">
        <v>27</v>
      </c>
      <c r="E909" t="s">
        <v>34</v>
      </c>
      <c r="F909" t="s">
        <v>43</v>
      </c>
      <c r="G909" t="s">
        <v>70</v>
      </c>
      <c r="H909" t="s">
        <v>75</v>
      </c>
      <c r="I909">
        <v>2</v>
      </c>
      <c r="J909">
        <v>2091</v>
      </c>
      <c r="K909">
        <v>0.1</v>
      </c>
      <c r="L909">
        <v>3763.8</v>
      </c>
      <c r="M909">
        <v>2337.81</v>
      </c>
      <c r="N909">
        <v>1425.99</v>
      </c>
      <c r="O909" t="s">
        <v>76</v>
      </c>
      <c r="P909" t="s">
        <v>81</v>
      </c>
    </row>
    <row r="910" spans="1:16" x14ac:dyDescent="0.25">
      <c r="A910">
        <v>909</v>
      </c>
      <c r="B910" s="1">
        <v>45662</v>
      </c>
      <c r="C910" t="s">
        <v>17</v>
      </c>
      <c r="D910" t="s">
        <v>25</v>
      </c>
      <c r="E910" t="s">
        <v>32</v>
      </c>
      <c r="F910" t="s">
        <v>48</v>
      </c>
      <c r="G910" t="s">
        <v>72</v>
      </c>
      <c r="H910" t="s">
        <v>74</v>
      </c>
      <c r="I910">
        <v>8</v>
      </c>
      <c r="J910">
        <v>17073</v>
      </c>
      <c r="K910">
        <v>0.1</v>
      </c>
      <c r="L910">
        <v>122925.6</v>
      </c>
      <c r="M910">
        <v>96029.79</v>
      </c>
      <c r="N910">
        <v>26895.81</v>
      </c>
      <c r="O910" t="s">
        <v>76</v>
      </c>
      <c r="P910" t="s">
        <v>85</v>
      </c>
    </row>
    <row r="911" spans="1:16" x14ac:dyDescent="0.25">
      <c r="A911">
        <v>910</v>
      </c>
      <c r="B911" s="1">
        <v>45754</v>
      </c>
      <c r="C911" t="s">
        <v>18</v>
      </c>
      <c r="D911" t="s">
        <v>26</v>
      </c>
      <c r="E911" t="s">
        <v>32</v>
      </c>
      <c r="F911" t="s">
        <v>66</v>
      </c>
      <c r="G911" t="s">
        <v>71</v>
      </c>
      <c r="H911" t="s">
        <v>74</v>
      </c>
      <c r="I911">
        <v>1</v>
      </c>
      <c r="J911">
        <v>16674</v>
      </c>
      <c r="K911">
        <v>0.1</v>
      </c>
      <c r="L911">
        <v>15006.6</v>
      </c>
      <c r="M911">
        <v>8997.2199999999993</v>
      </c>
      <c r="N911">
        <v>6009.38</v>
      </c>
      <c r="O911" t="s">
        <v>77</v>
      </c>
      <c r="P911" t="s">
        <v>83</v>
      </c>
    </row>
    <row r="912" spans="1:16" x14ac:dyDescent="0.25">
      <c r="A912">
        <v>911</v>
      </c>
      <c r="B912" s="1">
        <v>45818</v>
      </c>
      <c r="C912" t="s">
        <v>17</v>
      </c>
      <c r="D912" t="s">
        <v>25</v>
      </c>
      <c r="E912" t="s">
        <v>32</v>
      </c>
      <c r="F912" t="s">
        <v>48</v>
      </c>
      <c r="G912" t="s">
        <v>72</v>
      </c>
      <c r="H912" t="s">
        <v>74</v>
      </c>
      <c r="I912">
        <v>8</v>
      </c>
      <c r="J912">
        <v>4491</v>
      </c>
      <c r="K912">
        <v>0.1</v>
      </c>
      <c r="L912">
        <v>32335.200000000001</v>
      </c>
      <c r="M912">
        <v>26906.94</v>
      </c>
      <c r="N912">
        <v>5428.26</v>
      </c>
      <c r="O912" t="s">
        <v>78</v>
      </c>
      <c r="P912" t="s">
        <v>81</v>
      </c>
    </row>
    <row r="913" spans="1:16" x14ac:dyDescent="0.25">
      <c r="A913">
        <v>912</v>
      </c>
      <c r="B913" s="1">
        <v>45856</v>
      </c>
      <c r="C913" t="s">
        <v>21</v>
      </c>
      <c r="D913" t="s">
        <v>24</v>
      </c>
      <c r="E913" t="s">
        <v>32</v>
      </c>
      <c r="F913" t="s">
        <v>49</v>
      </c>
      <c r="G913" t="s">
        <v>70</v>
      </c>
      <c r="H913" t="s">
        <v>73</v>
      </c>
      <c r="I913">
        <v>6</v>
      </c>
      <c r="J913">
        <v>4151</v>
      </c>
      <c r="K913">
        <v>0</v>
      </c>
      <c r="L913">
        <v>24906</v>
      </c>
      <c r="M913">
        <v>18701.099999999999</v>
      </c>
      <c r="N913">
        <v>6204.9</v>
      </c>
      <c r="O913" t="s">
        <v>79</v>
      </c>
      <c r="P913" t="s">
        <v>83</v>
      </c>
    </row>
    <row r="914" spans="1:16" x14ac:dyDescent="0.25">
      <c r="A914">
        <v>913</v>
      </c>
      <c r="B914" s="1">
        <v>45890</v>
      </c>
      <c r="C914" t="s">
        <v>19</v>
      </c>
      <c r="D914" t="s">
        <v>26</v>
      </c>
      <c r="E914" t="s">
        <v>33</v>
      </c>
      <c r="F914" t="s">
        <v>41</v>
      </c>
      <c r="G914" t="s">
        <v>70</v>
      </c>
      <c r="H914" t="s">
        <v>75</v>
      </c>
      <c r="I914">
        <v>5</v>
      </c>
      <c r="J914">
        <v>38680</v>
      </c>
      <c r="K914">
        <v>0.1</v>
      </c>
      <c r="L914">
        <v>174060</v>
      </c>
      <c r="M914">
        <v>131628.07</v>
      </c>
      <c r="N914">
        <v>42431.93</v>
      </c>
      <c r="O914" t="s">
        <v>78</v>
      </c>
      <c r="P914" t="s">
        <v>81</v>
      </c>
    </row>
    <row r="915" spans="1:16" x14ac:dyDescent="0.25">
      <c r="A915">
        <v>914</v>
      </c>
      <c r="B915" s="1">
        <v>45778</v>
      </c>
      <c r="C915" t="s">
        <v>21</v>
      </c>
      <c r="D915" t="s">
        <v>24</v>
      </c>
      <c r="E915" t="s">
        <v>29</v>
      </c>
      <c r="F915" t="s">
        <v>36</v>
      </c>
      <c r="G915" t="s">
        <v>71</v>
      </c>
      <c r="H915" t="s">
        <v>75</v>
      </c>
      <c r="I915">
        <v>8</v>
      </c>
      <c r="J915">
        <v>6359</v>
      </c>
      <c r="K915">
        <v>0</v>
      </c>
      <c r="L915">
        <v>50872</v>
      </c>
      <c r="M915">
        <v>40367.46</v>
      </c>
      <c r="N915">
        <v>10504.54</v>
      </c>
      <c r="O915" t="s">
        <v>76</v>
      </c>
      <c r="P915" t="s">
        <v>82</v>
      </c>
    </row>
    <row r="916" spans="1:16" x14ac:dyDescent="0.25">
      <c r="A916">
        <v>915</v>
      </c>
      <c r="B916" s="1">
        <v>45896</v>
      </c>
      <c r="C916" t="s">
        <v>16</v>
      </c>
      <c r="D916" t="s">
        <v>24</v>
      </c>
      <c r="E916" t="s">
        <v>34</v>
      </c>
      <c r="F916" t="s">
        <v>68</v>
      </c>
      <c r="G916" t="s">
        <v>72</v>
      </c>
      <c r="H916" t="s">
        <v>74</v>
      </c>
      <c r="I916">
        <v>8</v>
      </c>
      <c r="J916">
        <v>903</v>
      </c>
      <c r="K916">
        <v>0</v>
      </c>
      <c r="L916">
        <v>7224</v>
      </c>
      <c r="M916">
        <v>4418.6899999999996</v>
      </c>
      <c r="N916">
        <v>2805.31</v>
      </c>
      <c r="O916" t="s">
        <v>77</v>
      </c>
      <c r="P916" t="s">
        <v>84</v>
      </c>
    </row>
    <row r="917" spans="1:16" x14ac:dyDescent="0.25">
      <c r="A917">
        <v>916</v>
      </c>
      <c r="B917" s="1">
        <v>45696</v>
      </c>
      <c r="C917" t="s">
        <v>18</v>
      </c>
      <c r="D917" t="s">
        <v>26</v>
      </c>
      <c r="E917" t="s">
        <v>31</v>
      </c>
      <c r="F917" t="s">
        <v>69</v>
      </c>
      <c r="G917" t="s">
        <v>71</v>
      </c>
      <c r="H917" t="s">
        <v>74</v>
      </c>
      <c r="I917">
        <v>7</v>
      </c>
      <c r="J917">
        <v>162</v>
      </c>
      <c r="K917">
        <v>0</v>
      </c>
      <c r="L917">
        <v>1134</v>
      </c>
      <c r="M917">
        <v>665.69</v>
      </c>
      <c r="N917">
        <v>468.31</v>
      </c>
      <c r="O917" t="s">
        <v>78</v>
      </c>
      <c r="P917" t="s">
        <v>88</v>
      </c>
    </row>
    <row r="918" spans="1:16" x14ac:dyDescent="0.25">
      <c r="A918">
        <v>917</v>
      </c>
      <c r="B918" s="1">
        <v>45846</v>
      </c>
      <c r="C918" t="s">
        <v>18</v>
      </c>
      <c r="D918" t="s">
        <v>26</v>
      </c>
      <c r="E918" t="s">
        <v>34</v>
      </c>
      <c r="F918" t="s">
        <v>43</v>
      </c>
      <c r="G918" t="s">
        <v>71</v>
      </c>
      <c r="H918" t="s">
        <v>73</v>
      </c>
      <c r="I918">
        <v>1</v>
      </c>
      <c r="J918">
        <v>5263</v>
      </c>
      <c r="K918">
        <v>0</v>
      </c>
      <c r="L918">
        <v>5263</v>
      </c>
      <c r="M918">
        <v>3004.1</v>
      </c>
      <c r="N918">
        <v>2258.9</v>
      </c>
      <c r="O918" t="s">
        <v>79</v>
      </c>
      <c r="P918" t="s">
        <v>85</v>
      </c>
    </row>
    <row r="919" spans="1:16" x14ac:dyDescent="0.25">
      <c r="A919">
        <v>918</v>
      </c>
      <c r="B919" s="1">
        <v>45897</v>
      </c>
      <c r="C919" t="s">
        <v>23</v>
      </c>
      <c r="D919" t="s">
        <v>27</v>
      </c>
      <c r="E919" t="s">
        <v>31</v>
      </c>
      <c r="F919" t="s">
        <v>47</v>
      </c>
      <c r="G919" t="s">
        <v>70</v>
      </c>
      <c r="H919" t="s">
        <v>74</v>
      </c>
      <c r="I919">
        <v>6</v>
      </c>
      <c r="J919">
        <v>1914</v>
      </c>
      <c r="K919">
        <v>0</v>
      </c>
      <c r="L919">
        <v>11484</v>
      </c>
      <c r="M919">
        <v>8501.6299999999992</v>
      </c>
      <c r="N919">
        <v>2982.37</v>
      </c>
      <c r="O919" t="s">
        <v>78</v>
      </c>
      <c r="P919" t="s">
        <v>82</v>
      </c>
    </row>
    <row r="920" spans="1:16" x14ac:dyDescent="0.25">
      <c r="A920">
        <v>919</v>
      </c>
      <c r="B920" s="1">
        <v>45693</v>
      </c>
      <c r="C920" t="s">
        <v>16</v>
      </c>
      <c r="D920" t="s">
        <v>24</v>
      </c>
      <c r="E920" t="s">
        <v>29</v>
      </c>
      <c r="F920" t="s">
        <v>53</v>
      </c>
      <c r="G920" t="s">
        <v>70</v>
      </c>
      <c r="H920" t="s">
        <v>74</v>
      </c>
      <c r="I920">
        <v>5</v>
      </c>
      <c r="J920">
        <v>4877</v>
      </c>
      <c r="K920">
        <v>0.05</v>
      </c>
      <c r="L920">
        <v>23165.75</v>
      </c>
      <c r="M920">
        <v>15989.15</v>
      </c>
      <c r="N920">
        <v>7176.6</v>
      </c>
      <c r="O920" t="s">
        <v>77</v>
      </c>
      <c r="P920" t="s">
        <v>88</v>
      </c>
    </row>
    <row r="921" spans="1:16" x14ac:dyDescent="0.25">
      <c r="A921">
        <v>920</v>
      </c>
      <c r="B921" s="1">
        <v>45780</v>
      </c>
      <c r="C921" t="s">
        <v>18</v>
      </c>
      <c r="D921" t="s">
        <v>26</v>
      </c>
      <c r="E921" t="s">
        <v>29</v>
      </c>
      <c r="F921" t="s">
        <v>42</v>
      </c>
      <c r="G921" t="s">
        <v>71</v>
      </c>
      <c r="H921" t="s">
        <v>74</v>
      </c>
      <c r="I921">
        <v>6</v>
      </c>
      <c r="J921">
        <v>3803</v>
      </c>
      <c r="K921">
        <v>0.05</v>
      </c>
      <c r="L921">
        <v>21677.1</v>
      </c>
      <c r="M921">
        <v>13440.09</v>
      </c>
      <c r="N921">
        <v>8237.01</v>
      </c>
      <c r="O921" t="s">
        <v>78</v>
      </c>
      <c r="P921" t="s">
        <v>83</v>
      </c>
    </row>
    <row r="922" spans="1:16" x14ac:dyDescent="0.25">
      <c r="A922">
        <v>921</v>
      </c>
      <c r="B922" s="1">
        <v>45804</v>
      </c>
      <c r="C922" t="s">
        <v>21</v>
      </c>
      <c r="D922" t="s">
        <v>24</v>
      </c>
      <c r="E922" t="s">
        <v>30</v>
      </c>
      <c r="F922" t="s">
        <v>56</v>
      </c>
      <c r="G922" t="s">
        <v>72</v>
      </c>
      <c r="H922" t="s">
        <v>75</v>
      </c>
      <c r="I922">
        <v>3</v>
      </c>
      <c r="J922">
        <v>33898</v>
      </c>
      <c r="K922">
        <v>0</v>
      </c>
      <c r="L922">
        <v>101694</v>
      </c>
      <c r="M922">
        <v>80726.02</v>
      </c>
      <c r="N922">
        <v>20967.98</v>
      </c>
      <c r="O922" t="s">
        <v>78</v>
      </c>
      <c r="P922" t="s">
        <v>84</v>
      </c>
    </row>
    <row r="923" spans="1:16" x14ac:dyDescent="0.25">
      <c r="A923">
        <v>922</v>
      </c>
      <c r="B923" s="1">
        <v>45683</v>
      </c>
      <c r="C923" t="s">
        <v>19</v>
      </c>
      <c r="D923" t="s">
        <v>26</v>
      </c>
      <c r="E923" t="s">
        <v>34</v>
      </c>
      <c r="F923" t="s">
        <v>68</v>
      </c>
      <c r="G923" t="s">
        <v>70</v>
      </c>
      <c r="H923" t="s">
        <v>75</v>
      </c>
      <c r="I923">
        <v>3</v>
      </c>
      <c r="J923">
        <v>1449</v>
      </c>
      <c r="K923">
        <v>0.1</v>
      </c>
      <c r="L923">
        <v>3912.3</v>
      </c>
      <c r="M923">
        <v>3212.15</v>
      </c>
      <c r="N923">
        <v>700.15</v>
      </c>
      <c r="O923" t="s">
        <v>77</v>
      </c>
      <c r="P923" t="s">
        <v>87</v>
      </c>
    </row>
    <row r="924" spans="1:16" x14ac:dyDescent="0.25">
      <c r="A924">
        <v>923</v>
      </c>
      <c r="B924" s="1">
        <v>45861</v>
      </c>
      <c r="C924" t="s">
        <v>20</v>
      </c>
      <c r="D924" t="s">
        <v>26</v>
      </c>
      <c r="E924" t="s">
        <v>28</v>
      </c>
      <c r="F924" t="s">
        <v>58</v>
      </c>
      <c r="G924" t="s">
        <v>70</v>
      </c>
      <c r="H924" t="s">
        <v>74</v>
      </c>
      <c r="I924">
        <v>6</v>
      </c>
      <c r="J924">
        <v>1383</v>
      </c>
      <c r="K924">
        <v>0.05</v>
      </c>
      <c r="L924">
        <v>7883.1</v>
      </c>
      <c r="M924">
        <v>5039.22</v>
      </c>
      <c r="N924">
        <v>2843.88</v>
      </c>
      <c r="O924" t="s">
        <v>77</v>
      </c>
      <c r="P924" t="s">
        <v>87</v>
      </c>
    </row>
    <row r="925" spans="1:16" x14ac:dyDescent="0.25">
      <c r="A925">
        <v>924</v>
      </c>
      <c r="B925" s="1">
        <v>45993</v>
      </c>
      <c r="C925" t="s">
        <v>18</v>
      </c>
      <c r="D925" t="s">
        <v>26</v>
      </c>
      <c r="E925" t="s">
        <v>28</v>
      </c>
      <c r="F925" t="s">
        <v>54</v>
      </c>
      <c r="G925" t="s">
        <v>72</v>
      </c>
      <c r="H925" t="s">
        <v>74</v>
      </c>
      <c r="I925">
        <v>1</v>
      </c>
      <c r="J925">
        <v>1084</v>
      </c>
      <c r="K925">
        <v>0.1</v>
      </c>
      <c r="L925">
        <v>975.6</v>
      </c>
      <c r="M925">
        <v>540.66</v>
      </c>
      <c r="N925">
        <v>434.94</v>
      </c>
      <c r="O925" t="s">
        <v>79</v>
      </c>
      <c r="P925" t="s">
        <v>82</v>
      </c>
    </row>
    <row r="926" spans="1:16" x14ac:dyDescent="0.25">
      <c r="A926">
        <v>925</v>
      </c>
      <c r="B926" s="1">
        <v>45698</v>
      </c>
      <c r="C926" t="s">
        <v>23</v>
      </c>
      <c r="D926" t="s">
        <v>27</v>
      </c>
      <c r="E926" t="s">
        <v>33</v>
      </c>
      <c r="F926" t="s">
        <v>41</v>
      </c>
      <c r="G926" t="s">
        <v>72</v>
      </c>
      <c r="H926" t="s">
        <v>73</v>
      </c>
      <c r="I926">
        <v>4</v>
      </c>
      <c r="J926">
        <v>31416</v>
      </c>
      <c r="K926">
        <v>0.1</v>
      </c>
      <c r="L926">
        <v>113097.60000000001</v>
      </c>
      <c r="M926">
        <v>85563.66</v>
      </c>
      <c r="N926">
        <v>27533.94</v>
      </c>
      <c r="O926" t="s">
        <v>78</v>
      </c>
      <c r="P926" t="s">
        <v>88</v>
      </c>
    </row>
    <row r="927" spans="1:16" x14ac:dyDescent="0.25">
      <c r="A927">
        <v>926</v>
      </c>
      <c r="B927" s="1">
        <v>45926</v>
      </c>
      <c r="C927" t="s">
        <v>21</v>
      </c>
      <c r="D927" t="s">
        <v>24</v>
      </c>
      <c r="E927" t="s">
        <v>30</v>
      </c>
      <c r="F927" t="s">
        <v>44</v>
      </c>
      <c r="G927" t="s">
        <v>72</v>
      </c>
      <c r="H927" t="s">
        <v>73</v>
      </c>
      <c r="I927">
        <v>8</v>
      </c>
      <c r="J927">
        <v>42170</v>
      </c>
      <c r="K927">
        <v>0</v>
      </c>
      <c r="L927">
        <v>337360</v>
      </c>
      <c r="M927">
        <v>295954.36</v>
      </c>
      <c r="N927">
        <v>41405.64</v>
      </c>
      <c r="O927" t="s">
        <v>78</v>
      </c>
      <c r="P927" t="s">
        <v>84</v>
      </c>
    </row>
    <row r="928" spans="1:16" x14ac:dyDescent="0.25">
      <c r="A928">
        <v>927</v>
      </c>
      <c r="B928" s="1">
        <v>45668</v>
      </c>
      <c r="C928" t="s">
        <v>19</v>
      </c>
      <c r="D928" t="s">
        <v>26</v>
      </c>
      <c r="E928" t="s">
        <v>33</v>
      </c>
      <c r="F928" t="s">
        <v>52</v>
      </c>
      <c r="G928" t="s">
        <v>71</v>
      </c>
      <c r="H928" t="s">
        <v>75</v>
      </c>
      <c r="I928">
        <v>6</v>
      </c>
      <c r="J928">
        <v>25695</v>
      </c>
      <c r="K928">
        <v>0.1</v>
      </c>
      <c r="L928">
        <v>138753</v>
      </c>
      <c r="M928">
        <v>82275.320000000007</v>
      </c>
      <c r="N928">
        <v>56477.68</v>
      </c>
      <c r="O928" t="s">
        <v>79</v>
      </c>
      <c r="P928" t="s">
        <v>86</v>
      </c>
    </row>
    <row r="929" spans="1:16" x14ac:dyDescent="0.25">
      <c r="A929">
        <v>928</v>
      </c>
      <c r="B929" s="1">
        <v>45729</v>
      </c>
      <c r="C929" t="s">
        <v>20</v>
      </c>
      <c r="D929" t="s">
        <v>26</v>
      </c>
      <c r="E929" t="s">
        <v>28</v>
      </c>
      <c r="F929" t="s">
        <v>63</v>
      </c>
      <c r="G929" t="s">
        <v>72</v>
      </c>
      <c r="H929" t="s">
        <v>75</v>
      </c>
      <c r="I929">
        <v>1</v>
      </c>
      <c r="J929">
        <v>2264</v>
      </c>
      <c r="K929">
        <v>0.05</v>
      </c>
      <c r="L929">
        <v>2150.8000000000002</v>
      </c>
      <c r="M929">
        <v>1780.53</v>
      </c>
      <c r="N929">
        <v>370.27</v>
      </c>
      <c r="O929" t="s">
        <v>77</v>
      </c>
      <c r="P929" t="s">
        <v>86</v>
      </c>
    </row>
    <row r="930" spans="1:16" x14ac:dyDescent="0.25">
      <c r="A930">
        <v>929</v>
      </c>
      <c r="B930" s="1">
        <v>45854</v>
      </c>
      <c r="C930" t="s">
        <v>20</v>
      </c>
      <c r="D930" t="s">
        <v>26</v>
      </c>
      <c r="E930" t="s">
        <v>33</v>
      </c>
      <c r="F930" t="s">
        <v>41</v>
      </c>
      <c r="G930" t="s">
        <v>70</v>
      </c>
      <c r="H930" t="s">
        <v>74</v>
      </c>
      <c r="I930">
        <v>3</v>
      </c>
      <c r="J930">
        <v>9090</v>
      </c>
      <c r="K930">
        <v>0.05</v>
      </c>
      <c r="L930">
        <v>25906.5</v>
      </c>
      <c r="M930">
        <v>18298.18</v>
      </c>
      <c r="N930">
        <v>7608.32</v>
      </c>
      <c r="O930" t="s">
        <v>77</v>
      </c>
      <c r="P930" t="s">
        <v>86</v>
      </c>
    </row>
    <row r="931" spans="1:16" x14ac:dyDescent="0.25">
      <c r="A931">
        <v>930</v>
      </c>
      <c r="B931" s="1">
        <v>45660</v>
      </c>
      <c r="C931" t="s">
        <v>23</v>
      </c>
      <c r="D931" t="s">
        <v>27</v>
      </c>
      <c r="E931" t="s">
        <v>31</v>
      </c>
      <c r="F931" t="s">
        <v>38</v>
      </c>
      <c r="G931" t="s">
        <v>71</v>
      </c>
      <c r="H931" t="s">
        <v>73</v>
      </c>
      <c r="I931">
        <v>2</v>
      </c>
      <c r="J931">
        <v>889</v>
      </c>
      <c r="K931">
        <v>0</v>
      </c>
      <c r="L931">
        <v>1778</v>
      </c>
      <c r="M931">
        <v>1131.08</v>
      </c>
      <c r="N931">
        <v>646.91999999999996</v>
      </c>
      <c r="O931" t="s">
        <v>79</v>
      </c>
      <c r="P931" t="s">
        <v>88</v>
      </c>
    </row>
    <row r="932" spans="1:16" x14ac:dyDescent="0.25">
      <c r="A932">
        <v>931</v>
      </c>
      <c r="B932" s="1">
        <v>45903</v>
      </c>
      <c r="C932" t="s">
        <v>16</v>
      </c>
      <c r="D932" t="s">
        <v>24</v>
      </c>
      <c r="E932" t="s">
        <v>34</v>
      </c>
      <c r="F932" t="s">
        <v>51</v>
      </c>
      <c r="G932" t="s">
        <v>70</v>
      </c>
      <c r="H932" t="s">
        <v>74</v>
      </c>
      <c r="I932">
        <v>4</v>
      </c>
      <c r="J932">
        <v>3881</v>
      </c>
      <c r="K932">
        <v>0.05</v>
      </c>
      <c r="L932">
        <v>14747.8</v>
      </c>
      <c r="M932">
        <v>8581.31</v>
      </c>
      <c r="N932">
        <v>6166.49</v>
      </c>
      <c r="O932" t="s">
        <v>79</v>
      </c>
      <c r="P932" t="s">
        <v>88</v>
      </c>
    </row>
    <row r="933" spans="1:16" x14ac:dyDescent="0.25">
      <c r="A933">
        <v>932</v>
      </c>
      <c r="B933" s="1">
        <v>45950</v>
      </c>
      <c r="C933" t="s">
        <v>16</v>
      </c>
      <c r="D933" t="s">
        <v>24</v>
      </c>
      <c r="E933" t="s">
        <v>32</v>
      </c>
      <c r="F933" t="s">
        <v>49</v>
      </c>
      <c r="G933" t="s">
        <v>71</v>
      </c>
      <c r="H933" t="s">
        <v>73</v>
      </c>
      <c r="I933">
        <v>8</v>
      </c>
      <c r="J933">
        <v>22419</v>
      </c>
      <c r="K933">
        <v>0.1</v>
      </c>
      <c r="L933">
        <v>161416.79999999999</v>
      </c>
      <c r="M933">
        <v>140823.69</v>
      </c>
      <c r="N933">
        <v>20593.11</v>
      </c>
      <c r="O933" t="s">
        <v>79</v>
      </c>
      <c r="P933" t="s">
        <v>88</v>
      </c>
    </row>
    <row r="934" spans="1:16" x14ac:dyDescent="0.25">
      <c r="A934">
        <v>933</v>
      </c>
      <c r="B934" s="1">
        <v>45934</v>
      </c>
      <c r="C934" t="s">
        <v>20</v>
      </c>
      <c r="D934" t="s">
        <v>26</v>
      </c>
      <c r="E934" t="s">
        <v>32</v>
      </c>
      <c r="F934" t="s">
        <v>62</v>
      </c>
      <c r="G934" t="s">
        <v>70</v>
      </c>
      <c r="H934" t="s">
        <v>74</v>
      </c>
      <c r="I934">
        <v>8</v>
      </c>
      <c r="J934">
        <v>22863</v>
      </c>
      <c r="K934">
        <v>0.15</v>
      </c>
      <c r="L934">
        <v>155468.4</v>
      </c>
      <c r="M934">
        <v>129109.91</v>
      </c>
      <c r="N934">
        <v>26358.49</v>
      </c>
      <c r="O934" t="s">
        <v>76</v>
      </c>
      <c r="P934" t="s">
        <v>85</v>
      </c>
    </row>
    <row r="935" spans="1:16" x14ac:dyDescent="0.25">
      <c r="A935">
        <v>934</v>
      </c>
      <c r="B935" s="1">
        <v>45923</v>
      </c>
      <c r="C935" t="s">
        <v>19</v>
      </c>
      <c r="D935" t="s">
        <v>26</v>
      </c>
      <c r="E935" t="s">
        <v>32</v>
      </c>
      <c r="F935" t="s">
        <v>49</v>
      </c>
      <c r="G935" t="s">
        <v>72</v>
      </c>
      <c r="H935" t="s">
        <v>74</v>
      </c>
      <c r="I935">
        <v>3</v>
      </c>
      <c r="J935">
        <v>9004</v>
      </c>
      <c r="K935">
        <v>0.15</v>
      </c>
      <c r="L935">
        <v>22960.2</v>
      </c>
      <c r="M935">
        <v>18374.75</v>
      </c>
      <c r="N935">
        <v>4585.45</v>
      </c>
      <c r="O935" t="s">
        <v>76</v>
      </c>
      <c r="P935" t="s">
        <v>81</v>
      </c>
    </row>
    <row r="936" spans="1:16" x14ac:dyDescent="0.25">
      <c r="A936">
        <v>935</v>
      </c>
      <c r="B936" s="1">
        <v>45785</v>
      </c>
      <c r="C936" t="s">
        <v>21</v>
      </c>
      <c r="D936" t="s">
        <v>24</v>
      </c>
      <c r="E936" t="s">
        <v>30</v>
      </c>
      <c r="F936" t="s">
        <v>44</v>
      </c>
      <c r="G936" t="s">
        <v>72</v>
      </c>
      <c r="H936" t="s">
        <v>74</v>
      </c>
      <c r="I936">
        <v>4</v>
      </c>
      <c r="J936">
        <v>56537</v>
      </c>
      <c r="K936">
        <v>0.15</v>
      </c>
      <c r="L936">
        <v>192225.8</v>
      </c>
      <c r="M936">
        <v>116320.3</v>
      </c>
      <c r="N936">
        <v>75905.5</v>
      </c>
      <c r="O936" t="s">
        <v>77</v>
      </c>
      <c r="P936" t="s">
        <v>86</v>
      </c>
    </row>
    <row r="937" spans="1:16" x14ac:dyDescent="0.25">
      <c r="A937">
        <v>936</v>
      </c>
      <c r="B937" s="1">
        <v>45728</v>
      </c>
      <c r="C937" t="s">
        <v>17</v>
      </c>
      <c r="D937" t="s">
        <v>25</v>
      </c>
      <c r="E937" t="s">
        <v>29</v>
      </c>
      <c r="F937" t="s">
        <v>57</v>
      </c>
      <c r="G937" t="s">
        <v>71</v>
      </c>
      <c r="H937" t="s">
        <v>75</v>
      </c>
      <c r="I937">
        <v>4</v>
      </c>
      <c r="J937">
        <v>8299</v>
      </c>
      <c r="K937">
        <v>0.1</v>
      </c>
      <c r="L937">
        <v>29876.400000000001</v>
      </c>
      <c r="M937">
        <v>23290.47</v>
      </c>
      <c r="N937">
        <v>6585.93</v>
      </c>
      <c r="O937" t="s">
        <v>76</v>
      </c>
      <c r="P937" t="s">
        <v>82</v>
      </c>
    </row>
    <row r="938" spans="1:16" x14ac:dyDescent="0.25">
      <c r="A938">
        <v>937</v>
      </c>
      <c r="B938" s="1">
        <v>45729</v>
      </c>
      <c r="C938" t="s">
        <v>18</v>
      </c>
      <c r="D938" t="s">
        <v>26</v>
      </c>
      <c r="E938" t="s">
        <v>33</v>
      </c>
      <c r="F938" t="s">
        <v>59</v>
      </c>
      <c r="G938" t="s">
        <v>70</v>
      </c>
      <c r="H938" t="s">
        <v>75</v>
      </c>
      <c r="I938">
        <v>1</v>
      </c>
      <c r="J938">
        <v>31307</v>
      </c>
      <c r="K938">
        <v>0.15</v>
      </c>
      <c r="L938">
        <v>26610.95</v>
      </c>
      <c r="M938">
        <v>16225.26</v>
      </c>
      <c r="N938">
        <v>10385.69</v>
      </c>
      <c r="O938" t="s">
        <v>80</v>
      </c>
      <c r="P938" t="s">
        <v>87</v>
      </c>
    </row>
    <row r="939" spans="1:16" x14ac:dyDescent="0.25">
      <c r="A939">
        <v>938</v>
      </c>
      <c r="B939" s="1">
        <v>45721</v>
      </c>
      <c r="C939" t="s">
        <v>20</v>
      </c>
      <c r="D939" t="s">
        <v>26</v>
      </c>
      <c r="E939" t="s">
        <v>29</v>
      </c>
      <c r="F939" t="s">
        <v>36</v>
      </c>
      <c r="G939" t="s">
        <v>71</v>
      </c>
      <c r="H939" t="s">
        <v>74</v>
      </c>
      <c r="I939">
        <v>7</v>
      </c>
      <c r="J939">
        <v>2816</v>
      </c>
      <c r="K939">
        <v>0.1</v>
      </c>
      <c r="L939">
        <v>17740.8</v>
      </c>
      <c r="M939">
        <v>10099.52</v>
      </c>
      <c r="N939">
        <v>7641.28</v>
      </c>
      <c r="O939" t="s">
        <v>79</v>
      </c>
      <c r="P939" t="s">
        <v>88</v>
      </c>
    </row>
    <row r="940" spans="1:16" x14ac:dyDescent="0.25">
      <c r="A940">
        <v>939</v>
      </c>
      <c r="B940" s="1">
        <v>45661</v>
      </c>
      <c r="C940" t="s">
        <v>20</v>
      </c>
      <c r="D940" t="s">
        <v>26</v>
      </c>
      <c r="E940" t="s">
        <v>30</v>
      </c>
      <c r="F940" t="s">
        <v>56</v>
      </c>
      <c r="G940" t="s">
        <v>71</v>
      </c>
      <c r="H940" t="s">
        <v>75</v>
      </c>
      <c r="I940">
        <v>7</v>
      </c>
      <c r="J940">
        <v>48478</v>
      </c>
      <c r="K940">
        <v>0.1</v>
      </c>
      <c r="L940">
        <v>305411.40000000002</v>
      </c>
      <c r="M940">
        <v>237008.14</v>
      </c>
      <c r="N940">
        <v>68403.259999999995</v>
      </c>
      <c r="O940" t="s">
        <v>78</v>
      </c>
      <c r="P940" t="s">
        <v>82</v>
      </c>
    </row>
    <row r="941" spans="1:16" x14ac:dyDescent="0.25">
      <c r="A941">
        <v>940</v>
      </c>
      <c r="B941" s="1">
        <v>45672</v>
      </c>
      <c r="C941" t="s">
        <v>21</v>
      </c>
      <c r="D941" t="s">
        <v>24</v>
      </c>
      <c r="E941" t="s">
        <v>33</v>
      </c>
      <c r="F941" t="s">
        <v>41</v>
      </c>
      <c r="G941" t="s">
        <v>72</v>
      </c>
      <c r="H941" t="s">
        <v>74</v>
      </c>
      <c r="I941">
        <v>3</v>
      </c>
      <c r="J941">
        <v>46001</v>
      </c>
      <c r="K941">
        <v>0</v>
      </c>
      <c r="L941">
        <v>138003</v>
      </c>
      <c r="M941">
        <v>110058.08</v>
      </c>
      <c r="N941">
        <v>27944.92</v>
      </c>
      <c r="O941" t="s">
        <v>79</v>
      </c>
      <c r="P941" t="s">
        <v>85</v>
      </c>
    </row>
    <row r="942" spans="1:16" x14ac:dyDescent="0.25">
      <c r="A942">
        <v>941</v>
      </c>
      <c r="B942" s="1">
        <v>46010</v>
      </c>
      <c r="C942" t="s">
        <v>20</v>
      </c>
      <c r="D942" t="s">
        <v>26</v>
      </c>
      <c r="E942" t="s">
        <v>28</v>
      </c>
      <c r="F942" t="s">
        <v>63</v>
      </c>
      <c r="G942" t="s">
        <v>71</v>
      </c>
      <c r="H942" t="s">
        <v>74</v>
      </c>
      <c r="I942">
        <v>5</v>
      </c>
      <c r="J942">
        <v>2487</v>
      </c>
      <c r="K942">
        <v>0.05</v>
      </c>
      <c r="L942">
        <v>11813.25</v>
      </c>
      <c r="M942">
        <v>9343.86</v>
      </c>
      <c r="N942">
        <v>2469.39</v>
      </c>
      <c r="O942" t="s">
        <v>76</v>
      </c>
      <c r="P942" t="s">
        <v>88</v>
      </c>
    </row>
    <row r="943" spans="1:16" x14ac:dyDescent="0.25">
      <c r="A943">
        <v>942</v>
      </c>
      <c r="B943" s="1">
        <v>45881</v>
      </c>
      <c r="C943" t="s">
        <v>16</v>
      </c>
      <c r="D943" t="s">
        <v>24</v>
      </c>
      <c r="E943" t="s">
        <v>33</v>
      </c>
      <c r="F943" t="s">
        <v>46</v>
      </c>
      <c r="G943" t="s">
        <v>71</v>
      </c>
      <c r="H943" t="s">
        <v>73</v>
      </c>
      <c r="I943">
        <v>4</v>
      </c>
      <c r="J943">
        <v>33876</v>
      </c>
      <c r="K943">
        <v>0.15</v>
      </c>
      <c r="L943">
        <v>115178.4</v>
      </c>
      <c r="M943">
        <v>76382.11</v>
      </c>
      <c r="N943">
        <v>38796.29</v>
      </c>
      <c r="O943" t="s">
        <v>78</v>
      </c>
      <c r="P943" t="s">
        <v>87</v>
      </c>
    </row>
    <row r="944" spans="1:16" x14ac:dyDescent="0.25">
      <c r="A944">
        <v>943</v>
      </c>
      <c r="B944" s="1">
        <v>45891</v>
      </c>
      <c r="C944" t="s">
        <v>18</v>
      </c>
      <c r="D944" t="s">
        <v>26</v>
      </c>
      <c r="E944" t="s">
        <v>28</v>
      </c>
      <c r="F944" t="s">
        <v>63</v>
      </c>
      <c r="G944" t="s">
        <v>70</v>
      </c>
      <c r="H944" t="s">
        <v>73</v>
      </c>
      <c r="I944">
        <v>8</v>
      </c>
      <c r="J944">
        <v>2148</v>
      </c>
      <c r="K944">
        <v>0.05</v>
      </c>
      <c r="L944">
        <v>16324.8</v>
      </c>
      <c r="M944">
        <v>12703.07</v>
      </c>
      <c r="N944">
        <v>3621.73</v>
      </c>
      <c r="O944" t="s">
        <v>77</v>
      </c>
      <c r="P944" t="s">
        <v>84</v>
      </c>
    </row>
    <row r="945" spans="1:16" x14ac:dyDescent="0.25">
      <c r="A945">
        <v>944</v>
      </c>
      <c r="B945" s="1">
        <v>45963</v>
      </c>
      <c r="C945" t="s">
        <v>23</v>
      </c>
      <c r="D945" t="s">
        <v>27</v>
      </c>
      <c r="E945" t="s">
        <v>29</v>
      </c>
      <c r="F945" t="s">
        <v>45</v>
      </c>
      <c r="G945" t="s">
        <v>70</v>
      </c>
      <c r="H945" t="s">
        <v>75</v>
      </c>
      <c r="I945">
        <v>1</v>
      </c>
      <c r="J945">
        <v>8432</v>
      </c>
      <c r="K945">
        <v>0.1</v>
      </c>
      <c r="L945">
        <v>7588.8</v>
      </c>
      <c r="M945">
        <v>4863.8</v>
      </c>
      <c r="N945">
        <v>2725</v>
      </c>
      <c r="O945" t="s">
        <v>80</v>
      </c>
      <c r="P945" t="s">
        <v>84</v>
      </c>
    </row>
    <row r="946" spans="1:16" x14ac:dyDescent="0.25">
      <c r="A946">
        <v>945</v>
      </c>
      <c r="B946" s="1">
        <v>45971</v>
      </c>
      <c r="C946" t="s">
        <v>21</v>
      </c>
      <c r="D946" t="s">
        <v>24</v>
      </c>
      <c r="E946" t="s">
        <v>30</v>
      </c>
      <c r="F946" t="s">
        <v>44</v>
      </c>
      <c r="G946" t="s">
        <v>72</v>
      </c>
      <c r="H946" t="s">
        <v>75</v>
      </c>
      <c r="I946">
        <v>6</v>
      </c>
      <c r="J946">
        <v>32915</v>
      </c>
      <c r="K946">
        <v>0.1</v>
      </c>
      <c r="L946">
        <v>177741</v>
      </c>
      <c r="M946">
        <v>114612.14</v>
      </c>
      <c r="N946">
        <v>63128.86</v>
      </c>
      <c r="O946" t="s">
        <v>80</v>
      </c>
      <c r="P946" t="s">
        <v>83</v>
      </c>
    </row>
    <row r="947" spans="1:16" x14ac:dyDescent="0.25">
      <c r="A947">
        <v>946</v>
      </c>
      <c r="B947" s="1">
        <v>45846</v>
      </c>
      <c r="C947" t="s">
        <v>20</v>
      </c>
      <c r="D947" t="s">
        <v>26</v>
      </c>
      <c r="E947" t="s">
        <v>31</v>
      </c>
      <c r="F947" t="s">
        <v>50</v>
      </c>
      <c r="G947" t="s">
        <v>72</v>
      </c>
      <c r="H947" t="s">
        <v>74</v>
      </c>
      <c r="I947">
        <v>6</v>
      </c>
      <c r="J947">
        <v>1129</v>
      </c>
      <c r="K947">
        <v>0.1</v>
      </c>
      <c r="L947">
        <v>6096.6</v>
      </c>
      <c r="M947">
        <v>3782.66</v>
      </c>
      <c r="N947">
        <v>2313.94</v>
      </c>
      <c r="O947" t="s">
        <v>80</v>
      </c>
      <c r="P947" t="s">
        <v>87</v>
      </c>
    </row>
    <row r="948" spans="1:16" x14ac:dyDescent="0.25">
      <c r="A948">
        <v>947</v>
      </c>
      <c r="B948" s="1">
        <v>45843</v>
      </c>
      <c r="C948" t="s">
        <v>20</v>
      </c>
      <c r="D948" t="s">
        <v>26</v>
      </c>
      <c r="E948" t="s">
        <v>31</v>
      </c>
      <c r="F948" t="s">
        <v>38</v>
      </c>
      <c r="G948" t="s">
        <v>72</v>
      </c>
      <c r="H948" t="s">
        <v>75</v>
      </c>
      <c r="I948">
        <v>7</v>
      </c>
      <c r="J948">
        <v>1730</v>
      </c>
      <c r="K948">
        <v>0.1</v>
      </c>
      <c r="L948">
        <v>10899</v>
      </c>
      <c r="M948">
        <v>9299.26</v>
      </c>
      <c r="N948">
        <v>1599.74</v>
      </c>
      <c r="O948" t="s">
        <v>77</v>
      </c>
      <c r="P948" t="s">
        <v>88</v>
      </c>
    </row>
    <row r="949" spans="1:16" x14ac:dyDescent="0.25">
      <c r="A949">
        <v>948</v>
      </c>
      <c r="B949" s="1">
        <v>45717</v>
      </c>
      <c r="C949" t="s">
        <v>21</v>
      </c>
      <c r="D949" t="s">
        <v>24</v>
      </c>
      <c r="E949" t="s">
        <v>30</v>
      </c>
      <c r="F949" t="s">
        <v>37</v>
      </c>
      <c r="G949" t="s">
        <v>72</v>
      </c>
      <c r="H949" t="s">
        <v>74</v>
      </c>
      <c r="I949">
        <v>1</v>
      </c>
      <c r="J949">
        <v>59551</v>
      </c>
      <c r="K949">
        <v>0</v>
      </c>
      <c r="L949">
        <v>59551</v>
      </c>
      <c r="M949">
        <v>42156.27</v>
      </c>
      <c r="N949">
        <v>17394.73</v>
      </c>
      <c r="O949" t="s">
        <v>77</v>
      </c>
      <c r="P949" t="s">
        <v>85</v>
      </c>
    </row>
    <row r="950" spans="1:16" x14ac:dyDescent="0.25">
      <c r="A950">
        <v>949</v>
      </c>
      <c r="B950" s="1">
        <v>45664</v>
      </c>
      <c r="C950" t="s">
        <v>17</v>
      </c>
      <c r="D950" t="s">
        <v>25</v>
      </c>
      <c r="E950" t="s">
        <v>33</v>
      </c>
      <c r="F950" t="s">
        <v>59</v>
      </c>
      <c r="G950" t="s">
        <v>71</v>
      </c>
      <c r="H950" t="s">
        <v>74</v>
      </c>
      <c r="I950">
        <v>7</v>
      </c>
      <c r="J950">
        <v>8402</v>
      </c>
      <c r="K950">
        <v>0.1</v>
      </c>
      <c r="L950">
        <v>52932.6</v>
      </c>
      <c r="M950">
        <v>43978.64</v>
      </c>
      <c r="N950">
        <v>8953.9599999999991</v>
      </c>
      <c r="O950" t="s">
        <v>76</v>
      </c>
      <c r="P950" t="s">
        <v>81</v>
      </c>
    </row>
    <row r="951" spans="1:16" x14ac:dyDescent="0.25">
      <c r="A951">
        <v>950</v>
      </c>
      <c r="B951" s="1">
        <v>45772</v>
      </c>
      <c r="C951" t="s">
        <v>20</v>
      </c>
      <c r="D951" t="s">
        <v>26</v>
      </c>
      <c r="E951" t="s">
        <v>31</v>
      </c>
      <c r="F951" t="s">
        <v>50</v>
      </c>
      <c r="G951" t="s">
        <v>70</v>
      </c>
      <c r="H951" t="s">
        <v>74</v>
      </c>
      <c r="I951">
        <v>5</v>
      </c>
      <c r="J951">
        <v>2174</v>
      </c>
      <c r="K951">
        <v>0</v>
      </c>
      <c r="L951">
        <v>10870</v>
      </c>
      <c r="M951">
        <v>9416.19</v>
      </c>
      <c r="N951">
        <v>1453.81</v>
      </c>
      <c r="O951" t="s">
        <v>79</v>
      </c>
      <c r="P951" t="s">
        <v>82</v>
      </c>
    </row>
    <row r="952" spans="1:16" x14ac:dyDescent="0.25">
      <c r="A952">
        <v>951</v>
      </c>
      <c r="B952" s="1">
        <v>45733</v>
      </c>
      <c r="C952" t="s">
        <v>22</v>
      </c>
      <c r="D952" t="s">
        <v>24</v>
      </c>
      <c r="E952" t="s">
        <v>32</v>
      </c>
      <c r="F952" t="s">
        <v>39</v>
      </c>
      <c r="G952" t="s">
        <v>70</v>
      </c>
      <c r="H952" t="s">
        <v>73</v>
      </c>
      <c r="I952">
        <v>8</v>
      </c>
      <c r="J952">
        <v>3613</v>
      </c>
      <c r="K952">
        <v>0</v>
      </c>
      <c r="L952">
        <v>28904</v>
      </c>
      <c r="M952">
        <v>19136.080000000002</v>
      </c>
      <c r="N952">
        <v>9767.92</v>
      </c>
      <c r="O952" t="s">
        <v>77</v>
      </c>
      <c r="P952" t="s">
        <v>83</v>
      </c>
    </row>
    <row r="953" spans="1:16" x14ac:dyDescent="0.25">
      <c r="A953">
        <v>952</v>
      </c>
      <c r="B953" s="1">
        <v>45764</v>
      </c>
      <c r="C953" t="s">
        <v>21</v>
      </c>
      <c r="D953" t="s">
        <v>24</v>
      </c>
      <c r="E953" t="s">
        <v>32</v>
      </c>
      <c r="F953" t="s">
        <v>66</v>
      </c>
      <c r="G953" t="s">
        <v>71</v>
      </c>
      <c r="H953" t="s">
        <v>75</v>
      </c>
      <c r="I953">
        <v>6</v>
      </c>
      <c r="J953">
        <v>12171</v>
      </c>
      <c r="K953">
        <v>0.15</v>
      </c>
      <c r="L953">
        <v>62072.1</v>
      </c>
      <c r="M953">
        <v>34364.28</v>
      </c>
      <c r="N953">
        <v>27707.82</v>
      </c>
      <c r="O953" t="s">
        <v>78</v>
      </c>
      <c r="P953" t="s">
        <v>86</v>
      </c>
    </row>
    <row r="954" spans="1:16" x14ac:dyDescent="0.25">
      <c r="A954">
        <v>953</v>
      </c>
      <c r="B954" s="1">
        <v>45794</v>
      </c>
      <c r="C954" t="s">
        <v>17</v>
      </c>
      <c r="D954" t="s">
        <v>25</v>
      </c>
      <c r="E954" t="s">
        <v>34</v>
      </c>
      <c r="F954" t="s">
        <v>51</v>
      </c>
      <c r="G954" t="s">
        <v>72</v>
      </c>
      <c r="H954" t="s">
        <v>74</v>
      </c>
      <c r="I954">
        <v>8</v>
      </c>
      <c r="J954">
        <v>5227</v>
      </c>
      <c r="K954">
        <v>0.2</v>
      </c>
      <c r="L954">
        <v>33452.800000000003</v>
      </c>
      <c r="M954">
        <v>29395.93</v>
      </c>
      <c r="N954">
        <v>4056.87</v>
      </c>
      <c r="O954" t="s">
        <v>78</v>
      </c>
      <c r="P954" t="s">
        <v>84</v>
      </c>
    </row>
    <row r="955" spans="1:16" x14ac:dyDescent="0.25">
      <c r="A955">
        <v>954</v>
      </c>
      <c r="B955" s="1">
        <v>45876</v>
      </c>
      <c r="C955" t="s">
        <v>23</v>
      </c>
      <c r="D955" t="s">
        <v>27</v>
      </c>
      <c r="E955" t="s">
        <v>33</v>
      </c>
      <c r="F955" t="s">
        <v>59</v>
      </c>
      <c r="G955" t="s">
        <v>70</v>
      </c>
      <c r="H955" t="s">
        <v>75</v>
      </c>
      <c r="I955">
        <v>6</v>
      </c>
      <c r="J955">
        <v>47346</v>
      </c>
      <c r="K955">
        <v>0.05</v>
      </c>
      <c r="L955">
        <v>269872.2</v>
      </c>
      <c r="M955">
        <v>187662.95</v>
      </c>
      <c r="N955">
        <v>82209.25</v>
      </c>
      <c r="O955" t="s">
        <v>80</v>
      </c>
      <c r="P955" t="s">
        <v>86</v>
      </c>
    </row>
    <row r="956" spans="1:16" x14ac:dyDescent="0.25">
      <c r="A956">
        <v>955</v>
      </c>
      <c r="B956" s="1">
        <v>45802</v>
      </c>
      <c r="C956" t="s">
        <v>23</v>
      </c>
      <c r="D956" t="s">
        <v>27</v>
      </c>
      <c r="E956" t="s">
        <v>28</v>
      </c>
      <c r="F956" t="s">
        <v>54</v>
      </c>
      <c r="G956" t="s">
        <v>71</v>
      </c>
      <c r="H956" t="s">
        <v>74</v>
      </c>
      <c r="I956">
        <v>2</v>
      </c>
      <c r="J956">
        <v>1484</v>
      </c>
      <c r="K956">
        <v>0.15</v>
      </c>
      <c r="L956">
        <v>2522.8000000000002</v>
      </c>
      <c r="M956">
        <v>1974.83</v>
      </c>
      <c r="N956">
        <v>547.97</v>
      </c>
      <c r="O956" t="s">
        <v>80</v>
      </c>
      <c r="P956" t="s">
        <v>85</v>
      </c>
    </row>
    <row r="957" spans="1:16" x14ac:dyDescent="0.25">
      <c r="A957">
        <v>956</v>
      </c>
      <c r="B957" s="1">
        <v>45893</v>
      </c>
      <c r="C957" t="s">
        <v>19</v>
      </c>
      <c r="D957" t="s">
        <v>26</v>
      </c>
      <c r="E957" t="s">
        <v>34</v>
      </c>
      <c r="F957" t="s">
        <v>68</v>
      </c>
      <c r="G957" t="s">
        <v>71</v>
      </c>
      <c r="H957" t="s">
        <v>73</v>
      </c>
      <c r="I957">
        <v>4</v>
      </c>
      <c r="J957">
        <v>4778</v>
      </c>
      <c r="K957">
        <v>0.05</v>
      </c>
      <c r="L957">
        <v>18156.400000000001</v>
      </c>
      <c r="M957">
        <v>14220.26</v>
      </c>
      <c r="N957">
        <v>3936.14</v>
      </c>
      <c r="O957" t="s">
        <v>80</v>
      </c>
      <c r="P957" t="s">
        <v>87</v>
      </c>
    </row>
    <row r="958" spans="1:16" x14ac:dyDescent="0.25">
      <c r="A958">
        <v>957</v>
      </c>
      <c r="B958" s="1">
        <v>46018</v>
      </c>
      <c r="C958" t="s">
        <v>23</v>
      </c>
      <c r="D958" t="s">
        <v>27</v>
      </c>
      <c r="E958" t="s">
        <v>34</v>
      </c>
      <c r="F958" t="s">
        <v>43</v>
      </c>
      <c r="G958" t="s">
        <v>71</v>
      </c>
      <c r="H958" t="s">
        <v>73</v>
      </c>
      <c r="I958">
        <v>2</v>
      </c>
      <c r="J958">
        <v>3412</v>
      </c>
      <c r="K958">
        <v>0.15</v>
      </c>
      <c r="L958">
        <v>5800.4</v>
      </c>
      <c r="M958">
        <v>5000.13</v>
      </c>
      <c r="N958">
        <v>800.27</v>
      </c>
      <c r="O958" t="s">
        <v>76</v>
      </c>
      <c r="P958" t="s">
        <v>87</v>
      </c>
    </row>
    <row r="959" spans="1:16" x14ac:dyDescent="0.25">
      <c r="A959">
        <v>958</v>
      </c>
      <c r="B959" s="1">
        <v>45877</v>
      </c>
      <c r="C959" t="s">
        <v>22</v>
      </c>
      <c r="D959" t="s">
        <v>24</v>
      </c>
      <c r="E959" t="s">
        <v>29</v>
      </c>
      <c r="F959" t="s">
        <v>57</v>
      </c>
      <c r="G959" t="s">
        <v>72</v>
      </c>
      <c r="H959" t="s">
        <v>74</v>
      </c>
      <c r="I959">
        <v>5</v>
      </c>
      <c r="J959">
        <v>1329</v>
      </c>
      <c r="K959">
        <v>0.1</v>
      </c>
      <c r="L959">
        <v>5980.5</v>
      </c>
      <c r="M959">
        <v>3473.33</v>
      </c>
      <c r="N959">
        <v>2507.17</v>
      </c>
      <c r="O959" t="s">
        <v>80</v>
      </c>
      <c r="P959" t="s">
        <v>81</v>
      </c>
    </row>
    <row r="960" spans="1:16" x14ac:dyDescent="0.25">
      <c r="A960">
        <v>959</v>
      </c>
      <c r="B960" s="1">
        <v>45970</v>
      </c>
      <c r="C960" t="s">
        <v>23</v>
      </c>
      <c r="D960" t="s">
        <v>27</v>
      </c>
      <c r="E960" t="s">
        <v>31</v>
      </c>
      <c r="F960" t="s">
        <v>69</v>
      </c>
      <c r="G960" t="s">
        <v>71</v>
      </c>
      <c r="H960" t="s">
        <v>73</v>
      </c>
      <c r="I960">
        <v>2</v>
      </c>
      <c r="J960">
        <v>1137</v>
      </c>
      <c r="K960">
        <v>0.15</v>
      </c>
      <c r="L960">
        <v>1932.9</v>
      </c>
      <c r="M960">
        <v>1505.07</v>
      </c>
      <c r="N960">
        <v>427.83</v>
      </c>
      <c r="O960" t="s">
        <v>79</v>
      </c>
      <c r="P960" t="s">
        <v>85</v>
      </c>
    </row>
    <row r="961" spans="1:16" x14ac:dyDescent="0.25">
      <c r="A961">
        <v>960</v>
      </c>
      <c r="B961" s="1">
        <v>45865</v>
      </c>
      <c r="C961" t="s">
        <v>20</v>
      </c>
      <c r="D961" t="s">
        <v>26</v>
      </c>
      <c r="E961" t="s">
        <v>31</v>
      </c>
      <c r="F961" t="s">
        <v>38</v>
      </c>
      <c r="G961" t="s">
        <v>70</v>
      </c>
      <c r="H961" t="s">
        <v>73</v>
      </c>
      <c r="I961">
        <v>2</v>
      </c>
      <c r="J961">
        <v>211</v>
      </c>
      <c r="K961">
        <v>0.1</v>
      </c>
      <c r="L961">
        <v>379.8</v>
      </c>
      <c r="M961">
        <v>235.94</v>
      </c>
      <c r="N961">
        <v>143.86000000000001</v>
      </c>
      <c r="O961" t="s">
        <v>76</v>
      </c>
      <c r="P961" t="s">
        <v>82</v>
      </c>
    </row>
    <row r="962" spans="1:16" x14ac:dyDescent="0.25">
      <c r="A962">
        <v>961</v>
      </c>
      <c r="B962" s="1">
        <v>45934</v>
      </c>
      <c r="C962" t="s">
        <v>23</v>
      </c>
      <c r="D962" t="s">
        <v>27</v>
      </c>
      <c r="E962" t="s">
        <v>29</v>
      </c>
      <c r="F962" t="s">
        <v>42</v>
      </c>
      <c r="G962" t="s">
        <v>72</v>
      </c>
      <c r="H962" t="s">
        <v>73</v>
      </c>
      <c r="I962">
        <v>7</v>
      </c>
      <c r="J962">
        <v>10637</v>
      </c>
      <c r="K962">
        <v>0.15</v>
      </c>
      <c r="L962">
        <v>63290.15</v>
      </c>
      <c r="M962">
        <v>54719.81</v>
      </c>
      <c r="N962">
        <v>8570.34</v>
      </c>
      <c r="O962" t="s">
        <v>77</v>
      </c>
      <c r="P962" t="s">
        <v>87</v>
      </c>
    </row>
    <row r="963" spans="1:16" x14ac:dyDescent="0.25">
      <c r="A963">
        <v>962</v>
      </c>
      <c r="B963" s="1">
        <v>45701</v>
      </c>
      <c r="C963" t="s">
        <v>19</v>
      </c>
      <c r="D963" t="s">
        <v>26</v>
      </c>
      <c r="E963" t="s">
        <v>32</v>
      </c>
      <c r="F963" t="s">
        <v>39</v>
      </c>
      <c r="G963" t="s">
        <v>70</v>
      </c>
      <c r="H963" t="s">
        <v>74</v>
      </c>
      <c r="I963">
        <v>7</v>
      </c>
      <c r="J963">
        <v>17712</v>
      </c>
      <c r="K963">
        <v>0.1</v>
      </c>
      <c r="L963">
        <v>111585.60000000001</v>
      </c>
      <c r="M963">
        <v>77726.91</v>
      </c>
      <c r="N963">
        <v>33858.69</v>
      </c>
      <c r="O963" t="s">
        <v>80</v>
      </c>
      <c r="P963" t="s">
        <v>85</v>
      </c>
    </row>
    <row r="964" spans="1:16" x14ac:dyDescent="0.25">
      <c r="A964">
        <v>963</v>
      </c>
      <c r="B964" s="1">
        <v>45988</v>
      </c>
      <c r="C964" t="s">
        <v>22</v>
      </c>
      <c r="D964" t="s">
        <v>24</v>
      </c>
      <c r="E964" t="s">
        <v>29</v>
      </c>
      <c r="F964" t="s">
        <v>45</v>
      </c>
      <c r="G964" t="s">
        <v>70</v>
      </c>
      <c r="H964" t="s">
        <v>75</v>
      </c>
      <c r="I964">
        <v>4</v>
      </c>
      <c r="J964">
        <v>10767</v>
      </c>
      <c r="K964">
        <v>0.15</v>
      </c>
      <c r="L964">
        <v>36607.800000000003</v>
      </c>
      <c r="M964">
        <v>25055.13</v>
      </c>
      <c r="N964">
        <v>11552.67</v>
      </c>
      <c r="O964" t="s">
        <v>78</v>
      </c>
      <c r="P964" t="s">
        <v>84</v>
      </c>
    </row>
    <row r="965" spans="1:16" x14ac:dyDescent="0.25">
      <c r="A965">
        <v>964</v>
      </c>
      <c r="B965" s="1">
        <v>46021</v>
      </c>
      <c r="C965" t="s">
        <v>19</v>
      </c>
      <c r="D965" t="s">
        <v>26</v>
      </c>
      <c r="E965" t="s">
        <v>28</v>
      </c>
      <c r="F965" t="s">
        <v>35</v>
      </c>
      <c r="G965" t="s">
        <v>70</v>
      </c>
      <c r="H965" t="s">
        <v>75</v>
      </c>
      <c r="I965">
        <v>4</v>
      </c>
      <c r="J965">
        <v>1999</v>
      </c>
      <c r="K965">
        <v>0.2</v>
      </c>
      <c r="L965">
        <v>6396.8</v>
      </c>
      <c r="M965">
        <v>4010.29</v>
      </c>
      <c r="N965">
        <v>2386.5100000000002</v>
      </c>
      <c r="O965" t="s">
        <v>77</v>
      </c>
      <c r="P965" t="s">
        <v>85</v>
      </c>
    </row>
    <row r="966" spans="1:16" x14ac:dyDescent="0.25">
      <c r="A966">
        <v>965</v>
      </c>
      <c r="B966" s="1">
        <v>45685</v>
      </c>
      <c r="C966" t="s">
        <v>21</v>
      </c>
      <c r="D966" t="s">
        <v>24</v>
      </c>
      <c r="E966" t="s">
        <v>34</v>
      </c>
      <c r="F966" t="s">
        <v>51</v>
      </c>
      <c r="G966" t="s">
        <v>72</v>
      </c>
      <c r="H966" t="s">
        <v>75</v>
      </c>
      <c r="I966">
        <v>8</v>
      </c>
      <c r="J966">
        <v>4754</v>
      </c>
      <c r="K966">
        <v>0.15</v>
      </c>
      <c r="L966">
        <v>32327.200000000001</v>
      </c>
      <c r="M966">
        <v>24752.13</v>
      </c>
      <c r="N966">
        <v>7575.07</v>
      </c>
      <c r="O966" t="s">
        <v>80</v>
      </c>
      <c r="P966" t="s">
        <v>81</v>
      </c>
    </row>
    <row r="967" spans="1:16" x14ac:dyDescent="0.25">
      <c r="A967">
        <v>966</v>
      </c>
      <c r="B967" s="1">
        <v>45804</v>
      </c>
      <c r="C967" t="s">
        <v>17</v>
      </c>
      <c r="D967" t="s">
        <v>25</v>
      </c>
      <c r="E967" t="s">
        <v>29</v>
      </c>
      <c r="F967" t="s">
        <v>45</v>
      </c>
      <c r="G967" t="s">
        <v>70</v>
      </c>
      <c r="H967" t="s">
        <v>74</v>
      </c>
      <c r="I967">
        <v>3</v>
      </c>
      <c r="J967">
        <v>1344</v>
      </c>
      <c r="K967">
        <v>0.05</v>
      </c>
      <c r="L967">
        <v>3830.4</v>
      </c>
      <c r="M967">
        <v>2321.4</v>
      </c>
      <c r="N967">
        <v>1509</v>
      </c>
      <c r="O967" t="s">
        <v>76</v>
      </c>
      <c r="P967" t="s">
        <v>86</v>
      </c>
    </row>
    <row r="968" spans="1:16" x14ac:dyDescent="0.25">
      <c r="A968">
        <v>967</v>
      </c>
      <c r="B968" s="1">
        <v>45659</v>
      </c>
      <c r="C968" t="s">
        <v>20</v>
      </c>
      <c r="D968" t="s">
        <v>26</v>
      </c>
      <c r="E968" t="s">
        <v>34</v>
      </c>
      <c r="F968" t="s">
        <v>65</v>
      </c>
      <c r="G968" t="s">
        <v>70</v>
      </c>
      <c r="H968" t="s">
        <v>74</v>
      </c>
      <c r="I968">
        <v>5</v>
      </c>
      <c r="J968">
        <v>693</v>
      </c>
      <c r="K968">
        <v>0.05</v>
      </c>
      <c r="L968">
        <v>3291.75</v>
      </c>
      <c r="M968">
        <v>2797.93</v>
      </c>
      <c r="N968">
        <v>493.82</v>
      </c>
      <c r="O968" t="s">
        <v>76</v>
      </c>
      <c r="P968" t="s">
        <v>83</v>
      </c>
    </row>
    <row r="969" spans="1:16" x14ac:dyDescent="0.25">
      <c r="A969">
        <v>968</v>
      </c>
      <c r="B969" s="1">
        <v>45978</v>
      </c>
      <c r="C969" t="s">
        <v>20</v>
      </c>
      <c r="D969" t="s">
        <v>26</v>
      </c>
      <c r="E969" t="s">
        <v>32</v>
      </c>
      <c r="F969" t="s">
        <v>49</v>
      </c>
      <c r="G969" t="s">
        <v>70</v>
      </c>
      <c r="H969" t="s">
        <v>74</v>
      </c>
      <c r="I969">
        <v>6</v>
      </c>
      <c r="J969">
        <v>19769</v>
      </c>
      <c r="K969">
        <v>0</v>
      </c>
      <c r="L969">
        <v>118614</v>
      </c>
      <c r="M969">
        <v>92337.55</v>
      </c>
      <c r="N969">
        <v>26276.45</v>
      </c>
      <c r="O969" t="s">
        <v>79</v>
      </c>
      <c r="P969" t="s">
        <v>87</v>
      </c>
    </row>
    <row r="970" spans="1:16" x14ac:dyDescent="0.25">
      <c r="A970">
        <v>969</v>
      </c>
      <c r="B970" s="1">
        <v>45888</v>
      </c>
      <c r="C970" t="s">
        <v>20</v>
      </c>
      <c r="D970" t="s">
        <v>26</v>
      </c>
      <c r="E970" t="s">
        <v>28</v>
      </c>
      <c r="F970" t="s">
        <v>58</v>
      </c>
      <c r="G970" t="s">
        <v>72</v>
      </c>
      <c r="H970" t="s">
        <v>73</v>
      </c>
      <c r="I970">
        <v>8</v>
      </c>
      <c r="J970">
        <v>241</v>
      </c>
      <c r="K970">
        <v>0.05</v>
      </c>
      <c r="L970">
        <v>1831.6</v>
      </c>
      <c r="M970">
        <v>1402.55</v>
      </c>
      <c r="N970">
        <v>429.05</v>
      </c>
      <c r="O970" t="s">
        <v>76</v>
      </c>
      <c r="P970" t="s">
        <v>84</v>
      </c>
    </row>
    <row r="971" spans="1:16" x14ac:dyDescent="0.25">
      <c r="A971">
        <v>970</v>
      </c>
      <c r="B971" s="1">
        <v>45764</v>
      </c>
      <c r="C971" t="s">
        <v>20</v>
      </c>
      <c r="D971" t="s">
        <v>26</v>
      </c>
      <c r="E971" t="s">
        <v>28</v>
      </c>
      <c r="F971" t="s">
        <v>63</v>
      </c>
      <c r="G971" t="s">
        <v>70</v>
      </c>
      <c r="H971" t="s">
        <v>75</v>
      </c>
      <c r="I971">
        <v>1</v>
      </c>
      <c r="J971">
        <v>1103</v>
      </c>
      <c r="K971">
        <v>0.1</v>
      </c>
      <c r="L971">
        <v>992.7</v>
      </c>
      <c r="M971">
        <v>795.6</v>
      </c>
      <c r="N971">
        <v>197.1</v>
      </c>
      <c r="O971" t="s">
        <v>80</v>
      </c>
      <c r="P971" t="s">
        <v>82</v>
      </c>
    </row>
    <row r="972" spans="1:16" x14ac:dyDescent="0.25">
      <c r="A972">
        <v>971</v>
      </c>
      <c r="B972" s="1">
        <v>46014</v>
      </c>
      <c r="C972" t="s">
        <v>23</v>
      </c>
      <c r="D972" t="s">
        <v>27</v>
      </c>
      <c r="E972" t="s">
        <v>29</v>
      </c>
      <c r="F972" t="s">
        <v>36</v>
      </c>
      <c r="G972" t="s">
        <v>72</v>
      </c>
      <c r="H972" t="s">
        <v>75</v>
      </c>
      <c r="I972">
        <v>6</v>
      </c>
      <c r="J972">
        <v>2325</v>
      </c>
      <c r="K972">
        <v>0.1</v>
      </c>
      <c r="L972">
        <v>12555</v>
      </c>
      <c r="M972">
        <v>9819.4599999999991</v>
      </c>
      <c r="N972">
        <v>2735.54</v>
      </c>
      <c r="O972" t="s">
        <v>77</v>
      </c>
      <c r="P972" t="s">
        <v>81</v>
      </c>
    </row>
    <row r="973" spans="1:16" x14ac:dyDescent="0.25">
      <c r="A973">
        <v>972</v>
      </c>
      <c r="B973" s="1">
        <v>45898</v>
      </c>
      <c r="C973" t="s">
        <v>19</v>
      </c>
      <c r="D973" t="s">
        <v>26</v>
      </c>
      <c r="E973" t="s">
        <v>34</v>
      </c>
      <c r="F973" t="s">
        <v>68</v>
      </c>
      <c r="G973" t="s">
        <v>72</v>
      </c>
      <c r="H973" t="s">
        <v>74</v>
      </c>
      <c r="I973">
        <v>2</v>
      </c>
      <c r="J973">
        <v>2828</v>
      </c>
      <c r="K973">
        <v>0.05</v>
      </c>
      <c r="L973">
        <v>5373.2</v>
      </c>
      <c r="M973">
        <v>4447.71</v>
      </c>
      <c r="N973">
        <v>925.49</v>
      </c>
      <c r="O973" t="s">
        <v>76</v>
      </c>
      <c r="P973" t="s">
        <v>84</v>
      </c>
    </row>
    <row r="974" spans="1:16" x14ac:dyDescent="0.25">
      <c r="A974">
        <v>973</v>
      </c>
      <c r="B974" s="1">
        <v>45932</v>
      </c>
      <c r="C974" t="s">
        <v>21</v>
      </c>
      <c r="D974" t="s">
        <v>24</v>
      </c>
      <c r="E974" t="s">
        <v>34</v>
      </c>
      <c r="F974" t="s">
        <v>55</v>
      </c>
      <c r="G974" t="s">
        <v>72</v>
      </c>
      <c r="H974" t="s">
        <v>73</v>
      </c>
      <c r="I974">
        <v>6</v>
      </c>
      <c r="J974">
        <v>2434</v>
      </c>
      <c r="K974">
        <v>0</v>
      </c>
      <c r="L974">
        <v>14604</v>
      </c>
      <c r="M974">
        <v>12539.04</v>
      </c>
      <c r="N974">
        <v>2064.96</v>
      </c>
      <c r="O974" t="s">
        <v>77</v>
      </c>
      <c r="P974" t="s">
        <v>84</v>
      </c>
    </row>
    <row r="975" spans="1:16" x14ac:dyDescent="0.25">
      <c r="A975">
        <v>974</v>
      </c>
      <c r="B975" s="1">
        <v>45986</v>
      </c>
      <c r="C975" t="s">
        <v>23</v>
      </c>
      <c r="D975" t="s">
        <v>27</v>
      </c>
      <c r="E975" t="s">
        <v>28</v>
      </c>
      <c r="F975" t="s">
        <v>54</v>
      </c>
      <c r="G975" t="s">
        <v>72</v>
      </c>
      <c r="H975" t="s">
        <v>75</v>
      </c>
      <c r="I975">
        <v>5</v>
      </c>
      <c r="J975">
        <v>372</v>
      </c>
      <c r="K975">
        <v>0.05</v>
      </c>
      <c r="L975">
        <v>1767</v>
      </c>
      <c r="M975">
        <v>1311.09</v>
      </c>
      <c r="N975">
        <v>455.91</v>
      </c>
      <c r="O975" t="s">
        <v>79</v>
      </c>
      <c r="P975" t="s">
        <v>85</v>
      </c>
    </row>
    <row r="976" spans="1:16" x14ac:dyDescent="0.25">
      <c r="A976">
        <v>975</v>
      </c>
      <c r="B976" s="1">
        <v>45875</v>
      </c>
      <c r="C976" t="s">
        <v>19</v>
      </c>
      <c r="D976" t="s">
        <v>26</v>
      </c>
      <c r="E976" t="s">
        <v>33</v>
      </c>
      <c r="F976" t="s">
        <v>46</v>
      </c>
      <c r="G976" t="s">
        <v>72</v>
      </c>
      <c r="H976" t="s">
        <v>73</v>
      </c>
      <c r="I976">
        <v>6</v>
      </c>
      <c r="J976">
        <v>22736</v>
      </c>
      <c r="K976">
        <v>0.1</v>
      </c>
      <c r="L976">
        <v>122774.39999999999</v>
      </c>
      <c r="M976">
        <v>70714.86</v>
      </c>
      <c r="N976">
        <v>52059.54</v>
      </c>
      <c r="O976" t="s">
        <v>77</v>
      </c>
      <c r="P976" t="s">
        <v>82</v>
      </c>
    </row>
    <row r="977" spans="1:16" x14ac:dyDescent="0.25">
      <c r="A977">
        <v>976</v>
      </c>
      <c r="B977" s="1">
        <v>45954</v>
      </c>
      <c r="C977" t="s">
        <v>22</v>
      </c>
      <c r="D977" t="s">
        <v>24</v>
      </c>
      <c r="E977" t="s">
        <v>32</v>
      </c>
      <c r="F977" t="s">
        <v>48</v>
      </c>
      <c r="G977" t="s">
        <v>72</v>
      </c>
      <c r="H977" t="s">
        <v>75</v>
      </c>
      <c r="I977">
        <v>8</v>
      </c>
      <c r="J977">
        <v>22713</v>
      </c>
      <c r="K977">
        <v>0.1</v>
      </c>
      <c r="L977">
        <v>163533.6</v>
      </c>
      <c r="M977">
        <v>103462.44</v>
      </c>
      <c r="N977">
        <v>60071.16</v>
      </c>
      <c r="O977" t="s">
        <v>80</v>
      </c>
      <c r="P977" t="s">
        <v>87</v>
      </c>
    </row>
    <row r="978" spans="1:16" x14ac:dyDescent="0.25">
      <c r="A978">
        <v>977</v>
      </c>
      <c r="B978" s="1">
        <v>45966</v>
      </c>
      <c r="C978" t="s">
        <v>23</v>
      </c>
      <c r="D978" t="s">
        <v>27</v>
      </c>
      <c r="E978" t="s">
        <v>32</v>
      </c>
      <c r="F978" t="s">
        <v>48</v>
      </c>
      <c r="G978" t="s">
        <v>72</v>
      </c>
      <c r="H978" t="s">
        <v>74</v>
      </c>
      <c r="I978">
        <v>3</v>
      </c>
      <c r="J978">
        <v>4439</v>
      </c>
      <c r="K978">
        <v>0.1</v>
      </c>
      <c r="L978">
        <v>11985.3</v>
      </c>
      <c r="M978">
        <v>6631.35</v>
      </c>
      <c r="N978">
        <v>5353.95</v>
      </c>
      <c r="O978" t="s">
        <v>78</v>
      </c>
      <c r="P978" t="s">
        <v>86</v>
      </c>
    </row>
    <row r="979" spans="1:16" x14ac:dyDescent="0.25">
      <c r="A979">
        <v>978</v>
      </c>
      <c r="B979" s="1">
        <v>45918</v>
      </c>
      <c r="C979" t="s">
        <v>22</v>
      </c>
      <c r="D979" t="s">
        <v>24</v>
      </c>
      <c r="E979" t="s">
        <v>29</v>
      </c>
      <c r="F979" t="s">
        <v>45</v>
      </c>
      <c r="G979" t="s">
        <v>70</v>
      </c>
      <c r="H979" t="s">
        <v>75</v>
      </c>
      <c r="I979">
        <v>8</v>
      </c>
      <c r="J979">
        <v>6383</v>
      </c>
      <c r="K979">
        <v>0.15</v>
      </c>
      <c r="L979">
        <v>43404.4</v>
      </c>
      <c r="M979">
        <v>36713.54</v>
      </c>
      <c r="N979">
        <v>6690.86</v>
      </c>
      <c r="O979" t="s">
        <v>78</v>
      </c>
      <c r="P979" t="s">
        <v>86</v>
      </c>
    </row>
    <row r="980" spans="1:16" x14ac:dyDescent="0.25">
      <c r="A980">
        <v>979</v>
      </c>
      <c r="B980" s="1">
        <v>45922</v>
      </c>
      <c r="C980" t="s">
        <v>16</v>
      </c>
      <c r="D980" t="s">
        <v>24</v>
      </c>
      <c r="E980" t="s">
        <v>33</v>
      </c>
      <c r="F980" t="s">
        <v>59</v>
      </c>
      <c r="G980" t="s">
        <v>72</v>
      </c>
      <c r="H980" t="s">
        <v>73</v>
      </c>
      <c r="I980">
        <v>8</v>
      </c>
      <c r="J980">
        <v>35881</v>
      </c>
      <c r="K980">
        <v>0.1</v>
      </c>
      <c r="L980">
        <v>258343.2</v>
      </c>
      <c r="M980">
        <v>223828.44</v>
      </c>
      <c r="N980">
        <v>34514.76</v>
      </c>
      <c r="O980" t="s">
        <v>80</v>
      </c>
      <c r="P980" t="s">
        <v>81</v>
      </c>
    </row>
    <row r="981" spans="1:16" x14ac:dyDescent="0.25">
      <c r="A981">
        <v>980</v>
      </c>
      <c r="B981" s="1">
        <v>45873</v>
      </c>
      <c r="C981" t="s">
        <v>18</v>
      </c>
      <c r="D981" t="s">
        <v>26</v>
      </c>
      <c r="E981" t="s">
        <v>28</v>
      </c>
      <c r="F981" t="s">
        <v>58</v>
      </c>
      <c r="G981" t="s">
        <v>71</v>
      </c>
      <c r="H981" t="s">
        <v>73</v>
      </c>
      <c r="I981">
        <v>3</v>
      </c>
      <c r="J981">
        <v>1092</v>
      </c>
      <c r="K981">
        <v>0</v>
      </c>
      <c r="L981">
        <v>3276</v>
      </c>
      <c r="M981">
        <v>2473.29</v>
      </c>
      <c r="N981">
        <v>802.71</v>
      </c>
      <c r="O981" t="s">
        <v>76</v>
      </c>
      <c r="P981" t="s">
        <v>87</v>
      </c>
    </row>
    <row r="982" spans="1:16" x14ac:dyDescent="0.25">
      <c r="A982">
        <v>981</v>
      </c>
      <c r="B982" s="1">
        <v>45793</v>
      </c>
      <c r="C982" t="s">
        <v>17</v>
      </c>
      <c r="D982" t="s">
        <v>25</v>
      </c>
      <c r="E982" t="s">
        <v>28</v>
      </c>
      <c r="F982" t="s">
        <v>35</v>
      </c>
      <c r="G982" t="s">
        <v>72</v>
      </c>
      <c r="H982" t="s">
        <v>74</v>
      </c>
      <c r="I982">
        <v>1</v>
      </c>
      <c r="J982">
        <v>2071</v>
      </c>
      <c r="K982">
        <v>0.2</v>
      </c>
      <c r="L982">
        <v>1656.8</v>
      </c>
      <c r="M982">
        <v>1308.8599999999999</v>
      </c>
      <c r="N982">
        <v>347.94</v>
      </c>
      <c r="O982" t="s">
        <v>78</v>
      </c>
      <c r="P982" t="s">
        <v>83</v>
      </c>
    </row>
    <row r="983" spans="1:16" x14ac:dyDescent="0.25">
      <c r="A983">
        <v>982</v>
      </c>
      <c r="B983" s="1">
        <v>45810</v>
      </c>
      <c r="C983" t="s">
        <v>20</v>
      </c>
      <c r="D983" t="s">
        <v>26</v>
      </c>
      <c r="E983" t="s">
        <v>29</v>
      </c>
      <c r="F983" t="s">
        <v>57</v>
      </c>
      <c r="G983" t="s">
        <v>71</v>
      </c>
      <c r="H983" t="s">
        <v>74</v>
      </c>
      <c r="I983">
        <v>5</v>
      </c>
      <c r="J983">
        <v>5229</v>
      </c>
      <c r="K983">
        <v>0.05</v>
      </c>
      <c r="L983">
        <v>24837.75</v>
      </c>
      <c r="M983">
        <v>13824.97</v>
      </c>
      <c r="N983">
        <v>11012.78</v>
      </c>
      <c r="O983" t="s">
        <v>80</v>
      </c>
      <c r="P983" t="s">
        <v>86</v>
      </c>
    </row>
    <row r="984" spans="1:16" x14ac:dyDescent="0.25">
      <c r="A984">
        <v>983</v>
      </c>
      <c r="B984" s="1">
        <v>45870</v>
      </c>
      <c r="C984" t="s">
        <v>20</v>
      </c>
      <c r="D984" t="s">
        <v>26</v>
      </c>
      <c r="E984" t="s">
        <v>31</v>
      </c>
      <c r="F984" t="s">
        <v>67</v>
      </c>
      <c r="G984" t="s">
        <v>72</v>
      </c>
      <c r="H984" t="s">
        <v>74</v>
      </c>
      <c r="I984">
        <v>6</v>
      </c>
      <c r="J984">
        <v>2394</v>
      </c>
      <c r="K984">
        <v>0.05</v>
      </c>
      <c r="L984">
        <v>13645.8</v>
      </c>
      <c r="M984">
        <v>10539.22</v>
      </c>
      <c r="N984">
        <v>3106.58</v>
      </c>
      <c r="O984" t="s">
        <v>78</v>
      </c>
      <c r="P984" t="s">
        <v>82</v>
      </c>
    </row>
    <row r="985" spans="1:16" x14ac:dyDescent="0.25">
      <c r="A985">
        <v>984</v>
      </c>
      <c r="B985" s="1">
        <v>45955</v>
      </c>
      <c r="C985" t="s">
        <v>20</v>
      </c>
      <c r="D985" t="s">
        <v>26</v>
      </c>
      <c r="E985" t="s">
        <v>33</v>
      </c>
      <c r="F985" t="s">
        <v>59</v>
      </c>
      <c r="G985" t="s">
        <v>71</v>
      </c>
      <c r="H985" t="s">
        <v>74</v>
      </c>
      <c r="I985">
        <v>1</v>
      </c>
      <c r="J985">
        <v>47385</v>
      </c>
      <c r="K985">
        <v>0.1</v>
      </c>
      <c r="L985">
        <v>42646.5</v>
      </c>
      <c r="M985">
        <v>35601.25</v>
      </c>
      <c r="N985">
        <v>7045.25</v>
      </c>
      <c r="O985" t="s">
        <v>78</v>
      </c>
      <c r="P985" t="s">
        <v>88</v>
      </c>
    </row>
    <row r="986" spans="1:16" x14ac:dyDescent="0.25">
      <c r="A986">
        <v>985</v>
      </c>
      <c r="B986" s="1">
        <v>45969</v>
      </c>
      <c r="C986" t="s">
        <v>16</v>
      </c>
      <c r="D986" t="s">
        <v>24</v>
      </c>
      <c r="E986" t="s">
        <v>30</v>
      </c>
      <c r="F986" t="s">
        <v>64</v>
      </c>
      <c r="G986" t="s">
        <v>71</v>
      </c>
      <c r="H986" t="s">
        <v>73</v>
      </c>
      <c r="I986">
        <v>6</v>
      </c>
      <c r="J986">
        <v>4006</v>
      </c>
      <c r="K986">
        <v>0.05</v>
      </c>
      <c r="L986">
        <v>22834.2</v>
      </c>
      <c r="M986">
        <v>16627.47</v>
      </c>
      <c r="N986">
        <v>6206.73</v>
      </c>
      <c r="O986" t="s">
        <v>78</v>
      </c>
      <c r="P986" t="s">
        <v>88</v>
      </c>
    </row>
    <row r="987" spans="1:16" x14ac:dyDescent="0.25">
      <c r="A987">
        <v>986</v>
      </c>
      <c r="B987" s="1">
        <v>46004</v>
      </c>
      <c r="C987" t="s">
        <v>17</v>
      </c>
      <c r="D987" t="s">
        <v>25</v>
      </c>
      <c r="E987" t="s">
        <v>31</v>
      </c>
      <c r="F987" t="s">
        <v>67</v>
      </c>
      <c r="G987" t="s">
        <v>71</v>
      </c>
      <c r="H987" t="s">
        <v>74</v>
      </c>
      <c r="I987">
        <v>7</v>
      </c>
      <c r="J987">
        <v>2243</v>
      </c>
      <c r="K987">
        <v>0.15</v>
      </c>
      <c r="L987">
        <v>13345.85</v>
      </c>
      <c r="M987">
        <v>7481.87</v>
      </c>
      <c r="N987">
        <v>5863.98</v>
      </c>
      <c r="O987" t="s">
        <v>78</v>
      </c>
      <c r="P987" t="s">
        <v>86</v>
      </c>
    </row>
    <row r="988" spans="1:16" x14ac:dyDescent="0.25">
      <c r="A988">
        <v>987</v>
      </c>
      <c r="B988" s="1">
        <v>45833</v>
      </c>
      <c r="C988" t="s">
        <v>23</v>
      </c>
      <c r="D988" t="s">
        <v>27</v>
      </c>
      <c r="E988" t="s">
        <v>34</v>
      </c>
      <c r="F988" t="s">
        <v>68</v>
      </c>
      <c r="G988" t="s">
        <v>71</v>
      </c>
      <c r="H988" t="s">
        <v>74</v>
      </c>
      <c r="I988">
        <v>4</v>
      </c>
      <c r="J988">
        <v>3485</v>
      </c>
      <c r="K988">
        <v>0.2</v>
      </c>
      <c r="L988">
        <v>11152</v>
      </c>
      <c r="M988">
        <v>8468.49</v>
      </c>
      <c r="N988">
        <v>2683.51</v>
      </c>
      <c r="O988" t="s">
        <v>78</v>
      </c>
      <c r="P988" t="s">
        <v>81</v>
      </c>
    </row>
    <row r="989" spans="1:16" x14ac:dyDescent="0.25">
      <c r="A989">
        <v>988</v>
      </c>
      <c r="B989" s="1">
        <v>45721</v>
      </c>
      <c r="C989" t="s">
        <v>16</v>
      </c>
      <c r="D989" t="s">
        <v>24</v>
      </c>
      <c r="E989" t="s">
        <v>29</v>
      </c>
      <c r="F989" t="s">
        <v>42</v>
      </c>
      <c r="G989" t="s">
        <v>70</v>
      </c>
      <c r="H989" t="s">
        <v>73</v>
      </c>
      <c r="I989">
        <v>4</v>
      </c>
      <c r="J989">
        <v>5994</v>
      </c>
      <c r="K989">
        <v>0.1</v>
      </c>
      <c r="L989">
        <v>21578.400000000001</v>
      </c>
      <c r="M989">
        <v>14474.27</v>
      </c>
      <c r="N989">
        <v>7104.13</v>
      </c>
      <c r="O989" t="s">
        <v>79</v>
      </c>
      <c r="P989" t="s">
        <v>82</v>
      </c>
    </row>
    <row r="990" spans="1:16" x14ac:dyDescent="0.25">
      <c r="A990">
        <v>989</v>
      </c>
      <c r="B990" s="1">
        <v>45733</v>
      </c>
      <c r="C990" t="s">
        <v>20</v>
      </c>
      <c r="D990" t="s">
        <v>26</v>
      </c>
      <c r="E990" t="s">
        <v>32</v>
      </c>
      <c r="F990" t="s">
        <v>48</v>
      </c>
      <c r="G990" t="s">
        <v>72</v>
      </c>
      <c r="H990" t="s">
        <v>74</v>
      </c>
      <c r="I990">
        <v>2</v>
      </c>
      <c r="J990">
        <v>20537</v>
      </c>
      <c r="K990">
        <v>0.05</v>
      </c>
      <c r="L990">
        <v>39020.300000000003</v>
      </c>
      <c r="M990">
        <v>27518.78</v>
      </c>
      <c r="N990">
        <v>11501.52</v>
      </c>
      <c r="O990" t="s">
        <v>78</v>
      </c>
      <c r="P990" t="s">
        <v>85</v>
      </c>
    </row>
    <row r="991" spans="1:16" x14ac:dyDescent="0.25">
      <c r="A991">
        <v>990</v>
      </c>
      <c r="B991" s="1">
        <v>45994</v>
      </c>
      <c r="C991" t="s">
        <v>17</v>
      </c>
      <c r="D991" t="s">
        <v>25</v>
      </c>
      <c r="E991" t="s">
        <v>31</v>
      </c>
      <c r="F991" t="s">
        <v>69</v>
      </c>
      <c r="G991" t="s">
        <v>71</v>
      </c>
      <c r="H991" t="s">
        <v>73</v>
      </c>
      <c r="I991">
        <v>1</v>
      </c>
      <c r="J991">
        <v>196</v>
      </c>
      <c r="K991">
        <v>0.1</v>
      </c>
      <c r="L991">
        <v>176.4</v>
      </c>
      <c r="M991">
        <v>126.77</v>
      </c>
      <c r="N991">
        <v>49.63</v>
      </c>
      <c r="O991" t="s">
        <v>79</v>
      </c>
      <c r="P991" t="s">
        <v>84</v>
      </c>
    </row>
    <row r="992" spans="1:16" x14ac:dyDescent="0.25">
      <c r="A992">
        <v>991</v>
      </c>
      <c r="B992" s="1">
        <v>45832</v>
      </c>
      <c r="C992" t="s">
        <v>19</v>
      </c>
      <c r="D992" t="s">
        <v>26</v>
      </c>
      <c r="E992" t="s">
        <v>34</v>
      </c>
      <c r="F992" t="s">
        <v>68</v>
      </c>
      <c r="G992" t="s">
        <v>71</v>
      </c>
      <c r="H992" t="s">
        <v>75</v>
      </c>
      <c r="I992">
        <v>3</v>
      </c>
      <c r="J992">
        <v>1826</v>
      </c>
      <c r="K992">
        <v>0.1</v>
      </c>
      <c r="L992">
        <v>4930.2</v>
      </c>
      <c r="M992">
        <v>3623.09</v>
      </c>
      <c r="N992">
        <v>1307.1099999999999</v>
      </c>
      <c r="O992" t="s">
        <v>76</v>
      </c>
      <c r="P992" t="s">
        <v>86</v>
      </c>
    </row>
    <row r="993" spans="1:16" x14ac:dyDescent="0.25">
      <c r="A993">
        <v>992</v>
      </c>
      <c r="B993" s="1">
        <v>45767</v>
      </c>
      <c r="C993" t="s">
        <v>18</v>
      </c>
      <c r="D993" t="s">
        <v>26</v>
      </c>
      <c r="E993" t="s">
        <v>33</v>
      </c>
      <c r="F993" t="s">
        <v>52</v>
      </c>
      <c r="G993" t="s">
        <v>70</v>
      </c>
      <c r="H993" t="s">
        <v>74</v>
      </c>
      <c r="I993">
        <v>6</v>
      </c>
      <c r="J993">
        <v>13461</v>
      </c>
      <c r="K993">
        <v>0.1</v>
      </c>
      <c r="L993">
        <v>72689.399999999994</v>
      </c>
      <c r="M993">
        <v>45427.360000000001</v>
      </c>
      <c r="N993">
        <v>27262.04</v>
      </c>
      <c r="O993" t="s">
        <v>78</v>
      </c>
      <c r="P993" t="s">
        <v>87</v>
      </c>
    </row>
    <row r="994" spans="1:16" x14ac:dyDescent="0.25">
      <c r="A994">
        <v>993</v>
      </c>
      <c r="B994" s="1">
        <v>45800</v>
      </c>
      <c r="C994" t="s">
        <v>17</v>
      </c>
      <c r="D994" t="s">
        <v>25</v>
      </c>
      <c r="E994" t="s">
        <v>34</v>
      </c>
      <c r="F994" t="s">
        <v>55</v>
      </c>
      <c r="G994" t="s">
        <v>71</v>
      </c>
      <c r="H994" t="s">
        <v>75</v>
      </c>
      <c r="I994">
        <v>8</v>
      </c>
      <c r="J994">
        <v>3042</v>
      </c>
      <c r="K994">
        <v>0.15</v>
      </c>
      <c r="L994">
        <v>20685.599999999999</v>
      </c>
      <c r="M994">
        <v>11508.36</v>
      </c>
      <c r="N994">
        <v>9177.24</v>
      </c>
      <c r="O994" t="s">
        <v>77</v>
      </c>
      <c r="P994" t="s">
        <v>88</v>
      </c>
    </row>
    <row r="995" spans="1:16" x14ac:dyDescent="0.25">
      <c r="A995">
        <v>994</v>
      </c>
      <c r="B995" s="1">
        <v>46012</v>
      </c>
      <c r="C995" t="s">
        <v>16</v>
      </c>
      <c r="D995" t="s">
        <v>24</v>
      </c>
      <c r="E995" t="s">
        <v>34</v>
      </c>
      <c r="F995" t="s">
        <v>51</v>
      </c>
      <c r="G995" t="s">
        <v>71</v>
      </c>
      <c r="H995" t="s">
        <v>75</v>
      </c>
      <c r="I995">
        <v>2</v>
      </c>
      <c r="J995">
        <v>1777</v>
      </c>
      <c r="K995">
        <v>0.05</v>
      </c>
      <c r="L995">
        <v>3376.3</v>
      </c>
      <c r="M995">
        <v>2970.78</v>
      </c>
      <c r="N995">
        <v>405.52</v>
      </c>
      <c r="O995" t="s">
        <v>78</v>
      </c>
      <c r="P995" t="s">
        <v>86</v>
      </c>
    </row>
    <row r="996" spans="1:16" x14ac:dyDescent="0.25">
      <c r="A996">
        <v>995</v>
      </c>
      <c r="B996" s="1">
        <v>45722</v>
      </c>
      <c r="C996" t="s">
        <v>20</v>
      </c>
      <c r="D996" t="s">
        <v>26</v>
      </c>
      <c r="E996" t="s">
        <v>30</v>
      </c>
      <c r="F996" t="s">
        <v>40</v>
      </c>
      <c r="G996" t="s">
        <v>70</v>
      </c>
      <c r="H996" t="s">
        <v>74</v>
      </c>
      <c r="I996">
        <v>4</v>
      </c>
      <c r="J996">
        <v>10797</v>
      </c>
      <c r="K996">
        <v>0.05</v>
      </c>
      <c r="L996">
        <v>41028.6</v>
      </c>
      <c r="M996">
        <v>25829.16</v>
      </c>
      <c r="N996">
        <v>15199.44</v>
      </c>
      <c r="O996" t="s">
        <v>76</v>
      </c>
      <c r="P996" t="s">
        <v>81</v>
      </c>
    </row>
    <row r="997" spans="1:16" x14ac:dyDescent="0.25">
      <c r="A997">
        <v>996</v>
      </c>
      <c r="B997" s="1">
        <v>45720</v>
      </c>
      <c r="C997" t="s">
        <v>22</v>
      </c>
      <c r="D997" t="s">
        <v>24</v>
      </c>
      <c r="E997" t="s">
        <v>28</v>
      </c>
      <c r="F997" t="s">
        <v>61</v>
      </c>
      <c r="G997" t="s">
        <v>71</v>
      </c>
      <c r="H997" t="s">
        <v>75</v>
      </c>
      <c r="I997">
        <v>4</v>
      </c>
      <c r="J997">
        <v>1231</v>
      </c>
      <c r="K997">
        <v>0.1</v>
      </c>
      <c r="L997">
        <v>4431.6000000000004</v>
      </c>
      <c r="M997">
        <v>2795.9</v>
      </c>
      <c r="N997">
        <v>1635.7</v>
      </c>
      <c r="O997" t="s">
        <v>80</v>
      </c>
      <c r="P997" t="s">
        <v>86</v>
      </c>
    </row>
    <row r="998" spans="1:16" x14ac:dyDescent="0.25">
      <c r="A998">
        <v>997</v>
      </c>
      <c r="B998" s="1">
        <v>45851</v>
      </c>
      <c r="C998" t="s">
        <v>21</v>
      </c>
      <c r="D998" t="s">
        <v>24</v>
      </c>
      <c r="E998" t="s">
        <v>32</v>
      </c>
      <c r="F998" t="s">
        <v>39</v>
      </c>
      <c r="G998" t="s">
        <v>72</v>
      </c>
      <c r="H998" t="s">
        <v>74</v>
      </c>
      <c r="I998">
        <v>6</v>
      </c>
      <c r="J998">
        <v>1622</v>
      </c>
      <c r="K998">
        <v>0.1</v>
      </c>
      <c r="L998">
        <v>8758.7999999999993</v>
      </c>
      <c r="M998">
        <v>6928.9</v>
      </c>
      <c r="N998">
        <v>1829.9</v>
      </c>
      <c r="O998" t="s">
        <v>77</v>
      </c>
      <c r="P998" t="s">
        <v>81</v>
      </c>
    </row>
    <row r="999" spans="1:16" x14ac:dyDescent="0.25">
      <c r="A999">
        <v>998</v>
      </c>
      <c r="B999" s="1">
        <v>45676</v>
      </c>
      <c r="C999" t="s">
        <v>18</v>
      </c>
      <c r="D999" t="s">
        <v>26</v>
      </c>
      <c r="E999" t="s">
        <v>31</v>
      </c>
      <c r="F999" t="s">
        <v>38</v>
      </c>
      <c r="G999" t="s">
        <v>70</v>
      </c>
      <c r="H999" t="s">
        <v>75</v>
      </c>
      <c r="I999">
        <v>7</v>
      </c>
      <c r="J999">
        <v>2323</v>
      </c>
      <c r="K999">
        <v>0.1</v>
      </c>
      <c r="L999">
        <v>14634.9</v>
      </c>
      <c r="M999">
        <v>8639.6200000000008</v>
      </c>
      <c r="N999">
        <v>5995.28</v>
      </c>
      <c r="O999" t="s">
        <v>80</v>
      </c>
      <c r="P999" t="s">
        <v>87</v>
      </c>
    </row>
    <row r="1000" spans="1:16" x14ac:dyDescent="0.25">
      <c r="A1000">
        <v>999</v>
      </c>
      <c r="B1000" s="1">
        <v>45798</v>
      </c>
      <c r="C1000" t="s">
        <v>23</v>
      </c>
      <c r="D1000" t="s">
        <v>27</v>
      </c>
      <c r="E1000" t="s">
        <v>30</v>
      </c>
      <c r="F1000" t="s">
        <v>40</v>
      </c>
      <c r="G1000" t="s">
        <v>72</v>
      </c>
      <c r="H1000" t="s">
        <v>74</v>
      </c>
      <c r="I1000">
        <v>7</v>
      </c>
      <c r="J1000">
        <v>39248</v>
      </c>
      <c r="K1000">
        <v>0.05</v>
      </c>
      <c r="L1000">
        <v>260999.2</v>
      </c>
      <c r="M1000">
        <v>166175.64000000001</v>
      </c>
      <c r="N1000">
        <v>94823.56</v>
      </c>
      <c r="O1000" t="s">
        <v>78</v>
      </c>
      <c r="P1000" t="s">
        <v>86</v>
      </c>
    </row>
    <row r="1001" spans="1:16" x14ac:dyDescent="0.25">
      <c r="A1001">
        <v>1000</v>
      </c>
      <c r="B1001" s="1">
        <v>45914</v>
      </c>
      <c r="C1001" t="s">
        <v>22</v>
      </c>
      <c r="D1001" t="s">
        <v>24</v>
      </c>
      <c r="E1001" t="s">
        <v>32</v>
      </c>
      <c r="F1001" t="s">
        <v>49</v>
      </c>
      <c r="G1001" t="s">
        <v>72</v>
      </c>
      <c r="H1001" t="s">
        <v>74</v>
      </c>
      <c r="I1001">
        <v>4</v>
      </c>
      <c r="J1001">
        <v>2271</v>
      </c>
      <c r="K1001">
        <v>0.05</v>
      </c>
      <c r="L1001">
        <v>8629.7999999999993</v>
      </c>
      <c r="M1001">
        <v>5064.0200000000004</v>
      </c>
      <c r="N1001">
        <v>3565.78</v>
      </c>
      <c r="O1001" t="s">
        <v>79</v>
      </c>
      <c r="P1001" t="s">
        <v>84</v>
      </c>
    </row>
    <row r="1002" spans="1:16" x14ac:dyDescent="0.25">
      <c r="A1002">
        <v>1001</v>
      </c>
      <c r="B1002" s="1">
        <v>45968</v>
      </c>
      <c r="C1002" t="s">
        <v>20</v>
      </c>
      <c r="D1002" t="s">
        <v>26</v>
      </c>
      <c r="E1002" t="s">
        <v>31</v>
      </c>
      <c r="F1002" t="s">
        <v>50</v>
      </c>
      <c r="G1002" t="s">
        <v>70</v>
      </c>
      <c r="H1002" t="s">
        <v>74</v>
      </c>
      <c r="I1002">
        <v>3</v>
      </c>
      <c r="J1002">
        <v>952</v>
      </c>
      <c r="K1002">
        <v>0.1</v>
      </c>
      <c r="L1002">
        <v>2570.4</v>
      </c>
      <c r="M1002">
        <v>1756.96</v>
      </c>
      <c r="N1002">
        <v>813.44</v>
      </c>
      <c r="O1002" t="s">
        <v>78</v>
      </c>
      <c r="P1002" t="s">
        <v>85</v>
      </c>
    </row>
    <row r="1003" spans="1:16" x14ac:dyDescent="0.25">
      <c r="A1003">
        <v>1002</v>
      </c>
      <c r="B1003" s="1">
        <v>45841</v>
      </c>
      <c r="C1003" t="s">
        <v>19</v>
      </c>
      <c r="D1003" t="s">
        <v>26</v>
      </c>
      <c r="E1003" t="s">
        <v>29</v>
      </c>
      <c r="F1003" t="s">
        <v>42</v>
      </c>
      <c r="G1003" t="s">
        <v>71</v>
      </c>
      <c r="H1003" t="s">
        <v>75</v>
      </c>
      <c r="I1003">
        <v>4</v>
      </c>
      <c r="J1003">
        <v>8375</v>
      </c>
      <c r="K1003">
        <v>0.2</v>
      </c>
      <c r="L1003">
        <v>26800</v>
      </c>
      <c r="M1003">
        <v>20684.48</v>
      </c>
      <c r="N1003">
        <v>6115.52</v>
      </c>
      <c r="O1003" t="s">
        <v>78</v>
      </c>
      <c r="P1003" t="s">
        <v>82</v>
      </c>
    </row>
    <row r="1004" spans="1:16" x14ac:dyDescent="0.25">
      <c r="A1004">
        <v>1003</v>
      </c>
      <c r="B1004" s="1">
        <v>45995</v>
      </c>
      <c r="C1004" t="s">
        <v>18</v>
      </c>
      <c r="D1004" t="s">
        <v>26</v>
      </c>
      <c r="E1004" t="s">
        <v>32</v>
      </c>
      <c r="F1004" t="s">
        <v>48</v>
      </c>
      <c r="G1004" t="s">
        <v>70</v>
      </c>
      <c r="H1004" t="s">
        <v>74</v>
      </c>
      <c r="I1004">
        <v>4</v>
      </c>
      <c r="J1004">
        <v>24479</v>
      </c>
      <c r="K1004">
        <v>0.05</v>
      </c>
      <c r="L1004">
        <v>93020.2</v>
      </c>
      <c r="M1004">
        <v>79414.009999999995</v>
      </c>
      <c r="N1004">
        <v>13606.19</v>
      </c>
      <c r="O1004" t="s">
        <v>79</v>
      </c>
      <c r="P1004" t="s">
        <v>82</v>
      </c>
    </row>
    <row r="1005" spans="1:16" x14ac:dyDescent="0.25">
      <c r="A1005">
        <v>1004</v>
      </c>
      <c r="B1005" s="1">
        <v>45775</v>
      </c>
      <c r="C1005" t="s">
        <v>22</v>
      </c>
      <c r="D1005" t="s">
        <v>24</v>
      </c>
      <c r="E1005" t="s">
        <v>33</v>
      </c>
      <c r="F1005" t="s">
        <v>46</v>
      </c>
      <c r="G1005" t="s">
        <v>72</v>
      </c>
      <c r="H1005" t="s">
        <v>75</v>
      </c>
      <c r="I1005">
        <v>5</v>
      </c>
      <c r="J1005">
        <v>29764</v>
      </c>
      <c r="K1005">
        <v>0.05</v>
      </c>
      <c r="L1005">
        <v>141379</v>
      </c>
      <c r="M1005">
        <v>109657.95</v>
      </c>
      <c r="N1005">
        <v>31721.05</v>
      </c>
      <c r="O1005" t="s">
        <v>79</v>
      </c>
      <c r="P1005" t="s">
        <v>84</v>
      </c>
    </row>
    <row r="1006" spans="1:16" x14ac:dyDescent="0.25">
      <c r="A1006">
        <v>1005</v>
      </c>
      <c r="B1006" s="1">
        <v>45801</v>
      </c>
      <c r="C1006" t="s">
        <v>19</v>
      </c>
      <c r="D1006" t="s">
        <v>26</v>
      </c>
      <c r="E1006" t="s">
        <v>33</v>
      </c>
      <c r="F1006" t="s">
        <v>59</v>
      </c>
      <c r="G1006" t="s">
        <v>71</v>
      </c>
      <c r="H1006" t="s">
        <v>74</v>
      </c>
      <c r="I1006">
        <v>2</v>
      </c>
      <c r="J1006">
        <v>12111</v>
      </c>
      <c r="K1006">
        <v>0</v>
      </c>
      <c r="L1006">
        <v>24222</v>
      </c>
      <c r="M1006">
        <v>13590.35</v>
      </c>
      <c r="N1006">
        <v>10631.65</v>
      </c>
      <c r="O1006" t="s">
        <v>77</v>
      </c>
      <c r="P1006" t="s">
        <v>81</v>
      </c>
    </row>
    <row r="1007" spans="1:16" x14ac:dyDescent="0.25">
      <c r="A1007">
        <v>1006</v>
      </c>
      <c r="B1007" s="1">
        <v>45757</v>
      </c>
      <c r="C1007" t="s">
        <v>21</v>
      </c>
      <c r="D1007" t="s">
        <v>24</v>
      </c>
      <c r="E1007" t="s">
        <v>28</v>
      </c>
      <c r="F1007" t="s">
        <v>58</v>
      </c>
      <c r="G1007" t="s">
        <v>71</v>
      </c>
      <c r="H1007" t="s">
        <v>75</v>
      </c>
      <c r="I1007">
        <v>8</v>
      </c>
      <c r="J1007">
        <v>942</v>
      </c>
      <c r="K1007">
        <v>0.1</v>
      </c>
      <c r="L1007">
        <v>6782.4</v>
      </c>
      <c r="M1007">
        <v>5210.75</v>
      </c>
      <c r="N1007">
        <v>1571.65</v>
      </c>
      <c r="O1007" t="s">
        <v>78</v>
      </c>
      <c r="P1007" t="s">
        <v>84</v>
      </c>
    </row>
    <row r="1008" spans="1:16" x14ac:dyDescent="0.25">
      <c r="A1008">
        <v>1007</v>
      </c>
      <c r="B1008" s="1">
        <v>45875</v>
      </c>
      <c r="C1008" t="s">
        <v>19</v>
      </c>
      <c r="D1008" t="s">
        <v>26</v>
      </c>
      <c r="E1008" t="s">
        <v>33</v>
      </c>
      <c r="F1008" t="s">
        <v>41</v>
      </c>
      <c r="G1008" t="s">
        <v>72</v>
      </c>
      <c r="H1008" t="s">
        <v>74</v>
      </c>
      <c r="I1008">
        <v>5</v>
      </c>
      <c r="J1008">
        <v>38354</v>
      </c>
      <c r="K1008">
        <v>0.1</v>
      </c>
      <c r="L1008">
        <v>172593</v>
      </c>
      <c r="M1008">
        <v>131537.47</v>
      </c>
      <c r="N1008">
        <v>41055.53</v>
      </c>
      <c r="O1008" t="s">
        <v>80</v>
      </c>
      <c r="P1008" t="s">
        <v>86</v>
      </c>
    </row>
    <row r="1009" spans="1:16" x14ac:dyDescent="0.25">
      <c r="A1009">
        <v>1008</v>
      </c>
      <c r="B1009" s="1">
        <v>45753</v>
      </c>
      <c r="C1009" t="s">
        <v>17</v>
      </c>
      <c r="D1009" t="s">
        <v>25</v>
      </c>
      <c r="E1009" t="s">
        <v>30</v>
      </c>
      <c r="F1009" t="s">
        <v>44</v>
      </c>
      <c r="G1009" t="s">
        <v>70</v>
      </c>
      <c r="H1009" t="s">
        <v>75</v>
      </c>
      <c r="I1009">
        <v>8</v>
      </c>
      <c r="J1009">
        <v>63923</v>
      </c>
      <c r="K1009">
        <v>0</v>
      </c>
      <c r="L1009">
        <v>511384</v>
      </c>
      <c r="M1009">
        <v>293164.34000000003</v>
      </c>
      <c r="N1009">
        <v>218219.66</v>
      </c>
      <c r="O1009" t="s">
        <v>79</v>
      </c>
      <c r="P1009" t="s">
        <v>87</v>
      </c>
    </row>
    <row r="1010" spans="1:16" x14ac:dyDescent="0.25">
      <c r="A1010">
        <v>1009</v>
      </c>
      <c r="B1010" s="1">
        <v>45766</v>
      </c>
      <c r="C1010" t="s">
        <v>20</v>
      </c>
      <c r="D1010" t="s">
        <v>26</v>
      </c>
      <c r="E1010" t="s">
        <v>32</v>
      </c>
      <c r="F1010" t="s">
        <v>39</v>
      </c>
      <c r="G1010" t="s">
        <v>70</v>
      </c>
      <c r="H1010" t="s">
        <v>75</v>
      </c>
      <c r="I1010">
        <v>2</v>
      </c>
      <c r="J1010">
        <v>15451</v>
      </c>
      <c r="K1010">
        <v>0.1</v>
      </c>
      <c r="L1010">
        <v>27811.8</v>
      </c>
      <c r="M1010">
        <v>22253.11</v>
      </c>
      <c r="N1010">
        <v>5558.69</v>
      </c>
      <c r="O1010" t="s">
        <v>79</v>
      </c>
      <c r="P1010" t="s">
        <v>84</v>
      </c>
    </row>
    <row r="1011" spans="1:16" x14ac:dyDescent="0.25">
      <c r="A1011">
        <v>1010</v>
      </c>
      <c r="B1011" s="1">
        <v>45991</v>
      </c>
      <c r="C1011" t="s">
        <v>19</v>
      </c>
      <c r="D1011" t="s">
        <v>26</v>
      </c>
      <c r="E1011" t="s">
        <v>31</v>
      </c>
      <c r="F1011" t="s">
        <v>47</v>
      </c>
      <c r="G1011" t="s">
        <v>71</v>
      </c>
      <c r="H1011" t="s">
        <v>73</v>
      </c>
      <c r="I1011">
        <v>2</v>
      </c>
      <c r="J1011">
        <v>1253</v>
      </c>
      <c r="K1011">
        <v>0.15</v>
      </c>
      <c r="L1011">
        <v>2130.1</v>
      </c>
      <c r="M1011">
        <v>1531.66</v>
      </c>
      <c r="N1011">
        <v>598.44000000000005</v>
      </c>
      <c r="O1011" t="s">
        <v>78</v>
      </c>
      <c r="P1011" t="s">
        <v>86</v>
      </c>
    </row>
    <row r="1012" spans="1:16" x14ac:dyDescent="0.25">
      <c r="A1012">
        <v>1011</v>
      </c>
      <c r="B1012" s="1">
        <v>45745</v>
      </c>
      <c r="C1012" t="s">
        <v>18</v>
      </c>
      <c r="D1012" t="s">
        <v>26</v>
      </c>
      <c r="E1012" t="s">
        <v>28</v>
      </c>
      <c r="F1012" t="s">
        <v>58</v>
      </c>
      <c r="G1012" t="s">
        <v>71</v>
      </c>
      <c r="H1012" t="s">
        <v>75</v>
      </c>
      <c r="I1012">
        <v>7</v>
      </c>
      <c r="J1012">
        <v>1802</v>
      </c>
      <c r="K1012">
        <v>0.05</v>
      </c>
      <c r="L1012">
        <v>11983.3</v>
      </c>
      <c r="M1012">
        <v>9790.7099999999991</v>
      </c>
      <c r="N1012">
        <v>2192.59</v>
      </c>
      <c r="O1012" t="s">
        <v>76</v>
      </c>
      <c r="P1012" t="s">
        <v>85</v>
      </c>
    </row>
    <row r="1013" spans="1:16" x14ac:dyDescent="0.25">
      <c r="A1013">
        <v>1012</v>
      </c>
      <c r="B1013" s="1">
        <v>45800</v>
      </c>
      <c r="C1013" t="s">
        <v>18</v>
      </c>
      <c r="D1013" t="s">
        <v>26</v>
      </c>
      <c r="E1013" t="s">
        <v>34</v>
      </c>
      <c r="F1013" t="s">
        <v>55</v>
      </c>
      <c r="G1013" t="s">
        <v>72</v>
      </c>
      <c r="H1013" t="s">
        <v>74</v>
      </c>
      <c r="I1013">
        <v>1</v>
      </c>
      <c r="J1013">
        <v>3052</v>
      </c>
      <c r="K1013">
        <v>0.05</v>
      </c>
      <c r="L1013">
        <v>2899.4</v>
      </c>
      <c r="M1013">
        <v>1739.47</v>
      </c>
      <c r="N1013">
        <v>1159.93</v>
      </c>
      <c r="O1013" t="s">
        <v>79</v>
      </c>
      <c r="P1013" t="s">
        <v>83</v>
      </c>
    </row>
    <row r="1014" spans="1:16" x14ac:dyDescent="0.25">
      <c r="A1014">
        <v>1013</v>
      </c>
      <c r="B1014" s="1">
        <v>45716</v>
      </c>
      <c r="C1014" t="s">
        <v>20</v>
      </c>
      <c r="D1014" t="s">
        <v>26</v>
      </c>
      <c r="E1014" t="s">
        <v>33</v>
      </c>
      <c r="F1014" t="s">
        <v>59</v>
      </c>
      <c r="G1014" t="s">
        <v>70</v>
      </c>
      <c r="H1014" t="s">
        <v>74</v>
      </c>
      <c r="I1014">
        <v>4</v>
      </c>
      <c r="J1014">
        <v>26740</v>
      </c>
      <c r="K1014">
        <v>0.15</v>
      </c>
      <c r="L1014">
        <v>90916</v>
      </c>
      <c r="M1014">
        <v>78630.59</v>
      </c>
      <c r="N1014">
        <v>12285.41</v>
      </c>
      <c r="O1014" t="s">
        <v>79</v>
      </c>
      <c r="P1014" t="s">
        <v>86</v>
      </c>
    </row>
    <row r="1015" spans="1:16" x14ac:dyDescent="0.25">
      <c r="A1015">
        <v>1014</v>
      </c>
      <c r="B1015" s="1">
        <v>45874</v>
      </c>
      <c r="C1015" t="s">
        <v>19</v>
      </c>
      <c r="D1015" t="s">
        <v>26</v>
      </c>
      <c r="E1015" t="s">
        <v>33</v>
      </c>
      <c r="F1015" t="s">
        <v>59</v>
      </c>
      <c r="G1015" t="s">
        <v>70</v>
      </c>
      <c r="H1015" t="s">
        <v>74</v>
      </c>
      <c r="I1015">
        <v>1</v>
      </c>
      <c r="J1015">
        <v>4921</v>
      </c>
      <c r="K1015">
        <v>0.1</v>
      </c>
      <c r="L1015">
        <v>4428.8999999999996</v>
      </c>
      <c r="M1015">
        <v>3583.56</v>
      </c>
      <c r="N1015">
        <v>845.34</v>
      </c>
      <c r="O1015" t="s">
        <v>76</v>
      </c>
      <c r="P1015" t="s">
        <v>83</v>
      </c>
    </row>
    <row r="1016" spans="1:16" x14ac:dyDescent="0.25">
      <c r="A1016">
        <v>1015</v>
      </c>
      <c r="B1016" s="1">
        <v>45856</v>
      </c>
      <c r="C1016" t="s">
        <v>20</v>
      </c>
      <c r="D1016" t="s">
        <v>26</v>
      </c>
      <c r="E1016" t="s">
        <v>32</v>
      </c>
      <c r="F1016" t="s">
        <v>66</v>
      </c>
      <c r="G1016" t="s">
        <v>72</v>
      </c>
      <c r="H1016" t="s">
        <v>73</v>
      </c>
      <c r="I1016">
        <v>4</v>
      </c>
      <c r="J1016">
        <v>17423</v>
      </c>
      <c r="K1016">
        <v>0.05</v>
      </c>
      <c r="L1016">
        <v>66207.399999999994</v>
      </c>
      <c r="M1016">
        <v>39600.86</v>
      </c>
      <c r="N1016">
        <v>26606.54</v>
      </c>
      <c r="O1016" t="s">
        <v>80</v>
      </c>
      <c r="P1016" t="s">
        <v>83</v>
      </c>
    </row>
    <row r="1017" spans="1:16" x14ac:dyDescent="0.25">
      <c r="A1017">
        <v>1016</v>
      </c>
      <c r="B1017" s="1">
        <v>45964</v>
      </c>
      <c r="C1017" t="s">
        <v>20</v>
      </c>
      <c r="D1017" t="s">
        <v>26</v>
      </c>
      <c r="E1017" t="s">
        <v>28</v>
      </c>
      <c r="F1017" t="s">
        <v>63</v>
      </c>
      <c r="G1017" t="s">
        <v>71</v>
      </c>
      <c r="H1017" t="s">
        <v>74</v>
      </c>
      <c r="I1017">
        <v>1</v>
      </c>
      <c r="J1017">
        <v>375</v>
      </c>
      <c r="K1017">
        <v>0</v>
      </c>
      <c r="L1017">
        <v>375</v>
      </c>
      <c r="M1017">
        <v>293.86</v>
      </c>
      <c r="N1017">
        <v>81.14</v>
      </c>
      <c r="O1017" t="s">
        <v>79</v>
      </c>
      <c r="P1017" t="s">
        <v>82</v>
      </c>
    </row>
    <row r="1018" spans="1:16" x14ac:dyDescent="0.25">
      <c r="A1018">
        <v>1017</v>
      </c>
      <c r="B1018" s="1">
        <v>45835</v>
      </c>
      <c r="C1018" t="s">
        <v>16</v>
      </c>
      <c r="D1018" t="s">
        <v>24</v>
      </c>
      <c r="E1018" t="s">
        <v>31</v>
      </c>
      <c r="F1018" t="s">
        <v>67</v>
      </c>
      <c r="G1018" t="s">
        <v>72</v>
      </c>
      <c r="H1018" t="s">
        <v>73</v>
      </c>
      <c r="I1018">
        <v>3</v>
      </c>
      <c r="J1018">
        <v>1396</v>
      </c>
      <c r="K1018">
        <v>0</v>
      </c>
      <c r="L1018">
        <v>4188</v>
      </c>
      <c r="M1018">
        <v>2794.21</v>
      </c>
      <c r="N1018">
        <v>1393.79</v>
      </c>
      <c r="O1018" t="s">
        <v>79</v>
      </c>
      <c r="P1018" t="s">
        <v>83</v>
      </c>
    </row>
    <row r="1019" spans="1:16" x14ac:dyDescent="0.25">
      <c r="A1019">
        <v>1018</v>
      </c>
      <c r="B1019" s="1">
        <v>45746</v>
      </c>
      <c r="C1019" t="s">
        <v>20</v>
      </c>
      <c r="D1019" t="s">
        <v>26</v>
      </c>
      <c r="E1019" t="s">
        <v>30</v>
      </c>
      <c r="F1019" t="s">
        <v>44</v>
      </c>
      <c r="G1019" t="s">
        <v>71</v>
      </c>
      <c r="H1019" t="s">
        <v>73</v>
      </c>
      <c r="I1019">
        <v>3</v>
      </c>
      <c r="J1019">
        <v>4812</v>
      </c>
      <c r="K1019">
        <v>0</v>
      </c>
      <c r="L1019">
        <v>14436</v>
      </c>
      <c r="M1019">
        <v>10861.36</v>
      </c>
      <c r="N1019">
        <v>3574.64</v>
      </c>
      <c r="O1019" t="s">
        <v>80</v>
      </c>
      <c r="P1019" t="s">
        <v>82</v>
      </c>
    </row>
    <row r="1020" spans="1:16" x14ac:dyDescent="0.25">
      <c r="A1020">
        <v>1019</v>
      </c>
      <c r="B1020" s="1">
        <v>45799</v>
      </c>
      <c r="C1020" t="s">
        <v>18</v>
      </c>
      <c r="D1020" t="s">
        <v>26</v>
      </c>
      <c r="E1020" t="s">
        <v>32</v>
      </c>
      <c r="F1020" t="s">
        <v>49</v>
      </c>
      <c r="G1020" t="s">
        <v>72</v>
      </c>
      <c r="H1020" t="s">
        <v>73</v>
      </c>
      <c r="I1020">
        <v>5</v>
      </c>
      <c r="J1020">
        <v>13742</v>
      </c>
      <c r="K1020">
        <v>0.05</v>
      </c>
      <c r="L1020">
        <v>65274.5</v>
      </c>
      <c r="M1020">
        <v>45207.61</v>
      </c>
      <c r="N1020">
        <v>20066.89</v>
      </c>
      <c r="O1020" t="s">
        <v>80</v>
      </c>
      <c r="P1020" t="s">
        <v>86</v>
      </c>
    </row>
    <row r="1021" spans="1:16" x14ac:dyDescent="0.25">
      <c r="A1021">
        <v>1020</v>
      </c>
      <c r="B1021" s="1">
        <v>45833</v>
      </c>
      <c r="C1021" t="s">
        <v>20</v>
      </c>
      <c r="D1021" t="s">
        <v>26</v>
      </c>
      <c r="E1021" t="s">
        <v>33</v>
      </c>
      <c r="F1021" t="s">
        <v>60</v>
      </c>
      <c r="G1021" t="s">
        <v>71</v>
      </c>
      <c r="H1021" t="s">
        <v>75</v>
      </c>
      <c r="I1021">
        <v>8</v>
      </c>
      <c r="J1021">
        <v>20423</v>
      </c>
      <c r="K1021">
        <v>0.05</v>
      </c>
      <c r="L1021">
        <v>155214.79999999999</v>
      </c>
      <c r="M1021">
        <v>118070.44</v>
      </c>
      <c r="N1021">
        <v>37144.36</v>
      </c>
      <c r="O1021" t="s">
        <v>78</v>
      </c>
      <c r="P1021" t="s">
        <v>82</v>
      </c>
    </row>
    <row r="1022" spans="1:16" x14ac:dyDescent="0.25">
      <c r="A1022">
        <v>1021</v>
      </c>
      <c r="B1022" s="1">
        <v>45844</v>
      </c>
      <c r="C1022" t="s">
        <v>20</v>
      </c>
      <c r="D1022" t="s">
        <v>26</v>
      </c>
      <c r="E1022" t="s">
        <v>29</v>
      </c>
      <c r="F1022" t="s">
        <v>53</v>
      </c>
      <c r="G1022" t="s">
        <v>70</v>
      </c>
      <c r="H1022" t="s">
        <v>74</v>
      </c>
      <c r="I1022">
        <v>7</v>
      </c>
      <c r="J1022">
        <v>11320</v>
      </c>
      <c r="K1022">
        <v>0</v>
      </c>
      <c r="L1022">
        <v>79240</v>
      </c>
      <c r="M1022">
        <v>46270.67</v>
      </c>
      <c r="N1022">
        <v>32969.33</v>
      </c>
      <c r="O1022" t="s">
        <v>77</v>
      </c>
      <c r="P1022" t="s">
        <v>82</v>
      </c>
    </row>
    <row r="1023" spans="1:16" x14ac:dyDescent="0.25">
      <c r="A1023">
        <v>1022</v>
      </c>
      <c r="B1023" s="1">
        <v>45884</v>
      </c>
      <c r="C1023" t="s">
        <v>18</v>
      </c>
      <c r="D1023" t="s">
        <v>26</v>
      </c>
      <c r="E1023" t="s">
        <v>32</v>
      </c>
      <c r="F1023" t="s">
        <v>49</v>
      </c>
      <c r="G1023" t="s">
        <v>71</v>
      </c>
      <c r="H1023" t="s">
        <v>75</v>
      </c>
      <c r="I1023">
        <v>7</v>
      </c>
      <c r="J1023">
        <v>14708</v>
      </c>
      <c r="K1023">
        <v>0.15</v>
      </c>
      <c r="L1023">
        <v>87512.6</v>
      </c>
      <c r="M1023">
        <v>74755.839999999997</v>
      </c>
      <c r="N1023">
        <v>12756.76</v>
      </c>
      <c r="O1023" t="s">
        <v>77</v>
      </c>
      <c r="P1023" t="s">
        <v>81</v>
      </c>
    </row>
    <row r="1024" spans="1:16" x14ac:dyDescent="0.25">
      <c r="A1024">
        <v>1023</v>
      </c>
      <c r="B1024" s="1">
        <v>45778</v>
      </c>
      <c r="C1024" t="s">
        <v>20</v>
      </c>
      <c r="D1024" t="s">
        <v>26</v>
      </c>
      <c r="E1024" t="s">
        <v>33</v>
      </c>
      <c r="F1024" t="s">
        <v>60</v>
      </c>
      <c r="G1024" t="s">
        <v>70</v>
      </c>
      <c r="H1024" t="s">
        <v>75</v>
      </c>
      <c r="I1024">
        <v>1</v>
      </c>
      <c r="J1024">
        <v>5542</v>
      </c>
      <c r="K1024">
        <v>0.05</v>
      </c>
      <c r="L1024">
        <v>5264.9</v>
      </c>
      <c r="M1024">
        <v>3427</v>
      </c>
      <c r="N1024">
        <v>1837.9</v>
      </c>
      <c r="O1024" t="s">
        <v>76</v>
      </c>
      <c r="P1024" t="s">
        <v>88</v>
      </c>
    </row>
    <row r="1025" spans="1:16" x14ac:dyDescent="0.25">
      <c r="A1025">
        <v>1024</v>
      </c>
      <c r="B1025" s="1">
        <v>45918</v>
      </c>
      <c r="C1025" t="s">
        <v>20</v>
      </c>
      <c r="D1025" t="s">
        <v>26</v>
      </c>
      <c r="E1025" t="s">
        <v>33</v>
      </c>
      <c r="F1025" t="s">
        <v>46</v>
      </c>
      <c r="G1025" t="s">
        <v>70</v>
      </c>
      <c r="H1025" t="s">
        <v>73</v>
      </c>
      <c r="I1025">
        <v>8</v>
      </c>
      <c r="J1025">
        <v>8729</v>
      </c>
      <c r="K1025">
        <v>0</v>
      </c>
      <c r="L1025">
        <v>69832</v>
      </c>
      <c r="M1025">
        <v>43041.36</v>
      </c>
      <c r="N1025">
        <v>26790.639999999999</v>
      </c>
      <c r="O1025" t="s">
        <v>77</v>
      </c>
      <c r="P1025" t="s">
        <v>86</v>
      </c>
    </row>
    <row r="1026" spans="1:16" x14ac:dyDescent="0.25">
      <c r="A1026">
        <v>1025</v>
      </c>
      <c r="B1026" s="1">
        <v>45871</v>
      </c>
      <c r="C1026" t="s">
        <v>23</v>
      </c>
      <c r="D1026" t="s">
        <v>27</v>
      </c>
      <c r="E1026" t="s">
        <v>33</v>
      </c>
      <c r="F1026" t="s">
        <v>46</v>
      </c>
      <c r="G1026" t="s">
        <v>72</v>
      </c>
      <c r="H1026" t="s">
        <v>74</v>
      </c>
      <c r="I1026">
        <v>6</v>
      </c>
      <c r="J1026">
        <v>24011</v>
      </c>
      <c r="K1026">
        <v>0</v>
      </c>
      <c r="L1026">
        <v>144066</v>
      </c>
      <c r="M1026">
        <v>111699.6</v>
      </c>
      <c r="N1026">
        <v>32366.400000000001</v>
      </c>
      <c r="O1026" t="s">
        <v>79</v>
      </c>
      <c r="P1026" t="s">
        <v>87</v>
      </c>
    </row>
    <row r="1027" spans="1:16" x14ac:dyDescent="0.25">
      <c r="A1027">
        <v>1026</v>
      </c>
      <c r="B1027" s="1">
        <v>46004</v>
      </c>
      <c r="C1027" t="s">
        <v>22</v>
      </c>
      <c r="D1027" t="s">
        <v>24</v>
      </c>
      <c r="E1027" t="s">
        <v>31</v>
      </c>
      <c r="F1027" t="s">
        <v>47</v>
      </c>
      <c r="G1027" t="s">
        <v>72</v>
      </c>
      <c r="H1027" t="s">
        <v>74</v>
      </c>
      <c r="I1027">
        <v>8</v>
      </c>
      <c r="J1027">
        <v>1235</v>
      </c>
      <c r="K1027">
        <v>0</v>
      </c>
      <c r="L1027">
        <v>9880</v>
      </c>
      <c r="M1027">
        <v>5752.55</v>
      </c>
      <c r="N1027">
        <v>4127.45</v>
      </c>
      <c r="O1027" t="s">
        <v>76</v>
      </c>
      <c r="P1027" t="s">
        <v>88</v>
      </c>
    </row>
    <row r="1028" spans="1:16" x14ac:dyDescent="0.25">
      <c r="A1028">
        <v>1027</v>
      </c>
      <c r="B1028" s="1">
        <v>45747</v>
      </c>
      <c r="C1028" t="s">
        <v>23</v>
      </c>
      <c r="D1028" t="s">
        <v>27</v>
      </c>
      <c r="E1028" t="s">
        <v>32</v>
      </c>
      <c r="F1028" t="s">
        <v>48</v>
      </c>
      <c r="G1028" t="s">
        <v>71</v>
      </c>
      <c r="H1028" t="s">
        <v>73</v>
      </c>
      <c r="I1028">
        <v>8</v>
      </c>
      <c r="J1028">
        <v>24151</v>
      </c>
      <c r="K1028">
        <v>0.1</v>
      </c>
      <c r="L1028">
        <v>173887.2</v>
      </c>
      <c r="M1028">
        <v>139157.54999999999</v>
      </c>
      <c r="N1028">
        <v>34729.65</v>
      </c>
      <c r="O1028" t="s">
        <v>76</v>
      </c>
      <c r="P1028" t="s">
        <v>88</v>
      </c>
    </row>
    <row r="1029" spans="1:16" x14ac:dyDescent="0.25">
      <c r="A1029">
        <v>1028</v>
      </c>
      <c r="B1029" s="1">
        <v>45710</v>
      </c>
      <c r="C1029" t="s">
        <v>23</v>
      </c>
      <c r="D1029" t="s">
        <v>27</v>
      </c>
      <c r="E1029" t="s">
        <v>29</v>
      </c>
      <c r="F1029" t="s">
        <v>42</v>
      </c>
      <c r="G1029" t="s">
        <v>72</v>
      </c>
      <c r="H1029" t="s">
        <v>73</v>
      </c>
      <c r="I1029">
        <v>2</v>
      </c>
      <c r="J1029">
        <v>1860</v>
      </c>
      <c r="K1029">
        <v>0</v>
      </c>
      <c r="L1029">
        <v>3720</v>
      </c>
      <c r="M1029">
        <v>2960.11</v>
      </c>
      <c r="N1029">
        <v>759.89</v>
      </c>
      <c r="O1029" t="s">
        <v>79</v>
      </c>
      <c r="P1029" t="s">
        <v>85</v>
      </c>
    </row>
    <row r="1030" spans="1:16" x14ac:dyDescent="0.25">
      <c r="A1030">
        <v>1029</v>
      </c>
      <c r="B1030" s="1">
        <v>45979</v>
      </c>
      <c r="C1030" t="s">
        <v>18</v>
      </c>
      <c r="D1030" t="s">
        <v>26</v>
      </c>
      <c r="E1030" t="s">
        <v>28</v>
      </c>
      <c r="F1030" t="s">
        <v>58</v>
      </c>
      <c r="G1030" t="s">
        <v>71</v>
      </c>
      <c r="H1030" t="s">
        <v>74</v>
      </c>
      <c r="I1030">
        <v>3</v>
      </c>
      <c r="J1030">
        <v>1674</v>
      </c>
      <c r="K1030">
        <v>0</v>
      </c>
      <c r="L1030">
        <v>5022</v>
      </c>
      <c r="M1030">
        <v>4334.5</v>
      </c>
      <c r="N1030">
        <v>687.5</v>
      </c>
      <c r="O1030" t="s">
        <v>76</v>
      </c>
      <c r="P1030" t="s">
        <v>81</v>
      </c>
    </row>
    <row r="1031" spans="1:16" x14ac:dyDescent="0.25">
      <c r="A1031">
        <v>1030</v>
      </c>
      <c r="B1031" s="1">
        <v>45735</v>
      </c>
      <c r="C1031" t="s">
        <v>20</v>
      </c>
      <c r="D1031" t="s">
        <v>26</v>
      </c>
      <c r="E1031" t="s">
        <v>28</v>
      </c>
      <c r="F1031" t="s">
        <v>58</v>
      </c>
      <c r="G1031" t="s">
        <v>70</v>
      </c>
      <c r="H1031" t="s">
        <v>74</v>
      </c>
      <c r="I1031">
        <v>7</v>
      </c>
      <c r="J1031">
        <v>812</v>
      </c>
      <c r="K1031">
        <v>0</v>
      </c>
      <c r="L1031">
        <v>5684</v>
      </c>
      <c r="M1031">
        <v>4846.5600000000004</v>
      </c>
      <c r="N1031">
        <v>837.44</v>
      </c>
      <c r="O1031" t="s">
        <v>79</v>
      </c>
      <c r="P1031" t="s">
        <v>88</v>
      </c>
    </row>
    <row r="1032" spans="1:16" x14ac:dyDescent="0.25">
      <c r="A1032">
        <v>1031</v>
      </c>
      <c r="B1032" s="1">
        <v>45746</v>
      </c>
      <c r="C1032" t="s">
        <v>23</v>
      </c>
      <c r="D1032" t="s">
        <v>27</v>
      </c>
      <c r="E1032" t="s">
        <v>28</v>
      </c>
      <c r="F1032" t="s">
        <v>35</v>
      </c>
      <c r="G1032" t="s">
        <v>71</v>
      </c>
      <c r="H1032" t="s">
        <v>74</v>
      </c>
      <c r="I1032">
        <v>1</v>
      </c>
      <c r="J1032">
        <v>1811</v>
      </c>
      <c r="K1032">
        <v>0.1</v>
      </c>
      <c r="L1032">
        <v>1629.9</v>
      </c>
      <c r="M1032">
        <v>1265.19</v>
      </c>
      <c r="N1032">
        <v>364.71</v>
      </c>
      <c r="O1032" t="s">
        <v>78</v>
      </c>
      <c r="P1032" t="s">
        <v>82</v>
      </c>
    </row>
    <row r="1033" spans="1:16" x14ac:dyDescent="0.25">
      <c r="A1033">
        <v>1032</v>
      </c>
      <c r="B1033" s="1">
        <v>45871</v>
      </c>
      <c r="C1033" t="s">
        <v>16</v>
      </c>
      <c r="D1033" t="s">
        <v>24</v>
      </c>
      <c r="E1033" t="s">
        <v>31</v>
      </c>
      <c r="F1033" t="s">
        <v>47</v>
      </c>
      <c r="G1033" t="s">
        <v>70</v>
      </c>
      <c r="H1033" t="s">
        <v>73</v>
      </c>
      <c r="I1033">
        <v>1</v>
      </c>
      <c r="J1033">
        <v>466</v>
      </c>
      <c r="K1033">
        <v>0</v>
      </c>
      <c r="L1033">
        <v>466</v>
      </c>
      <c r="M1033">
        <v>385.89</v>
      </c>
      <c r="N1033">
        <v>80.11</v>
      </c>
      <c r="O1033" t="s">
        <v>79</v>
      </c>
      <c r="P1033" t="s">
        <v>85</v>
      </c>
    </row>
    <row r="1034" spans="1:16" x14ac:dyDescent="0.25">
      <c r="A1034">
        <v>1033</v>
      </c>
      <c r="B1034" s="1">
        <v>45740</v>
      </c>
      <c r="C1034" t="s">
        <v>17</v>
      </c>
      <c r="D1034" t="s">
        <v>25</v>
      </c>
      <c r="E1034" t="s">
        <v>29</v>
      </c>
      <c r="F1034" t="s">
        <v>57</v>
      </c>
      <c r="G1034" t="s">
        <v>72</v>
      </c>
      <c r="H1034" t="s">
        <v>73</v>
      </c>
      <c r="I1034">
        <v>5</v>
      </c>
      <c r="J1034">
        <v>10739</v>
      </c>
      <c r="K1034">
        <v>0.05</v>
      </c>
      <c r="L1034">
        <v>51010.25</v>
      </c>
      <c r="M1034">
        <v>28513.55</v>
      </c>
      <c r="N1034">
        <v>22496.7</v>
      </c>
      <c r="O1034" t="s">
        <v>79</v>
      </c>
      <c r="P1034" t="s">
        <v>81</v>
      </c>
    </row>
    <row r="1035" spans="1:16" x14ac:dyDescent="0.25">
      <c r="A1035">
        <v>1034</v>
      </c>
      <c r="B1035" s="1">
        <v>45921</v>
      </c>
      <c r="C1035" t="s">
        <v>16</v>
      </c>
      <c r="D1035" t="s">
        <v>24</v>
      </c>
      <c r="E1035" t="s">
        <v>29</v>
      </c>
      <c r="F1035" t="s">
        <v>36</v>
      </c>
      <c r="G1035" t="s">
        <v>72</v>
      </c>
      <c r="H1035" t="s">
        <v>74</v>
      </c>
      <c r="I1035">
        <v>3</v>
      </c>
      <c r="J1035">
        <v>10726</v>
      </c>
      <c r="K1035">
        <v>0.1</v>
      </c>
      <c r="L1035">
        <v>28960.2</v>
      </c>
      <c r="M1035">
        <v>23573.11</v>
      </c>
      <c r="N1035">
        <v>5387.09</v>
      </c>
      <c r="O1035" t="s">
        <v>76</v>
      </c>
      <c r="P1035" t="s">
        <v>85</v>
      </c>
    </row>
    <row r="1036" spans="1:16" x14ac:dyDescent="0.25">
      <c r="A1036">
        <v>1035</v>
      </c>
      <c r="B1036" s="1">
        <v>45786</v>
      </c>
      <c r="C1036" t="s">
        <v>22</v>
      </c>
      <c r="D1036" t="s">
        <v>24</v>
      </c>
      <c r="E1036" t="s">
        <v>30</v>
      </c>
      <c r="F1036" t="s">
        <v>64</v>
      </c>
      <c r="G1036" t="s">
        <v>71</v>
      </c>
      <c r="H1036" t="s">
        <v>74</v>
      </c>
      <c r="I1036">
        <v>7</v>
      </c>
      <c r="J1036">
        <v>11364</v>
      </c>
      <c r="K1036">
        <v>0.1</v>
      </c>
      <c r="L1036">
        <v>71593.2</v>
      </c>
      <c r="M1036">
        <v>52960.38</v>
      </c>
      <c r="N1036">
        <v>18632.82</v>
      </c>
      <c r="O1036" t="s">
        <v>77</v>
      </c>
      <c r="P1036" t="s">
        <v>84</v>
      </c>
    </row>
    <row r="1037" spans="1:16" x14ac:dyDescent="0.25">
      <c r="A1037">
        <v>1036</v>
      </c>
      <c r="B1037" s="1">
        <v>45823</v>
      </c>
      <c r="C1037" t="s">
        <v>21</v>
      </c>
      <c r="D1037" t="s">
        <v>24</v>
      </c>
      <c r="E1037" t="s">
        <v>34</v>
      </c>
      <c r="F1037" t="s">
        <v>68</v>
      </c>
      <c r="G1037" t="s">
        <v>71</v>
      </c>
      <c r="H1037" t="s">
        <v>75</v>
      </c>
      <c r="I1037">
        <v>7</v>
      </c>
      <c r="J1037">
        <v>319</v>
      </c>
      <c r="K1037">
        <v>0.1</v>
      </c>
      <c r="L1037">
        <v>2009.7</v>
      </c>
      <c r="M1037">
        <v>1614.92</v>
      </c>
      <c r="N1037">
        <v>394.78</v>
      </c>
      <c r="O1037" t="s">
        <v>78</v>
      </c>
      <c r="P1037" t="s">
        <v>81</v>
      </c>
    </row>
    <row r="1038" spans="1:16" x14ac:dyDescent="0.25">
      <c r="A1038">
        <v>1037</v>
      </c>
      <c r="B1038" s="1">
        <v>45758</v>
      </c>
      <c r="C1038" t="s">
        <v>23</v>
      </c>
      <c r="D1038" t="s">
        <v>27</v>
      </c>
      <c r="E1038" t="s">
        <v>32</v>
      </c>
      <c r="F1038" t="s">
        <v>62</v>
      </c>
      <c r="G1038" t="s">
        <v>70</v>
      </c>
      <c r="H1038" t="s">
        <v>74</v>
      </c>
      <c r="I1038">
        <v>2</v>
      </c>
      <c r="J1038">
        <v>10794</v>
      </c>
      <c r="K1038">
        <v>0</v>
      </c>
      <c r="L1038">
        <v>21588</v>
      </c>
      <c r="M1038">
        <v>13239.07</v>
      </c>
      <c r="N1038">
        <v>8348.93</v>
      </c>
      <c r="O1038" t="s">
        <v>79</v>
      </c>
      <c r="P1038" t="s">
        <v>88</v>
      </c>
    </row>
    <row r="1039" spans="1:16" x14ac:dyDescent="0.25">
      <c r="A1039">
        <v>1038</v>
      </c>
      <c r="B1039" s="1">
        <v>45905</v>
      </c>
      <c r="C1039" t="s">
        <v>22</v>
      </c>
      <c r="D1039" t="s">
        <v>24</v>
      </c>
      <c r="E1039" t="s">
        <v>30</v>
      </c>
      <c r="F1039" t="s">
        <v>44</v>
      </c>
      <c r="G1039" t="s">
        <v>70</v>
      </c>
      <c r="H1039" t="s">
        <v>74</v>
      </c>
      <c r="I1039">
        <v>6</v>
      </c>
      <c r="J1039">
        <v>34032</v>
      </c>
      <c r="K1039">
        <v>0.2</v>
      </c>
      <c r="L1039">
        <v>163353.60000000001</v>
      </c>
      <c r="M1039">
        <v>117570.12</v>
      </c>
      <c r="N1039">
        <v>45783.48</v>
      </c>
      <c r="O1039" t="s">
        <v>77</v>
      </c>
      <c r="P1039" t="s">
        <v>81</v>
      </c>
    </row>
    <row r="1040" spans="1:16" x14ac:dyDescent="0.25">
      <c r="A1040">
        <v>1039</v>
      </c>
      <c r="B1040" s="1">
        <v>45745</v>
      </c>
      <c r="C1040" t="s">
        <v>20</v>
      </c>
      <c r="D1040" t="s">
        <v>26</v>
      </c>
      <c r="E1040" t="s">
        <v>28</v>
      </c>
      <c r="F1040" t="s">
        <v>61</v>
      </c>
      <c r="G1040" t="s">
        <v>71</v>
      </c>
      <c r="H1040" t="s">
        <v>75</v>
      </c>
      <c r="I1040">
        <v>6</v>
      </c>
      <c r="J1040">
        <v>228</v>
      </c>
      <c r="K1040">
        <v>0</v>
      </c>
      <c r="L1040">
        <v>1368</v>
      </c>
      <c r="M1040">
        <v>1116.02</v>
      </c>
      <c r="N1040">
        <v>251.98</v>
      </c>
      <c r="O1040" t="s">
        <v>80</v>
      </c>
      <c r="P1040" t="s">
        <v>84</v>
      </c>
    </row>
    <row r="1041" spans="1:16" x14ac:dyDescent="0.25">
      <c r="A1041">
        <v>1040</v>
      </c>
      <c r="B1041" s="1">
        <v>45803</v>
      </c>
      <c r="C1041" t="s">
        <v>21</v>
      </c>
      <c r="D1041" t="s">
        <v>24</v>
      </c>
      <c r="E1041" t="s">
        <v>30</v>
      </c>
      <c r="F1041" t="s">
        <v>37</v>
      </c>
      <c r="G1041" t="s">
        <v>70</v>
      </c>
      <c r="H1041" t="s">
        <v>73</v>
      </c>
      <c r="I1041">
        <v>6</v>
      </c>
      <c r="J1041">
        <v>42455</v>
      </c>
      <c r="K1041">
        <v>0.15</v>
      </c>
      <c r="L1041">
        <v>216520.5</v>
      </c>
      <c r="M1041">
        <v>158506.54999999999</v>
      </c>
      <c r="N1041">
        <v>58013.95</v>
      </c>
      <c r="O1041" t="s">
        <v>77</v>
      </c>
      <c r="P1041" t="s">
        <v>84</v>
      </c>
    </row>
    <row r="1042" spans="1:16" x14ac:dyDescent="0.25">
      <c r="A1042">
        <v>1041</v>
      </c>
      <c r="B1042" s="1">
        <v>45925</v>
      </c>
      <c r="C1042" t="s">
        <v>22</v>
      </c>
      <c r="D1042" t="s">
        <v>24</v>
      </c>
      <c r="E1042" t="s">
        <v>30</v>
      </c>
      <c r="F1042" t="s">
        <v>56</v>
      </c>
      <c r="G1042" t="s">
        <v>72</v>
      </c>
      <c r="H1042" t="s">
        <v>75</v>
      </c>
      <c r="I1042">
        <v>4</v>
      </c>
      <c r="J1042">
        <v>33833</v>
      </c>
      <c r="K1042">
        <v>0</v>
      </c>
      <c r="L1042">
        <v>135332</v>
      </c>
      <c r="M1042">
        <v>87356.22</v>
      </c>
      <c r="N1042">
        <v>47975.78</v>
      </c>
      <c r="O1042" t="s">
        <v>77</v>
      </c>
      <c r="P1042" t="s">
        <v>87</v>
      </c>
    </row>
    <row r="1043" spans="1:16" x14ac:dyDescent="0.25">
      <c r="A1043">
        <v>1042</v>
      </c>
      <c r="B1043" s="1">
        <v>45806</v>
      </c>
      <c r="C1043" t="s">
        <v>16</v>
      </c>
      <c r="D1043" t="s">
        <v>24</v>
      </c>
      <c r="E1043" t="s">
        <v>31</v>
      </c>
      <c r="F1043" t="s">
        <v>50</v>
      </c>
      <c r="G1043" t="s">
        <v>71</v>
      </c>
      <c r="H1043" t="s">
        <v>73</v>
      </c>
      <c r="I1043">
        <v>4</v>
      </c>
      <c r="J1043">
        <v>2164</v>
      </c>
      <c r="K1043">
        <v>0.05</v>
      </c>
      <c r="L1043">
        <v>8223.2000000000007</v>
      </c>
      <c r="M1043">
        <v>4694.59</v>
      </c>
      <c r="N1043">
        <v>3528.61</v>
      </c>
      <c r="O1043" t="s">
        <v>78</v>
      </c>
      <c r="P1043" t="s">
        <v>83</v>
      </c>
    </row>
    <row r="1044" spans="1:16" x14ac:dyDescent="0.25">
      <c r="A1044">
        <v>1043</v>
      </c>
      <c r="B1044" s="1">
        <v>45956</v>
      </c>
      <c r="C1044" t="s">
        <v>20</v>
      </c>
      <c r="D1044" t="s">
        <v>26</v>
      </c>
      <c r="E1044" t="s">
        <v>33</v>
      </c>
      <c r="F1044" t="s">
        <v>41</v>
      </c>
      <c r="G1044" t="s">
        <v>71</v>
      </c>
      <c r="H1044" t="s">
        <v>73</v>
      </c>
      <c r="I1044">
        <v>7</v>
      </c>
      <c r="J1044">
        <v>14187</v>
      </c>
      <c r="K1044">
        <v>0.1</v>
      </c>
      <c r="L1044">
        <v>89378.1</v>
      </c>
      <c r="M1044">
        <v>57416.12</v>
      </c>
      <c r="N1044">
        <v>31961.98</v>
      </c>
      <c r="O1044" t="s">
        <v>79</v>
      </c>
      <c r="P1044" t="s">
        <v>87</v>
      </c>
    </row>
    <row r="1045" spans="1:16" x14ac:dyDescent="0.25">
      <c r="A1045">
        <v>1044</v>
      </c>
      <c r="B1045" s="1">
        <v>45735</v>
      </c>
      <c r="C1045" t="s">
        <v>19</v>
      </c>
      <c r="D1045" t="s">
        <v>26</v>
      </c>
      <c r="E1045" t="s">
        <v>32</v>
      </c>
      <c r="F1045" t="s">
        <v>39</v>
      </c>
      <c r="G1045" t="s">
        <v>72</v>
      </c>
      <c r="H1045" t="s">
        <v>74</v>
      </c>
      <c r="I1045">
        <v>5</v>
      </c>
      <c r="J1045">
        <v>9349</v>
      </c>
      <c r="K1045">
        <v>0.05</v>
      </c>
      <c r="L1045">
        <v>44407.75</v>
      </c>
      <c r="M1045">
        <v>34758.49</v>
      </c>
      <c r="N1045">
        <v>9649.26</v>
      </c>
      <c r="O1045" t="s">
        <v>77</v>
      </c>
      <c r="P1045" t="s">
        <v>83</v>
      </c>
    </row>
    <row r="1046" spans="1:16" x14ac:dyDescent="0.25">
      <c r="A1046">
        <v>1045</v>
      </c>
      <c r="B1046" s="1">
        <v>45732</v>
      </c>
      <c r="C1046" t="s">
        <v>21</v>
      </c>
      <c r="D1046" t="s">
        <v>24</v>
      </c>
      <c r="E1046" t="s">
        <v>33</v>
      </c>
      <c r="F1046" t="s">
        <v>59</v>
      </c>
      <c r="G1046" t="s">
        <v>70</v>
      </c>
      <c r="H1046" t="s">
        <v>75</v>
      </c>
      <c r="I1046">
        <v>5</v>
      </c>
      <c r="J1046">
        <v>3067</v>
      </c>
      <c r="K1046">
        <v>0.1</v>
      </c>
      <c r="L1046">
        <v>13801.5</v>
      </c>
      <c r="M1046">
        <v>11382.39</v>
      </c>
      <c r="N1046">
        <v>2419.11</v>
      </c>
      <c r="O1046" t="s">
        <v>77</v>
      </c>
      <c r="P1046" t="s">
        <v>81</v>
      </c>
    </row>
    <row r="1047" spans="1:16" x14ac:dyDescent="0.25">
      <c r="A1047">
        <v>1046</v>
      </c>
      <c r="B1047" s="1">
        <v>45891</v>
      </c>
      <c r="C1047" t="s">
        <v>22</v>
      </c>
      <c r="D1047" t="s">
        <v>24</v>
      </c>
      <c r="E1047" t="s">
        <v>30</v>
      </c>
      <c r="F1047" t="s">
        <v>40</v>
      </c>
      <c r="G1047" t="s">
        <v>71</v>
      </c>
      <c r="H1047" t="s">
        <v>75</v>
      </c>
      <c r="I1047">
        <v>8</v>
      </c>
      <c r="J1047">
        <v>29424</v>
      </c>
      <c r="K1047">
        <v>0</v>
      </c>
      <c r="L1047">
        <v>235392</v>
      </c>
      <c r="M1047">
        <v>156582.10999999999</v>
      </c>
      <c r="N1047">
        <v>78809.89</v>
      </c>
      <c r="O1047" t="s">
        <v>80</v>
      </c>
      <c r="P1047" t="s">
        <v>82</v>
      </c>
    </row>
    <row r="1048" spans="1:16" x14ac:dyDescent="0.25">
      <c r="A1048">
        <v>1047</v>
      </c>
      <c r="B1048" s="1">
        <v>45712</v>
      </c>
      <c r="C1048" t="s">
        <v>16</v>
      </c>
      <c r="D1048" t="s">
        <v>24</v>
      </c>
      <c r="E1048" t="s">
        <v>30</v>
      </c>
      <c r="F1048" t="s">
        <v>40</v>
      </c>
      <c r="G1048" t="s">
        <v>71</v>
      </c>
      <c r="H1048" t="s">
        <v>73</v>
      </c>
      <c r="I1048">
        <v>2</v>
      </c>
      <c r="J1048">
        <v>65514</v>
      </c>
      <c r="K1048">
        <v>0.1</v>
      </c>
      <c r="L1048">
        <v>117925.2</v>
      </c>
      <c r="M1048">
        <v>102954.69</v>
      </c>
      <c r="N1048">
        <v>14970.51</v>
      </c>
      <c r="O1048" t="s">
        <v>78</v>
      </c>
      <c r="P1048" t="s">
        <v>87</v>
      </c>
    </row>
    <row r="1049" spans="1:16" x14ac:dyDescent="0.25">
      <c r="A1049">
        <v>1048</v>
      </c>
      <c r="B1049" s="1">
        <v>45760</v>
      </c>
      <c r="C1049" t="s">
        <v>23</v>
      </c>
      <c r="D1049" t="s">
        <v>27</v>
      </c>
      <c r="E1049" t="s">
        <v>33</v>
      </c>
      <c r="F1049" t="s">
        <v>46</v>
      </c>
      <c r="G1049" t="s">
        <v>71</v>
      </c>
      <c r="H1049" t="s">
        <v>73</v>
      </c>
      <c r="I1049">
        <v>5</v>
      </c>
      <c r="J1049">
        <v>17406</v>
      </c>
      <c r="K1049">
        <v>0.1</v>
      </c>
      <c r="L1049">
        <v>78327</v>
      </c>
      <c r="M1049">
        <v>45398.7</v>
      </c>
      <c r="N1049">
        <v>32928.300000000003</v>
      </c>
      <c r="O1049" t="s">
        <v>79</v>
      </c>
      <c r="P1049" t="s">
        <v>87</v>
      </c>
    </row>
    <row r="1050" spans="1:16" x14ac:dyDescent="0.25">
      <c r="A1050">
        <v>1049</v>
      </c>
      <c r="B1050" s="1">
        <v>45830</v>
      </c>
      <c r="C1050" t="s">
        <v>21</v>
      </c>
      <c r="D1050" t="s">
        <v>24</v>
      </c>
      <c r="E1050" t="s">
        <v>28</v>
      </c>
      <c r="F1050" t="s">
        <v>61</v>
      </c>
      <c r="G1050" t="s">
        <v>71</v>
      </c>
      <c r="H1050" t="s">
        <v>74</v>
      </c>
      <c r="I1050">
        <v>4</v>
      </c>
      <c r="J1050">
        <v>2241</v>
      </c>
      <c r="K1050">
        <v>0.05</v>
      </c>
      <c r="L1050">
        <v>8515.7999999999993</v>
      </c>
      <c r="M1050">
        <v>7113.62</v>
      </c>
      <c r="N1050">
        <v>1402.18</v>
      </c>
      <c r="O1050" t="s">
        <v>79</v>
      </c>
      <c r="P1050" t="s">
        <v>87</v>
      </c>
    </row>
    <row r="1051" spans="1:16" x14ac:dyDescent="0.25">
      <c r="A1051">
        <v>1050</v>
      </c>
      <c r="B1051" s="1">
        <v>45968</v>
      </c>
      <c r="C1051" t="s">
        <v>18</v>
      </c>
      <c r="D1051" t="s">
        <v>26</v>
      </c>
      <c r="E1051" t="s">
        <v>31</v>
      </c>
      <c r="F1051" t="s">
        <v>67</v>
      </c>
      <c r="G1051" t="s">
        <v>71</v>
      </c>
      <c r="H1051" t="s">
        <v>75</v>
      </c>
      <c r="I1051">
        <v>4</v>
      </c>
      <c r="J1051">
        <v>2150</v>
      </c>
      <c r="K1051">
        <v>0.15</v>
      </c>
      <c r="L1051">
        <v>7310</v>
      </c>
      <c r="M1051">
        <v>5349.42</v>
      </c>
      <c r="N1051">
        <v>1960.58</v>
      </c>
      <c r="O1051" t="s">
        <v>79</v>
      </c>
      <c r="P1051" t="s">
        <v>85</v>
      </c>
    </row>
    <row r="1052" spans="1:16" x14ac:dyDescent="0.25">
      <c r="A1052">
        <v>1051</v>
      </c>
      <c r="B1052" s="1">
        <v>45820</v>
      </c>
      <c r="C1052" t="s">
        <v>22</v>
      </c>
      <c r="D1052" t="s">
        <v>24</v>
      </c>
      <c r="E1052" t="s">
        <v>28</v>
      </c>
      <c r="F1052" t="s">
        <v>61</v>
      </c>
      <c r="G1052" t="s">
        <v>70</v>
      </c>
      <c r="H1052" t="s">
        <v>74</v>
      </c>
      <c r="I1052">
        <v>3</v>
      </c>
      <c r="J1052">
        <v>1390</v>
      </c>
      <c r="K1052">
        <v>0</v>
      </c>
      <c r="L1052">
        <v>4170</v>
      </c>
      <c r="M1052">
        <v>3524.72</v>
      </c>
      <c r="N1052">
        <v>645.28</v>
      </c>
      <c r="O1052" t="s">
        <v>77</v>
      </c>
      <c r="P1052" t="s">
        <v>81</v>
      </c>
    </row>
    <row r="1053" spans="1:16" x14ac:dyDescent="0.25">
      <c r="A1053">
        <v>1052</v>
      </c>
      <c r="B1053" s="1">
        <v>45923</v>
      </c>
      <c r="C1053" t="s">
        <v>17</v>
      </c>
      <c r="D1053" t="s">
        <v>25</v>
      </c>
      <c r="E1053" t="s">
        <v>29</v>
      </c>
      <c r="F1053" t="s">
        <v>45</v>
      </c>
      <c r="G1053" t="s">
        <v>71</v>
      </c>
      <c r="H1053" t="s">
        <v>75</v>
      </c>
      <c r="I1053">
        <v>7</v>
      </c>
      <c r="J1053">
        <v>9355</v>
      </c>
      <c r="K1053">
        <v>0</v>
      </c>
      <c r="L1053">
        <v>65485</v>
      </c>
      <c r="M1053">
        <v>45539.3</v>
      </c>
      <c r="N1053">
        <v>19945.7</v>
      </c>
      <c r="O1053" t="s">
        <v>78</v>
      </c>
      <c r="P1053" t="s">
        <v>83</v>
      </c>
    </row>
    <row r="1054" spans="1:16" x14ac:dyDescent="0.25">
      <c r="A1054">
        <v>1053</v>
      </c>
      <c r="B1054" s="1">
        <v>45907</v>
      </c>
      <c r="C1054" t="s">
        <v>17</v>
      </c>
      <c r="D1054" t="s">
        <v>25</v>
      </c>
      <c r="E1054" t="s">
        <v>32</v>
      </c>
      <c r="F1054" t="s">
        <v>48</v>
      </c>
      <c r="G1054" t="s">
        <v>71</v>
      </c>
      <c r="H1054" t="s">
        <v>74</v>
      </c>
      <c r="I1054">
        <v>5</v>
      </c>
      <c r="J1054">
        <v>10107</v>
      </c>
      <c r="K1054">
        <v>0.15</v>
      </c>
      <c r="L1054">
        <v>42954.75</v>
      </c>
      <c r="M1054">
        <v>25775</v>
      </c>
      <c r="N1054">
        <v>17179.75</v>
      </c>
      <c r="O1054" t="s">
        <v>77</v>
      </c>
      <c r="P1054" t="s">
        <v>81</v>
      </c>
    </row>
    <row r="1055" spans="1:16" x14ac:dyDescent="0.25">
      <c r="A1055">
        <v>1054</v>
      </c>
      <c r="B1055" s="1">
        <v>45706</v>
      </c>
      <c r="C1055" t="s">
        <v>22</v>
      </c>
      <c r="D1055" t="s">
        <v>24</v>
      </c>
      <c r="E1055" t="s">
        <v>28</v>
      </c>
      <c r="F1055" t="s">
        <v>35</v>
      </c>
      <c r="G1055" t="s">
        <v>71</v>
      </c>
      <c r="H1055" t="s">
        <v>74</v>
      </c>
      <c r="I1055">
        <v>3</v>
      </c>
      <c r="J1055">
        <v>229</v>
      </c>
      <c r="K1055">
        <v>0.1</v>
      </c>
      <c r="L1055">
        <v>618.29999999999995</v>
      </c>
      <c r="M1055">
        <v>507.64</v>
      </c>
      <c r="N1055">
        <v>110.66</v>
      </c>
      <c r="O1055" t="s">
        <v>80</v>
      </c>
      <c r="P1055" t="s">
        <v>85</v>
      </c>
    </row>
    <row r="1056" spans="1:16" x14ac:dyDescent="0.25">
      <c r="A1056">
        <v>1055</v>
      </c>
      <c r="B1056" s="1">
        <v>45908</v>
      </c>
      <c r="C1056" t="s">
        <v>21</v>
      </c>
      <c r="D1056" t="s">
        <v>24</v>
      </c>
      <c r="E1056" t="s">
        <v>33</v>
      </c>
      <c r="F1056" t="s">
        <v>52</v>
      </c>
      <c r="G1056" t="s">
        <v>70</v>
      </c>
      <c r="H1056" t="s">
        <v>73</v>
      </c>
      <c r="I1056">
        <v>1</v>
      </c>
      <c r="J1056">
        <v>20407</v>
      </c>
      <c r="K1056">
        <v>0.1</v>
      </c>
      <c r="L1056">
        <v>18366.3</v>
      </c>
      <c r="M1056">
        <v>12825.58</v>
      </c>
      <c r="N1056">
        <v>5540.72</v>
      </c>
      <c r="O1056" t="s">
        <v>79</v>
      </c>
      <c r="P1056" t="s">
        <v>88</v>
      </c>
    </row>
    <row r="1057" spans="1:16" x14ac:dyDescent="0.25">
      <c r="A1057">
        <v>1056</v>
      </c>
      <c r="B1057" s="1">
        <v>45728</v>
      </c>
      <c r="C1057" t="s">
        <v>22</v>
      </c>
      <c r="D1057" t="s">
        <v>24</v>
      </c>
      <c r="E1057" t="s">
        <v>28</v>
      </c>
      <c r="F1057" t="s">
        <v>35</v>
      </c>
      <c r="G1057" t="s">
        <v>70</v>
      </c>
      <c r="H1057" t="s">
        <v>74</v>
      </c>
      <c r="I1057">
        <v>7</v>
      </c>
      <c r="J1057">
        <v>2114</v>
      </c>
      <c r="K1057">
        <v>0</v>
      </c>
      <c r="L1057">
        <v>14798</v>
      </c>
      <c r="M1057">
        <v>10744.82</v>
      </c>
      <c r="N1057">
        <v>4053.18</v>
      </c>
      <c r="O1057" t="s">
        <v>78</v>
      </c>
      <c r="P1057" t="s">
        <v>81</v>
      </c>
    </row>
    <row r="1058" spans="1:16" x14ac:dyDescent="0.25">
      <c r="A1058">
        <v>1057</v>
      </c>
      <c r="B1058" s="1">
        <v>45966</v>
      </c>
      <c r="C1058" t="s">
        <v>20</v>
      </c>
      <c r="D1058" t="s">
        <v>26</v>
      </c>
      <c r="E1058" t="s">
        <v>29</v>
      </c>
      <c r="F1058" t="s">
        <v>57</v>
      </c>
      <c r="G1058" t="s">
        <v>70</v>
      </c>
      <c r="H1058" t="s">
        <v>75</v>
      </c>
      <c r="I1058">
        <v>6</v>
      </c>
      <c r="J1058">
        <v>8238</v>
      </c>
      <c r="K1058">
        <v>0.1</v>
      </c>
      <c r="L1058">
        <v>44485.2</v>
      </c>
      <c r="M1058">
        <v>30897.22</v>
      </c>
      <c r="N1058">
        <v>13587.98</v>
      </c>
      <c r="O1058" t="s">
        <v>80</v>
      </c>
      <c r="P1058" t="s">
        <v>84</v>
      </c>
    </row>
    <row r="1059" spans="1:16" x14ac:dyDescent="0.25">
      <c r="A1059">
        <v>1058</v>
      </c>
      <c r="B1059" s="1">
        <v>45757</v>
      </c>
      <c r="C1059" t="s">
        <v>22</v>
      </c>
      <c r="D1059" t="s">
        <v>24</v>
      </c>
      <c r="E1059" t="s">
        <v>32</v>
      </c>
      <c r="F1059" t="s">
        <v>62</v>
      </c>
      <c r="G1059" t="s">
        <v>72</v>
      </c>
      <c r="H1059" t="s">
        <v>75</v>
      </c>
      <c r="I1059">
        <v>5</v>
      </c>
      <c r="J1059">
        <v>2909</v>
      </c>
      <c r="K1059">
        <v>0</v>
      </c>
      <c r="L1059">
        <v>14545</v>
      </c>
      <c r="M1059">
        <v>12059.41</v>
      </c>
      <c r="N1059">
        <v>2485.59</v>
      </c>
      <c r="O1059" t="s">
        <v>78</v>
      </c>
      <c r="P1059" t="s">
        <v>84</v>
      </c>
    </row>
    <row r="1060" spans="1:16" x14ac:dyDescent="0.25">
      <c r="A1060">
        <v>1059</v>
      </c>
      <c r="B1060" s="1">
        <v>45742</v>
      </c>
      <c r="C1060" t="s">
        <v>16</v>
      </c>
      <c r="D1060" t="s">
        <v>24</v>
      </c>
      <c r="E1060" t="s">
        <v>28</v>
      </c>
      <c r="F1060" t="s">
        <v>61</v>
      </c>
      <c r="G1060" t="s">
        <v>70</v>
      </c>
      <c r="H1060" t="s">
        <v>75</v>
      </c>
      <c r="I1060">
        <v>1</v>
      </c>
      <c r="J1060">
        <v>1321</v>
      </c>
      <c r="K1060">
        <v>0.15</v>
      </c>
      <c r="L1060">
        <v>1122.8499999999999</v>
      </c>
      <c r="M1060">
        <v>688.14</v>
      </c>
      <c r="N1060">
        <v>434.71</v>
      </c>
      <c r="O1060" t="s">
        <v>77</v>
      </c>
      <c r="P1060" t="s">
        <v>86</v>
      </c>
    </row>
    <row r="1061" spans="1:16" x14ac:dyDescent="0.25">
      <c r="A1061">
        <v>1060</v>
      </c>
      <c r="B1061" s="1">
        <v>45885</v>
      </c>
      <c r="C1061" t="s">
        <v>20</v>
      </c>
      <c r="D1061" t="s">
        <v>26</v>
      </c>
      <c r="E1061" t="s">
        <v>31</v>
      </c>
      <c r="F1061" t="s">
        <v>47</v>
      </c>
      <c r="G1061" t="s">
        <v>71</v>
      </c>
      <c r="H1061" t="s">
        <v>75</v>
      </c>
      <c r="I1061">
        <v>2</v>
      </c>
      <c r="J1061">
        <v>1458</v>
      </c>
      <c r="K1061">
        <v>0.05</v>
      </c>
      <c r="L1061">
        <v>2770.2</v>
      </c>
      <c r="M1061">
        <v>1609.83</v>
      </c>
      <c r="N1061">
        <v>1160.3699999999999</v>
      </c>
      <c r="O1061" t="s">
        <v>76</v>
      </c>
      <c r="P1061" t="s">
        <v>81</v>
      </c>
    </row>
    <row r="1062" spans="1:16" x14ac:dyDescent="0.25">
      <c r="A1062">
        <v>1061</v>
      </c>
      <c r="B1062" s="1">
        <v>45925</v>
      </c>
      <c r="C1062" t="s">
        <v>23</v>
      </c>
      <c r="D1062" t="s">
        <v>27</v>
      </c>
      <c r="E1062" t="s">
        <v>33</v>
      </c>
      <c r="F1062" t="s">
        <v>52</v>
      </c>
      <c r="G1062" t="s">
        <v>70</v>
      </c>
      <c r="H1062" t="s">
        <v>74</v>
      </c>
      <c r="I1062">
        <v>3</v>
      </c>
      <c r="J1062">
        <v>24627</v>
      </c>
      <c r="K1062">
        <v>0.05</v>
      </c>
      <c r="L1062">
        <v>70186.95</v>
      </c>
      <c r="M1062">
        <v>56130.18</v>
      </c>
      <c r="N1062">
        <v>14056.77</v>
      </c>
      <c r="O1062" t="s">
        <v>76</v>
      </c>
      <c r="P1062" t="s">
        <v>86</v>
      </c>
    </row>
    <row r="1063" spans="1:16" x14ac:dyDescent="0.25">
      <c r="A1063">
        <v>1062</v>
      </c>
      <c r="B1063" s="1">
        <v>45764</v>
      </c>
      <c r="C1063" t="s">
        <v>16</v>
      </c>
      <c r="D1063" t="s">
        <v>24</v>
      </c>
      <c r="E1063" t="s">
        <v>28</v>
      </c>
      <c r="F1063" t="s">
        <v>58</v>
      </c>
      <c r="G1063" t="s">
        <v>70</v>
      </c>
      <c r="H1063" t="s">
        <v>74</v>
      </c>
      <c r="I1063">
        <v>8</v>
      </c>
      <c r="J1063">
        <v>2328</v>
      </c>
      <c r="K1063">
        <v>0</v>
      </c>
      <c r="L1063">
        <v>18624</v>
      </c>
      <c r="M1063">
        <v>14305.01</v>
      </c>
      <c r="N1063">
        <v>4318.99</v>
      </c>
      <c r="O1063" t="s">
        <v>78</v>
      </c>
      <c r="P1063" t="s">
        <v>86</v>
      </c>
    </row>
    <row r="1064" spans="1:16" x14ac:dyDescent="0.25">
      <c r="A1064">
        <v>1063</v>
      </c>
      <c r="B1064" s="1">
        <v>45833</v>
      </c>
      <c r="C1064" t="s">
        <v>17</v>
      </c>
      <c r="D1064" t="s">
        <v>25</v>
      </c>
      <c r="E1064" t="s">
        <v>33</v>
      </c>
      <c r="F1064" t="s">
        <v>60</v>
      </c>
      <c r="G1064" t="s">
        <v>70</v>
      </c>
      <c r="H1064" t="s">
        <v>74</v>
      </c>
      <c r="I1064">
        <v>1</v>
      </c>
      <c r="J1064">
        <v>45510</v>
      </c>
      <c r="K1064">
        <v>0.1</v>
      </c>
      <c r="L1064">
        <v>40959</v>
      </c>
      <c r="M1064">
        <v>29340.76</v>
      </c>
      <c r="N1064">
        <v>11618.24</v>
      </c>
      <c r="O1064" t="s">
        <v>80</v>
      </c>
      <c r="P1064" t="s">
        <v>86</v>
      </c>
    </row>
    <row r="1065" spans="1:16" x14ac:dyDescent="0.25">
      <c r="A1065">
        <v>1064</v>
      </c>
      <c r="B1065" s="1">
        <v>45952</v>
      </c>
      <c r="C1065" t="s">
        <v>20</v>
      </c>
      <c r="D1065" t="s">
        <v>26</v>
      </c>
      <c r="E1065" t="s">
        <v>31</v>
      </c>
      <c r="F1065" t="s">
        <v>67</v>
      </c>
      <c r="G1065" t="s">
        <v>70</v>
      </c>
      <c r="H1065" t="s">
        <v>73</v>
      </c>
      <c r="I1065">
        <v>1</v>
      </c>
      <c r="J1065">
        <v>1769</v>
      </c>
      <c r="K1065">
        <v>0.05</v>
      </c>
      <c r="L1065">
        <v>1680.55</v>
      </c>
      <c r="M1065">
        <v>991.99</v>
      </c>
      <c r="N1065">
        <v>688.56</v>
      </c>
      <c r="O1065" t="s">
        <v>80</v>
      </c>
      <c r="P1065" t="s">
        <v>83</v>
      </c>
    </row>
    <row r="1066" spans="1:16" x14ac:dyDescent="0.25">
      <c r="A1066">
        <v>1065</v>
      </c>
      <c r="B1066" s="1">
        <v>45686</v>
      </c>
      <c r="C1066" t="s">
        <v>19</v>
      </c>
      <c r="D1066" t="s">
        <v>26</v>
      </c>
      <c r="E1066" t="s">
        <v>34</v>
      </c>
      <c r="F1066" t="s">
        <v>65</v>
      </c>
      <c r="G1066" t="s">
        <v>72</v>
      </c>
      <c r="H1066" t="s">
        <v>73</v>
      </c>
      <c r="I1066">
        <v>8</v>
      </c>
      <c r="J1066">
        <v>299</v>
      </c>
      <c r="K1066">
        <v>0.1</v>
      </c>
      <c r="L1066">
        <v>2152.8000000000002</v>
      </c>
      <c r="M1066">
        <v>1661.41</v>
      </c>
      <c r="N1066">
        <v>491.39</v>
      </c>
      <c r="O1066" t="s">
        <v>76</v>
      </c>
      <c r="P1066" t="s">
        <v>85</v>
      </c>
    </row>
    <row r="1067" spans="1:16" x14ac:dyDescent="0.25">
      <c r="A1067">
        <v>1066</v>
      </c>
      <c r="B1067" s="1">
        <v>45718</v>
      </c>
      <c r="C1067" t="s">
        <v>20</v>
      </c>
      <c r="D1067" t="s">
        <v>26</v>
      </c>
      <c r="E1067" t="s">
        <v>34</v>
      </c>
      <c r="F1067" t="s">
        <v>65</v>
      </c>
      <c r="G1067" t="s">
        <v>70</v>
      </c>
      <c r="H1067" t="s">
        <v>75</v>
      </c>
      <c r="I1067">
        <v>6</v>
      </c>
      <c r="J1067">
        <v>572</v>
      </c>
      <c r="K1067">
        <v>0.1</v>
      </c>
      <c r="L1067">
        <v>3088.8</v>
      </c>
      <c r="M1067">
        <v>1742.57</v>
      </c>
      <c r="N1067">
        <v>1346.23</v>
      </c>
      <c r="O1067" t="s">
        <v>77</v>
      </c>
      <c r="P1067" t="s">
        <v>81</v>
      </c>
    </row>
    <row r="1068" spans="1:16" x14ac:dyDescent="0.25">
      <c r="A1068">
        <v>1067</v>
      </c>
      <c r="B1068" s="1">
        <v>45810</v>
      </c>
      <c r="C1068" t="s">
        <v>16</v>
      </c>
      <c r="D1068" t="s">
        <v>24</v>
      </c>
      <c r="E1068" t="s">
        <v>33</v>
      </c>
      <c r="F1068" t="s">
        <v>41</v>
      </c>
      <c r="G1068" t="s">
        <v>71</v>
      </c>
      <c r="H1068" t="s">
        <v>74</v>
      </c>
      <c r="I1068">
        <v>4</v>
      </c>
      <c r="J1068">
        <v>15656</v>
      </c>
      <c r="K1068">
        <v>0</v>
      </c>
      <c r="L1068">
        <v>62624</v>
      </c>
      <c r="M1068">
        <v>37415.839999999997</v>
      </c>
      <c r="N1068">
        <v>25208.16</v>
      </c>
      <c r="O1068" t="s">
        <v>79</v>
      </c>
      <c r="P1068" t="s">
        <v>87</v>
      </c>
    </row>
    <row r="1069" spans="1:16" x14ac:dyDescent="0.25">
      <c r="A1069">
        <v>1068</v>
      </c>
      <c r="B1069" s="1">
        <v>45684</v>
      </c>
      <c r="C1069" t="s">
        <v>18</v>
      </c>
      <c r="D1069" t="s">
        <v>26</v>
      </c>
      <c r="E1069" t="s">
        <v>28</v>
      </c>
      <c r="F1069" t="s">
        <v>54</v>
      </c>
      <c r="G1069" t="s">
        <v>71</v>
      </c>
      <c r="H1069" t="s">
        <v>74</v>
      </c>
      <c r="I1069">
        <v>5</v>
      </c>
      <c r="J1069">
        <v>2454</v>
      </c>
      <c r="K1069">
        <v>0.15</v>
      </c>
      <c r="L1069">
        <v>10429.5</v>
      </c>
      <c r="M1069">
        <v>9153.93</v>
      </c>
      <c r="N1069">
        <v>1275.57</v>
      </c>
      <c r="O1069" t="s">
        <v>76</v>
      </c>
      <c r="P1069" t="s">
        <v>85</v>
      </c>
    </row>
    <row r="1070" spans="1:16" x14ac:dyDescent="0.25">
      <c r="A1070">
        <v>1069</v>
      </c>
      <c r="B1070" s="1">
        <v>46014</v>
      </c>
      <c r="C1070" t="s">
        <v>21</v>
      </c>
      <c r="D1070" t="s">
        <v>24</v>
      </c>
      <c r="E1070" t="s">
        <v>29</v>
      </c>
      <c r="F1070" t="s">
        <v>57</v>
      </c>
      <c r="G1070" t="s">
        <v>70</v>
      </c>
      <c r="H1070" t="s">
        <v>74</v>
      </c>
      <c r="I1070">
        <v>3</v>
      </c>
      <c r="J1070">
        <v>9362</v>
      </c>
      <c r="K1070">
        <v>0.15</v>
      </c>
      <c r="L1070">
        <v>23873.1</v>
      </c>
      <c r="M1070">
        <v>20798.61</v>
      </c>
      <c r="N1070">
        <v>3074.49</v>
      </c>
      <c r="O1070" t="s">
        <v>79</v>
      </c>
      <c r="P1070" t="s">
        <v>81</v>
      </c>
    </row>
    <row r="1071" spans="1:16" x14ac:dyDescent="0.25">
      <c r="A1071">
        <v>1070</v>
      </c>
      <c r="B1071" s="1">
        <v>45881</v>
      </c>
      <c r="C1071" t="s">
        <v>20</v>
      </c>
      <c r="D1071" t="s">
        <v>26</v>
      </c>
      <c r="E1071" t="s">
        <v>31</v>
      </c>
      <c r="F1071" t="s">
        <v>69</v>
      </c>
      <c r="G1071" t="s">
        <v>72</v>
      </c>
      <c r="H1071" t="s">
        <v>75</v>
      </c>
      <c r="I1071">
        <v>5</v>
      </c>
      <c r="J1071">
        <v>1233</v>
      </c>
      <c r="K1071">
        <v>0.15</v>
      </c>
      <c r="L1071">
        <v>5240.25</v>
      </c>
      <c r="M1071">
        <v>4172.6400000000003</v>
      </c>
      <c r="N1071">
        <v>1067.6099999999999</v>
      </c>
      <c r="O1071" t="s">
        <v>77</v>
      </c>
      <c r="P1071" t="s">
        <v>83</v>
      </c>
    </row>
    <row r="1072" spans="1:16" x14ac:dyDescent="0.25">
      <c r="A1072">
        <v>1071</v>
      </c>
      <c r="B1072" s="1">
        <v>45982</v>
      </c>
      <c r="C1072" t="s">
        <v>23</v>
      </c>
      <c r="D1072" t="s">
        <v>27</v>
      </c>
      <c r="E1072" t="s">
        <v>32</v>
      </c>
      <c r="F1072" t="s">
        <v>49</v>
      </c>
      <c r="G1072" t="s">
        <v>70</v>
      </c>
      <c r="H1072" t="s">
        <v>75</v>
      </c>
      <c r="I1072">
        <v>6</v>
      </c>
      <c r="J1072">
        <v>14143</v>
      </c>
      <c r="K1072">
        <v>0.1</v>
      </c>
      <c r="L1072">
        <v>76372.2</v>
      </c>
      <c r="M1072">
        <v>64855.69</v>
      </c>
      <c r="N1072">
        <v>11516.51</v>
      </c>
      <c r="O1072" t="s">
        <v>77</v>
      </c>
      <c r="P1072" t="s">
        <v>83</v>
      </c>
    </row>
    <row r="1073" spans="1:16" x14ac:dyDescent="0.25">
      <c r="A1073">
        <v>1072</v>
      </c>
      <c r="B1073" s="1">
        <v>45796</v>
      </c>
      <c r="C1073" t="s">
        <v>23</v>
      </c>
      <c r="D1073" t="s">
        <v>27</v>
      </c>
      <c r="E1073" t="s">
        <v>30</v>
      </c>
      <c r="F1073" t="s">
        <v>37</v>
      </c>
      <c r="G1073" t="s">
        <v>72</v>
      </c>
      <c r="H1073" t="s">
        <v>74</v>
      </c>
      <c r="I1073">
        <v>6</v>
      </c>
      <c r="J1073">
        <v>49156</v>
      </c>
      <c r="K1073">
        <v>0.15</v>
      </c>
      <c r="L1073">
        <v>250695.6</v>
      </c>
      <c r="M1073">
        <v>138920.69</v>
      </c>
      <c r="N1073">
        <v>111774.91</v>
      </c>
      <c r="O1073" t="s">
        <v>80</v>
      </c>
      <c r="P1073" t="s">
        <v>84</v>
      </c>
    </row>
    <row r="1074" spans="1:16" x14ac:dyDescent="0.25">
      <c r="A1074">
        <v>1073</v>
      </c>
      <c r="B1074" s="1">
        <v>45701</v>
      </c>
      <c r="C1074" t="s">
        <v>20</v>
      </c>
      <c r="D1074" t="s">
        <v>26</v>
      </c>
      <c r="E1074" t="s">
        <v>34</v>
      </c>
      <c r="F1074" t="s">
        <v>43</v>
      </c>
      <c r="G1074" t="s">
        <v>71</v>
      </c>
      <c r="H1074" t="s">
        <v>75</v>
      </c>
      <c r="I1074">
        <v>6</v>
      </c>
      <c r="J1074">
        <v>5513</v>
      </c>
      <c r="K1074">
        <v>0</v>
      </c>
      <c r="L1074">
        <v>33078</v>
      </c>
      <c r="M1074">
        <v>23519.32</v>
      </c>
      <c r="N1074">
        <v>9558.68</v>
      </c>
      <c r="O1074" t="s">
        <v>76</v>
      </c>
      <c r="P1074" t="s">
        <v>83</v>
      </c>
    </row>
    <row r="1075" spans="1:16" x14ac:dyDescent="0.25">
      <c r="A1075">
        <v>1074</v>
      </c>
      <c r="B1075" s="1">
        <v>45794</v>
      </c>
      <c r="C1075" t="s">
        <v>19</v>
      </c>
      <c r="D1075" t="s">
        <v>26</v>
      </c>
      <c r="E1075" t="s">
        <v>34</v>
      </c>
      <c r="F1075" t="s">
        <v>51</v>
      </c>
      <c r="G1075" t="s">
        <v>70</v>
      </c>
      <c r="H1075" t="s">
        <v>74</v>
      </c>
      <c r="I1075">
        <v>5</v>
      </c>
      <c r="J1075">
        <v>869</v>
      </c>
      <c r="K1075">
        <v>0.1</v>
      </c>
      <c r="L1075">
        <v>3910.5</v>
      </c>
      <c r="M1075">
        <v>2375.1799999999998</v>
      </c>
      <c r="N1075">
        <v>1535.32</v>
      </c>
      <c r="O1075" t="s">
        <v>78</v>
      </c>
      <c r="P1075" t="s">
        <v>88</v>
      </c>
    </row>
    <row r="1076" spans="1:16" x14ac:dyDescent="0.25">
      <c r="A1076">
        <v>1075</v>
      </c>
      <c r="B1076" s="1">
        <v>45922</v>
      </c>
      <c r="C1076" t="s">
        <v>17</v>
      </c>
      <c r="D1076" t="s">
        <v>25</v>
      </c>
      <c r="E1076" t="s">
        <v>32</v>
      </c>
      <c r="F1076" t="s">
        <v>39</v>
      </c>
      <c r="G1076" t="s">
        <v>72</v>
      </c>
      <c r="H1076" t="s">
        <v>74</v>
      </c>
      <c r="I1076">
        <v>2</v>
      </c>
      <c r="J1076">
        <v>16421</v>
      </c>
      <c r="K1076">
        <v>0.15</v>
      </c>
      <c r="L1076">
        <v>27915.7</v>
      </c>
      <c r="M1076">
        <v>22342.44</v>
      </c>
      <c r="N1076">
        <v>5573.26</v>
      </c>
      <c r="O1076" t="s">
        <v>78</v>
      </c>
      <c r="P1076" t="s">
        <v>81</v>
      </c>
    </row>
    <row r="1077" spans="1:16" x14ac:dyDescent="0.25">
      <c r="A1077">
        <v>1076</v>
      </c>
      <c r="B1077" s="1">
        <v>45728</v>
      </c>
      <c r="C1077" t="s">
        <v>19</v>
      </c>
      <c r="D1077" t="s">
        <v>26</v>
      </c>
      <c r="E1077" t="s">
        <v>30</v>
      </c>
      <c r="F1077" t="s">
        <v>56</v>
      </c>
      <c r="G1077" t="s">
        <v>70</v>
      </c>
      <c r="H1077" t="s">
        <v>73</v>
      </c>
      <c r="I1077">
        <v>6</v>
      </c>
      <c r="J1077">
        <v>22679</v>
      </c>
      <c r="K1077">
        <v>0</v>
      </c>
      <c r="L1077">
        <v>136074</v>
      </c>
      <c r="M1077">
        <v>82218.16</v>
      </c>
      <c r="N1077">
        <v>53855.839999999997</v>
      </c>
      <c r="O1077" t="s">
        <v>78</v>
      </c>
      <c r="P1077" t="s">
        <v>88</v>
      </c>
    </row>
    <row r="1078" spans="1:16" x14ac:dyDescent="0.25">
      <c r="A1078">
        <v>1077</v>
      </c>
      <c r="B1078" s="1">
        <v>45796</v>
      </c>
      <c r="C1078" t="s">
        <v>22</v>
      </c>
      <c r="D1078" t="s">
        <v>24</v>
      </c>
      <c r="E1078" t="s">
        <v>34</v>
      </c>
      <c r="F1078" t="s">
        <v>55</v>
      </c>
      <c r="G1078" t="s">
        <v>72</v>
      </c>
      <c r="H1078" t="s">
        <v>75</v>
      </c>
      <c r="I1078">
        <v>1</v>
      </c>
      <c r="J1078">
        <v>2034</v>
      </c>
      <c r="K1078">
        <v>0.15</v>
      </c>
      <c r="L1078">
        <v>1728.9</v>
      </c>
      <c r="M1078">
        <v>1289.05</v>
      </c>
      <c r="N1078">
        <v>439.85</v>
      </c>
      <c r="O1078" t="s">
        <v>80</v>
      </c>
      <c r="P1078" t="s">
        <v>84</v>
      </c>
    </row>
    <row r="1079" spans="1:16" x14ac:dyDescent="0.25">
      <c r="A1079">
        <v>1078</v>
      </c>
      <c r="B1079" s="1">
        <v>45756</v>
      </c>
      <c r="C1079" t="s">
        <v>22</v>
      </c>
      <c r="D1079" t="s">
        <v>24</v>
      </c>
      <c r="E1079" t="s">
        <v>31</v>
      </c>
      <c r="F1079" t="s">
        <v>47</v>
      </c>
      <c r="G1079" t="s">
        <v>70</v>
      </c>
      <c r="H1079" t="s">
        <v>74</v>
      </c>
      <c r="I1079">
        <v>3</v>
      </c>
      <c r="J1079">
        <v>1531</v>
      </c>
      <c r="K1079">
        <v>0.05</v>
      </c>
      <c r="L1079">
        <v>4363.3500000000004</v>
      </c>
      <c r="M1079">
        <v>2528.02</v>
      </c>
      <c r="N1079">
        <v>1835.33</v>
      </c>
      <c r="O1079" t="s">
        <v>77</v>
      </c>
      <c r="P1079" t="s">
        <v>85</v>
      </c>
    </row>
    <row r="1080" spans="1:16" x14ac:dyDescent="0.25">
      <c r="A1080">
        <v>1079</v>
      </c>
      <c r="B1080" s="1">
        <v>45721</v>
      </c>
      <c r="C1080" t="s">
        <v>21</v>
      </c>
      <c r="D1080" t="s">
        <v>24</v>
      </c>
      <c r="E1080" t="s">
        <v>28</v>
      </c>
      <c r="F1080" t="s">
        <v>58</v>
      </c>
      <c r="G1080" t="s">
        <v>70</v>
      </c>
      <c r="H1080" t="s">
        <v>74</v>
      </c>
      <c r="I1080">
        <v>6</v>
      </c>
      <c r="J1080">
        <v>1740</v>
      </c>
      <c r="K1080">
        <v>0.15</v>
      </c>
      <c r="L1080">
        <v>8874</v>
      </c>
      <c r="M1080">
        <v>5895.1</v>
      </c>
      <c r="N1080">
        <v>2978.9</v>
      </c>
      <c r="O1080" t="s">
        <v>80</v>
      </c>
      <c r="P1080" t="s">
        <v>84</v>
      </c>
    </row>
    <row r="1081" spans="1:16" x14ac:dyDescent="0.25">
      <c r="A1081">
        <v>1080</v>
      </c>
      <c r="B1081" s="1">
        <v>45974</v>
      </c>
      <c r="C1081" t="s">
        <v>23</v>
      </c>
      <c r="D1081" t="s">
        <v>27</v>
      </c>
      <c r="E1081" t="s">
        <v>29</v>
      </c>
      <c r="F1081" t="s">
        <v>57</v>
      </c>
      <c r="G1081" t="s">
        <v>72</v>
      </c>
      <c r="H1081" t="s">
        <v>74</v>
      </c>
      <c r="I1081">
        <v>1</v>
      </c>
      <c r="J1081">
        <v>7403</v>
      </c>
      <c r="K1081">
        <v>0</v>
      </c>
      <c r="L1081">
        <v>7403</v>
      </c>
      <c r="M1081">
        <v>5767.13</v>
      </c>
      <c r="N1081">
        <v>1635.87</v>
      </c>
      <c r="O1081" t="s">
        <v>78</v>
      </c>
      <c r="P1081" t="s">
        <v>87</v>
      </c>
    </row>
    <row r="1082" spans="1:16" x14ac:dyDescent="0.25">
      <c r="A1082">
        <v>1081</v>
      </c>
      <c r="B1082" s="1">
        <v>45764</v>
      </c>
      <c r="C1082" t="s">
        <v>19</v>
      </c>
      <c r="D1082" t="s">
        <v>26</v>
      </c>
      <c r="E1082" t="s">
        <v>30</v>
      </c>
      <c r="F1082" t="s">
        <v>44</v>
      </c>
      <c r="G1082" t="s">
        <v>71</v>
      </c>
      <c r="H1082" t="s">
        <v>73</v>
      </c>
      <c r="I1082">
        <v>2</v>
      </c>
      <c r="J1082">
        <v>28826</v>
      </c>
      <c r="K1082">
        <v>0.1</v>
      </c>
      <c r="L1082">
        <v>51886.8</v>
      </c>
      <c r="M1082">
        <v>36971.19</v>
      </c>
      <c r="N1082">
        <v>14915.61</v>
      </c>
      <c r="O1082" t="s">
        <v>76</v>
      </c>
      <c r="P1082" t="s">
        <v>86</v>
      </c>
    </row>
    <row r="1083" spans="1:16" x14ac:dyDescent="0.25">
      <c r="A1083">
        <v>1082</v>
      </c>
      <c r="B1083" s="1">
        <v>45929</v>
      </c>
      <c r="C1083" t="s">
        <v>21</v>
      </c>
      <c r="D1083" t="s">
        <v>24</v>
      </c>
      <c r="E1083" t="s">
        <v>29</v>
      </c>
      <c r="F1083" t="s">
        <v>53</v>
      </c>
      <c r="G1083" t="s">
        <v>71</v>
      </c>
      <c r="H1083" t="s">
        <v>75</v>
      </c>
      <c r="I1083">
        <v>8</v>
      </c>
      <c r="J1083">
        <v>3207</v>
      </c>
      <c r="K1083">
        <v>0.15</v>
      </c>
      <c r="L1083">
        <v>21807.599999999999</v>
      </c>
      <c r="M1083">
        <v>17672.259999999998</v>
      </c>
      <c r="N1083">
        <v>4135.34</v>
      </c>
      <c r="O1083" t="s">
        <v>78</v>
      </c>
      <c r="P1083" t="s">
        <v>81</v>
      </c>
    </row>
    <row r="1084" spans="1:16" x14ac:dyDescent="0.25">
      <c r="A1084">
        <v>1083</v>
      </c>
      <c r="B1084" s="1">
        <v>45993</v>
      </c>
      <c r="C1084" t="s">
        <v>18</v>
      </c>
      <c r="D1084" t="s">
        <v>26</v>
      </c>
      <c r="E1084" t="s">
        <v>33</v>
      </c>
      <c r="F1084" t="s">
        <v>52</v>
      </c>
      <c r="G1084" t="s">
        <v>72</v>
      </c>
      <c r="H1084" t="s">
        <v>74</v>
      </c>
      <c r="I1084">
        <v>2</v>
      </c>
      <c r="J1084">
        <v>24768</v>
      </c>
      <c r="K1084">
        <v>0</v>
      </c>
      <c r="L1084">
        <v>49536</v>
      </c>
      <c r="M1084">
        <v>30278.37</v>
      </c>
      <c r="N1084">
        <v>19257.63</v>
      </c>
      <c r="O1084" t="s">
        <v>78</v>
      </c>
      <c r="P1084" t="s">
        <v>84</v>
      </c>
    </row>
    <row r="1085" spans="1:16" x14ac:dyDescent="0.25">
      <c r="A1085">
        <v>1084</v>
      </c>
      <c r="B1085" s="1">
        <v>45907</v>
      </c>
      <c r="C1085" t="s">
        <v>22</v>
      </c>
      <c r="D1085" t="s">
        <v>24</v>
      </c>
      <c r="E1085" t="s">
        <v>33</v>
      </c>
      <c r="F1085" t="s">
        <v>52</v>
      </c>
      <c r="G1085" t="s">
        <v>70</v>
      </c>
      <c r="H1085" t="s">
        <v>75</v>
      </c>
      <c r="I1085">
        <v>6</v>
      </c>
      <c r="J1085">
        <v>13934</v>
      </c>
      <c r="K1085">
        <v>0</v>
      </c>
      <c r="L1085">
        <v>83604</v>
      </c>
      <c r="M1085">
        <v>56801.07</v>
      </c>
      <c r="N1085">
        <v>26802.93</v>
      </c>
      <c r="O1085" t="s">
        <v>76</v>
      </c>
      <c r="P1085" t="s">
        <v>86</v>
      </c>
    </row>
    <row r="1086" spans="1:16" x14ac:dyDescent="0.25">
      <c r="A1086">
        <v>1085</v>
      </c>
      <c r="B1086" s="1">
        <v>45735</v>
      </c>
      <c r="C1086" t="s">
        <v>20</v>
      </c>
      <c r="D1086" t="s">
        <v>26</v>
      </c>
      <c r="E1086" t="s">
        <v>28</v>
      </c>
      <c r="F1086" t="s">
        <v>58</v>
      </c>
      <c r="G1086" t="s">
        <v>72</v>
      </c>
      <c r="H1086" t="s">
        <v>74</v>
      </c>
      <c r="I1086">
        <v>6</v>
      </c>
      <c r="J1086">
        <v>1709</v>
      </c>
      <c r="K1086">
        <v>0.15</v>
      </c>
      <c r="L1086">
        <v>8715.9</v>
      </c>
      <c r="M1086">
        <v>6249.14</v>
      </c>
      <c r="N1086">
        <v>2466.7600000000002</v>
      </c>
      <c r="O1086" t="s">
        <v>77</v>
      </c>
      <c r="P1086" t="s">
        <v>81</v>
      </c>
    </row>
    <row r="1087" spans="1:16" x14ac:dyDescent="0.25">
      <c r="A1087">
        <v>1086</v>
      </c>
      <c r="B1087" s="1">
        <v>45957</v>
      </c>
      <c r="C1087" t="s">
        <v>20</v>
      </c>
      <c r="D1087" t="s">
        <v>26</v>
      </c>
      <c r="E1087" t="s">
        <v>29</v>
      </c>
      <c r="F1087" t="s">
        <v>42</v>
      </c>
      <c r="G1087" t="s">
        <v>71</v>
      </c>
      <c r="H1087" t="s">
        <v>75</v>
      </c>
      <c r="I1087">
        <v>5</v>
      </c>
      <c r="J1087">
        <v>4832</v>
      </c>
      <c r="K1087">
        <v>0.2</v>
      </c>
      <c r="L1087">
        <v>19328</v>
      </c>
      <c r="M1087">
        <v>15688.74</v>
      </c>
      <c r="N1087">
        <v>3639.26</v>
      </c>
      <c r="O1087" t="s">
        <v>76</v>
      </c>
      <c r="P1087" t="s">
        <v>86</v>
      </c>
    </row>
    <row r="1088" spans="1:16" x14ac:dyDescent="0.25">
      <c r="A1088">
        <v>1087</v>
      </c>
      <c r="B1088" s="1">
        <v>45907</v>
      </c>
      <c r="C1088" t="s">
        <v>23</v>
      </c>
      <c r="D1088" t="s">
        <v>27</v>
      </c>
      <c r="E1088" t="s">
        <v>30</v>
      </c>
      <c r="F1088" t="s">
        <v>44</v>
      </c>
      <c r="G1088" t="s">
        <v>71</v>
      </c>
      <c r="H1088" t="s">
        <v>73</v>
      </c>
      <c r="I1088">
        <v>8</v>
      </c>
      <c r="J1088">
        <v>10488</v>
      </c>
      <c r="K1088">
        <v>0</v>
      </c>
      <c r="L1088">
        <v>83904</v>
      </c>
      <c r="M1088">
        <v>72843.62</v>
      </c>
      <c r="N1088">
        <v>11060.38</v>
      </c>
      <c r="O1088" t="s">
        <v>79</v>
      </c>
      <c r="P1088" t="s">
        <v>85</v>
      </c>
    </row>
    <row r="1089" spans="1:16" x14ac:dyDescent="0.25">
      <c r="A1089">
        <v>1088</v>
      </c>
      <c r="B1089" s="1">
        <v>45792</v>
      </c>
      <c r="C1089" t="s">
        <v>20</v>
      </c>
      <c r="D1089" t="s">
        <v>26</v>
      </c>
      <c r="E1089" t="s">
        <v>28</v>
      </c>
      <c r="F1089" t="s">
        <v>58</v>
      </c>
      <c r="G1089" t="s">
        <v>71</v>
      </c>
      <c r="H1089" t="s">
        <v>73</v>
      </c>
      <c r="I1089">
        <v>6</v>
      </c>
      <c r="J1089">
        <v>211</v>
      </c>
      <c r="K1089">
        <v>0</v>
      </c>
      <c r="L1089">
        <v>1266</v>
      </c>
      <c r="M1089">
        <v>877.5</v>
      </c>
      <c r="N1089">
        <v>388.5</v>
      </c>
      <c r="O1089" t="s">
        <v>77</v>
      </c>
      <c r="P1089" t="s">
        <v>85</v>
      </c>
    </row>
    <row r="1090" spans="1:16" x14ac:dyDescent="0.25">
      <c r="A1090">
        <v>1089</v>
      </c>
      <c r="B1090" s="1">
        <v>45721</v>
      </c>
      <c r="C1090" t="s">
        <v>18</v>
      </c>
      <c r="D1090" t="s">
        <v>26</v>
      </c>
      <c r="E1090" t="s">
        <v>33</v>
      </c>
      <c r="F1090" t="s">
        <v>60</v>
      </c>
      <c r="G1090" t="s">
        <v>71</v>
      </c>
      <c r="H1090" t="s">
        <v>75</v>
      </c>
      <c r="I1090">
        <v>6</v>
      </c>
      <c r="J1090">
        <v>33647</v>
      </c>
      <c r="K1090">
        <v>0.1</v>
      </c>
      <c r="L1090">
        <v>181693.8</v>
      </c>
      <c r="M1090">
        <v>129769.88</v>
      </c>
      <c r="N1090">
        <v>51923.92</v>
      </c>
      <c r="O1090" t="s">
        <v>79</v>
      </c>
      <c r="P1090" t="s">
        <v>83</v>
      </c>
    </row>
    <row r="1091" spans="1:16" x14ac:dyDescent="0.25">
      <c r="A1091">
        <v>1090</v>
      </c>
      <c r="B1091" s="1">
        <v>45783</v>
      </c>
      <c r="C1091" t="s">
        <v>20</v>
      </c>
      <c r="D1091" t="s">
        <v>26</v>
      </c>
      <c r="E1091" t="s">
        <v>31</v>
      </c>
      <c r="F1091" t="s">
        <v>50</v>
      </c>
      <c r="G1091" t="s">
        <v>72</v>
      </c>
      <c r="H1091" t="s">
        <v>75</v>
      </c>
      <c r="I1091">
        <v>3</v>
      </c>
      <c r="J1091">
        <v>1730</v>
      </c>
      <c r="K1091">
        <v>0.15</v>
      </c>
      <c r="L1091">
        <v>4411.5</v>
      </c>
      <c r="M1091">
        <v>3690.63</v>
      </c>
      <c r="N1091">
        <v>720.87</v>
      </c>
      <c r="O1091" t="s">
        <v>80</v>
      </c>
      <c r="P1091" t="s">
        <v>87</v>
      </c>
    </row>
    <row r="1092" spans="1:16" x14ac:dyDescent="0.25">
      <c r="A1092">
        <v>1091</v>
      </c>
      <c r="B1092" s="1">
        <v>45874</v>
      </c>
      <c r="C1092" t="s">
        <v>16</v>
      </c>
      <c r="D1092" t="s">
        <v>24</v>
      </c>
      <c r="E1092" t="s">
        <v>31</v>
      </c>
      <c r="F1092" t="s">
        <v>47</v>
      </c>
      <c r="G1092" t="s">
        <v>71</v>
      </c>
      <c r="H1092" t="s">
        <v>73</v>
      </c>
      <c r="I1092">
        <v>7</v>
      </c>
      <c r="J1092">
        <v>176</v>
      </c>
      <c r="K1092">
        <v>0.1</v>
      </c>
      <c r="L1092">
        <v>1108.8</v>
      </c>
      <c r="M1092">
        <v>772.52</v>
      </c>
      <c r="N1092">
        <v>336.28</v>
      </c>
      <c r="O1092" t="s">
        <v>76</v>
      </c>
      <c r="P1092" t="s">
        <v>81</v>
      </c>
    </row>
    <row r="1093" spans="1:16" x14ac:dyDescent="0.25">
      <c r="A1093">
        <v>1092</v>
      </c>
      <c r="B1093" s="1">
        <v>45994</v>
      </c>
      <c r="C1093" t="s">
        <v>20</v>
      </c>
      <c r="D1093" t="s">
        <v>26</v>
      </c>
      <c r="E1093" t="s">
        <v>34</v>
      </c>
      <c r="F1093" t="s">
        <v>51</v>
      </c>
      <c r="G1093" t="s">
        <v>70</v>
      </c>
      <c r="H1093" t="s">
        <v>75</v>
      </c>
      <c r="I1093">
        <v>3</v>
      </c>
      <c r="J1093">
        <v>1452</v>
      </c>
      <c r="K1093">
        <v>0.15</v>
      </c>
      <c r="L1093">
        <v>3702.6</v>
      </c>
      <c r="M1093">
        <v>2390.69</v>
      </c>
      <c r="N1093">
        <v>1311.91</v>
      </c>
      <c r="O1093" t="s">
        <v>78</v>
      </c>
      <c r="P1093" t="s">
        <v>85</v>
      </c>
    </row>
    <row r="1094" spans="1:16" x14ac:dyDescent="0.25">
      <c r="A1094">
        <v>1093</v>
      </c>
      <c r="B1094" s="1">
        <v>45688</v>
      </c>
      <c r="C1094" t="s">
        <v>18</v>
      </c>
      <c r="D1094" t="s">
        <v>26</v>
      </c>
      <c r="E1094" t="s">
        <v>29</v>
      </c>
      <c r="F1094" t="s">
        <v>42</v>
      </c>
      <c r="G1094" t="s">
        <v>72</v>
      </c>
      <c r="H1094" t="s">
        <v>75</v>
      </c>
      <c r="I1094">
        <v>1</v>
      </c>
      <c r="J1094">
        <v>10044</v>
      </c>
      <c r="K1094">
        <v>0.2</v>
      </c>
      <c r="L1094">
        <v>8035.2</v>
      </c>
      <c r="M1094">
        <v>5094.97</v>
      </c>
      <c r="N1094">
        <v>2940.23</v>
      </c>
      <c r="O1094" t="s">
        <v>77</v>
      </c>
      <c r="P1094" t="s">
        <v>85</v>
      </c>
    </row>
    <row r="1095" spans="1:16" x14ac:dyDescent="0.25">
      <c r="A1095">
        <v>1094</v>
      </c>
      <c r="B1095" s="1">
        <v>45819</v>
      </c>
      <c r="C1095" t="s">
        <v>18</v>
      </c>
      <c r="D1095" t="s">
        <v>26</v>
      </c>
      <c r="E1095" t="s">
        <v>34</v>
      </c>
      <c r="F1095" t="s">
        <v>55</v>
      </c>
      <c r="G1095" t="s">
        <v>72</v>
      </c>
      <c r="H1095" t="s">
        <v>74</v>
      </c>
      <c r="I1095">
        <v>4</v>
      </c>
      <c r="J1095">
        <v>5593</v>
      </c>
      <c r="K1095">
        <v>0</v>
      </c>
      <c r="L1095">
        <v>22372</v>
      </c>
      <c r="M1095">
        <v>14578.07</v>
      </c>
      <c r="N1095">
        <v>7793.93</v>
      </c>
      <c r="O1095" t="s">
        <v>80</v>
      </c>
      <c r="P1095" t="s">
        <v>87</v>
      </c>
    </row>
    <row r="1096" spans="1:16" x14ac:dyDescent="0.25">
      <c r="A1096">
        <v>1095</v>
      </c>
      <c r="B1096" s="1">
        <v>45997</v>
      </c>
      <c r="C1096" t="s">
        <v>21</v>
      </c>
      <c r="D1096" t="s">
        <v>24</v>
      </c>
      <c r="E1096" t="s">
        <v>32</v>
      </c>
      <c r="F1096" t="s">
        <v>48</v>
      </c>
      <c r="G1096" t="s">
        <v>72</v>
      </c>
      <c r="H1096" t="s">
        <v>73</v>
      </c>
      <c r="I1096">
        <v>5</v>
      </c>
      <c r="J1096">
        <v>21856</v>
      </c>
      <c r="K1096">
        <v>0.05</v>
      </c>
      <c r="L1096">
        <v>103816</v>
      </c>
      <c r="M1096">
        <v>81135.09</v>
      </c>
      <c r="N1096">
        <v>22680.91</v>
      </c>
      <c r="O1096" t="s">
        <v>77</v>
      </c>
      <c r="P1096" t="s">
        <v>85</v>
      </c>
    </row>
    <row r="1097" spans="1:16" x14ac:dyDescent="0.25">
      <c r="A1097">
        <v>1096</v>
      </c>
      <c r="B1097" s="1">
        <v>45852</v>
      </c>
      <c r="C1097" t="s">
        <v>20</v>
      </c>
      <c r="D1097" t="s">
        <v>26</v>
      </c>
      <c r="E1097" t="s">
        <v>33</v>
      </c>
      <c r="F1097" t="s">
        <v>60</v>
      </c>
      <c r="G1097" t="s">
        <v>70</v>
      </c>
      <c r="H1097" t="s">
        <v>74</v>
      </c>
      <c r="I1097">
        <v>8</v>
      </c>
      <c r="J1097">
        <v>33529</v>
      </c>
      <c r="K1097">
        <v>0.1</v>
      </c>
      <c r="L1097">
        <v>241408.8</v>
      </c>
      <c r="M1097">
        <v>164593.03</v>
      </c>
      <c r="N1097">
        <v>76815.77</v>
      </c>
      <c r="O1097" t="s">
        <v>77</v>
      </c>
      <c r="P1097" t="s">
        <v>86</v>
      </c>
    </row>
    <row r="1098" spans="1:16" x14ac:dyDescent="0.25">
      <c r="A1098">
        <v>1097</v>
      </c>
      <c r="B1098" s="1">
        <v>45707</v>
      </c>
      <c r="C1098" t="s">
        <v>23</v>
      </c>
      <c r="D1098" t="s">
        <v>27</v>
      </c>
      <c r="E1098" t="s">
        <v>29</v>
      </c>
      <c r="F1098" t="s">
        <v>42</v>
      </c>
      <c r="G1098" t="s">
        <v>72</v>
      </c>
      <c r="H1098" t="s">
        <v>75</v>
      </c>
      <c r="I1098">
        <v>6</v>
      </c>
      <c r="J1098">
        <v>6821</v>
      </c>
      <c r="K1098">
        <v>0</v>
      </c>
      <c r="L1098">
        <v>40926</v>
      </c>
      <c r="M1098">
        <v>31831</v>
      </c>
      <c r="N1098">
        <v>9095</v>
      </c>
      <c r="O1098" t="s">
        <v>80</v>
      </c>
      <c r="P1098" t="s">
        <v>86</v>
      </c>
    </row>
    <row r="1099" spans="1:16" x14ac:dyDescent="0.25">
      <c r="A1099">
        <v>1098</v>
      </c>
      <c r="B1099" s="1">
        <v>45899</v>
      </c>
      <c r="C1099" t="s">
        <v>16</v>
      </c>
      <c r="D1099" t="s">
        <v>24</v>
      </c>
      <c r="E1099" t="s">
        <v>29</v>
      </c>
      <c r="F1099" t="s">
        <v>42</v>
      </c>
      <c r="G1099" t="s">
        <v>71</v>
      </c>
      <c r="H1099" t="s">
        <v>74</v>
      </c>
      <c r="I1099">
        <v>7</v>
      </c>
      <c r="J1099">
        <v>4313</v>
      </c>
      <c r="K1099">
        <v>0</v>
      </c>
      <c r="L1099">
        <v>30191</v>
      </c>
      <c r="M1099">
        <v>24763.11</v>
      </c>
      <c r="N1099">
        <v>5427.89</v>
      </c>
      <c r="O1099" t="s">
        <v>80</v>
      </c>
      <c r="P1099" t="s">
        <v>82</v>
      </c>
    </row>
    <row r="1100" spans="1:16" x14ac:dyDescent="0.25">
      <c r="A1100">
        <v>1099</v>
      </c>
      <c r="B1100" s="1">
        <v>45800</v>
      </c>
      <c r="C1100" t="s">
        <v>23</v>
      </c>
      <c r="D1100" t="s">
        <v>27</v>
      </c>
      <c r="E1100" t="s">
        <v>28</v>
      </c>
      <c r="F1100" t="s">
        <v>58</v>
      </c>
      <c r="G1100" t="s">
        <v>72</v>
      </c>
      <c r="H1100" t="s">
        <v>73</v>
      </c>
      <c r="I1100">
        <v>4</v>
      </c>
      <c r="J1100">
        <v>971</v>
      </c>
      <c r="K1100">
        <v>0.05</v>
      </c>
      <c r="L1100">
        <v>3689.8</v>
      </c>
      <c r="M1100">
        <v>3120.08</v>
      </c>
      <c r="N1100">
        <v>569.72</v>
      </c>
      <c r="O1100" t="s">
        <v>78</v>
      </c>
      <c r="P1100" t="s">
        <v>81</v>
      </c>
    </row>
    <row r="1101" spans="1:16" x14ac:dyDescent="0.25">
      <c r="A1101">
        <v>1100</v>
      </c>
      <c r="B1101" s="1">
        <v>45750</v>
      </c>
      <c r="C1101" t="s">
        <v>18</v>
      </c>
      <c r="D1101" t="s">
        <v>26</v>
      </c>
      <c r="E1101" t="s">
        <v>31</v>
      </c>
      <c r="F1101" t="s">
        <v>38</v>
      </c>
      <c r="G1101" t="s">
        <v>72</v>
      </c>
      <c r="H1101" t="s">
        <v>75</v>
      </c>
      <c r="I1101">
        <v>4</v>
      </c>
      <c r="J1101">
        <v>2315</v>
      </c>
      <c r="K1101">
        <v>0.1</v>
      </c>
      <c r="L1101">
        <v>8334</v>
      </c>
      <c r="M1101">
        <v>4899.18</v>
      </c>
      <c r="N1101">
        <v>3434.82</v>
      </c>
      <c r="O1101" t="s">
        <v>78</v>
      </c>
      <c r="P1101" t="s">
        <v>88</v>
      </c>
    </row>
    <row r="1102" spans="1:16" x14ac:dyDescent="0.25">
      <c r="A1102">
        <v>1101</v>
      </c>
      <c r="B1102" s="1">
        <v>45800</v>
      </c>
      <c r="C1102" t="s">
        <v>19</v>
      </c>
      <c r="D1102" t="s">
        <v>26</v>
      </c>
      <c r="E1102" t="s">
        <v>30</v>
      </c>
      <c r="F1102" t="s">
        <v>40</v>
      </c>
      <c r="G1102" t="s">
        <v>71</v>
      </c>
      <c r="H1102" t="s">
        <v>74</v>
      </c>
      <c r="I1102">
        <v>5</v>
      </c>
      <c r="J1102">
        <v>18068</v>
      </c>
      <c r="K1102">
        <v>0</v>
      </c>
      <c r="L1102">
        <v>90340</v>
      </c>
      <c r="M1102">
        <v>57112.53</v>
      </c>
      <c r="N1102">
        <v>33227.47</v>
      </c>
      <c r="O1102" t="s">
        <v>78</v>
      </c>
      <c r="P1102" t="s">
        <v>87</v>
      </c>
    </row>
    <row r="1103" spans="1:16" x14ac:dyDescent="0.25">
      <c r="A1103">
        <v>1102</v>
      </c>
      <c r="B1103" s="1">
        <v>45751</v>
      </c>
      <c r="C1103" t="s">
        <v>20</v>
      </c>
      <c r="D1103" t="s">
        <v>26</v>
      </c>
      <c r="E1103" t="s">
        <v>33</v>
      </c>
      <c r="F1103" t="s">
        <v>41</v>
      </c>
      <c r="G1103" t="s">
        <v>70</v>
      </c>
      <c r="H1103" t="s">
        <v>75</v>
      </c>
      <c r="I1103">
        <v>1</v>
      </c>
      <c r="J1103">
        <v>13061</v>
      </c>
      <c r="K1103">
        <v>0.15</v>
      </c>
      <c r="L1103">
        <v>11101.85</v>
      </c>
      <c r="M1103">
        <v>8625.0499999999993</v>
      </c>
      <c r="N1103">
        <v>2476.8000000000002</v>
      </c>
      <c r="O1103" t="s">
        <v>79</v>
      </c>
      <c r="P1103" t="s">
        <v>86</v>
      </c>
    </row>
    <row r="1104" spans="1:16" x14ac:dyDescent="0.25">
      <c r="A1104">
        <v>1103</v>
      </c>
      <c r="B1104" s="1">
        <v>45896</v>
      </c>
      <c r="C1104" t="s">
        <v>22</v>
      </c>
      <c r="D1104" t="s">
        <v>24</v>
      </c>
      <c r="E1104" t="s">
        <v>31</v>
      </c>
      <c r="F1104" t="s">
        <v>67</v>
      </c>
      <c r="G1104" t="s">
        <v>71</v>
      </c>
      <c r="H1104" t="s">
        <v>73</v>
      </c>
      <c r="I1104">
        <v>1</v>
      </c>
      <c r="J1104">
        <v>1840</v>
      </c>
      <c r="K1104">
        <v>0.05</v>
      </c>
      <c r="L1104">
        <v>1748</v>
      </c>
      <c r="M1104">
        <v>1349.9</v>
      </c>
      <c r="N1104">
        <v>398.1</v>
      </c>
      <c r="O1104" t="s">
        <v>76</v>
      </c>
      <c r="P1104" t="s">
        <v>85</v>
      </c>
    </row>
    <row r="1105" spans="1:16" x14ac:dyDescent="0.25">
      <c r="A1105">
        <v>1104</v>
      </c>
      <c r="B1105" s="1">
        <v>45740</v>
      </c>
      <c r="C1105" t="s">
        <v>16</v>
      </c>
      <c r="D1105" t="s">
        <v>24</v>
      </c>
      <c r="E1105" t="s">
        <v>31</v>
      </c>
      <c r="F1105" t="s">
        <v>47</v>
      </c>
      <c r="G1105" t="s">
        <v>71</v>
      </c>
      <c r="H1105" t="s">
        <v>74</v>
      </c>
      <c r="I1105">
        <v>4</v>
      </c>
      <c r="J1105">
        <v>1087</v>
      </c>
      <c r="K1105">
        <v>0.05</v>
      </c>
      <c r="L1105">
        <v>4130.6000000000004</v>
      </c>
      <c r="M1105">
        <v>2832.5</v>
      </c>
      <c r="N1105">
        <v>1298.0999999999999</v>
      </c>
      <c r="O1105" t="s">
        <v>79</v>
      </c>
      <c r="P1105" t="s">
        <v>88</v>
      </c>
    </row>
    <row r="1106" spans="1:16" x14ac:dyDescent="0.25">
      <c r="A1106">
        <v>1105</v>
      </c>
      <c r="B1106" s="1">
        <v>45721</v>
      </c>
      <c r="C1106" t="s">
        <v>23</v>
      </c>
      <c r="D1106" t="s">
        <v>27</v>
      </c>
      <c r="E1106" t="s">
        <v>31</v>
      </c>
      <c r="F1106" t="s">
        <v>47</v>
      </c>
      <c r="G1106" t="s">
        <v>72</v>
      </c>
      <c r="H1106" t="s">
        <v>75</v>
      </c>
      <c r="I1106">
        <v>2</v>
      </c>
      <c r="J1106">
        <v>1276</v>
      </c>
      <c r="K1106">
        <v>0.05</v>
      </c>
      <c r="L1106">
        <v>2424.4</v>
      </c>
      <c r="M1106">
        <v>1760.17</v>
      </c>
      <c r="N1106">
        <v>664.23</v>
      </c>
      <c r="O1106" t="s">
        <v>80</v>
      </c>
      <c r="P1106" t="s">
        <v>83</v>
      </c>
    </row>
    <row r="1107" spans="1:16" x14ac:dyDescent="0.25">
      <c r="A1107">
        <v>1106</v>
      </c>
      <c r="B1107" s="1">
        <v>45733</v>
      </c>
      <c r="C1107" t="s">
        <v>20</v>
      </c>
      <c r="D1107" t="s">
        <v>26</v>
      </c>
      <c r="E1107" t="s">
        <v>33</v>
      </c>
      <c r="F1107" t="s">
        <v>41</v>
      </c>
      <c r="G1107" t="s">
        <v>72</v>
      </c>
      <c r="H1107" t="s">
        <v>75</v>
      </c>
      <c r="I1107">
        <v>8</v>
      </c>
      <c r="J1107">
        <v>5020</v>
      </c>
      <c r="K1107">
        <v>0</v>
      </c>
      <c r="L1107">
        <v>40160</v>
      </c>
      <c r="M1107">
        <v>32643</v>
      </c>
      <c r="N1107">
        <v>7517</v>
      </c>
      <c r="O1107" t="s">
        <v>80</v>
      </c>
      <c r="P1107" t="s">
        <v>87</v>
      </c>
    </row>
    <row r="1108" spans="1:16" x14ac:dyDescent="0.25">
      <c r="A1108">
        <v>1107</v>
      </c>
      <c r="B1108" s="1">
        <v>45673</v>
      </c>
      <c r="C1108" t="s">
        <v>21</v>
      </c>
      <c r="D1108" t="s">
        <v>24</v>
      </c>
      <c r="E1108" t="s">
        <v>31</v>
      </c>
      <c r="F1108" t="s">
        <v>69</v>
      </c>
      <c r="G1108" t="s">
        <v>72</v>
      </c>
      <c r="H1108" t="s">
        <v>75</v>
      </c>
      <c r="I1108">
        <v>7</v>
      </c>
      <c r="J1108">
        <v>1820</v>
      </c>
      <c r="K1108">
        <v>0.1</v>
      </c>
      <c r="L1108">
        <v>11466</v>
      </c>
      <c r="M1108">
        <v>10054.620000000001</v>
      </c>
      <c r="N1108">
        <v>1411.38</v>
      </c>
      <c r="O1108" t="s">
        <v>80</v>
      </c>
      <c r="P1108" t="s">
        <v>86</v>
      </c>
    </row>
    <row r="1109" spans="1:16" x14ac:dyDescent="0.25">
      <c r="A1109">
        <v>1108</v>
      </c>
      <c r="B1109" s="1">
        <v>46010</v>
      </c>
      <c r="C1109" t="s">
        <v>22</v>
      </c>
      <c r="D1109" t="s">
        <v>24</v>
      </c>
      <c r="E1109" t="s">
        <v>30</v>
      </c>
      <c r="F1109" t="s">
        <v>37</v>
      </c>
      <c r="G1109" t="s">
        <v>70</v>
      </c>
      <c r="H1109" t="s">
        <v>73</v>
      </c>
      <c r="I1109">
        <v>1</v>
      </c>
      <c r="J1109">
        <v>14322</v>
      </c>
      <c r="K1109">
        <v>0</v>
      </c>
      <c r="L1109">
        <v>14322</v>
      </c>
      <c r="M1109">
        <v>12041.83</v>
      </c>
      <c r="N1109">
        <v>2280.17</v>
      </c>
      <c r="O1109" t="s">
        <v>80</v>
      </c>
      <c r="P1109" t="s">
        <v>86</v>
      </c>
    </row>
    <row r="1110" spans="1:16" x14ac:dyDescent="0.25">
      <c r="A1110">
        <v>1109</v>
      </c>
      <c r="B1110" s="1">
        <v>45667</v>
      </c>
      <c r="C1110" t="s">
        <v>23</v>
      </c>
      <c r="D1110" t="s">
        <v>27</v>
      </c>
      <c r="E1110" t="s">
        <v>30</v>
      </c>
      <c r="F1110" t="s">
        <v>44</v>
      </c>
      <c r="G1110" t="s">
        <v>70</v>
      </c>
      <c r="H1110" t="s">
        <v>74</v>
      </c>
      <c r="I1110">
        <v>5</v>
      </c>
      <c r="J1110">
        <v>32358</v>
      </c>
      <c r="K1110">
        <v>0</v>
      </c>
      <c r="L1110">
        <v>161790</v>
      </c>
      <c r="M1110">
        <v>93579.01</v>
      </c>
      <c r="N1110">
        <v>68210.990000000005</v>
      </c>
      <c r="O1110" t="s">
        <v>79</v>
      </c>
      <c r="P1110" t="s">
        <v>84</v>
      </c>
    </row>
    <row r="1111" spans="1:16" x14ac:dyDescent="0.25">
      <c r="A1111">
        <v>1110</v>
      </c>
      <c r="B1111" s="1">
        <v>45932</v>
      </c>
      <c r="C1111" t="s">
        <v>21</v>
      </c>
      <c r="D1111" t="s">
        <v>24</v>
      </c>
      <c r="E1111" t="s">
        <v>33</v>
      </c>
      <c r="F1111" t="s">
        <v>59</v>
      </c>
      <c r="G1111" t="s">
        <v>72</v>
      </c>
      <c r="H1111" t="s">
        <v>75</v>
      </c>
      <c r="I1111">
        <v>1</v>
      </c>
      <c r="J1111">
        <v>12614</v>
      </c>
      <c r="K1111">
        <v>0.1</v>
      </c>
      <c r="L1111">
        <v>11352.6</v>
      </c>
      <c r="M1111">
        <v>9113.48</v>
      </c>
      <c r="N1111">
        <v>2239.12</v>
      </c>
      <c r="O1111" t="s">
        <v>80</v>
      </c>
      <c r="P1111" t="s">
        <v>84</v>
      </c>
    </row>
    <row r="1112" spans="1:16" x14ac:dyDescent="0.25">
      <c r="A1112">
        <v>1111</v>
      </c>
      <c r="B1112" s="1">
        <v>45909</v>
      </c>
      <c r="C1112" t="s">
        <v>20</v>
      </c>
      <c r="D1112" t="s">
        <v>26</v>
      </c>
      <c r="E1112" t="s">
        <v>29</v>
      </c>
      <c r="F1112" t="s">
        <v>42</v>
      </c>
      <c r="G1112" t="s">
        <v>71</v>
      </c>
      <c r="H1112" t="s">
        <v>73</v>
      </c>
      <c r="I1112">
        <v>4</v>
      </c>
      <c r="J1112">
        <v>8592</v>
      </c>
      <c r="K1112">
        <v>0</v>
      </c>
      <c r="L1112">
        <v>34368</v>
      </c>
      <c r="M1112">
        <v>19946.73</v>
      </c>
      <c r="N1112">
        <v>14421.27</v>
      </c>
      <c r="O1112" t="s">
        <v>78</v>
      </c>
      <c r="P1112" t="s">
        <v>86</v>
      </c>
    </row>
    <row r="1113" spans="1:16" x14ac:dyDescent="0.25">
      <c r="A1113">
        <v>1112</v>
      </c>
      <c r="B1113" s="1">
        <v>45830</v>
      </c>
      <c r="C1113" t="s">
        <v>22</v>
      </c>
      <c r="D1113" t="s">
        <v>24</v>
      </c>
      <c r="E1113" t="s">
        <v>30</v>
      </c>
      <c r="F1113" t="s">
        <v>56</v>
      </c>
      <c r="G1113" t="s">
        <v>72</v>
      </c>
      <c r="H1113" t="s">
        <v>73</v>
      </c>
      <c r="I1113">
        <v>1</v>
      </c>
      <c r="J1113">
        <v>8124</v>
      </c>
      <c r="K1113">
        <v>0.15</v>
      </c>
      <c r="L1113">
        <v>6905.4</v>
      </c>
      <c r="M1113">
        <v>4989.74</v>
      </c>
      <c r="N1113">
        <v>1915.66</v>
      </c>
      <c r="O1113" t="s">
        <v>79</v>
      </c>
      <c r="P1113" t="s">
        <v>88</v>
      </c>
    </row>
    <row r="1114" spans="1:16" x14ac:dyDescent="0.25">
      <c r="A1114">
        <v>1113</v>
      </c>
      <c r="B1114" s="1">
        <v>45698</v>
      </c>
      <c r="C1114" t="s">
        <v>22</v>
      </c>
      <c r="D1114" t="s">
        <v>24</v>
      </c>
      <c r="E1114" t="s">
        <v>29</v>
      </c>
      <c r="F1114" t="s">
        <v>53</v>
      </c>
      <c r="G1114" t="s">
        <v>70</v>
      </c>
      <c r="H1114" t="s">
        <v>75</v>
      </c>
      <c r="I1114">
        <v>8</v>
      </c>
      <c r="J1114">
        <v>2258</v>
      </c>
      <c r="K1114">
        <v>0.1</v>
      </c>
      <c r="L1114">
        <v>16257.6</v>
      </c>
      <c r="M1114">
        <v>12191.13</v>
      </c>
      <c r="N1114">
        <v>4066.47</v>
      </c>
      <c r="O1114" t="s">
        <v>78</v>
      </c>
      <c r="P1114" t="s">
        <v>87</v>
      </c>
    </row>
    <row r="1115" spans="1:16" x14ac:dyDescent="0.25">
      <c r="A1115">
        <v>1114</v>
      </c>
      <c r="B1115" s="1">
        <v>45870</v>
      </c>
      <c r="C1115" t="s">
        <v>21</v>
      </c>
      <c r="D1115" t="s">
        <v>24</v>
      </c>
      <c r="E1115" t="s">
        <v>28</v>
      </c>
      <c r="F1115" t="s">
        <v>35</v>
      </c>
      <c r="G1115" t="s">
        <v>71</v>
      </c>
      <c r="H1115" t="s">
        <v>75</v>
      </c>
      <c r="I1115">
        <v>8</v>
      </c>
      <c r="J1115">
        <v>1445</v>
      </c>
      <c r="K1115">
        <v>0.05</v>
      </c>
      <c r="L1115">
        <v>10982</v>
      </c>
      <c r="M1115">
        <v>6249.15</v>
      </c>
      <c r="N1115">
        <v>4732.8500000000004</v>
      </c>
      <c r="O1115" t="s">
        <v>78</v>
      </c>
      <c r="P1115" t="s">
        <v>85</v>
      </c>
    </row>
    <row r="1116" spans="1:16" x14ac:dyDescent="0.25">
      <c r="A1116">
        <v>1115</v>
      </c>
      <c r="B1116" s="1">
        <v>45798</v>
      </c>
      <c r="C1116" t="s">
        <v>19</v>
      </c>
      <c r="D1116" t="s">
        <v>26</v>
      </c>
      <c r="E1116" t="s">
        <v>34</v>
      </c>
      <c r="F1116" t="s">
        <v>68</v>
      </c>
      <c r="G1116" t="s">
        <v>72</v>
      </c>
      <c r="H1116" t="s">
        <v>74</v>
      </c>
      <c r="I1116">
        <v>8</v>
      </c>
      <c r="J1116">
        <v>1035</v>
      </c>
      <c r="K1116">
        <v>0</v>
      </c>
      <c r="L1116">
        <v>8280</v>
      </c>
      <c r="M1116">
        <v>5146.07</v>
      </c>
      <c r="N1116">
        <v>3133.93</v>
      </c>
      <c r="O1116" t="s">
        <v>76</v>
      </c>
      <c r="P1116" t="s">
        <v>81</v>
      </c>
    </row>
    <row r="1117" spans="1:16" x14ac:dyDescent="0.25">
      <c r="A1117">
        <v>1116</v>
      </c>
      <c r="B1117" s="1">
        <v>45922</v>
      </c>
      <c r="C1117" t="s">
        <v>21</v>
      </c>
      <c r="D1117" t="s">
        <v>24</v>
      </c>
      <c r="E1117" t="s">
        <v>34</v>
      </c>
      <c r="F1117" t="s">
        <v>68</v>
      </c>
      <c r="G1117" t="s">
        <v>70</v>
      </c>
      <c r="H1117" t="s">
        <v>74</v>
      </c>
      <c r="I1117">
        <v>6</v>
      </c>
      <c r="J1117">
        <v>1683</v>
      </c>
      <c r="K1117">
        <v>0</v>
      </c>
      <c r="L1117">
        <v>10098</v>
      </c>
      <c r="M1117">
        <v>7925.83</v>
      </c>
      <c r="N1117">
        <v>2172.17</v>
      </c>
      <c r="O1117" t="s">
        <v>78</v>
      </c>
      <c r="P1117" t="s">
        <v>86</v>
      </c>
    </row>
    <row r="1118" spans="1:16" x14ac:dyDescent="0.25">
      <c r="A1118">
        <v>1117</v>
      </c>
      <c r="B1118" s="1">
        <v>45900</v>
      </c>
      <c r="C1118" t="s">
        <v>16</v>
      </c>
      <c r="D1118" t="s">
        <v>24</v>
      </c>
      <c r="E1118" t="s">
        <v>34</v>
      </c>
      <c r="F1118" t="s">
        <v>43</v>
      </c>
      <c r="G1118" t="s">
        <v>71</v>
      </c>
      <c r="H1118" t="s">
        <v>73</v>
      </c>
      <c r="I1118">
        <v>7</v>
      </c>
      <c r="J1118">
        <v>5670</v>
      </c>
      <c r="K1118">
        <v>0.1</v>
      </c>
      <c r="L1118">
        <v>35721</v>
      </c>
      <c r="M1118">
        <v>31428.1</v>
      </c>
      <c r="N1118">
        <v>4292.8999999999996</v>
      </c>
      <c r="O1118" t="s">
        <v>78</v>
      </c>
      <c r="P1118" t="s">
        <v>81</v>
      </c>
    </row>
    <row r="1119" spans="1:16" x14ac:dyDescent="0.25">
      <c r="A1119">
        <v>1118</v>
      </c>
      <c r="B1119" s="1">
        <v>45694</v>
      </c>
      <c r="C1119" t="s">
        <v>22</v>
      </c>
      <c r="D1119" t="s">
        <v>24</v>
      </c>
      <c r="E1119" t="s">
        <v>28</v>
      </c>
      <c r="F1119" t="s">
        <v>58</v>
      </c>
      <c r="G1119" t="s">
        <v>71</v>
      </c>
      <c r="H1119" t="s">
        <v>75</v>
      </c>
      <c r="I1119">
        <v>1</v>
      </c>
      <c r="J1119">
        <v>1840</v>
      </c>
      <c r="K1119">
        <v>0.05</v>
      </c>
      <c r="L1119">
        <v>1748</v>
      </c>
      <c r="M1119">
        <v>1519.72</v>
      </c>
      <c r="N1119">
        <v>228.28</v>
      </c>
      <c r="O1119" t="s">
        <v>76</v>
      </c>
      <c r="P1119" t="s">
        <v>86</v>
      </c>
    </row>
    <row r="1120" spans="1:16" x14ac:dyDescent="0.25">
      <c r="A1120">
        <v>1119</v>
      </c>
      <c r="B1120" s="1">
        <v>45702</v>
      </c>
      <c r="C1120" t="s">
        <v>19</v>
      </c>
      <c r="D1120" t="s">
        <v>26</v>
      </c>
      <c r="E1120" t="s">
        <v>34</v>
      </c>
      <c r="F1120" t="s">
        <v>65</v>
      </c>
      <c r="G1120" t="s">
        <v>70</v>
      </c>
      <c r="H1120" t="s">
        <v>73</v>
      </c>
      <c r="I1120">
        <v>5</v>
      </c>
      <c r="J1120">
        <v>5550</v>
      </c>
      <c r="K1120">
        <v>0.05</v>
      </c>
      <c r="L1120">
        <v>26362.5</v>
      </c>
      <c r="M1120">
        <v>21504.5</v>
      </c>
      <c r="N1120">
        <v>4858</v>
      </c>
      <c r="O1120" t="s">
        <v>78</v>
      </c>
      <c r="P1120" t="s">
        <v>86</v>
      </c>
    </row>
    <row r="1121" spans="1:16" x14ac:dyDescent="0.25">
      <c r="A1121">
        <v>1120</v>
      </c>
      <c r="B1121" s="1">
        <v>45972</v>
      </c>
      <c r="C1121" t="s">
        <v>19</v>
      </c>
      <c r="D1121" t="s">
        <v>26</v>
      </c>
      <c r="E1121" t="s">
        <v>28</v>
      </c>
      <c r="F1121" t="s">
        <v>54</v>
      </c>
      <c r="G1121" t="s">
        <v>70</v>
      </c>
      <c r="H1121" t="s">
        <v>75</v>
      </c>
      <c r="I1121">
        <v>8</v>
      </c>
      <c r="J1121">
        <v>2107</v>
      </c>
      <c r="K1121">
        <v>0.05</v>
      </c>
      <c r="L1121">
        <v>16013.2</v>
      </c>
      <c r="M1121">
        <v>9918.4699999999993</v>
      </c>
      <c r="N1121">
        <v>6094.73</v>
      </c>
      <c r="O1121" t="s">
        <v>76</v>
      </c>
      <c r="P1121" t="s">
        <v>81</v>
      </c>
    </row>
    <row r="1122" spans="1:16" x14ac:dyDescent="0.25">
      <c r="A1122">
        <v>1121</v>
      </c>
      <c r="B1122" s="1">
        <v>45760</v>
      </c>
      <c r="C1122" t="s">
        <v>22</v>
      </c>
      <c r="D1122" t="s">
        <v>24</v>
      </c>
      <c r="E1122" t="s">
        <v>33</v>
      </c>
      <c r="F1122" t="s">
        <v>41</v>
      </c>
      <c r="G1122" t="s">
        <v>72</v>
      </c>
      <c r="H1122" t="s">
        <v>75</v>
      </c>
      <c r="I1122">
        <v>6</v>
      </c>
      <c r="J1122">
        <v>8409</v>
      </c>
      <c r="K1122">
        <v>0</v>
      </c>
      <c r="L1122">
        <v>50454</v>
      </c>
      <c r="M1122">
        <v>27909.31</v>
      </c>
      <c r="N1122">
        <v>22544.69</v>
      </c>
      <c r="O1122" t="s">
        <v>77</v>
      </c>
      <c r="P1122" t="s">
        <v>85</v>
      </c>
    </row>
    <row r="1123" spans="1:16" x14ac:dyDescent="0.25">
      <c r="A1123">
        <v>1122</v>
      </c>
      <c r="B1123" s="1">
        <v>45942</v>
      </c>
      <c r="C1123" t="s">
        <v>21</v>
      </c>
      <c r="D1123" t="s">
        <v>24</v>
      </c>
      <c r="E1123" t="s">
        <v>34</v>
      </c>
      <c r="F1123" t="s">
        <v>51</v>
      </c>
      <c r="G1123" t="s">
        <v>72</v>
      </c>
      <c r="H1123" t="s">
        <v>74</v>
      </c>
      <c r="I1123">
        <v>1</v>
      </c>
      <c r="J1123">
        <v>4078</v>
      </c>
      <c r="K1123">
        <v>0.05</v>
      </c>
      <c r="L1123">
        <v>3874.1</v>
      </c>
      <c r="M1123">
        <v>3253.67</v>
      </c>
      <c r="N1123">
        <v>620.42999999999995</v>
      </c>
      <c r="O1123" t="s">
        <v>78</v>
      </c>
      <c r="P1123" t="s">
        <v>85</v>
      </c>
    </row>
    <row r="1124" spans="1:16" x14ac:dyDescent="0.25">
      <c r="A1124">
        <v>1123</v>
      </c>
      <c r="B1124" s="1">
        <v>45880</v>
      </c>
      <c r="C1124" t="s">
        <v>19</v>
      </c>
      <c r="D1124" t="s">
        <v>26</v>
      </c>
      <c r="E1124" t="s">
        <v>32</v>
      </c>
      <c r="F1124" t="s">
        <v>66</v>
      </c>
      <c r="G1124" t="s">
        <v>72</v>
      </c>
      <c r="H1124" t="s">
        <v>74</v>
      </c>
      <c r="I1124">
        <v>5</v>
      </c>
      <c r="J1124">
        <v>16248</v>
      </c>
      <c r="K1124">
        <v>0</v>
      </c>
      <c r="L1124">
        <v>81240</v>
      </c>
      <c r="M1124">
        <v>48639.22</v>
      </c>
      <c r="N1124">
        <v>32600.78</v>
      </c>
      <c r="O1124" t="s">
        <v>77</v>
      </c>
      <c r="P1124" t="s">
        <v>85</v>
      </c>
    </row>
    <row r="1125" spans="1:16" x14ac:dyDescent="0.25">
      <c r="A1125">
        <v>1124</v>
      </c>
      <c r="B1125" s="1">
        <v>45948</v>
      </c>
      <c r="C1125" t="s">
        <v>21</v>
      </c>
      <c r="D1125" t="s">
        <v>24</v>
      </c>
      <c r="E1125" t="s">
        <v>28</v>
      </c>
      <c r="F1125" t="s">
        <v>63</v>
      </c>
      <c r="G1125" t="s">
        <v>72</v>
      </c>
      <c r="H1125" t="s">
        <v>73</v>
      </c>
      <c r="I1125">
        <v>4</v>
      </c>
      <c r="J1125">
        <v>1119</v>
      </c>
      <c r="K1125">
        <v>0</v>
      </c>
      <c r="L1125">
        <v>4476</v>
      </c>
      <c r="M1125">
        <v>3930.01</v>
      </c>
      <c r="N1125">
        <v>545.99</v>
      </c>
      <c r="O1125" t="s">
        <v>77</v>
      </c>
      <c r="P1125" t="s">
        <v>83</v>
      </c>
    </row>
    <row r="1126" spans="1:16" x14ac:dyDescent="0.25">
      <c r="A1126">
        <v>1125</v>
      </c>
      <c r="B1126" s="1">
        <v>45672</v>
      </c>
      <c r="C1126" t="s">
        <v>20</v>
      </c>
      <c r="D1126" t="s">
        <v>26</v>
      </c>
      <c r="E1126" t="s">
        <v>28</v>
      </c>
      <c r="F1126" t="s">
        <v>63</v>
      </c>
      <c r="G1126" t="s">
        <v>71</v>
      </c>
      <c r="H1126" t="s">
        <v>74</v>
      </c>
      <c r="I1126">
        <v>4</v>
      </c>
      <c r="J1126">
        <v>1013</v>
      </c>
      <c r="K1126">
        <v>0.1</v>
      </c>
      <c r="L1126">
        <v>3646.8</v>
      </c>
      <c r="M1126">
        <v>2387.15</v>
      </c>
      <c r="N1126">
        <v>1259.6500000000001</v>
      </c>
      <c r="O1126" t="s">
        <v>78</v>
      </c>
      <c r="P1126" t="s">
        <v>81</v>
      </c>
    </row>
    <row r="1127" spans="1:16" x14ac:dyDescent="0.25">
      <c r="A1127">
        <v>1126</v>
      </c>
      <c r="B1127" s="1">
        <v>45876</v>
      </c>
      <c r="C1127" t="s">
        <v>23</v>
      </c>
      <c r="D1127" t="s">
        <v>27</v>
      </c>
      <c r="E1127" t="s">
        <v>32</v>
      </c>
      <c r="F1127" t="s">
        <v>48</v>
      </c>
      <c r="G1127" t="s">
        <v>71</v>
      </c>
      <c r="H1127" t="s">
        <v>73</v>
      </c>
      <c r="I1127">
        <v>2</v>
      </c>
      <c r="J1127">
        <v>2067</v>
      </c>
      <c r="K1127">
        <v>0.05</v>
      </c>
      <c r="L1127">
        <v>3927.3</v>
      </c>
      <c r="M1127">
        <v>2985.11</v>
      </c>
      <c r="N1127">
        <v>942.19</v>
      </c>
      <c r="O1127" t="s">
        <v>77</v>
      </c>
      <c r="P1127" t="s">
        <v>82</v>
      </c>
    </row>
    <row r="1128" spans="1:16" x14ac:dyDescent="0.25">
      <c r="A1128">
        <v>1127</v>
      </c>
      <c r="B1128" s="1">
        <v>45932</v>
      </c>
      <c r="C1128" t="s">
        <v>23</v>
      </c>
      <c r="D1128" t="s">
        <v>27</v>
      </c>
      <c r="E1128" t="s">
        <v>31</v>
      </c>
      <c r="F1128" t="s">
        <v>69</v>
      </c>
      <c r="G1128" t="s">
        <v>72</v>
      </c>
      <c r="H1128" t="s">
        <v>73</v>
      </c>
      <c r="I1128">
        <v>6</v>
      </c>
      <c r="J1128">
        <v>2303</v>
      </c>
      <c r="K1128">
        <v>0.05</v>
      </c>
      <c r="L1128">
        <v>13127.1</v>
      </c>
      <c r="M1128">
        <v>11394.89</v>
      </c>
      <c r="N1128">
        <v>1732.21</v>
      </c>
      <c r="O1128" t="s">
        <v>76</v>
      </c>
      <c r="P1128" t="s">
        <v>84</v>
      </c>
    </row>
    <row r="1129" spans="1:16" x14ac:dyDescent="0.25">
      <c r="A1129">
        <v>1128</v>
      </c>
      <c r="B1129" s="1">
        <v>45946</v>
      </c>
      <c r="C1129" t="s">
        <v>21</v>
      </c>
      <c r="D1129" t="s">
        <v>24</v>
      </c>
      <c r="E1129" t="s">
        <v>34</v>
      </c>
      <c r="F1129" t="s">
        <v>51</v>
      </c>
      <c r="G1129" t="s">
        <v>72</v>
      </c>
      <c r="H1129" t="s">
        <v>74</v>
      </c>
      <c r="I1129">
        <v>5</v>
      </c>
      <c r="J1129">
        <v>2635</v>
      </c>
      <c r="K1129">
        <v>0</v>
      </c>
      <c r="L1129">
        <v>13175</v>
      </c>
      <c r="M1129">
        <v>10253.790000000001</v>
      </c>
      <c r="N1129">
        <v>2921.21</v>
      </c>
      <c r="O1129" t="s">
        <v>76</v>
      </c>
      <c r="P1129" t="s">
        <v>85</v>
      </c>
    </row>
    <row r="1130" spans="1:16" x14ac:dyDescent="0.25">
      <c r="A1130">
        <v>1129</v>
      </c>
      <c r="B1130" s="1">
        <v>45832</v>
      </c>
      <c r="C1130" t="s">
        <v>17</v>
      </c>
      <c r="D1130" t="s">
        <v>25</v>
      </c>
      <c r="E1130" t="s">
        <v>31</v>
      </c>
      <c r="F1130" t="s">
        <v>67</v>
      </c>
      <c r="G1130" t="s">
        <v>71</v>
      </c>
      <c r="H1130" t="s">
        <v>74</v>
      </c>
      <c r="I1130">
        <v>1</v>
      </c>
      <c r="J1130">
        <v>1031</v>
      </c>
      <c r="K1130">
        <v>0.15</v>
      </c>
      <c r="L1130">
        <v>876.35</v>
      </c>
      <c r="M1130">
        <v>501.56</v>
      </c>
      <c r="N1130">
        <v>374.79</v>
      </c>
      <c r="O1130" t="s">
        <v>77</v>
      </c>
      <c r="P1130" t="s">
        <v>85</v>
      </c>
    </row>
    <row r="1131" spans="1:16" x14ac:dyDescent="0.25">
      <c r="A1131">
        <v>1130</v>
      </c>
      <c r="B1131" s="1">
        <v>45975</v>
      </c>
      <c r="C1131" t="s">
        <v>20</v>
      </c>
      <c r="D1131" t="s">
        <v>26</v>
      </c>
      <c r="E1131" t="s">
        <v>30</v>
      </c>
      <c r="F1131" t="s">
        <v>40</v>
      </c>
      <c r="G1131" t="s">
        <v>72</v>
      </c>
      <c r="H1131" t="s">
        <v>74</v>
      </c>
      <c r="I1131">
        <v>1</v>
      </c>
      <c r="J1131">
        <v>40223</v>
      </c>
      <c r="K1131">
        <v>0.05</v>
      </c>
      <c r="L1131">
        <v>38211.85</v>
      </c>
      <c r="M1131">
        <v>29452.69</v>
      </c>
      <c r="N1131">
        <v>8759.16</v>
      </c>
      <c r="O1131" t="s">
        <v>80</v>
      </c>
      <c r="P1131" t="s">
        <v>85</v>
      </c>
    </row>
    <row r="1132" spans="1:16" x14ac:dyDescent="0.25">
      <c r="A1132">
        <v>1131</v>
      </c>
      <c r="B1132" s="1">
        <v>45868</v>
      </c>
      <c r="C1132" t="s">
        <v>19</v>
      </c>
      <c r="D1132" t="s">
        <v>26</v>
      </c>
      <c r="E1132" t="s">
        <v>29</v>
      </c>
      <c r="F1132" t="s">
        <v>53</v>
      </c>
      <c r="G1132" t="s">
        <v>71</v>
      </c>
      <c r="H1132" t="s">
        <v>75</v>
      </c>
      <c r="I1132">
        <v>7</v>
      </c>
      <c r="J1132">
        <v>10160</v>
      </c>
      <c r="K1132">
        <v>0.05</v>
      </c>
      <c r="L1132">
        <v>67564</v>
      </c>
      <c r="M1132">
        <v>44419.3</v>
      </c>
      <c r="N1132">
        <v>23144.7</v>
      </c>
      <c r="O1132" t="s">
        <v>79</v>
      </c>
      <c r="P1132" t="s">
        <v>86</v>
      </c>
    </row>
    <row r="1133" spans="1:16" x14ac:dyDescent="0.25">
      <c r="A1133">
        <v>1132</v>
      </c>
      <c r="B1133" s="1">
        <v>46006</v>
      </c>
      <c r="C1133" t="s">
        <v>20</v>
      </c>
      <c r="D1133" t="s">
        <v>26</v>
      </c>
      <c r="E1133" t="s">
        <v>32</v>
      </c>
      <c r="F1133" t="s">
        <v>49</v>
      </c>
      <c r="G1133" t="s">
        <v>72</v>
      </c>
      <c r="H1133" t="s">
        <v>75</v>
      </c>
      <c r="I1133">
        <v>7</v>
      </c>
      <c r="J1133">
        <v>20797</v>
      </c>
      <c r="K1133">
        <v>0.1</v>
      </c>
      <c r="L1133">
        <v>131021.1</v>
      </c>
      <c r="M1133">
        <v>81906.080000000002</v>
      </c>
      <c r="N1133">
        <v>49115.02</v>
      </c>
      <c r="O1133" t="s">
        <v>79</v>
      </c>
      <c r="P1133" t="s">
        <v>81</v>
      </c>
    </row>
    <row r="1134" spans="1:16" x14ac:dyDescent="0.25">
      <c r="A1134">
        <v>1133</v>
      </c>
      <c r="B1134" s="1">
        <v>45695</v>
      </c>
      <c r="C1134" t="s">
        <v>22</v>
      </c>
      <c r="D1134" t="s">
        <v>24</v>
      </c>
      <c r="E1134" t="s">
        <v>32</v>
      </c>
      <c r="F1134" t="s">
        <v>66</v>
      </c>
      <c r="G1134" t="s">
        <v>71</v>
      </c>
      <c r="H1134" t="s">
        <v>75</v>
      </c>
      <c r="I1134">
        <v>8</v>
      </c>
      <c r="J1134">
        <v>17691</v>
      </c>
      <c r="K1134">
        <v>0.15</v>
      </c>
      <c r="L1134">
        <v>120298.8</v>
      </c>
      <c r="M1134">
        <v>68119.27</v>
      </c>
      <c r="N1134">
        <v>52179.53</v>
      </c>
      <c r="O1134" t="s">
        <v>79</v>
      </c>
      <c r="P1134" t="s">
        <v>86</v>
      </c>
    </row>
    <row r="1135" spans="1:16" x14ac:dyDescent="0.25">
      <c r="A1135">
        <v>1134</v>
      </c>
      <c r="B1135" s="1">
        <v>45916</v>
      </c>
      <c r="C1135" t="s">
        <v>20</v>
      </c>
      <c r="D1135" t="s">
        <v>26</v>
      </c>
      <c r="E1135" t="s">
        <v>32</v>
      </c>
      <c r="F1135" t="s">
        <v>62</v>
      </c>
      <c r="G1135" t="s">
        <v>71</v>
      </c>
      <c r="H1135" t="s">
        <v>74</v>
      </c>
      <c r="I1135">
        <v>6</v>
      </c>
      <c r="J1135">
        <v>23319</v>
      </c>
      <c r="K1135">
        <v>0.05</v>
      </c>
      <c r="L1135">
        <v>132918.29999999999</v>
      </c>
      <c r="M1135">
        <v>109823.65</v>
      </c>
      <c r="N1135">
        <v>23094.65</v>
      </c>
      <c r="O1135" t="s">
        <v>78</v>
      </c>
      <c r="P1135" t="s">
        <v>84</v>
      </c>
    </row>
    <row r="1136" spans="1:16" x14ac:dyDescent="0.25">
      <c r="A1136">
        <v>1135</v>
      </c>
      <c r="B1136" s="1">
        <v>45980</v>
      </c>
      <c r="C1136" t="s">
        <v>20</v>
      </c>
      <c r="D1136" t="s">
        <v>26</v>
      </c>
      <c r="E1136" t="s">
        <v>33</v>
      </c>
      <c r="F1136" t="s">
        <v>60</v>
      </c>
      <c r="G1136" t="s">
        <v>71</v>
      </c>
      <c r="H1136" t="s">
        <v>74</v>
      </c>
      <c r="I1136">
        <v>1</v>
      </c>
      <c r="J1136">
        <v>45516</v>
      </c>
      <c r="K1136">
        <v>0</v>
      </c>
      <c r="L1136">
        <v>45516</v>
      </c>
      <c r="M1136">
        <v>30644.18</v>
      </c>
      <c r="N1136">
        <v>14871.82</v>
      </c>
      <c r="O1136" t="s">
        <v>79</v>
      </c>
      <c r="P1136" t="s">
        <v>86</v>
      </c>
    </row>
    <row r="1137" spans="1:16" x14ac:dyDescent="0.25">
      <c r="A1137">
        <v>1136</v>
      </c>
      <c r="B1137" s="1">
        <v>45814</v>
      </c>
      <c r="C1137" t="s">
        <v>19</v>
      </c>
      <c r="D1137" t="s">
        <v>26</v>
      </c>
      <c r="E1137" t="s">
        <v>32</v>
      </c>
      <c r="F1137" t="s">
        <v>39</v>
      </c>
      <c r="G1137" t="s">
        <v>70</v>
      </c>
      <c r="H1137" t="s">
        <v>73</v>
      </c>
      <c r="I1137">
        <v>7</v>
      </c>
      <c r="J1137">
        <v>9465</v>
      </c>
      <c r="K1137">
        <v>0.1</v>
      </c>
      <c r="L1137">
        <v>59629.5</v>
      </c>
      <c r="M1137">
        <v>35804.730000000003</v>
      </c>
      <c r="N1137">
        <v>23824.77</v>
      </c>
      <c r="O1137" t="s">
        <v>78</v>
      </c>
      <c r="P1137" t="s">
        <v>85</v>
      </c>
    </row>
    <row r="1138" spans="1:16" x14ac:dyDescent="0.25">
      <c r="A1138">
        <v>1137</v>
      </c>
      <c r="B1138" s="1">
        <v>45904</v>
      </c>
      <c r="C1138" t="s">
        <v>19</v>
      </c>
      <c r="D1138" t="s">
        <v>26</v>
      </c>
      <c r="E1138" t="s">
        <v>32</v>
      </c>
      <c r="F1138" t="s">
        <v>39</v>
      </c>
      <c r="G1138" t="s">
        <v>72</v>
      </c>
      <c r="H1138" t="s">
        <v>74</v>
      </c>
      <c r="I1138">
        <v>3</v>
      </c>
      <c r="J1138">
        <v>19658</v>
      </c>
      <c r="K1138">
        <v>0.1</v>
      </c>
      <c r="L1138">
        <v>53076.6</v>
      </c>
      <c r="M1138">
        <v>31845.38</v>
      </c>
      <c r="N1138">
        <v>21231.22</v>
      </c>
      <c r="O1138" t="s">
        <v>78</v>
      </c>
      <c r="P1138" t="s">
        <v>81</v>
      </c>
    </row>
    <row r="1139" spans="1:16" x14ac:dyDescent="0.25">
      <c r="A1139">
        <v>1138</v>
      </c>
      <c r="B1139" s="1">
        <v>45769</v>
      </c>
      <c r="C1139" t="s">
        <v>23</v>
      </c>
      <c r="D1139" t="s">
        <v>27</v>
      </c>
      <c r="E1139" t="s">
        <v>33</v>
      </c>
      <c r="F1139" t="s">
        <v>60</v>
      </c>
      <c r="G1139" t="s">
        <v>72</v>
      </c>
      <c r="H1139" t="s">
        <v>74</v>
      </c>
      <c r="I1139">
        <v>2</v>
      </c>
      <c r="J1139">
        <v>41295</v>
      </c>
      <c r="K1139">
        <v>0.1</v>
      </c>
      <c r="L1139">
        <v>74331</v>
      </c>
      <c r="M1139">
        <v>63254.18</v>
      </c>
      <c r="N1139">
        <v>11076.82</v>
      </c>
      <c r="O1139" t="s">
        <v>79</v>
      </c>
      <c r="P1139" t="s">
        <v>84</v>
      </c>
    </row>
    <row r="1140" spans="1:16" x14ac:dyDescent="0.25">
      <c r="A1140">
        <v>1139</v>
      </c>
      <c r="B1140" s="1">
        <v>45887</v>
      </c>
      <c r="C1140" t="s">
        <v>21</v>
      </c>
      <c r="D1140" t="s">
        <v>24</v>
      </c>
      <c r="E1140" t="s">
        <v>30</v>
      </c>
      <c r="F1140" t="s">
        <v>44</v>
      </c>
      <c r="G1140" t="s">
        <v>72</v>
      </c>
      <c r="H1140" t="s">
        <v>73</v>
      </c>
      <c r="I1140">
        <v>1</v>
      </c>
      <c r="J1140">
        <v>19491</v>
      </c>
      <c r="K1140">
        <v>0.05</v>
      </c>
      <c r="L1140">
        <v>18516.45</v>
      </c>
      <c r="M1140">
        <v>14435.83</v>
      </c>
      <c r="N1140">
        <v>4080.62</v>
      </c>
      <c r="O1140" t="s">
        <v>80</v>
      </c>
      <c r="P1140" t="s">
        <v>88</v>
      </c>
    </row>
    <row r="1141" spans="1:16" x14ac:dyDescent="0.25">
      <c r="A1141">
        <v>1140</v>
      </c>
      <c r="B1141" s="1">
        <v>45705</v>
      </c>
      <c r="C1141" t="s">
        <v>20</v>
      </c>
      <c r="D1141" t="s">
        <v>26</v>
      </c>
      <c r="E1141" t="s">
        <v>32</v>
      </c>
      <c r="F1141" t="s">
        <v>49</v>
      </c>
      <c r="G1141" t="s">
        <v>70</v>
      </c>
      <c r="H1141" t="s">
        <v>73</v>
      </c>
      <c r="I1141">
        <v>5</v>
      </c>
      <c r="J1141">
        <v>15729</v>
      </c>
      <c r="K1141">
        <v>0.1</v>
      </c>
      <c r="L1141">
        <v>70780.5</v>
      </c>
      <c r="M1141">
        <v>43464.43</v>
      </c>
      <c r="N1141">
        <v>27316.07</v>
      </c>
      <c r="O1141" t="s">
        <v>79</v>
      </c>
      <c r="P1141" t="s">
        <v>86</v>
      </c>
    </row>
    <row r="1142" spans="1:16" x14ac:dyDescent="0.25">
      <c r="A1142">
        <v>1141</v>
      </c>
      <c r="B1142" s="1">
        <v>46002</v>
      </c>
      <c r="C1142" t="s">
        <v>19</v>
      </c>
      <c r="D1142" t="s">
        <v>26</v>
      </c>
      <c r="E1142" t="s">
        <v>34</v>
      </c>
      <c r="F1142" t="s">
        <v>55</v>
      </c>
      <c r="G1142" t="s">
        <v>70</v>
      </c>
      <c r="H1142" t="s">
        <v>75</v>
      </c>
      <c r="I1142">
        <v>4</v>
      </c>
      <c r="J1142">
        <v>5057</v>
      </c>
      <c r="K1142">
        <v>0.15</v>
      </c>
      <c r="L1142">
        <v>17193.8</v>
      </c>
      <c r="M1142">
        <v>13079.55</v>
      </c>
      <c r="N1142">
        <v>4114.25</v>
      </c>
      <c r="O1142" t="s">
        <v>78</v>
      </c>
      <c r="P1142" t="s">
        <v>83</v>
      </c>
    </row>
    <row r="1143" spans="1:16" x14ac:dyDescent="0.25">
      <c r="A1143">
        <v>1142</v>
      </c>
      <c r="B1143" s="1">
        <v>45929</v>
      </c>
      <c r="C1143" t="s">
        <v>17</v>
      </c>
      <c r="D1143" t="s">
        <v>25</v>
      </c>
      <c r="E1143" t="s">
        <v>31</v>
      </c>
      <c r="F1143" t="s">
        <v>50</v>
      </c>
      <c r="G1143" t="s">
        <v>72</v>
      </c>
      <c r="H1143" t="s">
        <v>74</v>
      </c>
      <c r="I1143">
        <v>2</v>
      </c>
      <c r="J1143">
        <v>980</v>
      </c>
      <c r="K1143">
        <v>0.05</v>
      </c>
      <c r="L1143">
        <v>1862</v>
      </c>
      <c r="M1143">
        <v>1437.26</v>
      </c>
      <c r="N1143">
        <v>424.74</v>
      </c>
      <c r="O1143" t="s">
        <v>78</v>
      </c>
      <c r="P1143" t="s">
        <v>83</v>
      </c>
    </row>
    <row r="1144" spans="1:16" x14ac:dyDescent="0.25">
      <c r="A1144">
        <v>1143</v>
      </c>
      <c r="B1144" s="1">
        <v>45776</v>
      </c>
      <c r="C1144" t="s">
        <v>22</v>
      </c>
      <c r="D1144" t="s">
        <v>24</v>
      </c>
      <c r="E1144" t="s">
        <v>32</v>
      </c>
      <c r="F1144" t="s">
        <v>39</v>
      </c>
      <c r="G1144" t="s">
        <v>72</v>
      </c>
      <c r="H1144" t="s">
        <v>75</v>
      </c>
      <c r="I1144">
        <v>7</v>
      </c>
      <c r="J1144">
        <v>14187</v>
      </c>
      <c r="K1144">
        <v>0.05</v>
      </c>
      <c r="L1144">
        <v>94343.55</v>
      </c>
      <c r="M1144">
        <v>75289.75</v>
      </c>
      <c r="N1144">
        <v>19053.8</v>
      </c>
      <c r="O1144" t="s">
        <v>76</v>
      </c>
      <c r="P1144" t="s">
        <v>86</v>
      </c>
    </row>
    <row r="1145" spans="1:16" x14ac:dyDescent="0.25">
      <c r="A1145">
        <v>1144</v>
      </c>
      <c r="B1145" s="1">
        <v>45896</v>
      </c>
      <c r="C1145" t="s">
        <v>23</v>
      </c>
      <c r="D1145" t="s">
        <v>27</v>
      </c>
      <c r="E1145" t="s">
        <v>28</v>
      </c>
      <c r="F1145" t="s">
        <v>63</v>
      </c>
      <c r="G1145" t="s">
        <v>71</v>
      </c>
      <c r="H1145" t="s">
        <v>75</v>
      </c>
      <c r="I1145">
        <v>5</v>
      </c>
      <c r="J1145">
        <v>1753</v>
      </c>
      <c r="K1145">
        <v>0.05</v>
      </c>
      <c r="L1145">
        <v>8326.75</v>
      </c>
      <c r="M1145">
        <v>6359.51</v>
      </c>
      <c r="N1145">
        <v>1967.24</v>
      </c>
      <c r="O1145" t="s">
        <v>77</v>
      </c>
      <c r="P1145" t="s">
        <v>83</v>
      </c>
    </row>
    <row r="1146" spans="1:16" x14ac:dyDescent="0.25">
      <c r="A1146">
        <v>1145</v>
      </c>
      <c r="B1146" s="1">
        <v>45775</v>
      </c>
      <c r="C1146" t="s">
        <v>19</v>
      </c>
      <c r="D1146" t="s">
        <v>26</v>
      </c>
      <c r="E1146" t="s">
        <v>30</v>
      </c>
      <c r="F1146" t="s">
        <v>56</v>
      </c>
      <c r="G1146" t="s">
        <v>71</v>
      </c>
      <c r="H1146" t="s">
        <v>74</v>
      </c>
      <c r="I1146">
        <v>7</v>
      </c>
      <c r="J1146">
        <v>17124</v>
      </c>
      <c r="K1146">
        <v>0.05</v>
      </c>
      <c r="L1146">
        <v>113874.6</v>
      </c>
      <c r="M1146">
        <v>85520.94</v>
      </c>
      <c r="N1146">
        <v>28353.66</v>
      </c>
      <c r="O1146" t="s">
        <v>80</v>
      </c>
      <c r="P1146" t="s">
        <v>86</v>
      </c>
    </row>
    <row r="1147" spans="1:16" x14ac:dyDescent="0.25">
      <c r="A1147">
        <v>1146</v>
      </c>
      <c r="B1147" s="1">
        <v>45980</v>
      </c>
      <c r="C1147" t="s">
        <v>20</v>
      </c>
      <c r="D1147" t="s">
        <v>26</v>
      </c>
      <c r="E1147" t="s">
        <v>29</v>
      </c>
      <c r="F1147" t="s">
        <v>42</v>
      </c>
      <c r="G1147" t="s">
        <v>71</v>
      </c>
      <c r="H1147" t="s">
        <v>75</v>
      </c>
      <c r="I1147">
        <v>1</v>
      </c>
      <c r="J1147">
        <v>8149</v>
      </c>
      <c r="K1147">
        <v>0.15</v>
      </c>
      <c r="L1147">
        <v>6926.65</v>
      </c>
      <c r="M1147">
        <v>5612.63</v>
      </c>
      <c r="N1147">
        <v>1314.02</v>
      </c>
      <c r="O1147" t="s">
        <v>78</v>
      </c>
      <c r="P1147" t="s">
        <v>86</v>
      </c>
    </row>
    <row r="1148" spans="1:16" x14ac:dyDescent="0.25">
      <c r="A1148">
        <v>1147</v>
      </c>
      <c r="B1148" s="1">
        <v>45949</v>
      </c>
      <c r="C1148" t="s">
        <v>21</v>
      </c>
      <c r="D1148" t="s">
        <v>24</v>
      </c>
      <c r="E1148" t="s">
        <v>28</v>
      </c>
      <c r="F1148" t="s">
        <v>58</v>
      </c>
      <c r="G1148" t="s">
        <v>72</v>
      </c>
      <c r="H1148" t="s">
        <v>75</v>
      </c>
      <c r="I1148">
        <v>6</v>
      </c>
      <c r="J1148">
        <v>782</v>
      </c>
      <c r="K1148">
        <v>0</v>
      </c>
      <c r="L1148">
        <v>4692</v>
      </c>
      <c r="M1148">
        <v>3832.78</v>
      </c>
      <c r="N1148">
        <v>859.22</v>
      </c>
      <c r="O1148" t="s">
        <v>76</v>
      </c>
      <c r="P1148" t="s">
        <v>83</v>
      </c>
    </row>
    <row r="1149" spans="1:16" x14ac:dyDescent="0.25">
      <c r="A1149">
        <v>1148</v>
      </c>
      <c r="B1149" s="1">
        <v>45859</v>
      </c>
      <c r="C1149" t="s">
        <v>23</v>
      </c>
      <c r="D1149" t="s">
        <v>27</v>
      </c>
      <c r="E1149" t="s">
        <v>31</v>
      </c>
      <c r="F1149" t="s">
        <v>69</v>
      </c>
      <c r="G1149" t="s">
        <v>72</v>
      </c>
      <c r="H1149" t="s">
        <v>73</v>
      </c>
      <c r="I1149">
        <v>5</v>
      </c>
      <c r="J1149">
        <v>1000</v>
      </c>
      <c r="K1149">
        <v>0.1</v>
      </c>
      <c r="L1149">
        <v>4500</v>
      </c>
      <c r="M1149">
        <v>2792.36</v>
      </c>
      <c r="N1149">
        <v>1707.64</v>
      </c>
      <c r="O1149" t="s">
        <v>78</v>
      </c>
      <c r="P1149" t="s">
        <v>82</v>
      </c>
    </row>
    <row r="1150" spans="1:16" x14ac:dyDescent="0.25">
      <c r="A1150">
        <v>1149</v>
      </c>
      <c r="B1150" s="1">
        <v>45852</v>
      </c>
      <c r="C1150" t="s">
        <v>23</v>
      </c>
      <c r="D1150" t="s">
        <v>27</v>
      </c>
      <c r="E1150" t="s">
        <v>33</v>
      </c>
      <c r="F1150" t="s">
        <v>41</v>
      </c>
      <c r="G1150" t="s">
        <v>71</v>
      </c>
      <c r="H1150" t="s">
        <v>73</v>
      </c>
      <c r="I1150">
        <v>6</v>
      </c>
      <c r="J1150">
        <v>22443</v>
      </c>
      <c r="K1150">
        <v>0.1</v>
      </c>
      <c r="L1150">
        <v>121192.2</v>
      </c>
      <c r="M1150">
        <v>85185.82</v>
      </c>
      <c r="N1150">
        <v>36006.379999999997</v>
      </c>
      <c r="O1150" t="s">
        <v>80</v>
      </c>
      <c r="P1150" t="s">
        <v>84</v>
      </c>
    </row>
    <row r="1151" spans="1:16" x14ac:dyDescent="0.25">
      <c r="A1151">
        <v>1150</v>
      </c>
      <c r="B1151" s="1">
        <v>45803</v>
      </c>
      <c r="C1151" t="s">
        <v>18</v>
      </c>
      <c r="D1151" t="s">
        <v>26</v>
      </c>
      <c r="E1151" t="s">
        <v>29</v>
      </c>
      <c r="F1151" t="s">
        <v>57</v>
      </c>
      <c r="G1151" t="s">
        <v>70</v>
      </c>
      <c r="H1151" t="s">
        <v>75</v>
      </c>
      <c r="I1151">
        <v>5</v>
      </c>
      <c r="J1151">
        <v>10340</v>
      </c>
      <c r="K1151">
        <v>0.05</v>
      </c>
      <c r="L1151">
        <v>49115</v>
      </c>
      <c r="M1151">
        <v>28815.84</v>
      </c>
      <c r="N1151">
        <v>20299.16</v>
      </c>
      <c r="O1151" t="s">
        <v>78</v>
      </c>
      <c r="P1151" t="s">
        <v>84</v>
      </c>
    </row>
    <row r="1152" spans="1:16" x14ac:dyDescent="0.25">
      <c r="A1152">
        <v>1151</v>
      </c>
      <c r="B1152" s="1">
        <v>45906</v>
      </c>
      <c r="C1152" t="s">
        <v>20</v>
      </c>
      <c r="D1152" t="s">
        <v>26</v>
      </c>
      <c r="E1152" t="s">
        <v>30</v>
      </c>
      <c r="F1152" t="s">
        <v>64</v>
      </c>
      <c r="G1152" t="s">
        <v>70</v>
      </c>
      <c r="H1152" t="s">
        <v>73</v>
      </c>
      <c r="I1152">
        <v>3</v>
      </c>
      <c r="J1152">
        <v>11051</v>
      </c>
      <c r="K1152">
        <v>0.05</v>
      </c>
      <c r="L1152">
        <v>31495.35</v>
      </c>
      <c r="M1152">
        <v>25678.36</v>
      </c>
      <c r="N1152">
        <v>5816.99</v>
      </c>
      <c r="O1152" t="s">
        <v>76</v>
      </c>
      <c r="P1152" t="s">
        <v>86</v>
      </c>
    </row>
    <row r="1153" spans="1:16" x14ac:dyDescent="0.25">
      <c r="A1153">
        <v>1152</v>
      </c>
      <c r="B1153" s="1">
        <v>45913</v>
      </c>
      <c r="C1153" t="s">
        <v>21</v>
      </c>
      <c r="D1153" t="s">
        <v>24</v>
      </c>
      <c r="E1153" t="s">
        <v>32</v>
      </c>
      <c r="F1153" t="s">
        <v>62</v>
      </c>
      <c r="G1153" t="s">
        <v>70</v>
      </c>
      <c r="H1153" t="s">
        <v>74</v>
      </c>
      <c r="I1153">
        <v>1</v>
      </c>
      <c r="J1153">
        <v>12356</v>
      </c>
      <c r="K1153">
        <v>0.2</v>
      </c>
      <c r="L1153">
        <v>9884.7999999999993</v>
      </c>
      <c r="M1153">
        <v>7191.96</v>
      </c>
      <c r="N1153">
        <v>2692.84</v>
      </c>
      <c r="O1153" t="s">
        <v>78</v>
      </c>
      <c r="P1153" t="s">
        <v>81</v>
      </c>
    </row>
    <row r="1154" spans="1:16" x14ac:dyDescent="0.25">
      <c r="A1154">
        <v>1153</v>
      </c>
      <c r="B1154" s="1">
        <v>45836</v>
      </c>
      <c r="C1154" t="s">
        <v>21</v>
      </c>
      <c r="D1154" t="s">
        <v>24</v>
      </c>
      <c r="E1154" t="s">
        <v>31</v>
      </c>
      <c r="F1154" t="s">
        <v>38</v>
      </c>
      <c r="G1154" t="s">
        <v>71</v>
      </c>
      <c r="H1154" t="s">
        <v>73</v>
      </c>
      <c r="I1154">
        <v>2</v>
      </c>
      <c r="J1154">
        <v>814</v>
      </c>
      <c r="K1154">
        <v>0.15</v>
      </c>
      <c r="L1154">
        <v>1383.8</v>
      </c>
      <c r="M1154">
        <v>810.64</v>
      </c>
      <c r="N1154">
        <v>573.16</v>
      </c>
      <c r="O1154" t="s">
        <v>76</v>
      </c>
      <c r="P1154" t="s">
        <v>84</v>
      </c>
    </row>
    <row r="1155" spans="1:16" x14ac:dyDescent="0.25">
      <c r="A1155">
        <v>1154</v>
      </c>
      <c r="B1155" s="1">
        <v>45950</v>
      </c>
      <c r="C1155" t="s">
        <v>20</v>
      </c>
      <c r="D1155" t="s">
        <v>26</v>
      </c>
      <c r="E1155" t="s">
        <v>28</v>
      </c>
      <c r="F1155" t="s">
        <v>54</v>
      </c>
      <c r="G1155" t="s">
        <v>71</v>
      </c>
      <c r="H1155" t="s">
        <v>74</v>
      </c>
      <c r="I1155">
        <v>4</v>
      </c>
      <c r="J1155">
        <v>979</v>
      </c>
      <c r="K1155">
        <v>0.15</v>
      </c>
      <c r="L1155">
        <v>3328.6</v>
      </c>
      <c r="M1155">
        <v>2147.58</v>
      </c>
      <c r="N1155">
        <v>1181.02</v>
      </c>
      <c r="O1155" t="s">
        <v>77</v>
      </c>
      <c r="P1155" t="s">
        <v>85</v>
      </c>
    </row>
    <row r="1156" spans="1:16" x14ac:dyDescent="0.25">
      <c r="A1156">
        <v>1155</v>
      </c>
      <c r="B1156" s="1">
        <v>45874</v>
      </c>
      <c r="C1156" t="s">
        <v>16</v>
      </c>
      <c r="D1156" t="s">
        <v>24</v>
      </c>
      <c r="E1156" t="s">
        <v>33</v>
      </c>
      <c r="F1156" t="s">
        <v>41</v>
      </c>
      <c r="G1156" t="s">
        <v>70</v>
      </c>
      <c r="H1156" t="s">
        <v>74</v>
      </c>
      <c r="I1156">
        <v>4</v>
      </c>
      <c r="J1156">
        <v>19332</v>
      </c>
      <c r="K1156">
        <v>0</v>
      </c>
      <c r="L1156">
        <v>77328</v>
      </c>
      <c r="M1156">
        <v>43603.09</v>
      </c>
      <c r="N1156">
        <v>33724.910000000003</v>
      </c>
      <c r="O1156" t="s">
        <v>79</v>
      </c>
      <c r="P1156" t="s">
        <v>87</v>
      </c>
    </row>
    <row r="1157" spans="1:16" x14ac:dyDescent="0.25">
      <c r="A1157">
        <v>1156</v>
      </c>
      <c r="B1157" s="1">
        <v>45969</v>
      </c>
      <c r="C1157" t="s">
        <v>19</v>
      </c>
      <c r="D1157" t="s">
        <v>26</v>
      </c>
      <c r="E1157" t="s">
        <v>33</v>
      </c>
      <c r="F1157" t="s">
        <v>52</v>
      </c>
      <c r="G1157" t="s">
        <v>72</v>
      </c>
      <c r="H1157" t="s">
        <v>73</v>
      </c>
      <c r="I1157">
        <v>1</v>
      </c>
      <c r="J1157">
        <v>4101</v>
      </c>
      <c r="K1157">
        <v>0.1</v>
      </c>
      <c r="L1157">
        <v>3690.9</v>
      </c>
      <c r="M1157">
        <v>2864.36</v>
      </c>
      <c r="N1157">
        <v>826.54</v>
      </c>
      <c r="O1157" t="s">
        <v>79</v>
      </c>
      <c r="P1157" t="s">
        <v>83</v>
      </c>
    </row>
    <row r="1158" spans="1:16" x14ac:dyDescent="0.25">
      <c r="A1158">
        <v>1157</v>
      </c>
      <c r="B1158" s="1">
        <v>45666</v>
      </c>
      <c r="C1158" t="s">
        <v>23</v>
      </c>
      <c r="D1158" t="s">
        <v>27</v>
      </c>
      <c r="E1158" t="s">
        <v>28</v>
      </c>
      <c r="F1158" t="s">
        <v>35</v>
      </c>
      <c r="G1158" t="s">
        <v>70</v>
      </c>
      <c r="H1158" t="s">
        <v>73</v>
      </c>
      <c r="I1158">
        <v>8</v>
      </c>
      <c r="J1158">
        <v>2111</v>
      </c>
      <c r="K1158">
        <v>0</v>
      </c>
      <c r="L1158">
        <v>16888</v>
      </c>
      <c r="M1158">
        <v>12578.98</v>
      </c>
      <c r="N1158">
        <v>4309.0200000000004</v>
      </c>
      <c r="O1158" t="s">
        <v>76</v>
      </c>
      <c r="P1158" t="s">
        <v>84</v>
      </c>
    </row>
    <row r="1159" spans="1:16" x14ac:dyDescent="0.25">
      <c r="A1159">
        <v>1158</v>
      </c>
      <c r="B1159" s="1">
        <v>45724</v>
      </c>
      <c r="C1159" t="s">
        <v>20</v>
      </c>
      <c r="D1159" t="s">
        <v>26</v>
      </c>
      <c r="E1159" t="s">
        <v>30</v>
      </c>
      <c r="F1159" t="s">
        <v>37</v>
      </c>
      <c r="G1159" t="s">
        <v>71</v>
      </c>
      <c r="H1159" t="s">
        <v>73</v>
      </c>
      <c r="I1159">
        <v>6</v>
      </c>
      <c r="J1159">
        <v>6444</v>
      </c>
      <c r="K1159">
        <v>0.05</v>
      </c>
      <c r="L1159">
        <v>36730.800000000003</v>
      </c>
      <c r="M1159">
        <v>21647.33</v>
      </c>
      <c r="N1159">
        <v>15083.47</v>
      </c>
      <c r="O1159" t="s">
        <v>78</v>
      </c>
      <c r="P1159" t="s">
        <v>84</v>
      </c>
    </row>
    <row r="1160" spans="1:16" x14ac:dyDescent="0.25">
      <c r="A1160">
        <v>1159</v>
      </c>
      <c r="B1160" s="1">
        <v>45809</v>
      </c>
      <c r="C1160" t="s">
        <v>23</v>
      </c>
      <c r="D1160" t="s">
        <v>27</v>
      </c>
      <c r="E1160" t="s">
        <v>33</v>
      </c>
      <c r="F1160" t="s">
        <v>59</v>
      </c>
      <c r="G1160" t="s">
        <v>71</v>
      </c>
      <c r="H1160" t="s">
        <v>74</v>
      </c>
      <c r="I1160">
        <v>3</v>
      </c>
      <c r="J1160">
        <v>44680</v>
      </c>
      <c r="K1160">
        <v>0.1</v>
      </c>
      <c r="L1160">
        <v>120636</v>
      </c>
      <c r="M1160">
        <v>90071.86</v>
      </c>
      <c r="N1160">
        <v>30564.14</v>
      </c>
      <c r="O1160" t="s">
        <v>78</v>
      </c>
      <c r="P1160" t="s">
        <v>82</v>
      </c>
    </row>
    <row r="1161" spans="1:16" x14ac:dyDescent="0.25">
      <c r="A1161">
        <v>1160</v>
      </c>
      <c r="B1161" s="1">
        <v>45865</v>
      </c>
      <c r="C1161" t="s">
        <v>18</v>
      </c>
      <c r="D1161" t="s">
        <v>26</v>
      </c>
      <c r="E1161" t="s">
        <v>33</v>
      </c>
      <c r="F1161" t="s">
        <v>52</v>
      </c>
      <c r="G1161" t="s">
        <v>70</v>
      </c>
      <c r="H1161" t="s">
        <v>75</v>
      </c>
      <c r="I1161">
        <v>6</v>
      </c>
      <c r="J1161">
        <v>8002</v>
      </c>
      <c r="K1161">
        <v>0.05</v>
      </c>
      <c r="L1161">
        <v>45611.4</v>
      </c>
      <c r="M1161">
        <v>36457.300000000003</v>
      </c>
      <c r="N1161">
        <v>9154.1</v>
      </c>
      <c r="O1161" t="s">
        <v>80</v>
      </c>
      <c r="P1161" t="s">
        <v>81</v>
      </c>
    </row>
    <row r="1162" spans="1:16" x14ac:dyDescent="0.25">
      <c r="A1162">
        <v>1161</v>
      </c>
      <c r="B1162" s="1">
        <v>45863</v>
      </c>
      <c r="C1162" t="s">
        <v>18</v>
      </c>
      <c r="D1162" t="s">
        <v>26</v>
      </c>
      <c r="E1162" t="s">
        <v>33</v>
      </c>
      <c r="F1162" t="s">
        <v>52</v>
      </c>
      <c r="G1162" t="s">
        <v>72</v>
      </c>
      <c r="H1162" t="s">
        <v>73</v>
      </c>
      <c r="I1162">
        <v>1</v>
      </c>
      <c r="J1162">
        <v>10009</v>
      </c>
      <c r="K1162">
        <v>0.05</v>
      </c>
      <c r="L1162">
        <v>9508.5499999999993</v>
      </c>
      <c r="M1162">
        <v>6496.36</v>
      </c>
      <c r="N1162">
        <v>3012.19</v>
      </c>
      <c r="O1162" t="s">
        <v>80</v>
      </c>
      <c r="P1162" t="s">
        <v>85</v>
      </c>
    </row>
    <row r="1163" spans="1:16" x14ac:dyDescent="0.25">
      <c r="A1163">
        <v>1162</v>
      </c>
      <c r="B1163" s="1">
        <v>45761</v>
      </c>
      <c r="C1163" t="s">
        <v>22</v>
      </c>
      <c r="D1163" t="s">
        <v>24</v>
      </c>
      <c r="E1163" t="s">
        <v>28</v>
      </c>
      <c r="F1163" t="s">
        <v>63</v>
      </c>
      <c r="G1163" t="s">
        <v>70</v>
      </c>
      <c r="H1163" t="s">
        <v>73</v>
      </c>
      <c r="I1163">
        <v>3</v>
      </c>
      <c r="J1163">
        <v>435</v>
      </c>
      <c r="K1163">
        <v>0.1</v>
      </c>
      <c r="L1163">
        <v>1174.5</v>
      </c>
      <c r="M1163">
        <v>903.87</v>
      </c>
      <c r="N1163">
        <v>270.63</v>
      </c>
      <c r="O1163" t="s">
        <v>79</v>
      </c>
      <c r="P1163" t="s">
        <v>84</v>
      </c>
    </row>
    <row r="1164" spans="1:16" x14ac:dyDescent="0.25">
      <c r="A1164">
        <v>1163</v>
      </c>
      <c r="B1164" s="1">
        <v>45845</v>
      </c>
      <c r="C1164" t="s">
        <v>19</v>
      </c>
      <c r="D1164" t="s">
        <v>26</v>
      </c>
      <c r="E1164" t="s">
        <v>33</v>
      </c>
      <c r="F1164" t="s">
        <v>60</v>
      </c>
      <c r="G1164" t="s">
        <v>71</v>
      </c>
      <c r="H1164" t="s">
        <v>73</v>
      </c>
      <c r="I1164">
        <v>6</v>
      </c>
      <c r="J1164">
        <v>22771</v>
      </c>
      <c r="K1164">
        <v>0.1</v>
      </c>
      <c r="L1164">
        <v>122963.4</v>
      </c>
      <c r="M1164">
        <v>92617.34</v>
      </c>
      <c r="N1164">
        <v>30346.06</v>
      </c>
      <c r="O1164" t="s">
        <v>78</v>
      </c>
      <c r="P1164" t="s">
        <v>85</v>
      </c>
    </row>
    <row r="1165" spans="1:16" x14ac:dyDescent="0.25">
      <c r="A1165">
        <v>1164</v>
      </c>
      <c r="B1165" s="1">
        <v>46003</v>
      </c>
      <c r="C1165" t="s">
        <v>19</v>
      </c>
      <c r="D1165" t="s">
        <v>26</v>
      </c>
      <c r="E1165" t="s">
        <v>28</v>
      </c>
      <c r="F1165" t="s">
        <v>61</v>
      </c>
      <c r="G1165" t="s">
        <v>72</v>
      </c>
      <c r="H1165" t="s">
        <v>75</v>
      </c>
      <c r="I1165">
        <v>3</v>
      </c>
      <c r="J1165">
        <v>1644</v>
      </c>
      <c r="K1165">
        <v>0</v>
      </c>
      <c r="L1165">
        <v>4932</v>
      </c>
      <c r="M1165">
        <v>3823.64</v>
      </c>
      <c r="N1165">
        <v>1108.3599999999999</v>
      </c>
      <c r="O1165" t="s">
        <v>79</v>
      </c>
      <c r="P1165" t="s">
        <v>84</v>
      </c>
    </row>
    <row r="1166" spans="1:16" x14ac:dyDescent="0.25">
      <c r="A1166">
        <v>1165</v>
      </c>
      <c r="B1166" s="1">
        <v>45992</v>
      </c>
      <c r="C1166" t="s">
        <v>22</v>
      </c>
      <c r="D1166" t="s">
        <v>24</v>
      </c>
      <c r="E1166" t="s">
        <v>30</v>
      </c>
      <c r="F1166" t="s">
        <v>37</v>
      </c>
      <c r="G1166" t="s">
        <v>70</v>
      </c>
      <c r="H1166" t="s">
        <v>74</v>
      </c>
      <c r="I1166">
        <v>8</v>
      </c>
      <c r="J1166">
        <v>34603</v>
      </c>
      <c r="K1166">
        <v>0.05</v>
      </c>
      <c r="L1166">
        <v>262982.8</v>
      </c>
      <c r="M1166">
        <v>161981.85999999999</v>
      </c>
      <c r="N1166">
        <v>101000.94</v>
      </c>
      <c r="O1166" t="s">
        <v>76</v>
      </c>
      <c r="P1166" t="s">
        <v>84</v>
      </c>
    </row>
    <row r="1167" spans="1:16" x14ac:dyDescent="0.25">
      <c r="A1167">
        <v>1166</v>
      </c>
      <c r="B1167" s="1">
        <v>45659</v>
      </c>
      <c r="C1167" t="s">
        <v>17</v>
      </c>
      <c r="D1167" t="s">
        <v>25</v>
      </c>
      <c r="E1167" t="s">
        <v>33</v>
      </c>
      <c r="F1167" t="s">
        <v>60</v>
      </c>
      <c r="G1167" t="s">
        <v>72</v>
      </c>
      <c r="H1167" t="s">
        <v>75</v>
      </c>
      <c r="I1167">
        <v>5</v>
      </c>
      <c r="J1167">
        <v>17492</v>
      </c>
      <c r="K1167">
        <v>0.05</v>
      </c>
      <c r="L1167">
        <v>83087</v>
      </c>
      <c r="M1167">
        <v>57623.87</v>
      </c>
      <c r="N1167">
        <v>25463.13</v>
      </c>
      <c r="O1167" t="s">
        <v>80</v>
      </c>
      <c r="P1167" t="s">
        <v>82</v>
      </c>
    </row>
    <row r="1168" spans="1:16" x14ac:dyDescent="0.25">
      <c r="A1168">
        <v>1167</v>
      </c>
      <c r="B1168" s="1">
        <v>45848</v>
      </c>
      <c r="C1168" t="s">
        <v>20</v>
      </c>
      <c r="D1168" t="s">
        <v>26</v>
      </c>
      <c r="E1168" t="s">
        <v>29</v>
      </c>
      <c r="F1168" t="s">
        <v>42</v>
      </c>
      <c r="G1168" t="s">
        <v>72</v>
      </c>
      <c r="H1168" t="s">
        <v>73</v>
      </c>
      <c r="I1168">
        <v>8</v>
      </c>
      <c r="J1168">
        <v>9427</v>
      </c>
      <c r="K1168">
        <v>0.05</v>
      </c>
      <c r="L1168">
        <v>71645.2</v>
      </c>
      <c r="M1168">
        <v>55474.38</v>
      </c>
      <c r="N1168">
        <v>16170.82</v>
      </c>
      <c r="O1168" t="s">
        <v>79</v>
      </c>
      <c r="P1168" t="s">
        <v>84</v>
      </c>
    </row>
    <row r="1169" spans="1:16" x14ac:dyDescent="0.25">
      <c r="A1169">
        <v>1168</v>
      </c>
      <c r="B1169" s="1">
        <v>45891</v>
      </c>
      <c r="C1169" t="s">
        <v>20</v>
      </c>
      <c r="D1169" t="s">
        <v>26</v>
      </c>
      <c r="E1169" t="s">
        <v>29</v>
      </c>
      <c r="F1169" t="s">
        <v>57</v>
      </c>
      <c r="G1169" t="s">
        <v>70</v>
      </c>
      <c r="H1169" t="s">
        <v>74</v>
      </c>
      <c r="I1169">
        <v>2</v>
      </c>
      <c r="J1169">
        <v>11190</v>
      </c>
      <c r="K1169">
        <v>0.05</v>
      </c>
      <c r="L1169">
        <v>21261</v>
      </c>
      <c r="M1169">
        <v>14867.47</v>
      </c>
      <c r="N1169">
        <v>6393.53</v>
      </c>
      <c r="O1169" t="s">
        <v>77</v>
      </c>
      <c r="P1169" t="s">
        <v>85</v>
      </c>
    </row>
    <row r="1170" spans="1:16" x14ac:dyDescent="0.25">
      <c r="A1170">
        <v>1169</v>
      </c>
      <c r="B1170" s="1">
        <v>45876</v>
      </c>
      <c r="C1170" t="s">
        <v>23</v>
      </c>
      <c r="D1170" t="s">
        <v>27</v>
      </c>
      <c r="E1170" t="s">
        <v>28</v>
      </c>
      <c r="F1170" t="s">
        <v>63</v>
      </c>
      <c r="G1170" t="s">
        <v>70</v>
      </c>
      <c r="H1170" t="s">
        <v>73</v>
      </c>
      <c r="I1170">
        <v>7</v>
      </c>
      <c r="J1170">
        <v>454</v>
      </c>
      <c r="K1170">
        <v>0.05</v>
      </c>
      <c r="L1170">
        <v>3019.1</v>
      </c>
      <c r="M1170">
        <v>1701.74</v>
      </c>
      <c r="N1170">
        <v>1317.36</v>
      </c>
      <c r="O1170" t="s">
        <v>79</v>
      </c>
      <c r="P1170" t="s">
        <v>83</v>
      </c>
    </row>
    <row r="1171" spans="1:16" x14ac:dyDescent="0.25">
      <c r="A1171">
        <v>1170</v>
      </c>
      <c r="B1171" s="1">
        <v>45843</v>
      </c>
      <c r="C1171" t="s">
        <v>21</v>
      </c>
      <c r="D1171" t="s">
        <v>24</v>
      </c>
      <c r="E1171" t="s">
        <v>30</v>
      </c>
      <c r="F1171" t="s">
        <v>64</v>
      </c>
      <c r="G1171" t="s">
        <v>70</v>
      </c>
      <c r="H1171" t="s">
        <v>73</v>
      </c>
      <c r="I1171">
        <v>2</v>
      </c>
      <c r="J1171">
        <v>13380</v>
      </c>
      <c r="K1171">
        <v>0.05</v>
      </c>
      <c r="L1171">
        <v>25422</v>
      </c>
      <c r="M1171">
        <v>21838.28</v>
      </c>
      <c r="N1171">
        <v>3583.72</v>
      </c>
      <c r="O1171" t="s">
        <v>80</v>
      </c>
      <c r="P1171" t="s">
        <v>87</v>
      </c>
    </row>
    <row r="1172" spans="1:16" x14ac:dyDescent="0.25">
      <c r="A1172">
        <v>1171</v>
      </c>
      <c r="B1172" s="1">
        <v>45697</v>
      </c>
      <c r="C1172" t="s">
        <v>19</v>
      </c>
      <c r="D1172" t="s">
        <v>26</v>
      </c>
      <c r="E1172" t="s">
        <v>31</v>
      </c>
      <c r="F1172" t="s">
        <v>38</v>
      </c>
      <c r="G1172" t="s">
        <v>72</v>
      </c>
      <c r="H1172" t="s">
        <v>73</v>
      </c>
      <c r="I1172">
        <v>6</v>
      </c>
      <c r="J1172">
        <v>225</v>
      </c>
      <c r="K1172">
        <v>0.15</v>
      </c>
      <c r="L1172">
        <v>1147.5</v>
      </c>
      <c r="M1172">
        <v>754.04</v>
      </c>
      <c r="N1172">
        <v>393.46</v>
      </c>
      <c r="O1172" t="s">
        <v>79</v>
      </c>
      <c r="P1172" t="s">
        <v>88</v>
      </c>
    </row>
    <row r="1173" spans="1:16" x14ac:dyDescent="0.25">
      <c r="A1173">
        <v>1172</v>
      </c>
      <c r="B1173" s="1">
        <v>45878</v>
      </c>
      <c r="C1173" t="s">
        <v>17</v>
      </c>
      <c r="D1173" t="s">
        <v>25</v>
      </c>
      <c r="E1173" t="s">
        <v>33</v>
      </c>
      <c r="F1173" t="s">
        <v>60</v>
      </c>
      <c r="G1173" t="s">
        <v>72</v>
      </c>
      <c r="H1173" t="s">
        <v>74</v>
      </c>
      <c r="I1173">
        <v>7</v>
      </c>
      <c r="J1173">
        <v>11326</v>
      </c>
      <c r="K1173">
        <v>0.1</v>
      </c>
      <c r="L1173">
        <v>71353.8</v>
      </c>
      <c r="M1173">
        <v>47468.639999999999</v>
      </c>
      <c r="N1173">
        <v>23885.16</v>
      </c>
      <c r="O1173" t="s">
        <v>76</v>
      </c>
      <c r="P1173" t="s">
        <v>88</v>
      </c>
    </row>
    <row r="1174" spans="1:16" x14ac:dyDescent="0.25">
      <c r="A1174">
        <v>1173</v>
      </c>
      <c r="B1174" s="1">
        <v>45760</v>
      </c>
      <c r="C1174" t="s">
        <v>21</v>
      </c>
      <c r="D1174" t="s">
        <v>24</v>
      </c>
      <c r="E1174" t="s">
        <v>29</v>
      </c>
      <c r="F1174" t="s">
        <v>45</v>
      </c>
      <c r="G1174" t="s">
        <v>72</v>
      </c>
      <c r="H1174" t="s">
        <v>73</v>
      </c>
      <c r="I1174">
        <v>5</v>
      </c>
      <c r="J1174">
        <v>5383</v>
      </c>
      <c r="K1174">
        <v>0</v>
      </c>
      <c r="L1174">
        <v>26915</v>
      </c>
      <c r="M1174">
        <v>17690.34</v>
      </c>
      <c r="N1174">
        <v>9224.66</v>
      </c>
      <c r="O1174" t="s">
        <v>80</v>
      </c>
      <c r="P1174" t="s">
        <v>86</v>
      </c>
    </row>
    <row r="1175" spans="1:16" x14ac:dyDescent="0.25">
      <c r="A1175">
        <v>1174</v>
      </c>
      <c r="B1175" s="1">
        <v>45803</v>
      </c>
      <c r="C1175" t="s">
        <v>21</v>
      </c>
      <c r="D1175" t="s">
        <v>24</v>
      </c>
      <c r="E1175" t="s">
        <v>34</v>
      </c>
      <c r="F1175" t="s">
        <v>43</v>
      </c>
      <c r="G1175" t="s">
        <v>71</v>
      </c>
      <c r="H1175" t="s">
        <v>75</v>
      </c>
      <c r="I1175">
        <v>1</v>
      </c>
      <c r="J1175">
        <v>1223</v>
      </c>
      <c r="K1175">
        <v>0.1</v>
      </c>
      <c r="L1175">
        <v>1100.7</v>
      </c>
      <c r="M1175">
        <v>892.23</v>
      </c>
      <c r="N1175">
        <v>208.47</v>
      </c>
      <c r="O1175" t="s">
        <v>80</v>
      </c>
      <c r="P1175" t="s">
        <v>84</v>
      </c>
    </row>
    <row r="1176" spans="1:16" x14ac:dyDescent="0.25">
      <c r="A1176">
        <v>1175</v>
      </c>
      <c r="B1176" s="1">
        <v>45919</v>
      </c>
      <c r="C1176" t="s">
        <v>19</v>
      </c>
      <c r="D1176" t="s">
        <v>26</v>
      </c>
      <c r="E1176" t="s">
        <v>28</v>
      </c>
      <c r="F1176" t="s">
        <v>63</v>
      </c>
      <c r="G1176" t="s">
        <v>71</v>
      </c>
      <c r="H1176" t="s">
        <v>73</v>
      </c>
      <c r="I1176">
        <v>4</v>
      </c>
      <c r="J1176">
        <v>654</v>
      </c>
      <c r="K1176">
        <v>0.05</v>
      </c>
      <c r="L1176">
        <v>2485.1999999999998</v>
      </c>
      <c r="M1176">
        <v>1602.85</v>
      </c>
      <c r="N1176">
        <v>882.35</v>
      </c>
      <c r="O1176" t="s">
        <v>77</v>
      </c>
      <c r="P1176" t="s">
        <v>85</v>
      </c>
    </row>
    <row r="1177" spans="1:16" x14ac:dyDescent="0.25">
      <c r="A1177">
        <v>1176</v>
      </c>
      <c r="B1177" s="1">
        <v>45810</v>
      </c>
      <c r="C1177" t="s">
        <v>23</v>
      </c>
      <c r="D1177" t="s">
        <v>27</v>
      </c>
      <c r="E1177" t="s">
        <v>33</v>
      </c>
      <c r="F1177" t="s">
        <v>46</v>
      </c>
      <c r="G1177" t="s">
        <v>72</v>
      </c>
      <c r="H1177" t="s">
        <v>75</v>
      </c>
      <c r="I1177">
        <v>4</v>
      </c>
      <c r="J1177">
        <v>7564</v>
      </c>
      <c r="K1177">
        <v>0.05</v>
      </c>
      <c r="L1177">
        <v>28743.200000000001</v>
      </c>
      <c r="M1177">
        <v>21177.37</v>
      </c>
      <c r="N1177">
        <v>7565.83</v>
      </c>
      <c r="O1177" t="s">
        <v>80</v>
      </c>
      <c r="P1177" t="s">
        <v>86</v>
      </c>
    </row>
    <row r="1178" spans="1:16" x14ac:dyDescent="0.25">
      <c r="A1178">
        <v>1177</v>
      </c>
      <c r="B1178" s="1">
        <v>45673</v>
      </c>
      <c r="C1178" t="s">
        <v>23</v>
      </c>
      <c r="D1178" t="s">
        <v>27</v>
      </c>
      <c r="E1178" t="s">
        <v>33</v>
      </c>
      <c r="F1178" t="s">
        <v>52</v>
      </c>
      <c r="G1178" t="s">
        <v>71</v>
      </c>
      <c r="H1178" t="s">
        <v>75</v>
      </c>
      <c r="I1178">
        <v>6</v>
      </c>
      <c r="J1178">
        <v>22837</v>
      </c>
      <c r="K1178">
        <v>0.15</v>
      </c>
      <c r="L1178">
        <v>116468.7</v>
      </c>
      <c r="M1178">
        <v>68508.710000000006</v>
      </c>
      <c r="N1178">
        <v>47959.99</v>
      </c>
      <c r="O1178" t="s">
        <v>79</v>
      </c>
      <c r="P1178" t="s">
        <v>82</v>
      </c>
    </row>
    <row r="1179" spans="1:16" x14ac:dyDescent="0.25">
      <c r="A1179">
        <v>1178</v>
      </c>
      <c r="B1179" s="1">
        <v>45778</v>
      </c>
      <c r="C1179" t="s">
        <v>18</v>
      </c>
      <c r="D1179" t="s">
        <v>26</v>
      </c>
      <c r="E1179" t="s">
        <v>32</v>
      </c>
      <c r="F1179" t="s">
        <v>39</v>
      </c>
      <c r="G1179" t="s">
        <v>71</v>
      </c>
      <c r="H1179" t="s">
        <v>73</v>
      </c>
      <c r="I1179">
        <v>4</v>
      </c>
      <c r="J1179">
        <v>19851</v>
      </c>
      <c r="K1179">
        <v>0.05</v>
      </c>
      <c r="L1179">
        <v>75433.8</v>
      </c>
      <c r="M1179">
        <v>60612.08</v>
      </c>
      <c r="N1179">
        <v>14821.72</v>
      </c>
      <c r="O1179" t="s">
        <v>77</v>
      </c>
      <c r="P1179" t="s">
        <v>86</v>
      </c>
    </row>
    <row r="1180" spans="1:16" x14ac:dyDescent="0.25">
      <c r="A1180">
        <v>1179</v>
      </c>
      <c r="B1180" s="1">
        <v>45972</v>
      </c>
      <c r="C1180" t="s">
        <v>19</v>
      </c>
      <c r="D1180" t="s">
        <v>26</v>
      </c>
      <c r="E1180" t="s">
        <v>31</v>
      </c>
      <c r="F1180" t="s">
        <v>47</v>
      </c>
      <c r="G1180" t="s">
        <v>71</v>
      </c>
      <c r="H1180" t="s">
        <v>73</v>
      </c>
      <c r="I1180">
        <v>8</v>
      </c>
      <c r="J1180">
        <v>653</v>
      </c>
      <c r="K1180">
        <v>0.15</v>
      </c>
      <c r="L1180">
        <v>4440.3999999999996</v>
      </c>
      <c r="M1180">
        <v>2702.49</v>
      </c>
      <c r="N1180">
        <v>1737.91</v>
      </c>
      <c r="O1180" t="s">
        <v>79</v>
      </c>
      <c r="P1180" t="s">
        <v>88</v>
      </c>
    </row>
    <row r="1181" spans="1:16" x14ac:dyDescent="0.25">
      <c r="A1181">
        <v>1180</v>
      </c>
      <c r="B1181" s="1">
        <v>45834</v>
      </c>
      <c r="C1181" t="s">
        <v>18</v>
      </c>
      <c r="D1181" t="s">
        <v>26</v>
      </c>
      <c r="E1181" t="s">
        <v>34</v>
      </c>
      <c r="F1181" t="s">
        <v>43</v>
      </c>
      <c r="G1181" t="s">
        <v>70</v>
      </c>
      <c r="H1181" t="s">
        <v>74</v>
      </c>
      <c r="I1181">
        <v>8</v>
      </c>
      <c r="J1181">
        <v>5163</v>
      </c>
      <c r="K1181">
        <v>0.1</v>
      </c>
      <c r="L1181">
        <v>37173.599999999999</v>
      </c>
      <c r="M1181">
        <v>27910.28</v>
      </c>
      <c r="N1181">
        <v>9263.32</v>
      </c>
      <c r="O1181" t="s">
        <v>78</v>
      </c>
      <c r="P1181" t="s">
        <v>87</v>
      </c>
    </row>
    <row r="1182" spans="1:16" x14ac:dyDescent="0.25">
      <c r="A1182">
        <v>1181</v>
      </c>
      <c r="B1182" s="1">
        <v>45881</v>
      </c>
      <c r="C1182" t="s">
        <v>22</v>
      </c>
      <c r="D1182" t="s">
        <v>24</v>
      </c>
      <c r="E1182" t="s">
        <v>30</v>
      </c>
      <c r="F1182" t="s">
        <v>37</v>
      </c>
      <c r="G1182" t="s">
        <v>70</v>
      </c>
      <c r="H1182" t="s">
        <v>75</v>
      </c>
      <c r="I1182">
        <v>1</v>
      </c>
      <c r="J1182">
        <v>38494</v>
      </c>
      <c r="K1182">
        <v>0</v>
      </c>
      <c r="L1182">
        <v>38494</v>
      </c>
      <c r="M1182">
        <v>23647.13</v>
      </c>
      <c r="N1182">
        <v>14846.87</v>
      </c>
      <c r="O1182" t="s">
        <v>77</v>
      </c>
      <c r="P1182" t="s">
        <v>87</v>
      </c>
    </row>
    <row r="1183" spans="1:16" x14ac:dyDescent="0.25">
      <c r="A1183">
        <v>1182</v>
      </c>
      <c r="B1183" s="1">
        <v>45859</v>
      </c>
      <c r="C1183" t="s">
        <v>23</v>
      </c>
      <c r="D1183" t="s">
        <v>27</v>
      </c>
      <c r="E1183" t="s">
        <v>30</v>
      </c>
      <c r="F1183" t="s">
        <v>37</v>
      </c>
      <c r="G1183" t="s">
        <v>72</v>
      </c>
      <c r="H1183" t="s">
        <v>75</v>
      </c>
      <c r="I1183">
        <v>6</v>
      </c>
      <c r="J1183">
        <v>2057</v>
      </c>
      <c r="K1183">
        <v>0.1</v>
      </c>
      <c r="L1183">
        <v>11107.8</v>
      </c>
      <c r="M1183">
        <v>6246.5</v>
      </c>
      <c r="N1183">
        <v>4861.3</v>
      </c>
      <c r="O1183" t="s">
        <v>78</v>
      </c>
      <c r="P1183" t="s">
        <v>86</v>
      </c>
    </row>
    <row r="1184" spans="1:16" x14ac:dyDescent="0.25">
      <c r="A1184">
        <v>1183</v>
      </c>
      <c r="B1184" s="1">
        <v>45753</v>
      </c>
      <c r="C1184" t="s">
        <v>20</v>
      </c>
      <c r="D1184" t="s">
        <v>26</v>
      </c>
      <c r="E1184" t="s">
        <v>29</v>
      </c>
      <c r="F1184" t="s">
        <v>57</v>
      </c>
      <c r="G1184" t="s">
        <v>70</v>
      </c>
      <c r="H1184" t="s">
        <v>74</v>
      </c>
      <c r="I1184">
        <v>3</v>
      </c>
      <c r="J1184">
        <v>5908</v>
      </c>
      <c r="K1184">
        <v>0.05</v>
      </c>
      <c r="L1184">
        <v>16837.8</v>
      </c>
      <c r="M1184">
        <v>10428.68</v>
      </c>
      <c r="N1184">
        <v>6409.12</v>
      </c>
      <c r="O1184" t="s">
        <v>78</v>
      </c>
      <c r="P1184" t="s">
        <v>86</v>
      </c>
    </row>
    <row r="1185" spans="1:16" x14ac:dyDescent="0.25">
      <c r="A1185">
        <v>1184</v>
      </c>
      <c r="B1185" s="1">
        <v>46013</v>
      </c>
      <c r="C1185" t="s">
        <v>16</v>
      </c>
      <c r="D1185" t="s">
        <v>24</v>
      </c>
      <c r="E1185" t="s">
        <v>29</v>
      </c>
      <c r="F1185" t="s">
        <v>36</v>
      </c>
      <c r="G1185" t="s">
        <v>70</v>
      </c>
      <c r="H1185" t="s">
        <v>75</v>
      </c>
      <c r="I1185">
        <v>4</v>
      </c>
      <c r="J1185">
        <v>6685</v>
      </c>
      <c r="K1185">
        <v>0</v>
      </c>
      <c r="L1185">
        <v>26740</v>
      </c>
      <c r="M1185">
        <v>16996.77</v>
      </c>
      <c r="N1185">
        <v>9743.23</v>
      </c>
      <c r="O1185" t="s">
        <v>77</v>
      </c>
      <c r="P1185" t="s">
        <v>82</v>
      </c>
    </row>
    <row r="1186" spans="1:16" x14ac:dyDescent="0.25">
      <c r="A1186">
        <v>1185</v>
      </c>
      <c r="B1186" s="1">
        <v>45949</v>
      </c>
      <c r="C1186" t="s">
        <v>18</v>
      </c>
      <c r="D1186" t="s">
        <v>26</v>
      </c>
      <c r="E1186" t="s">
        <v>32</v>
      </c>
      <c r="F1186" t="s">
        <v>48</v>
      </c>
      <c r="G1186" t="s">
        <v>71</v>
      </c>
      <c r="H1186" t="s">
        <v>74</v>
      </c>
      <c r="I1186">
        <v>8</v>
      </c>
      <c r="J1186">
        <v>6896</v>
      </c>
      <c r="K1186">
        <v>0.2</v>
      </c>
      <c r="L1186">
        <v>44134.400000000001</v>
      </c>
      <c r="M1186">
        <v>29529.97</v>
      </c>
      <c r="N1186">
        <v>14604.43</v>
      </c>
      <c r="O1186" t="s">
        <v>78</v>
      </c>
      <c r="P1186" t="s">
        <v>81</v>
      </c>
    </row>
    <row r="1187" spans="1:16" x14ac:dyDescent="0.25">
      <c r="A1187">
        <v>1186</v>
      </c>
      <c r="B1187" s="1">
        <v>45699</v>
      </c>
      <c r="C1187" t="s">
        <v>23</v>
      </c>
      <c r="D1187" t="s">
        <v>27</v>
      </c>
      <c r="E1187" t="s">
        <v>30</v>
      </c>
      <c r="F1187" t="s">
        <v>56</v>
      </c>
      <c r="G1187" t="s">
        <v>70</v>
      </c>
      <c r="H1187" t="s">
        <v>74</v>
      </c>
      <c r="I1187">
        <v>2</v>
      </c>
      <c r="J1187">
        <v>62782</v>
      </c>
      <c r="K1187">
        <v>0</v>
      </c>
      <c r="L1187">
        <v>125564</v>
      </c>
      <c r="M1187">
        <v>94780.05</v>
      </c>
      <c r="N1187">
        <v>30783.95</v>
      </c>
      <c r="O1187" t="s">
        <v>77</v>
      </c>
      <c r="P1187" t="s">
        <v>86</v>
      </c>
    </row>
    <row r="1188" spans="1:16" x14ac:dyDescent="0.25">
      <c r="A1188">
        <v>1187</v>
      </c>
      <c r="B1188" s="1">
        <v>45972</v>
      </c>
      <c r="C1188" t="s">
        <v>22</v>
      </c>
      <c r="D1188" t="s">
        <v>24</v>
      </c>
      <c r="E1188" t="s">
        <v>30</v>
      </c>
      <c r="F1188" t="s">
        <v>37</v>
      </c>
      <c r="G1188" t="s">
        <v>72</v>
      </c>
      <c r="H1188" t="s">
        <v>74</v>
      </c>
      <c r="I1188">
        <v>5</v>
      </c>
      <c r="J1188">
        <v>47975</v>
      </c>
      <c r="K1188">
        <v>0.05</v>
      </c>
      <c r="L1188">
        <v>227881.25</v>
      </c>
      <c r="M1188">
        <v>136133.73000000001</v>
      </c>
      <c r="N1188">
        <v>91747.520000000004</v>
      </c>
      <c r="O1188" t="s">
        <v>76</v>
      </c>
      <c r="P1188" t="s">
        <v>81</v>
      </c>
    </row>
    <row r="1189" spans="1:16" x14ac:dyDescent="0.25">
      <c r="A1189">
        <v>1188</v>
      </c>
      <c r="B1189" s="1">
        <v>45817</v>
      </c>
      <c r="C1189" t="s">
        <v>18</v>
      </c>
      <c r="D1189" t="s">
        <v>26</v>
      </c>
      <c r="E1189" t="s">
        <v>28</v>
      </c>
      <c r="F1189" t="s">
        <v>35</v>
      </c>
      <c r="G1189" t="s">
        <v>70</v>
      </c>
      <c r="H1189" t="s">
        <v>73</v>
      </c>
      <c r="I1189">
        <v>2</v>
      </c>
      <c r="J1189">
        <v>978</v>
      </c>
      <c r="K1189">
        <v>0.15</v>
      </c>
      <c r="L1189">
        <v>1662.6</v>
      </c>
      <c r="M1189">
        <v>1268.57</v>
      </c>
      <c r="N1189">
        <v>394.03</v>
      </c>
      <c r="O1189" t="s">
        <v>79</v>
      </c>
      <c r="P1189" t="s">
        <v>83</v>
      </c>
    </row>
    <row r="1190" spans="1:16" x14ac:dyDescent="0.25">
      <c r="A1190">
        <v>1189</v>
      </c>
      <c r="B1190" s="1">
        <v>45686</v>
      </c>
      <c r="C1190" t="s">
        <v>22</v>
      </c>
      <c r="D1190" t="s">
        <v>24</v>
      </c>
      <c r="E1190" t="s">
        <v>29</v>
      </c>
      <c r="F1190" t="s">
        <v>36</v>
      </c>
      <c r="G1190" t="s">
        <v>72</v>
      </c>
      <c r="H1190" t="s">
        <v>74</v>
      </c>
      <c r="I1190">
        <v>3</v>
      </c>
      <c r="J1190">
        <v>11391</v>
      </c>
      <c r="K1190">
        <v>0.05</v>
      </c>
      <c r="L1190">
        <v>32464.35</v>
      </c>
      <c r="M1190">
        <v>22885.84</v>
      </c>
      <c r="N1190">
        <v>9578.51</v>
      </c>
      <c r="O1190" t="s">
        <v>76</v>
      </c>
      <c r="P1190" t="s">
        <v>83</v>
      </c>
    </row>
    <row r="1191" spans="1:16" x14ac:dyDescent="0.25">
      <c r="A1191">
        <v>1190</v>
      </c>
      <c r="B1191" s="1">
        <v>45744</v>
      </c>
      <c r="C1191" t="s">
        <v>19</v>
      </c>
      <c r="D1191" t="s">
        <v>26</v>
      </c>
      <c r="E1191" t="s">
        <v>31</v>
      </c>
      <c r="F1191" t="s">
        <v>67</v>
      </c>
      <c r="G1191" t="s">
        <v>70</v>
      </c>
      <c r="H1191" t="s">
        <v>73</v>
      </c>
      <c r="I1191">
        <v>1</v>
      </c>
      <c r="J1191">
        <v>843</v>
      </c>
      <c r="K1191">
        <v>0.1</v>
      </c>
      <c r="L1191">
        <v>758.7</v>
      </c>
      <c r="M1191">
        <v>469.16</v>
      </c>
      <c r="N1191">
        <v>289.54000000000002</v>
      </c>
      <c r="O1191" t="s">
        <v>77</v>
      </c>
      <c r="P1191" t="s">
        <v>83</v>
      </c>
    </row>
    <row r="1192" spans="1:16" x14ac:dyDescent="0.25">
      <c r="A1192">
        <v>1191</v>
      </c>
      <c r="B1192" s="1">
        <v>45926</v>
      </c>
      <c r="C1192" t="s">
        <v>20</v>
      </c>
      <c r="D1192" t="s">
        <v>26</v>
      </c>
      <c r="E1192" t="s">
        <v>29</v>
      </c>
      <c r="F1192" t="s">
        <v>42</v>
      </c>
      <c r="G1192" t="s">
        <v>70</v>
      </c>
      <c r="H1192" t="s">
        <v>73</v>
      </c>
      <c r="I1192">
        <v>7</v>
      </c>
      <c r="J1192">
        <v>1778</v>
      </c>
      <c r="K1192">
        <v>0.05</v>
      </c>
      <c r="L1192">
        <v>11823.7</v>
      </c>
      <c r="M1192">
        <v>7858.27</v>
      </c>
      <c r="N1192">
        <v>3965.43</v>
      </c>
      <c r="O1192" t="s">
        <v>78</v>
      </c>
      <c r="P1192" t="s">
        <v>86</v>
      </c>
    </row>
    <row r="1193" spans="1:16" x14ac:dyDescent="0.25">
      <c r="A1193">
        <v>1192</v>
      </c>
      <c r="B1193" s="1">
        <v>45815</v>
      </c>
      <c r="C1193" t="s">
        <v>22</v>
      </c>
      <c r="D1193" t="s">
        <v>24</v>
      </c>
      <c r="E1193" t="s">
        <v>33</v>
      </c>
      <c r="F1193" t="s">
        <v>52</v>
      </c>
      <c r="G1193" t="s">
        <v>70</v>
      </c>
      <c r="H1193" t="s">
        <v>75</v>
      </c>
      <c r="I1193">
        <v>1</v>
      </c>
      <c r="J1193">
        <v>28654</v>
      </c>
      <c r="K1193">
        <v>0.1</v>
      </c>
      <c r="L1193">
        <v>25788.6</v>
      </c>
      <c r="M1193">
        <v>18898.16</v>
      </c>
      <c r="N1193">
        <v>6890.44</v>
      </c>
      <c r="O1193" t="s">
        <v>78</v>
      </c>
      <c r="P1193" t="s">
        <v>81</v>
      </c>
    </row>
    <row r="1194" spans="1:16" x14ac:dyDescent="0.25">
      <c r="A1194">
        <v>1193</v>
      </c>
      <c r="B1194" s="1">
        <v>45796</v>
      </c>
      <c r="C1194" t="s">
        <v>17</v>
      </c>
      <c r="D1194" t="s">
        <v>25</v>
      </c>
      <c r="E1194" t="s">
        <v>32</v>
      </c>
      <c r="F1194" t="s">
        <v>62</v>
      </c>
      <c r="G1194" t="s">
        <v>71</v>
      </c>
      <c r="H1194" t="s">
        <v>73</v>
      </c>
      <c r="I1194">
        <v>3</v>
      </c>
      <c r="J1194">
        <v>17897</v>
      </c>
      <c r="K1194">
        <v>0.15</v>
      </c>
      <c r="L1194">
        <v>45637.35</v>
      </c>
      <c r="M1194">
        <v>39294.26</v>
      </c>
      <c r="N1194">
        <v>6343.09</v>
      </c>
      <c r="O1194" t="s">
        <v>80</v>
      </c>
      <c r="P1194" t="s">
        <v>82</v>
      </c>
    </row>
    <row r="1195" spans="1:16" x14ac:dyDescent="0.25">
      <c r="A1195">
        <v>1194</v>
      </c>
      <c r="B1195" s="1">
        <v>45674</v>
      </c>
      <c r="C1195" t="s">
        <v>20</v>
      </c>
      <c r="D1195" t="s">
        <v>26</v>
      </c>
      <c r="E1195" t="s">
        <v>29</v>
      </c>
      <c r="F1195" t="s">
        <v>42</v>
      </c>
      <c r="G1195" t="s">
        <v>72</v>
      </c>
      <c r="H1195" t="s">
        <v>75</v>
      </c>
      <c r="I1195">
        <v>4</v>
      </c>
      <c r="J1195">
        <v>3523</v>
      </c>
      <c r="K1195">
        <v>0.05</v>
      </c>
      <c r="L1195">
        <v>13387.4</v>
      </c>
      <c r="M1195">
        <v>7907.15</v>
      </c>
      <c r="N1195">
        <v>5480.25</v>
      </c>
      <c r="O1195" t="s">
        <v>79</v>
      </c>
      <c r="P1195" t="s">
        <v>86</v>
      </c>
    </row>
    <row r="1196" spans="1:16" x14ac:dyDescent="0.25">
      <c r="A1196">
        <v>1195</v>
      </c>
      <c r="B1196" s="1">
        <v>45699</v>
      </c>
      <c r="C1196" t="s">
        <v>21</v>
      </c>
      <c r="D1196" t="s">
        <v>24</v>
      </c>
      <c r="E1196" t="s">
        <v>30</v>
      </c>
      <c r="F1196" t="s">
        <v>44</v>
      </c>
      <c r="G1196" t="s">
        <v>70</v>
      </c>
      <c r="H1196" t="s">
        <v>75</v>
      </c>
      <c r="I1196">
        <v>3</v>
      </c>
      <c r="J1196">
        <v>35012</v>
      </c>
      <c r="K1196">
        <v>0</v>
      </c>
      <c r="L1196">
        <v>105036</v>
      </c>
      <c r="M1196">
        <v>79666.960000000006</v>
      </c>
      <c r="N1196">
        <v>25369.040000000001</v>
      </c>
      <c r="O1196" t="s">
        <v>76</v>
      </c>
      <c r="P1196" t="s">
        <v>86</v>
      </c>
    </row>
    <row r="1197" spans="1:16" x14ac:dyDescent="0.25">
      <c r="A1197">
        <v>1196</v>
      </c>
      <c r="B1197" s="1">
        <v>45979</v>
      </c>
      <c r="C1197" t="s">
        <v>19</v>
      </c>
      <c r="D1197" t="s">
        <v>26</v>
      </c>
      <c r="E1197" t="s">
        <v>29</v>
      </c>
      <c r="F1197" t="s">
        <v>53</v>
      </c>
      <c r="G1197" t="s">
        <v>71</v>
      </c>
      <c r="H1197" t="s">
        <v>73</v>
      </c>
      <c r="I1197">
        <v>1</v>
      </c>
      <c r="J1197">
        <v>11651</v>
      </c>
      <c r="K1197">
        <v>0.05</v>
      </c>
      <c r="L1197">
        <v>11068.45</v>
      </c>
      <c r="M1197">
        <v>9622.4599999999991</v>
      </c>
      <c r="N1197">
        <v>1445.99</v>
      </c>
      <c r="O1197" t="s">
        <v>77</v>
      </c>
      <c r="P1197" t="s">
        <v>86</v>
      </c>
    </row>
    <row r="1198" spans="1:16" x14ac:dyDescent="0.25">
      <c r="A1198">
        <v>1197</v>
      </c>
      <c r="B1198" s="1">
        <v>45976</v>
      </c>
      <c r="C1198" t="s">
        <v>21</v>
      </c>
      <c r="D1198" t="s">
        <v>24</v>
      </c>
      <c r="E1198" t="s">
        <v>31</v>
      </c>
      <c r="F1198" t="s">
        <v>67</v>
      </c>
      <c r="G1198" t="s">
        <v>71</v>
      </c>
      <c r="H1198" t="s">
        <v>73</v>
      </c>
      <c r="I1198">
        <v>7</v>
      </c>
      <c r="J1198">
        <v>1961</v>
      </c>
      <c r="K1198">
        <v>0.1</v>
      </c>
      <c r="L1198">
        <v>12354.3</v>
      </c>
      <c r="M1198">
        <v>6981.29</v>
      </c>
      <c r="N1198">
        <v>5373.01</v>
      </c>
      <c r="O1198" t="s">
        <v>78</v>
      </c>
      <c r="P1198" t="s">
        <v>81</v>
      </c>
    </row>
    <row r="1199" spans="1:16" x14ac:dyDescent="0.25">
      <c r="A1199">
        <v>1198</v>
      </c>
      <c r="B1199" s="1">
        <v>45868</v>
      </c>
      <c r="C1199" t="s">
        <v>23</v>
      </c>
      <c r="D1199" t="s">
        <v>27</v>
      </c>
      <c r="E1199" t="s">
        <v>33</v>
      </c>
      <c r="F1199" t="s">
        <v>52</v>
      </c>
      <c r="G1199" t="s">
        <v>72</v>
      </c>
      <c r="H1199" t="s">
        <v>74</v>
      </c>
      <c r="I1199">
        <v>4</v>
      </c>
      <c r="J1199">
        <v>32692</v>
      </c>
      <c r="K1199">
        <v>0</v>
      </c>
      <c r="L1199">
        <v>130768</v>
      </c>
      <c r="M1199">
        <v>102401.19</v>
      </c>
      <c r="N1199">
        <v>28366.81</v>
      </c>
      <c r="O1199" t="s">
        <v>77</v>
      </c>
      <c r="P1199" t="s">
        <v>81</v>
      </c>
    </row>
    <row r="1200" spans="1:16" x14ac:dyDescent="0.25">
      <c r="A1200">
        <v>1199</v>
      </c>
      <c r="B1200" s="1">
        <v>45931</v>
      </c>
      <c r="C1200" t="s">
        <v>21</v>
      </c>
      <c r="D1200" t="s">
        <v>24</v>
      </c>
      <c r="E1200" t="s">
        <v>34</v>
      </c>
      <c r="F1200" t="s">
        <v>51</v>
      </c>
      <c r="G1200" t="s">
        <v>72</v>
      </c>
      <c r="H1200" t="s">
        <v>74</v>
      </c>
      <c r="I1200">
        <v>5</v>
      </c>
      <c r="J1200">
        <v>4808</v>
      </c>
      <c r="K1200">
        <v>0</v>
      </c>
      <c r="L1200">
        <v>24040</v>
      </c>
      <c r="M1200">
        <v>15909.33</v>
      </c>
      <c r="N1200">
        <v>8130.67</v>
      </c>
      <c r="O1200" t="s">
        <v>78</v>
      </c>
      <c r="P1200" t="s">
        <v>83</v>
      </c>
    </row>
    <row r="1201" spans="1:16" x14ac:dyDescent="0.25">
      <c r="A1201">
        <v>1200</v>
      </c>
      <c r="B1201" s="1">
        <v>45739</v>
      </c>
      <c r="C1201" t="s">
        <v>20</v>
      </c>
      <c r="D1201" t="s">
        <v>26</v>
      </c>
      <c r="E1201" t="s">
        <v>29</v>
      </c>
      <c r="F1201" t="s">
        <v>57</v>
      </c>
      <c r="G1201" t="s">
        <v>70</v>
      </c>
      <c r="H1201" t="s">
        <v>73</v>
      </c>
      <c r="I1201">
        <v>5</v>
      </c>
      <c r="J1201">
        <v>1006</v>
      </c>
      <c r="K1201">
        <v>0.15</v>
      </c>
      <c r="L1201">
        <v>4275.5</v>
      </c>
      <c r="M1201">
        <v>3197.09</v>
      </c>
      <c r="N1201">
        <v>1078.4100000000001</v>
      </c>
      <c r="O1201" t="s">
        <v>77</v>
      </c>
      <c r="P1201" t="s">
        <v>87</v>
      </c>
    </row>
    <row r="1202" spans="1:16" x14ac:dyDescent="0.25">
      <c r="A1202">
        <v>1201</v>
      </c>
      <c r="B1202" s="1">
        <v>45849</v>
      </c>
      <c r="C1202" t="s">
        <v>21</v>
      </c>
      <c r="D1202" t="s">
        <v>24</v>
      </c>
      <c r="E1202" t="s">
        <v>34</v>
      </c>
      <c r="F1202" t="s">
        <v>68</v>
      </c>
      <c r="G1202" t="s">
        <v>70</v>
      </c>
      <c r="H1202" t="s">
        <v>73</v>
      </c>
      <c r="I1202">
        <v>2</v>
      </c>
      <c r="J1202">
        <v>674</v>
      </c>
      <c r="K1202">
        <v>0</v>
      </c>
      <c r="L1202">
        <v>1348</v>
      </c>
      <c r="M1202">
        <v>974.22</v>
      </c>
      <c r="N1202">
        <v>373.78</v>
      </c>
      <c r="O1202" t="s">
        <v>76</v>
      </c>
      <c r="P1202" t="s">
        <v>87</v>
      </c>
    </row>
    <row r="1203" spans="1:16" x14ac:dyDescent="0.25">
      <c r="A1203">
        <v>1202</v>
      </c>
      <c r="B1203" s="1">
        <v>45761</v>
      </c>
      <c r="C1203" t="s">
        <v>17</v>
      </c>
      <c r="D1203" t="s">
        <v>25</v>
      </c>
      <c r="E1203" t="s">
        <v>33</v>
      </c>
      <c r="F1203" t="s">
        <v>41</v>
      </c>
      <c r="G1203" t="s">
        <v>72</v>
      </c>
      <c r="H1203" t="s">
        <v>73</v>
      </c>
      <c r="I1203">
        <v>7</v>
      </c>
      <c r="J1203">
        <v>42181</v>
      </c>
      <c r="K1203">
        <v>0</v>
      </c>
      <c r="L1203">
        <v>295267</v>
      </c>
      <c r="M1203">
        <v>164081.94</v>
      </c>
      <c r="N1203">
        <v>131185.06</v>
      </c>
      <c r="O1203" t="s">
        <v>76</v>
      </c>
      <c r="P1203" t="s">
        <v>86</v>
      </c>
    </row>
    <row r="1204" spans="1:16" x14ac:dyDescent="0.25">
      <c r="A1204">
        <v>1203</v>
      </c>
      <c r="B1204" s="1">
        <v>45973</v>
      </c>
      <c r="C1204" t="s">
        <v>19</v>
      </c>
      <c r="D1204" t="s">
        <v>26</v>
      </c>
      <c r="E1204" t="s">
        <v>30</v>
      </c>
      <c r="F1204" t="s">
        <v>40</v>
      </c>
      <c r="G1204" t="s">
        <v>71</v>
      </c>
      <c r="H1204" t="s">
        <v>74</v>
      </c>
      <c r="I1204">
        <v>2</v>
      </c>
      <c r="J1204">
        <v>48636</v>
      </c>
      <c r="K1204">
        <v>0.05</v>
      </c>
      <c r="L1204">
        <v>92408.4</v>
      </c>
      <c r="M1204">
        <v>50829.97</v>
      </c>
      <c r="N1204">
        <v>41578.43</v>
      </c>
      <c r="O1204" t="s">
        <v>77</v>
      </c>
      <c r="P1204" t="s">
        <v>85</v>
      </c>
    </row>
    <row r="1205" spans="1:16" x14ac:dyDescent="0.25">
      <c r="A1205">
        <v>1204</v>
      </c>
      <c r="B1205" s="1">
        <v>45971</v>
      </c>
      <c r="C1205" t="s">
        <v>20</v>
      </c>
      <c r="D1205" t="s">
        <v>26</v>
      </c>
      <c r="E1205" t="s">
        <v>28</v>
      </c>
      <c r="F1205" t="s">
        <v>58</v>
      </c>
      <c r="G1205" t="s">
        <v>70</v>
      </c>
      <c r="H1205" t="s">
        <v>74</v>
      </c>
      <c r="I1205">
        <v>5</v>
      </c>
      <c r="J1205">
        <v>173</v>
      </c>
      <c r="K1205">
        <v>0.1</v>
      </c>
      <c r="L1205">
        <v>778.5</v>
      </c>
      <c r="M1205">
        <v>538.57000000000005</v>
      </c>
      <c r="N1205">
        <v>239.93</v>
      </c>
      <c r="O1205" t="s">
        <v>78</v>
      </c>
      <c r="P1205" t="s">
        <v>85</v>
      </c>
    </row>
    <row r="1206" spans="1:16" x14ac:dyDescent="0.25">
      <c r="A1206">
        <v>1205</v>
      </c>
      <c r="B1206" s="1">
        <v>45909</v>
      </c>
      <c r="C1206" t="s">
        <v>17</v>
      </c>
      <c r="D1206" t="s">
        <v>25</v>
      </c>
      <c r="E1206" t="s">
        <v>30</v>
      </c>
      <c r="F1206" t="s">
        <v>37</v>
      </c>
      <c r="G1206" t="s">
        <v>70</v>
      </c>
      <c r="H1206" t="s">
        <v>74</v>
      </c>
      <c r="I1206">
        <v>4</v>
      </c>
      <c r="J1206">
        <v>21279</v>
      </c>
      <c r="K1206">
        <v>0.1</v>
      </c>
      <c r="L1206">
        <v>76604.399999999994</v>
      </c>
      <c r="M1206">
        <v>42711.57</v>
      </c>
      <c r="N1206">
        <v>33892.83</v>
      </c>
      <c r="O1206" t="s">
        <v>78</v>
      </c>
      <c r="P1206" t="s">
        <v>83</v>
      </c>
    </row>
    <row r="1207" spans="1:16" x14ac:dyDescent="0.25">
      <c r="A1207">
        <v>1206</v>
      </c>
      <c r="B1207" s="1">
        <v>45765</v>
      </c>
      <c r="C1207" t="s">
        <v>20</v>
      </c>
      <c r="D1207" t="s">
        <v>26</v>
      </c>
      <c r="E1207" t="s">
        <v>28</v>
      </c>
      <c r="F1207" t="s">
        <v>54</v>
      </c>
      <c r="G1207" t="s">
        <v>70</v>
      </c>
      <c r="H1207" t="s">
        <v>73</v>
      </c>
      <c r="I1207">
        <v>8</v>
      </c>
      <c r="J1207">
        <v>2448</v>
      </c>
      <c r="K1207">
        <v>0.1</v>
      </c>
      <c r="L1207">
        <v>17625.599999999999</v>
      </c>
      <c r="M1207">
        <v>12056.28</v>
      </c>
      <c r="N1207">
        <v>5569.32</v>
      </c>
      <c r="O1207" t="s">
        <v>78</v>
      </c>
      <c r="P1207" t="s">
        <v>83</v>
      </c>
    </row>
    <row r="1208" spans="1:16" x14ac:dyDescent="0.25">
      <c r="A1208">
        <v>1207</v>
      </c>
      <c r="B1208" s="1">
        <v>45984</v>
      </c>
      <c r="C1208" t="s">
        <v>23</v>
      </c>
      <c r="D1208" t="s">
        <v>27</v>
      </c>
      <c r="E1208" t="s">
        <v>31</v>
      </c>
      <c r="F1208" t="s">
        <v>38</v>
      </c>
      <c r="G1208" t="s">
        <v>72</v>
      </c>
      <c r="H1208" t="s">
        <v>73</v>
      </c>
      <c r="I1208">
        <v>5</v>
      </c>
      <c r="J1208">
        <v>889</v>
      </c>
      <c r="K1208">
        <v>0.05</v>
      </c>
      <c r="L1208">
        <v>4222.75</v>
      </c>
      <c r="M1208">
        <v>2755.9</v>
      </c>
      <c r="N1208">
        <v>1466.85</v>
      </c>
      <c r="O1208" t="s">
        <v>78</v>
      </c>
      <c r="P1208" t="s">
        <v>81</v>
      </c>
    </row>
    <row r="1209" spans="1:16" x14ac:dyDescent="0.25">
      <c r="A1209">
        <v>1208</v>
      </c>
      <c r="B1209" s="1">
        <v>45912</v>
      </c>
      <c r="C1209" t="s">
        <v>17</v>
      </c>
      <c r="D1209" t="s">
        <v>25</v>
      </c>
      <c r="E1209" t="s">
        <v>28</v>
      </c>
      <c r="F1209" t="s">
        <v>54</v>
      </c>
      <c r="G1209" t="s">
        <v>72</v>
      </c>
      <c r="H1209" t="s">
        <v>75</v>
      </c>
      <c r="I1209">
        <v>1</v>
      </c>
      <c r="J1209">
        <v>836</v>
      </c>
      <c r="K1209">
        <v>0.1</v>
      </c>
      <c r="L1209">
        <v>752.4</v>
      </c>
      <c r="M1209">
        <v>476.98</v>
      </c>
      <c r="N1209">
        <v>275.42</v>
      </c>
      <c r="O1209" t="s">
        <v>80</v>
      </c>
      <c r="P1209" t="s">
        <v>83</v>
      </c>
    </row>
    <row r="1210" spans="1:16" x14ac:dyDescent="0.25">
      <c r="A1210">
        <v>1209</v>
      </c>
      <c r="B1210" s="1">
        <v>45741</v>
      </c>
      <c r="C1210" t="s">
        <v>16</v>
      </c>
      <c r="D1210" t="s">
        <v>24</v>
      </c>
      <c r="E1210" t="s">
        <v>32</v>
      </c>
      <c r="F1210" t="s">
        <v>48</v>
      </c>
      <c r="G1210" t="s">
        <v>70</v>
      </c>
      <c r="H1210" t="s">
        <v>73</v>
      </c>
      <c r="I1210">
        <v>6</v>
      </c>
      <c r="J1210">
        <v>13129</v>
      </c>
      <c r="K1210">
        <v>0.15</v>
      </c>
      <c r="L1210">
        <v>66957.899999999994</v>
      </c>
      <c r="M1210">
        <v>42081.760000000002</v>
      </c>
      <c r="N1210">
        <v>24876.14</v>
      </c>
      <c r="O1210" t="s">
        <v>78</v>
      </c>
      <c r="P1210" t="s">
        <v>83</v>
      </c>
    </row>
    <row r="1211" spans="1:16" x14ac:dyDescent="0.25">
      <c r="A1211">
        <v>1210</v>
      </c>
      <c r="B1211" s="1">
        <v>45829</v>
      </c>
      <c r="C1211" t="s">
        <v>21</v>
      </c>
      <c r="D1211" t="s">
        <v>24</v>
      </c>
      <c r="E1211" t="s">
        <v>33</v>
      </c>
      <c r="F1211" t="s">
        <v>52</v>
      </c>
      <c r="G1211" t="s">
        <v>72</v>
      </c>
      <c r="H1211" t="s">
        <v>74</v>
      </c>
      <c r="I1211">
        <v>4</v>
      </c>
      <c r="J1211">
        <v>49038</v>
      </c>
      <c r="K1211">
        <v>0</v>
      </c>
      <c r="L1211">
        <v>196152</v>
      </c>
      <c r="M1211">
        <v>115834.18</v>
      </c>
      <c r="N1211">
        <v>80317.820000000007</v>
      </c>
      <c r="O1211" t="s">
        <v>80</v>
      </c>
      <c r="P1211" t="s">
        <v>85</v>
      </c>
    </row>
    <row r="1212" spans="1:16" x14ac:dyDescent="0.25">
      <c r="A1212">
        <v>1211</v>
      </c>
      <c r="B1212" s="1">
        <v>45843</v>
      </c>
      <c r="C1212" t="s">
        <v>23</v>
      </c>
      <c r="D1212" t="s">
        <v>27</v>
      </c>
      <c r="E1212" t="s">
        <v>29</v>
      </c>
      <c r="F1212" t="s">
        <v>53</v>
      </c>
      <c r="G1212" t="s">
        <v>72</v>
      </c>
      <c r="H1212" t="s">
        <v>74</v>
      </c>
      <c r="I1212">
        <v>6</v>
      </c>
      <c r="J1212">
        <v>11966</v>
      </c>
      <c r="K1212">
        <v>0.1</v>
      </c>
      <c r="L1212">
        <v>64616.4</v>
      </c>
      <c r="M1212">
        <v>43312.9</v>
      </c>
      <c r="N1212">
        <v>21303.5</v>
      </c>
      <c r="O1212" t="s">
        <v>79</v>
      </c>
      <c r="P1212" t="s">
        <v>86</v>
      </c>
    </row>
    <row r="1213" spans="1:16" x14ac:dyDescent="0.25">
      <c r="A1213">
        <v>1212</v>
      </c>
      <c r="B1213" s="1">
        <v>45800</v>
      </c>
      <c r="C1213" t="s">
        <v>22</v>
      </c>
      <c r="D1213" t="s">
        <v>24</v>
      </c>
      <c r="E1213" t="s">
        <v>32</v>
      </c>
      <c r="F1213" t="s">
        <v>39</v>
      </c>
      <c r="G1213" t="s">
        <v>72</v>
      </c>
      <c r="H1213" t="s">
        <v>74</v>
      </c>
      <c r="I1213">
        <v>3</v>
      </c>
      <c r="J1213">
        <v>21012</v>
      </c>
      <c r="K1213">
        <v>0.05</v>
      </c>
      <c r="L1213">
        <v>59884.2</v>
      </c>
      <c r="M1213">
        <v>46175.7</v>
      </c>
      <c r="N1213">
        <v>13708.5</v>
      </c>
      <c r="O1213" t="s">
        <v>79</v>
      </c>
      <c r="P1213" t="s">
        <v>82</v>
      </c>
    </row>
    <row r="1214" spans="1:16" x14ac:dyDescent="0.25">
      <c r="A1214">
        <v>1213</v>
      </c>
      <c r="B1214" s="1">
        <v>45867</v>
      </c>
      <c r="C1214" t="s">
        <v>20</v>
      </c>
      <c r="D1214" t="s">
        <v>26</v>
      </c>
      <c r="E1214" t="s">
        <v>31</v>
      </c>
      <c r="F1214" t="s">
        <v>67</v>
      </c>
      <c r="G1214" t="s">
        <v>71</v>
      </c>
      <c r="H1214" t="s">
        <v>75</v>
      </c>
      <c r="I1214">
        <v>6</v>
      </c>
      <c r="J1214">
        <v>2156</v>
      </c>
      <c r="K1214">
        <v>0.05</v>
      </c>
      <c r="L1214">
        <v>12289.2</v>
      </c>
      <c r="M1214">
        <v>9155.64</v>
      </c>
      <c r="N1214">
        <v>3133.56</v>
      </c>
      <c r="O1214" t="s">
        <v>78</v>
      </c>
      <c r="P1214" t="s">
        <v>81</v>
      </c>
    </row>
    <row r="1215" spans="1:16" x14ac:dyDescent="0.25">
      <c r="A1215">
        <v>1214</v>
      </c>
      <c r="B1215" s="1">
        <v>45760</v>
      </c>
      <c r="C1215" t="s">
        <v>18</v>
      </c>
      <c r="D1215" t="s">
        <v>26</v>
      </c>
      <c r="E1215" t="s">
        <v>28</v>
      </c>
      <c r="F1215" t="s">
        <v>63</v>
      </c>
      <c r="G1215" t="s">
        <v>72</v>
      </c>
      <c r="H1215" t="s">
        <v>74</v>
      </c>
      <c r="I1215">
        <v>4</v>
      </c>
      <c r="J1215">
        <v>1155</v>
      </c>
      <c r="K1215">
        <v>0.15</v>
      </c>
      <c r="L1215">
        <v>3927</v>
      </c>
      <c r="M1215">
        <v>2689.37</v>
      </c>
      <c r="N1215">
        <v>1237.6300000000001</v>
      </c>
      <c r="O1215" t="s">
        <v>78</v>
      </c>
      <c r="P1215" t="s">
        <v>85</v>
      </c>
    </row>
    <row r="1216" spans="1:16" x14ac:dyDescent="0.25">
      <c r="A1216">
        <v>1215</v>
      </c>
      <c r="B1216" s="1">
        <v>45928</v>
      </c>
      <c r="C1216" t="s">
        <v>21</v>
      </c>
      <c r="D1216" t="s">
        <v>24</v>
      </c>
      <c r="E1216" t="s">
        <v>34</v>
      </c>
      <c r="F1216" t="s">
        <v>65</v>
      </c>
      <c r="G1216" t="s">
        <v>71</v>
      </c>
      <c r="H1216" t="s">
        <v>73</v>
      </c>
      <c r="I1216">
        <v>2</v>
      </c>
      <c r="J1216">
        <v>265</v>
      </c>
      <c r="K1216">
        <v>0</v>
      </c>
      <c r="L1216">
        <v>530</v>
      </c>
      <c r="M1216">
        <v>428.39</v>
      </c>
      <c r="N1216">
        <v>101.61</v>
      </c>
      <c r="O1216" t="s">
        <v>80</v>
      </c>
      <c r="P1216" t="s">
        <v>87</v>
      </c>
    </row>
    <row r="1217" spans="1:16" x14ac:dyDescent="0.25">
      <c r="A1217">
        <v>1216</v>
      </c>
      <c r="B1217" s="1">
        <v>45888</v>
      </c>
      <c r="C1217" t="s">
        <v>20</v>
      </c>
      <c r="D1217" t="s">
        <v>26</v>
      </c>
      <c r="E1217" t="s">
        <v>34</v>
      </c>
      <c r="F1217" t="s">
        <v>55</v>
      </c>
      <c r="G1217" t="s">
        <v>70</v>
      </c>
      <c r="H1217" t="s">
        <v>75</v>
      </c>
      <c r="I1217">
        <v>7</v>
      </c>
      <c r="J1217">
        <v>5788</v>
      </c>
      <c r="K1217">
        <v>0</v>
      </c>
      <c r="L1217">
        <v>40516</v>
      </c>
      <c r="M1217">
        <v>22502.76</v>
      </c>
      <c r="N1217">
        <v>18013.240000000002</v>
      </c>
      <c r="O1217" t="s">
        <v>79</v>
      </c>
      <c r="P1217" t="s">
        <v>87</v>
      </c>
    </row>
    <row r="1218" spans="1:16" x14ac:dyDescent="0.25">
      <c r="A1218">
        <v>1217</v>
      </c>
      <c r="B1218" s="1">
        <v>45844</v>
      </c>
      <c r="C1218" t="s">
        <v>21</v>
      </c>
      <c r="D1218" t="s">
        <v>24</v>
      </c>
      <c r="E1218" t="s">
        <v>29</v>
      </c>
      <c r="F1218" t="s">
        <v>36</v>
      </c>
      <c r="G1218" t="s">
        <v>70</v>
      </c>
      <c r="H1218" t="s">
        <v>75</v>
      </c>
      <c r="I1218">
        <v>4</v>
      </c>
      <c r="J1218">
        <v>1945</v>
      </c>
      <c r="K1218">
        <v>0.1</v>
      </c>
      <c r="L1218">
        <v>7002</v>
      </c>
      <c r="M1218">
        <v>6083.84</v>
      </c>
      <c r="N1218">
        <v>918.16</v>
      </c>
      <c r="O1218" t="s">
        <v>76</v>
      </c>
      <c r="P1218" t="s">
        <v>86</v>
      </c>
    </row>
    <row r="1219" spans="1:16" x14ac:dyDescent="0.25">
      <c r="A1219">
        <v>1218</v>
      </c>
      <c r="B1219" s="1">
        <v>45824</v>
      </c>
      <c r="C1219" t="s">
        <v>18</v>
      </c>
      <c r="D1219" t="s">
        <v>26</v>
      </c>
      <c r="E1219" t="s">
        <v>28</v>
      </c>
      <c r="F1219" t="s">
        <v>61</v>
      </c>
      <c r="G1219" t="s">
        <v>72</v>
      </c>
      <c r="H1219" t="s">
        <v>74</v>
      </c>
      <c r="I1219">
        <v>1</v>
      </c>
      <c r="J1219">
        <v>2422</v>
      </c>
      <c r="K1219">
        <v>0.05</v>
      </c>
      <c r="L1219">
        <v>2300.9</v>
      </c>
      <c r="M1219">
        <v>1623.09</v>
      </c>
      <c r="N1219">
        <v>677.81</v>
      </c>
      <c r="O1219" t="s">
        <v>76</v>
      </c>
      <c r="P1219" t="s">
        <v>88</v>
      </c>
    </row>
    <row r="1220" spans="1:16" x14ac:dyDescent="0.25">
      <c r="A1220">
        <v>1219</v>
      </c>
      <c r="B1220" s="1">
        <v>45661</v>
      </c>
      <c r="C1220" t="s">
        <v>23</v>
      </c>
      <c r="D1220" t="s">
        <v>27</v>
      </c>
      <c r="E1220" t="s">
        <v>31</v>
      </c>
      <c r="F1220" t="s">
        <v>69</v>
      </c>
      <c r="G1220" t="s">
        <v>70</v>
      </c>
      <c r="H1220" t="s">
        <v>75</v>
      </c>
      <c r="I1220">
        <v>2</v>
      </c>
      <c r="J1220">
        <v>217</v>
      </c>
      <c r="K1220">
        <v>0.05</v>
      </c>
      <c r="L1220">
        <v>412.3</v>
      </c>
      <c r="M1220">
        <v>311.51</v>
      </c>
      <c r="N1220">
        <v>100.79</v>
      </c>
      <c r="O1220" t="s">
        <v>79</v>
      </c>
      <c r="P1220" t="s">
        <v>81</v>
      </c>
    </row>
    <row r="1221" spans="1:16" x14ac:dyDescent="0.25">
      <c r="A1221">
        <v>1220</v>
      </c>
      <c r="B1221" s="1">
        <v>45670</v>
      </c>
      <c r="C1221" t="s">
        <v>20</v>
      </c>
      <c r="D1221" t="s">
        <v>26</v>
      </c>
      <c r="E1221" t="s">
        <v>34</v>
      </c>
      <c r="F1221" t="s">
        <v>43</v>
      </c>
      <c r="G1221" t="s">
        <v>70</v>
      </c>
      <c r="H1221" t="s">
        <v>74</v>
      </c>
      <c r="I1221">
        <v>3</v>
      </c>
      <c r="J1221">
        <v>1217</v>
      </c>
      <c r="K1221">
        <v>0</v>
      </c>
      <c r="L1221">
        <v>3651</v>
      </c>
      <c r="M1221">
        <v>3166.23</v>
      </c>
      <c r="N1221">
        <v>484.77</v>
      </c>
      <c r="O1221" t="s">
        <v>79</v>
      </c>
      <c r="P1221" t="s">
        <v>86</v>
      </c>
    </row>
    <row r="1222" spans="1:16" x14ac:dyDescent="0.25">
      <c r="A1222">
        <v>1221</v>
      </c>
      <c r="B1222" s="1">
        <v>45948</v>
      </c>
      <c r="C1222" t="s">
        <v>20</v>
      </c>
      <c r="D1222" t="s">
        <v>26</v>
      </c>
      <c r="E1222" t="s">
        <v>30</v>
      </c>
      <c r="F1222" t="s">
        <v>37</v>
      </c>
      <c r="G1222" t="s">
        <v>70</v>
      </c>
      <c r="H1222" t="s">
        <v>73</v>
      </c>
      <c r="I1222">
        <v>2</v>
      </c>
      <c r="J1222">
        <v>40057</v>
      </c>
      <c r="K1222">
        <v>0.15</v>
      </c>
      <c r="L1222">
        <v>68096.899999999994</v>
      </c>
      <c r="M1222">
        <v>38043.97</v>
      </c>
      <c r="N1222">
        <v>30052.93</v>
      </c>
      <c r="O1222" t="s">
        <v>79</v>
      </c>
      <c r="P1222" t="s">
        <v>86</v>
      </c>
    </row>
    <row r="1223" spans="1:16" x14ac:dyDescent="0.25">
      <c r="A1223">
        <v>1222</v>
      </c>
      <c r="B1223" s="1">
        <v>45943</v>
      </c>
      <c r="C1223" t="s">
        <v>23</v>
      </c>
      <c r="D1223" t="s">
        <v>27</v>
      </c>
      <c r="E1223" t="s">
        <v>34</v>
      </c>
      <c r="F1223" t="s">
        <v>68</v>
      </c>
      <c r="G1223" t="s">
        <v>70</v>
      </c>
      <c r="H1223" t="s">
        <v>73</v>
      </c>
      <c r="I1223">
        <v>1</v>
      </c>
      <c r="J1223">
        <v>5178</v>
      </c>
      <c r="K1223">
        <v>0</v>
      </c>
      <c r="L1223">
        <v>5178</v>
      </c>
      <c r="M1223">
        <v>3536.34</v>
      </c>
      <c r="N1223">
        <v>1641.66</v>
      </c>
      <c r="O1223" t="s">
        <v>80</v>
      </c>
      <c r="P1223" t="s">
        <v>87</v>
      </c>
    </row>
    <row r="1224" spans="1:16" x14ac:dyDescent="0.25">
      <c r="A1224">
        <v>1223</v>
      </c>
      <c r="B1224" s="1">
        <v>46011</v>
      </c>
      <c r="C1224" t="s">
        <v>20</v>
      </c>
      <c r="D1224" t="s">
        <v>26</v>
      </c>
      <c r="E1224" t="s">
        <v>33</v>
      </c>
      <c r="F1224" t="s">
        <v>46</v>
      </c>
      <c r="G1224" t="s">
        <v>72</v>
      </c>
      <c r="H1224" t="s">
        <v>73</v>
      </c>
      <c r="I1224">
        <v>8</v>
      </c>
      <c r="J1224">
        <v>33732</v>
      </c>
      <c r="K1224">
        <v>0.05</v>
      </c>
      <c r="L1224">
        <v>256363.2</v>
      </c>
      <c r="M1224">
        <v>156462.41</v>
      </c>
      <c r="N1224">
        <v>99900.79</v>
      </c>
      <c r="O1224" t="s">
        <v>79</v>
      </c>
      <c r="P1224" t="s">
        <v>85</v>
      </c>
    </row>
    <row r="1225" spans="1:16" x14ac:dyDescent="0.25">
      <c r="A1225">
        <v>1224</v>
      </c>
      <c r="B1225" s="1">
        <v>45883</v>
      </c>
      <c r="C1225" t="s">
        <v>19</v>
      </c>
      <c r="D1225" t="s">
        <v>26</v>
      </c>
      <c r="E1225" t="s">
        <v>34</v>
      </c>
      <c r="F1225" t="s">
        <v>51</v>
      </c>
      <c r="G1225" t="s">
        <v>71</v>
      </c>
      <c r="H1225" t="s">
        <v>75</v>
      </c>
      <c r="I1225">
        <v>7</v>
      </c>
      <c r="J1225">
        <v>4202</v>
      </c>
      <c r="K1225">
        <v>0.15</v>
      </c>
      <c r="L1225">
        <v>25001.9</v>
      </c>
      <c r="M1225">
        <v>15095.21</v>
      </c>
      <c r="N1225">
        <v>9906.69</v>
      </c>
      <c r="O1225" t="s">
        <v>79</v>
      </c>
      <c r="P1225" t="s">
        <v>88</v>
      </c>
    </row>
    <row r="1226" spans="1:16" x14ac:dyDescent="0.25">
      <c r="A1226">
        <v>1225</v>
      </c>
      <c r="B1226" s="1">
        <v>45764</v>
      </c>
      <c r="C1226" t="s">
        <v>18</v>
      </c>
      <c r="D1226" t="s">
        <v>26</v>
      </c>
      <c r="E1226" t="s">
        <v>31</v>
      </c>
      <c r="F1226" t="s">
        <v>50</v>
      </c>
      <c r="G1226" t="s">
        <v>70</v>
      </c>
      <c r="H1226" t="s">
        <v>75</v>
      </c>
      <c r="I1226">
        <v>3</v>
      </c>
      <c r="J1226">
        <v>1307</v>
      </c>
      <c r="K1226">
        <v>0.1</v>
      </c>
      <c r="L1226">
        <v>3528.9</v>
      </c>
      <c r="M1226">
        <v>2842.4</v>
      </c>
      <c r="N1226">
        <v>686.5</v>
      </c>
      <c r="O1226" t="s">
        <v>77</v>
      </c>
      <c r="P1226" t="s">
        <v>84</v>
      </c>
    </row>
    <row r="1227" spans="1:16" x14ac:dyDescent="0.25">
      <c r="A1227">
        <v>1226</v>
      </c>
      <c r="B1227" s="1">
        <v>45737</v>
      </c>
      <c r="C1227" t="s">
        <v>20</v>
      </c>
      <c r="D1227" t="s">
        <v>26</v>
      </c>
      <c r="E1227" t="s">
        <v>30</v>
      </c>
      <c r="F1227" t="s">
        <v>56</v>
      </c>
      <c r="G1227" t="s">
        <v>71</v>
      </c>
      <c r="H1227" t="s">
        <v>74</v>
      </c>
      <c r="I1227">
        <v>7</v>
      </c>
      <c r="J1227">
        <v>45879</v>
      </c>
      <c r="K1227">
        <v>0</v>
      </c>
      <c r="L1227">
        <v>321153</v>
      </c>
      <c r="M1227">
        <v>237314.92</v>
      </c>
      <c r="N1227">
        <v>83838.080000000002</v>
      </c>
      <c r="O1227" t="s">
        <v>78</v>
      </c>
      <c r="P1227" t="s">
        <v>84</v>
      </c>
    </row>
    <row r="1228" spans="1:16" x14ac:dyDescent="0.25">
      <c r="A1228">
        <v>1227</v>
      </c>
      <c r="B1228" s="1">
        <v>45837</v>
      </c>
      <c r="C1228" t="s">
        <v>19</v>
      </c>
      <c r="D1228" t="s">
        <v>26</v>
      </c>
      <c r="E1228" t="s">
        <v>34</v>
      </c>
      <c r="F1228" t="s">
        <v>43</v>
      </c>
      <c r="G1228" t="s">
        <v>71</v>
      </c>
      <c r="H1228" t="s">
        <v>73</v>
      </c>
      <c r="I1228">
        <v>7</v>
      </c>
      <c r="J1228">
        <v>5451</v>
      </c>
      <c r="K1228">
        <v>0.15</v>
      </c>
      <c r="L1228">
        <v>32433.45</v>
      </c>
      <c r="M1228">
        <v>20975.89</v>
      </c>
      <c r="N1228">
        <v>11457.56</v>
      </c>
      <c r="O1228" t="s">
        <v>79</v>
      </c>
      <c r="P1228" t="s">
        <v>87</v>
      </c>
    </row>
    <row r="1229" spans="1:16" x14ac:dyDescent="0.25">
      <c r="A1229">
        <v>1228</v>
      </c>
      <c r="B1229" s="1">
        <v>45923</v>
      </c>
      <c r="C1229" t="s">
        <v>20</v>
      </c>
      <c r="D1229" t="s">
        <v>26</v>
      </c>
      <c r="E1229" t="s">
        <v>28</v>
      </c>
      <c r="F1229" t="s">
        <v>54</v>
      </c>
      <c r="G1229" t="s">
        <v>72</v>
      </c>
      <c r="H1229" t="s">
        <v>74</v>
      </c>
      <c r="I1229">
        <v>4</v>
      </c>
      <c r="J1229">
        <v>2447</v>
      </c>
      <c r="K1229">
        <v>0.05</v>
      </c>
      <c r="L1229">
        <v>9298.6</v>
      </c>
      <c r="M1229">
        <v>7708.17</v>
      </c>
      <c r="N1229">
        <v>1590.43</v>
      </c>
      <c r="O1229" t="s">
        <v>79</v>
      </c>
      <c r="P1229" t="s">
        <v>84</v>
      </c>
    </row>
    <row r="1230" spans="1:16" x14ac:dyDescent="0.25">
      <c r="A1230">
        <v>1229</v>
      </c>
      <c r="B1230" s="1">
        <v>45842</v>
      </c>
      <c r="C1230" t="s">
        <v>17</v>
      </c>
      <c r="D1230" t="s">
        <v>25</v>
      </c>
      <c r="E1230" t="s">
        <v>31</v>
      </c>
      <c r="F1230" t="s">
        <v>38</v>
      </c>
      <c r="G1230" t="s">
        <v>71</v>
      </c>
      <c r="H1230" t="s">
        <v>75</v>
      </c>
      <c r="I1230">
        <v>8</v>
      </c>
      <c r="J1230">
        <v>1970</v>
      </c>
      <c r="K1230">
        <v>0.1</v>
      </c>
      <c r="L1230">
        <v>14184</v>
      </c>
      <c r="M1230">
        <v>8598.35</v>
      </c>
      <c r="N1230">
        <v>5585.65</v>
      </c>
      <c r="O1230" t="s">
        <v>79</v>
      </c>
      <c r="P1230" t="s">
        <v>82</v>
      </c>
    </row>
    <row r="1231" spans="1:16" x14ac:dyDescent="0.25">
      <c r="A1231">
        <v>1230</v>
      </c>
      <c r="B1231" s="1">
        <v>45884</v>
      </c>
      <c r="C1231" t="s">
        <v>20</v>
      </c>
      <c r="D1231" t="s">
        <v>26</v>
      </c>
      <c r="E1231" t="s">
        <v>33</v>
      </c>
      <c r="F1231" t="s">
        <v>52</v>
      </c>
      <c r="G1231" t="s">
        <v>70</v>
      </c>
      <c r="H1231" t="s">
        <v>74</v>
      </c>
      <c r="I1231">
        <v>2</v>
      </c>
      <c r="J1231">
        <v>14446</v>
      </c>
      <c r="K1231">
        <v>0.1</v>
      </c>
      <c r="L1231">
        <v>26002.799999999999</v>
      </c>
      <c r="M1231">
        <v>18319.740000000002</v>
      </c>
      <c r="N1231">
        <v>7683.06</v>
      </c>
      <c r="O1231" t="s">
        <v>78</v>
      </c>
      <c r="P1231" t="s">
        <v>87</v>
      </c>
    </row>
    <row r="1232" spans="1:16" x14ac:dyDescent="0.25">
      <c r="A1232">
        <v>1231</v>
      </c>
      <c r="B1232" s="1">
        <v>45738</v>
      </c>
      <c r="C1232" t="s">
        <v>16</v>
      </c>
      <c r="D1232" t="s">
        <v>24</v>
      </c>
      <c r="E1232" t="s">
        <v>33</v>
      </c>
      <c r="F1232" t="s">
        <v>52</v>
      </c>
      <c r="G1232" t="s">
        <v>70</v>
      </c>
      <c r="H1232" t="s">
        <v>75</v>
      </c>
      <c r="I1232">
        <v>2</v>
      </c>
      <c r="J1232">
        <v>20078</v>
      </c>
      <c r="K1232">
        <v>0</v>
      </c>
      <c r="L1232">
        <v>40156</v>
      </c>
      <c r="M1232">
        <v>26022.7</v>
      </c>
      <c r="N1232">
        <v>14133.3</v>
      </c>
      <c r="O1232" t="s">
        <v>79</v>
      </c>
      <c r="P1232" t="s">
        <v>81</v>
      </c>
    </row>
    <row r="1233" spans="1:16" x14ac:dyDescent="0.25">
      <c r="A1233">
        <v>1232</v>
      </c>
      <c r="B1233" s="1">
        <v>45899</v>
      </c>
      <c r="C1233" t="s">
        <v>19</v>
      </c>
      <c r="D1233" t="s">
        <v>26</v>
      </c>
      <c r="E1233" t="s">
        <v>32</v>
      </c>
      <c r="F1233" t="s">
        <v>66</v>
      </c>
      <c r="G1233" t="s">
        <v>71</v>
      </c>
      <c r="H1233" t="s">
        <v>75</v>
      </c>
      <c r="I1233">
        <v>8</v>
      </c>
      <c r="J1233">
        <v>4423</v>
      </c>
      <c r="K1233">
        <v>0.15</v>
      </c>
      <c r="L1233">
        <v>30076.400000000001</v>
      </c>
      <c r="M1233">
        <v>17093.34</v>
      </c>
      <c r="N1233">
        <v>12983.06</v>
      </c>
      <c r="O1233" t="s">
        <v>76</v>
      </c>
      <c r="P1233" t="s">
        <v>83</v>
      </c>
    </row>
    <row r="1234" spans="1:16" x14ac:dyDescent="0.25">
      <c r="A1234">
        <v>1233</v>
      </c>
      <c r="B1234" s="1">
        <v>45676</v>
      </c>
      <c r="C1234" t="s">
        <v>20</v>
      </c>
      <c r="D1234" t="s">
        <v>26</v>
      </c>
      <c r="E1234" t="s">
        <v>29</v>
      </c>
      <c r="F1234" t="s">
        <v>53</v>
      </c>
      <c r="G1234" t="s">
        <v>72</v>
      </c>
      <c r="H1234" t="s">
        <v>75</v>
      </c>
      <c r="I1234">
        <v>2</v>
      </c>
      <c r="J1234">
        <v>5499</v>
      </c>
      <c r="K1234">
        <v>0.15</v>
      </c>
      <c r="L1234">
        <v>9348.2999999999993</v>
      </c>
      <c r="M1234">
        <v>6546.32</v>
      </c>
      <c r="N1234">
        <v>2801.98</v>
      </c>
      <c r="O1234" t="s">
        <v>79</v>
      </c>
      <c r="P1234" t="s">
        <v>86</v>
      </c>
    </row>
    <row r="1235" spans="1:16" x14ac:dyDescent="0.25">
      <c r="A1235">
        <v>1234</v>
      </c>
      <c r="B1235" s="1">
        <v>45732</v>
      </c>
      <c r="C1235" t="s">
        <v>19</v>
      </c>
      <c r="D1235" t="s">
        <v>26</v>
      </c>
      <c r="E1235" t="s">
        <v>32</v>
      </c>
      <c r="F1235" t="s">
        <v>39</v>
      </c>
      <c r="G1235" t="s">
        <v>71</v>
      </c>
      <c r="H1235" t="s">
        <v>74</v>
      </c>
      <c r="I1235">
        <v>5</v>
      </c>
      <c r="J1235">
        <v>3982</v>
      </c>
      <c r="K1235">
        <v>0.1</v>
      </c>
      <c r="L1235">
        <v>17919</v>
      </c>
      <c r="M1235">
        <v>12086.69</v>
      </c>
      <c r="N1235">
        <v>5832.31</v>
      </c>
      <c r="O1235" t="s">
        <v>76</v>
      </c>
      <c r="P1235" t="s">
        <v>84</v>
      </c>
    </row>
    <row r="1236" spans="1:16" x14ac:dyDescent="0.25">
      <c r="A1236">
        <v>1235</v>
      </c>
      <c r="B1236" s="1">
        <v>45903</v>
      </c>
      <c r="C1236" t="s">
        <v>17</v>
      </c>
      <c r="D1236" t="s">
        <v>25</v>
      </c>
      <c r="E1236" t="s">
        <v>34</v>
      </c>
      <c r="F1236" t="s">
        <v>55</v>
      </c>
      <c r="G1236" t="s">
        <v>70</v>
      </c>
      <c r="H1236" t="s">
        <v>74</v>
      </c>
      <c r="I1236">
        <v>5</v>
      </c>
      <c r="J1236">
        <v>1004</v>
      </c>
      <c r="K1236">
        <v>0.1</v>
      </c>
      <c r="L1236">
        <v>4518</v>
      </c>
      <c r="M1236">
        <v>3840.27</v>
      </c>
      <c r="N1236">
        <v>677.73</v>
      </c>
      <c r="O1236" t="s">
        <v>77</v>
      </c>
      <c r="P1236" t="s">
        <v>81</v>
      </c>
    </row>
    <row r="1237" spans="1:16" x14ac:dyDescent="0.25">
      <c r="A1237">
        <v>1236</v>
      </c>
      <c r="B1237" s="1">
        <v>45897</v>
      </c>
      <c r="C1237" t="s">
        <v>20</v>
      </c>
      <c r="D1237" t="s">
        <v>26</v>
      </c>
      <c r="E1237" t="s">
        <v>34</v>
      </c>
      <c r="F1237" t="s">
        <v>51</v>
      </c>
      <c r="G1237" t="s">
        <v>71</v>
      </c>
      <c r="H1237" t="s">
        <v>75</v>
      </c>
      <c r="I1237">
        <v>3</v>
      </c>
      <c r="J1237">
        <v>2704</v>
      </c>
      <c r="K1237">
        <v>0.05</v>
      </c>
      <c r="L1237">
        <v>7706.4</v>
      </c>
      <c r="M1237">
        <v>6525.71</v>
      </c>
      <c r="N1237">
        <v>1180.69</v>
      </c>
      <c r="O1237" t="s">
        <v>79</v>
      </c>
      <c r="P1237" t="s">
        <v>85</v>
      </c>
    </row>
    <row r="1238" spans="1:16" x14ac:dyDescent="0.25">
      <c r="A1238">
        <v>1237</v>
      </c>
      <c r="B1238" s="1">
        <v>45889</v>
      </c>
      <c r="C1238" t="s">
        <v>22</v>
      </c>
      <c r="D1238" t="s">
        <v>24</v>
      </c>
      <c r="E1238" t="s">
        <v>34</v>
      </c>
      <c r="F1238" t="s">
        <v>51</v>
      </c>
      <c r="G1238" t="s">
        <v>70</v>
      </c>
      <c r="H1238" t="s">
        <v>75</v>
      </c>
      <c r="I1238">
        <v>6</v>
      </c>
      <c r="J1238">
        <v>1863</v>
      </c>
      <c r="K1238">
        <v>0.1</v>
      </c>
      <c r="L1238">
        <v>10060.200000000001</v>
      </c>
      <c r="M1238">
        <v>8374.84</v>
      </c>
      <c r="N1238">
        <v>1685.36</v>
      </c>
      <c r="O1238" t="s">
        <v>79</v>
      </c>
      <c r="P1238" t="s">
        <v>81</v>
      </c>
    </row>
    <row r="1239" spans="1:16" x14ac:dyDescent="0.25">
      <c r="A1239">
        <v>1238</v>
      </c>
      <c r="B1239" s="1">
        <v>45941</v>
      </c>
      <c r="C1239" t="s">
        <v>21</v>
      </c>
      <c r="D1239" t="s">
        <v>24</v>
      </c>
      <c r="E1239" t="s">
        <v>28</v>
      </c>
      <c r="F1239" t="s">
        <v>35</v>
      </c>
      <c r="G1239" t="s">
        <v>72</v>
      </c>
      <c r="H1239" t="s">
        <v>73</v>
      </c>
      <c r="I1239">
        <v>6</v>
      </c>
      <c r="J1239">
        <v>1257</v>
      </c>
      <c r="K1239">
        <v>0.05</v>
      </c>
      <c r="L1239">
        <v>7164.9</v>
      </c>
      <c r="M1239">
        <v>5109.46</v>
      </c>
      <c r="N1239">
        <v>2055.44</v>
      </c>
      <c r="O1239" t="s">
        <v>76</v>
      </c>
      <c r="P1239" t="s">
        <v>83</v>
      </c>
    </row>
    <row r="1240" spans="1:16" x14ac:dyDescent="0.25">
      <c r="A1240">
        <v>1239</v>
      </c>
      <c r="B1240" s="1">
        <v>45820</v>
      </c>
      <c r="C1240" t="s">
        <v>17</v>
      </c>
      <c r="D1240" t="s">
        <v>25</v>
      </c>
      <c r="E1240" t="s">
        <v>31</v>
      </c>
      <c r="F1240" t="s">
        <v>38</v>
      </c>
      <c r="G1240" t="s">
        <v>71</v>
      </c>
      <c r="H1240" t="s">
        <v>73</v>
      </c>
      <c r="I1240">
        <v>4</v>
      </c>
      <c r="J1240">
        <v>256</v>
      </c>
      <c r="K1240">
        <v>0</v>
      </c>
      <c r="L1240">
        <v>1024</v>
      </c>
      <c r="M1240">
        <v>578.6</v>
      </c>
      <c r="N1240">
        <v>445.4</v>
      </c>
      <c r="O1240" t="s">
        <v>78</v>
      </c>
      <c r="P1240" t="s">
        <v>83</v>
      </c>
    </row>
    <row r="1241" spans="1:16" x14ac:dyDescent="0.25">
      <c r="A1241">
        <v>1240</v>
      </c>
      <c r="B1241" s="1">
        <v>45732</v>
      </c>
      <c r="C1241" t="s">
        <v>20</v>
      </c>
      <c r="D1241" t="s">
        <v>26</v>
      </c>
      <c r="E1241" t="s">
        <v>31</v>
      </c>
      <c r="F1241" t="s">
        <v>38</v>
      </c>
      <c r="G1241" t="s">
        <v>71</v>
      </c>
      <c r="H1241" t="s">
        <v>73</v>
      </c>
      <c r="I1241">
        <v>6</v>
      </c>
      <c r="J1241">
        <v>1875</v>
      </c>
      <c r="K1241">
        <v>0.1</v>
      </c>
      <c r="L1241">
        <v>10125</v>
      </c>
      <c r="M1241">
        <v>8726.2999999999993</v>
      </c>
      <c r="N1241">
        <v>1398.7</v>
      </c>
      <c r="O1241" t="s">
        <v>76</v>
      </c>
      <c r="P1241" t="s">
        <v>88</v>
      </c>
    </row>
    <row r="1242" spans="1:16" x14ac:dyDescent="0.25">
      <c r="A1242">
        <v>1241</v>
      </c>
      <c r="B1242" s="1">
        <v>45794</v>
      </c>
      <c r="C1242" t="s">
        <v>22</v>
      </c>
      <c r="D1242" t="s">
        <v>24</v>
      </c>
      <c r="E1242" t="s">
        <v>33</v>
      </c>
      <c r="F1242" t="s">
        <v>60</v>
      </c>
      <c r="G1242" t="s">
        <v>71</v>
      </c>
      <c r="H1242" t="s">
        <v>73</v>
      </c>
      <c r="I1242">
        <v>6</v>
      </c>
      <c r="J1242">
        <v>37620</v>
      </c>
      <c r="K1242">
        <v>0.1</v>
      </c>
      <c r="L1242">
        <v>203148</v>
      </c>
      <c r="M1242">
        <v>175426.57</v>
      </c>
      <c r="N1242">
        <v>27721.43</v>
      </c>
      <c r="O1242" t="s">
        <v>80</v>
      </c>
      <c r="P1242" t="s">
        <v>85</v>
      </c>
    </row>
    <row r="1243" spans="1:16" x14ac:dyDescent="0.25">
      <c r="A1243">
        <v>1242</v>
      </c>
      <c r="B1243" s="1">
        <v>45789</v>
      </c>
      <c r="C1243" t="s">
        <v>17</v>
      </c>
      <c r="D1243" t="s">
        <v>25</v>
      </c>
      <c r="E1243" t="s">
        <v>28</v>
      </c>
      <c r="F1243" t="s">
        <v>54</v>
      </c>
      <c r="G1243" t="s">
        <v>70</v>
      </c>
      <c r="H1243" t="s">
        <v>74</v>
      </c>
      <c r="I1243">
        <v>8</v>
      </c>
      <c r="J1243">
        <v>2328</v>
      </c>
      <c r="K1243">
        <v>0.1</v>
      </c>
      <c r="L1243">
        <v>16761.599999999999</v>
      </c>
      <c r="M1243">
        <v>9736.5499999999993</v>
      </c>
      <c r="N1243">
        <v>7025.05</v>
      </c>
      <c r="O1243" t="s">
        <v>78</v>
      </c>
      <c r="P1243" t="s">
        <v>84</v>
      </c>
    </row>
    <row r="1244" spans="1:16" x14ac:dyDescent="0.25">
      <c r="A1244">
        <v>1243</v>
      </c>
      <c r="B1244" s="1">
        <v>45774</v>
      </c>
      <c r="C1244" t="s">
        <v>17</v>
      </c>
      <c r="D1244" t="s">
        <v>25</v>
      </c>
      <c r="E1244" t="s">
        <v>34</v>
      </c>
      <c r="F1244" t="s">
        <v>68</v>
      </c>
      <c r="G1244" t="s">
        <v>71</v>
      </c>
      <c r="H1244" t="s">
        <v>73</v>
      </c>
      <c r="I1244">
        <v>4</v>
      </c>
      <c r="J1244">
        <v>3237</v>
      </c>
      <c r="K1244">
        <v>0.05</v>
      </c>
      <c r="L1244">
        <v>12300.6</v>
      </c>
      <c r="M1244">
        <v>10406.66</v>
      </c>
      <c r="N1244">
        <v>1893.94</v>
      </c>
      <c r="O1244" t="s">
        <v>79</v>
      </c>
      <c r="P1244" t="s">
        <v>83</v>
      </c>
    </row>
    <row r="1245" spans="1:16" x14ac:dyDescent="0.25">
      <c r="A1245">
        <v>1244</v>
      </c>
      <c r="B1245" s="1">
        <v>45787</v>
      </c>
      <c r="C1245" t="s">
        <v>23</v>
      </c>
      <c r="D1245" t="s">
        <v>27</v>
      </c>
      <c r="E1245" t="s">
        <v>28</v>
      </c>
      <c r="F1245" t="s">
        <v>61</v>
      </c>
      <c r="G1245" t="s">
        <v>70</v>
      </c>
      <c r="H1245" t="s">
        <v>74</v>
      </c>
      <c r="I1245">
        <v>3</v>
      </c>
      <c r="J1245">
        <v>1679</v>
      </c>
      <c r="K1245">
        <v>0.2</v>
      </c>
      <c r="L1245">
        <v>4029.6</v>
      </c>
      <c r="M1245">
        <v>2738.61</v>
      </c>
      <c r="N1245">
        <v>1290.99</v>
      </c>
      <c r="O1245" t="s">
        <v>77</v>
      </c>
      <c r="P1245" t="s">
        <v>81</v>
      </c>
    </row>
    <row r="1246" spans="1:16" x14ac:dyDescent="0.25">
      <c r="A1246">
        <v>1245</v>
      </c>
      <c r="B1246" s="1">
        <v>45812</v>
      </c>
      <c r="C1246" t="s">
        <v>20</v>
      </c>
      <c r="D1246" t="s">
        <v>26</v>
      </c>
      <c r="E1246" t="s">
        <v>34</v>
      </c>
      <c r="F1246" t="s">
        <v>65</v>
      </c>
      <c r="G1246" t="s">
        <v>71</v>
      </c>
      <c r="H1246" t="s">
        <v>73</v>
      </c>
      <c r="I1246">
        <v>7</v>
      </c>
      <c r="J1246">
        <v>2404</v>
      </c>
      <c r="K1246">
        <v>0.15</v>
      </c>
      <c r="L1246">
        <v>14303.8</v>
      </c>
      <c r="M1246">
        <v>11692.07</v>
      </c>
      <c r="N1246">
        <v>2611.73</v>
      </c>
      <c r="O1246" t="s">
        <v>79</v>
      </c>
      <c r="P1246" t="s">
        <v>85</v>
      </c>
    </row>
    <row r="1247" spans="1:16" x14ac:dyDescent="0.25">
      <c r="A1247">
        <v>1246</v>
      </c>
      <c r="B1247" s="1">
        <v>45848</v>
      </c>
      <c r="C1247" t="s">
        <v>21</v>
      </c>
      <c r="D1247" t="s">
        <v>24</v>
      </c>
      <c r="E1247" t="s">
        <v>28</v>
      </c>
      <c r="F1247" t="s">
        <v>35</v>
      </c>
      <c r="G1247" t="s">
        <v>72</v>
      </c>
      <c r="H1247" t="s">
        <v>74</v>
      </c>
      <c r="I1247">
        <v>4</v>
      </c>
      <c r="J1247">
        <v>166</v>
      </c>
      <c r="K1247">
        <v>0.1</v>
      </c>
      <c r="L1247">
        <v>597.6</v>
      </c>
      <c r="M1247">
        <v>378.76</v>
      </c>
      <c r="N1247">
        <v>218.84</v>
      </c>
      <c r="O1247" t="s">
        <v>80</v>
      </c>
      <c r="P1247" t="s">
        <v>86</v>
      </c>
    </row>
    <row r="1248" spans="1:16" x14ac:dyDescent="0.25">
      <c r="A1248">
        <v>1247</v>
      </c>
      <c r="B1248" s="1">
        <v>45688</v>
      </c>
      <c r="C1248" t="s">
        <v>17</v>
      </c>
      <c r="D1248" t="s">
        <v>25</v>
      </c>
      <c r="E1248" t="s">
        <v>31</v>
      </c>
      <c r="F1248" t="s">
        <v>38</v>
      </c>
      <c r="G1248" t="s">
        <v>70</v>
      </c>
      <c r="H1248" t="s">
        <v>75</v>
      </c>
      <c r="I1248">
        <v>3</v>
      </c>
      <c r="J1248">
        <v>404</v>
      </c>
      <c r="K1248">
        <v>0</v>
      </c>
      <c r="L1248">
        <v>1212</v>
      </c>
      <c r="M1248">
        <v>813.5</v>
      </c>
      <c r="N1248">
        <v>398.5</v>
      </c>
      <c r="O1248" t="s">
        <v>76</v>
      </c>
      <c r="P1248" t="s">
        <v>81</v>
      </c>
    </row>
    <row r="1249" spans="1:16" x14ac:dyDescent="0.25">
      <c r="A1249">
        <v>1248</v>
      </c>
      <c r="B1249" s="1">
        <v>45707</v>
      </c>
      <c r="C1249" t="s">
        <v>22</v>
      </c>
      <c r="D1249" t="s">
        <v>24</v>
      </c>
      <c r="E1249" t="s">
        <v>29</v>
      </c>
      <c r="F1249" t="s">
        <v>45</v>
      </c>
      <c r="G1249" t="s">
        <v>72</v>
      </c>
      <c r="H1249" t="s">
        <v>73</v>
      </c>
      <c r="I1249">
        <v>5</v>
      </c>
      <c r="J1249">
        <v>8743</v>
      </c>
      <c r="K1249">
        <v>0.1</v>
      </c>
      <c r="L1249">
        <v>39343.5</v>
      </c>
      <c r="M1249">
        <v>22275.52</v>
      </c>
      <c r="N1249">
        <v>17067.98</v>
      </c>
      <c r="O1249" t="s">
        <v>76</v>
      </c>
      <c r="P1249" t="s">
        <v>86</v>
      </c>
    </row>
    <row r="1250" spans="1:16" x14ac:dyDescent="0.25">
      <c r="A1250">
        <v>1249</v>
      </c>
      <c r="B1250" s="1">
        <v>45796</v>
      </c>
      <c r="C1250" t="s">
        <v>16</v>
      </c>
      <c r="D1250" t="s">
        <v>24</v>
      </c>
      <c r="E1250" t="s">
        <v>33</v>
      </c>
      <c r="F1250" t="s">
        <v>52</v>
      </c>
      <c r="G1250" t="s">
        <v>72</v>
      </c>
      <c r="H1250" t="s">
        <v>75</v>
      </c>
      <c r="I1250">
        <v>7</v>
      </c>
      <c r="J1250">
        <v>20045</v>
      </c>
      <c r="K1250">
        <v>0</v>
      </c>
      <c r="L1250">
        <v>140315</v>
      </c>
      <c r="M1250">
        <v>114005.77</v>
      </c>
      <c r="N1250">
        <v>26309.23</v>
      </c>
      <c r="O1250" t="s">
        <v>79</v>
      </c>
      <c r="P1250" t="s">
        <v>83</v>
      </c>
    </row>
    <row r="1251" spans="1:16" x14ac:dyDescent="0.25">
      <c r="A1251">
        <v>1250</v>
      </c>
      <c r="B1251" s="1">
        <v>45949</v>
      </c>
      <c r="C1251" t="s">
        <v>16</v>
      </c>
      <c r="D1251" t="s">
        <v>24</v>
      </c>
      <c r="E1251" t="s">
        <v>28</v>
      </c>
      <c r="F1251" t="s">
        <v>58</v>
      </c>
      <c r="G1251" t="s">
        <v>72</v>
      </c>
      <c r="H1251" t="s">
        <v>73</v>
      </c>
      <c r="I1251">
        <v>8</v>
      </c>
      <c r="J1251">
        <v>106</v>
      </c>
      <c r="K1251">
        <v>0</v>
      </c>
      <c r="L1251">
        <v>848</v>
      </c>
      <c r="M1251">
        <v>738.63</v>
      </c>
      <c r="N1251">
        <v>109.37</v>
      </c>
      <c r="O1251" t="s">
        <v>80</v>
      </c>
      <c r="P1251" t="s">
        <v>81</v>
      </c>
    </row>
    <row r="1252" spans="1:16" x14ac:dyDescent="0.25">
      <c r="A1252">
        <v>1251</v>
      </c>
      <c r="B1252" s="1">
        <v>45904</v>
      </c>
      <c r="C1252" t="s">
        <v>17</v>
      </c>
      <c r="D1252" t="s">
        <v>25</v>
      </c>
      <c r="E1252" t="s">
        <v>29</v>
      </c>
      <c r="F1252" t="s">
        <v>57</v>
      </c>
      <c r="G1252" t="s">
        <v>70</v>
      </c>
      <c r="H1252" t="s">
        <v>73</v>
      </c>
      <c r="I1252">
        <v>5</v>
      </c>
      <c r="J1252">
        <v>8475</v>
      </c>
      <c r="K1252">
        <v>0.05</v>
      </c>
      <c r="L1252">
        <v>40256.25</v>
      </c>
      <c r="M1252">
        <v>24302.99</v>
      </c>
      <c r="N1252">
        <v>15953.26</v>
      </c>
      <c r="O1252" t="s">
        <v>77</v>
      </c>
      <c r="P1252" t="s">
        <v>88</v>
      </c>
    </row>
    <row r="1253" spans="1:16" x14ac:dyDescent="0.25">
      <c r="A1253">
        <v>1252</v>
      </c>
      <c r="B1253" s="1">
        <v>45687</v>
      </c>
      <c r="C1253" t="s">
        <v>22</v>
      </c>
      <c r="D1253" t="s">
        <v>24</v>
      </c>
      <c r="E1253" t="s">
        <v>28</v>
      </c>
      <c r="F1253" t="s">
        <v>35</v>
      </c>
      <c r="G1253" t="s">
        <v>70</v>
      </c>
      <c r="H1253" t="s">
        <v>73</v>
      </c>
      <c r="I1253">
        <v>5</v>
      </c>
      <c r="J1253">
        <v>1135</v>
      </c>
      <c r="K1253">
        <v>0.1</v>
      </c>
      <c r="L1253">
        <v>5107.5</v>
      </c>
      <c r="M1253">
        <v>4444.74</v>
      </c>
      <c r="N1253">
        <v>662.76</v>
      </c>
      <c r="O1253" t="s">
        <v>78</v>
      </c>
      <c r="P1253" t="s">
        <v>86</v>
      </c>
    </row>
    <row r="1254" spans="1:16" x14ac:dyDescent="0.25">
      <c r="A1254">
        <v>1253</v>
      </c>
      <c r="B1254" s="1">
        <v>46022</v>
      </c>
      <c r="C1254" t="s">
        <v>20</v>
      </c>
      <c r="D1254" t="s">
        <v>26</v>
      </c>
      <c r="E1254" t="s">
        <v>33</v>
      </c>
      <c r="F1254" t="s">
        <v>60</v>
      </c>
      <c r="G1254" t="s">
        <v>71</v>
      </c>
      <c r="H1254" t="s">
        <v>73</v>
      </c>
      <c r="I1254">
        <v>5</v>
      </c>
      <c r="J1254">
        <v>44753</v>
      </c>
      <c r="K1254">
        <v>0.05</v>
      </c>
      <c r="L1254">
        <v>212576.75</v>
      </c>
      <c r="M1254">
        <v>183850.31</v>
      </c>
      <c r="N1254">
        <v>28726.44</v>
      </c>
      <c r="O1254" t="s">
        <v>76</v>
      </c>
      <c r="P1254" t="s">
        <v>82</v>
      </c>
    </row>
    <row r="1255" spans="1:16" x14ac:dyDescent="0.25">
      <c r="A1255">
        <v>1254</v>
      </c>
      <c r="B1255" s="1">
        <v>45931</v>
      </c>
      <c r="C1255" t="s">
        <v>19</v>
      </c>
      <c r="D1255" t="s">
        <v>26</v>
      </c>
      <c r="E1255" t="s">
        <v>28</v>
      </c>
      <c r="F1255" t="s">
        <v>63</v>
      </c>
      <c r="G1255" t="s">
        <v>72</v>
      </c>
      <c r="H1255" t="s">
        <v>75</v>
      </c>
      <c r="I1255">
        <v>2</v>
      </c>
      <c r="J1255">
        <v>1344</v>
      </c>
      <c r="K1255">
        <v>0.05</v>
      </c>
      <c r="L1255">
        <v>2553.6</v>
      </c>
      <c r="M1255">
        <v>1671.68</v>
      </c>
      <c r="N1255">
        <v>881.92</v>
      </c>
      <c r="O1255" t="s">
        <v>80</v>
      </c>
      <c r="P1255" t="s">
        <v>81</v>
      </c>
    </row>
    <row r="1256" spans="1:16" x14ac:dyDescent="0.25">
      <c r="A1256">
        <v>1255</v>
      </c>
      <c r="B1256" s="1">
        <v>45800</v>
      </c>
      <c r="C1256" t="s">
        <v>21</v>
      </c>
      <c r="D1256" t="s">
        <v>24</v>
      </c>
      <c r="E1256" t="s">
        <v>33</v>
      </c>
      <c r="F1256" t="s">
        <v>52</v>
      </c>
      <c r="G1256" t="s">
        <v>71</v>
      </c>
      <c r="H1256" t="s">
        <v>73</v>
      </c>
      <c r="I1256">
        <v>6</v>
      </c>
      <c r="J1256">
        <v>32762</v>
      </c>
      <c r="K1256">
        <v>0.05</v>
      </c>
      <c r="L1256">
        <v>186743.4</v>
      </c>
      <c r="M1256">
        <v>126196.95</v>
      </c>
      <c r="N1256">
        <v>60546.45</v>
      </c>
      <c r="O1256" t="s">
        <v>80</v>
      </c>
      <c r="P1256" t="s">
        <v>84</v>
      </c>
    </row>
    <row r="1257" spans="1:16" x14ac:dyDescent="0.25">
      <c r="A1257">
        <v>1256</v>
      </c>
      <c r="B1257" s="1">
        <v>45842</v>
      </c>
      <c r="C1257" t="s">
        <v>23</v>
      </c>
      <c r="D1257" t="s">
        <v>27</v>
      </c>
      <c r="E1257" t="s">
        <v>30</v>
      </c>
      <c r="F1257" t="s">
        <v>56</v>
      </c>
      <c r="G1257" t="s">
        <v>70</v>
      </c>
      <c r="H1257" t="s">
        <v>75</v>
      </c>
      <c r="I1257">
        <v>7</v>
      </c>
      <c r="J1257">
        <v>36063</v>
      </c>
      <c r="K1257">
        <v>0.05</v>
      </c>
      <c r="L1257">
        <v>239818.95</v>
      </c>
      <c r="M1257">
        <v>191060</v>
      </c>
      <c r="N1257">
        <v>48758.95</v>
      </c>
      <c r="O1257" t="s">
        <v>79</v>
      </c>
      <c r="P1257" t="s">
        <v>88</v>
      </c>
    </row>
    <row r="1258" spans="1:16" x14ac:dyDescent="0.25">
      <c r="A1258">
        <v>1257</v>
      </c>
      <c r="B1258" s="1">
        <v>45883</v>
      </c>
      <c r="C1258" t="s">
        <v>20</v>
      </c>
      <c r="D1258" t="s">
        <v>26</v>
      </c>
      <c r="E1258" t="s">
        <v>29</v>
      </c>
      <c r="F1258" t="s">
        <v>57</v>
      </c>
      <c r="G1258" t="s">
        <v>70</v>
      </c>
      <c r="H1258" t="s">
        <v>74</v>
      </c>
      <c r="I1258">
        <v>8</v>
      </c>
      <c r="J1258">
        <v>4023</v>
      </c>
      <c r="K1258">
        <v>0.15</v>
      </c>
      <c r="L1258">
        <v>27356.400000000001</v>
      </c>
      <c r="M1258">
        <v>17778.900000000001</v>
      </c>
      <c r="N1258">
        <v>9577.5</v>
      </c>
      <c r="O1258" t="s">
        <v>79</v>
      </c>
      <c r="P1258" t="s">
        <v>87</v>
      </c>
    </row>
    <row r="1259" spans="1:16" x14ac:dyDescent="0.25">
      <c r="A1259">
        <v>1258</v>
      </c>
      <c r="B1259" s="1">
        <v>45967</v>
      </c>
      <c r="C1259" t="s">
        <v>20</v>
      </c>
      <c r="D1259" t="s">
        <v>26</v>
      </c>
      <c r="E1259" t="s">
        <v>29</v>
      </c>
      <c r="F1259" t="s">
        <v>42</v>
      </c>
      <c r="G1259" t="s">
        <v>71</v>
      </c>
      <c r="H1259" t="s">
        <v>73</v>
      </c>
      <c r="I1259">
        <v>5</v>
      </c>
      <c r="J1259">
        <v>6498</v>
      </c>
      <c r="K1259">
        <v>0.1</v>
      </c>
      <c r="L1259">
        <v>29241</v>
      </c>
      <c r="M1259">
        <v>24904.04</v>
      </c>
      <c r="N1259">
        <v>4336.96</v>
      </c>
      <c r="O1259" t="s">
        <v>79</v>
      </c>
      <c r="P1259" t="s">
        <v>86</v>
      </c>
    </row>
    <row r="1260" spans="1:16" x14ac:dyDescent="0.25">
      <c r="A1260">
        <v>1259</v>
      </c>
      <c r="B1260" s="1">
        <v>45687</v>
      </c>
      <c r="C1260" t="s">
        <v>20</v>
      </c>
      <c r="D1260" t="s">
        <v>26</v>
      </c>
      <c r="E1260" t="s">
        <v>30</v>
      </c>
      <c r="F1260" t="s">
        <v>40</v>
      </c>
      <c r="G1260" t="s">
        <v>72</v>
      </c>
      <c r="H1260" t="s">
        <v>74</v>
      </c>
      <c r="I1260">
        <v>8</v>
      </c>
      <c r="J1260">
        <v>10676</v>
      </c>
      <c r="K1260">
        <v>0</v>
      </c>
      <c r="L1260">
        <v>85408</v>
      </c>
      <c r="M1260">
        <v>63602.71</v>
      </c>
      <c r="N1260">
        <v>21805.29</v>
      </c>
      <c r="O1260" t="s">
        <v>80</v>
      </c>
      <c r="P1260" t="s">
        <v>86</v>
      </c>
    </row>
    <row r="1261" spans="1:16" x14ac:dyDescent="0.25">
      <c r="A1261">
        <v>1260</v>
      </c>
      <c r="B1261" s="1">
        <v>45859</v>
      </c>
      <c r="C1261" t="s">
        <v>16</v>
      </c>
      <c r="D1261" t="s">
        <v>24</v>
      </c>
      <c r="E1261" t="s">
        <v>28</v>
      </c>
      <c r="F1261" t="s">
        <v>54</v>
      </c>
      <c r="G1261" t="s">
        <v>71</v>
      </c>
      <c r="H1261" t="s">
        <v>75</v>
      </c>
      <c r="I1261">
        <v>3</v>
      </c>
      <c r="J1261">
        <v>1196</v>
      </c>
      <c r="K1261">
        <v>0</v>
      </c>
      <c r="L1261">
        <v>3588</v>
      </c>
      <c r="M1261">
        <v>2143.16</v>
      </c>
      <c r="N1261">
        <v>1444.84</v>
      </c>
      <c r="O1261" t="s">
        <v>80</v>
      </c>
      <c r="P1261" t="s">
        <v>88</v>
      </c>
    </row>
    <row r="1262" spans="1:16" x14ac:dyDescent="0.25">
      <c r="A1262">
        <v>1261</v>
      </c>
      <c r="B1262" s="1">
        <v>45850</v>
      </c>
      <c r="C1262" t="s">
        <v>23</v>
      </c>
      <c r="D1262" t="s">
        <v>27</v>
      </c>
      <c r="E1262" t="s">
        <v>30</v>
      </c>
      <c r="F1262" t="s">
        <v>64</v>
      </c>
      <c r="G1262" t="s">
        <v>70</v>
      </c>
      <c r="H1262" t="s">
        <v>75</v>
      </c>
      <c r="I1262">
        <v>5</v>
      </c>
      <c r="J1262">
        <v>28581</v>
      </c>
      <c r="K1262">
        <v>0</v>
      </c>
      <c r="L1262">
        <v>142905</v>
      </c>
      <c r="M1262">
        <v>123689.23</v>
      </c>
      <c r="N1262">
        <v>19215.77</v>
      </c>
      <c r="O1262" t="s">
        <v>79</v>
      </c>
      <c r="P1262" t="s">
        <v>81</v>
      </c>
    </row>
    <row r="1263" spans="1:16" x14ac:dyDescent="0.25">
      <c r="A1263">
        <v>1262</v>
      </c>
      <c r="B1263" s="1">
        <v>45744</v>
      </c>
      <c r="C1263" t="s">
        <v>23</v>
      </c>
      <c r="D1263" t="s">
        <v>27</v>
      </c>
      <c r="E1263" t="s">
        <v>30</v>
      </c>
      <c r="F1263" t="s">
        <v>44</v>
      </c>
      <c r="G1263" t="s">
        <v>70</v>
      </c>
      <c r="H1263" t="s">
        <v>75</v>
      </c>
      <c r="I1263">
        <v>3</v>
      </c>
      <c r="J1263">
        <v>53789</v>
      </c>
      <c r="K1263">
        <v>0</v>
      </c>
      <c r="L1263">
        <v>161367</v>
      </c>
      <c r="M1263">
        <v>128853</v>
      </c>
      <c r="N1263">
        <v>32514</v>
      </c>
      <c r="O1263" t="s">
        <v>80</v>
      </c>
      <c r="P1263" t="s">
        <v>86</v>
      </c>
    </row>
    <row r="1264" spans="1:16" x14ac:dyDescent="0.25">
      <c r="A1264">
        <v>1263</v>
      </c>
      <c r="B1264" s="1">
        <v>45755</v>
      </c>
      <c r="C1264" t="s">
        <v>16</v>
      </c>
      <c r="D1264" t="s">
        <v>24</v>
      </c>
      <c r="E1264" t="s">
        <v>31</v>
      </c>
      <c r="F1264" t="s">
        <v>47</v>
      </c>
      <c r="G1264" t="s">
        <v>70</v>
      </c>
      <c r="H1264" t="s">
        <v>75</v>
      </c>
      <c r="I1264">
        <v>3</v>
      </c>
      <c r="J1264">
        <v>172</v>
      </c>
      <c r="K1264">
        <v>0</v>
      </c>
      <c r="L1264">
        <v>516</v>
      </c>
      <c r="M1264">
        <v>333.3</v>
      </c>
      <c r="N1264">
        <v>182.7</v>
      </c>
      <c r="O1264" t="s">
        <v>77</v>
      </c>
      <c r="P1264" t="s">
        <v>84</v>
      </c>
    </row>
    <row r="1265" spans="1:16" x14ac:dyDescent="0.25">
      <c r="A1265">
        <v>1264</v>
      </c>
      <c r="B1265" s="1">
        <v>45969</v>
      </c>
      <c r="C1265" t="s">
        <v>16</v>
      </c>
      <c r="D1265" t="s">
        <v>24</v>
      </c>
      <c r="E1265" t="s">
        <v>34</v>
      </c>
      <c r="F1265" t="s">
        <v>55</v>
      </c>
      <c r="G1265" t="s">
        <v>71</v>
      </c>
      <c r="H1265" t="s">
        <v>73</v>
      </c>
      <c r="I1265">
        <v>1</v>
      </c>
      <c r="J1265">
        <v>284</v>
      </c>
      <c r="K1265">
        <v>0.1</v>
      </c>
      <c r="L1265">
        <v>255.6</v>
      </c>
      <c r="M1265">
        <v>212.48</v>
      </c>
      <c r="N1265">
        <v>43.12</v>
      </c>
      <c r="O1265" t="s">
        <v>79</v>
      </c>
      <c r="P1265" t="s">
        <v>86</v>
      </c>
    </row>
    <row r="1266" spans="1:16" x14ac:dyDescent="0.25">
      <c r="A1266">
        <v>1265</v>
      </c>
      <c r="B1266" s="1">
        <v>45886</v>
      </c>
      <c r="C1266" t="s">
        <v>18</v>
      </c>
      <c r="D1266" t="s">
        <v>26</v>
      </c>
      <c r="E1266" t="s">
        <v>29</v>
      </c>
      <c r="F1266" t="s">
        <v>57</v>
      </c>
      <c r="G1266" t="s">
        <v>71</v>
      </c>
      <c r="H1266" t="s">
        <v>74</v>
      </c>
      <c r="I1266">
        <v>2</v>
      </c>
      <c r="J1266">
        <v>11999</v>
      </c>
      <c r="K1266">
        <v>0.1</v>
      </c>
      <c r="L1266">
        <v>21598.2</v>
      </c>
      <c r="M1266">
        <v>17102.919999999998</v>
      </c>
      <c r="N1266">
        <v>4495.28</v>
      </c>
      <c r="O1266" t="s">
        <v>77</v>
      </c>
      <c r="P1266" t="s">
        <v>85</v>
      </c>
    </row>
    <row r="1267" spans="1:16" x14ac:dyDescent="0.25">
      <c r="A1267">
        <v>1266</v>
      </c>
      <c r="B1267" s="1">
        <v>45933</v>
      </c>
      <c r="C1267" t="s">
        <v>18</v>
      </c>
      <c r="D1267" t="s">
        <v>26</v>
      </c>
      <c r="E1267" t="s">
        <v>32</v>
      </c>
      <c r="F1267" t="s">
        <v>49</v>
      </c>
      <c r="G1267" t="s">
        <v>70</v>
      </c>
      <c r="H1267" t="s">
        <v>73</v>
      </c>
      <c r="I1267">
        <v>8</v>
      </c>
      <c r="J1267">
        <v>11365</v>
      </c>
      <c r="K1267">
        <v>0.1</v>
      </c>
      <c r="L1267">
        <v>81828</v>
      </c>
      <c r="M1267">
        <v>62126.45</v>
      </c>
      <c r="N1267">
        <v>19701.55</v>
      </c>
      <c r="O1267" t="s">
        <v>79</v>
      </c>
      <c r="P1267" t="s">
        <v>86</v>
      </c>
    </row>
    <row r="1268" spans="1:16" x14ac:dyDescent="0.25">
      <c r="A1268">
        <v>1267</v>
      </c>
      <c r="B1268" s="1">
        <v>45987</v>
      </c>
      <c r="C1268" t="s">
        <v>20</v>
      </c>
      <c r="D1268" t="s">
        <v>26</v>
      </c>
      <c r="E1268" t="s">
        <v>29</v>
      </c>
      <c r="F1268" t="s">
        <v>42</v>
      </c>
      <c r="G1268" t="s">
        <v>71</v>
      </c>
      <c r="H1268" t="s">
        <v>73</v>
      </c>
      <c r="I1268">
        <v>3</v>
      </c>
      <c r="J1268">
        <v>8506</v>
      </c>
      <c r="K1268">
        <v>0.05</v>
      </c>
      <c r="L1268">
        <v>24242.1</v>
      </c>
      <c r="M1268">
        <v>16538</v>
      </c>
      <c r="N1268">
        <v>7704.1</v>
      </c>
      <c r="O1268" t="s">
        <v>77</v>
      </c>
      <c r="P1268" t="s">
        <v>84</v>
      </c>
    </row>
    <row r="1269" spans="1:16" x14ac:dyDescent="0.25">
      <c r="A1269">
        <v>1268</v>
      </c>
      <c r="B1269" s="1">
        <v>45804</v>
      </c>
      <c r="C1269" t="s">
        <v>16</v>
      </c>
      <c r="D1269" t="s">
        <v>24</v>
      </c>
      <c r="E1269" t="s">
        <v>29</v>
      </c>
      <c r="F1269" t="s">
        <v>36</v>
      </c>
      <c r="G1269" t="s">
        <v>71</v>
      </c>
      <c r="H1269" t="s">
        <v>75</v>
      </c>
      <c r="I1269">
        <v>3</v>
      </c>
      <c r="J1269">
        <v>4658</v>
      </c>
      <c r="K1269">
        <v>0.05</v>
      </c>
      <c r="L1269">
        <v>13275.3</v>
      </c>
      <c r="M1269">
        <v>11646.28</v>
      </c>
      <c r="N1269">
        <v>1629.02</v>
      </c>
      <c r="O1269" t="s">
        <v>77</v>
      </c>
      <c r="P1269" t="s">
        <v>86</v>
      </c>
    </row>
    <row r="1270" spans="1:16" x14ac:dyDescent="0.25">
      <c r="A1270">
        <v>1269</v>
      </c>
      <c r="B1270" s="1">
        <v>45806</v>
      </c>
      <c r="C1270" t="s">
        <v>20</v>
      </c>
      <c r="D1270" t="s">
        <v>26</v>
      </c>
      <c r="E1270" t="s">
        <v>31</v>
      </c>
      <c r="F1270" t="s">
        <v>50</v>
      </c>
      <c r="G1270" t="s">
        <v>72</v>
      </c>
      <c r="H1270" t="s">
        <v>74</v>
      </c>
      <c r="I1270">
        <v>2</v>
      </c>
      <c r="J1270">
        <v>1757</v>
      </c>
      <c r="K1270">
        <v>0.15</v>
      </c>
      <c r="L1270">
        <v>2986.9</v>
      </c>
      <c r="M1270">
        <v>1848.98</v>
      </c>
      <c r="N1270">
        <v>1137.92</v>
      </c>
      <c r="O1270" t="s">
        <v>76</v>
      </c>
      <c r="P1270" t="s">
        <v>82</v>
      </c>
    </row>
    <row r="1271" spans="1:16" x14ac:dyDescent="0.25">
      <c r="A1271">
        <v>1270</v>
      </c>
      <c r="B1271" s="1">
        <v>45743</v>
      </c>
      <c r="C1271" t="s">
        <v>21</v>
      </c>
      <c r="D1271" t="s">
        <v>24</v>
      </c>
      <c r="E1271" t="s">
        <v>29</v>
      </c>
      <c r="F1271" t="s">
        <v>45</v>
      </c>
      <c r="G1271" t="s">
        <v>70</v>
      </c>
      <c r="H1271" t="s">
        <v>75</v>
      </c>
      <c r="I1271">
        <v>5</v>
      </c>
      <c r="J1271">
        <v>540</v>
      </c>
      <c r="K1271">
        <v>0</v>
      </c>
      <c r="L1271">
        <v>2700</v>
      </c>
      <c r="M1271">
        <v>2039.26</v>
      </c>
      <c r="N1271">
        <v>660.74</v>
      </c>
      <c r="O1271" t="s">
        <v>77</v>
      </c>
      <c r="P1271" t="s">
        <v>85</v>
      </c>
    </row>
    <row r="1272" spans="1:16" x14ac:dyDescent="0.25">
      <c r="A1272">
        <v>1271</v>
      </c>
      <c r="B1272" s="1">
        <v>45916</v>
      </c>
      <c r="C1272" t="s">
        <v>20</v>
      </c>
      <c r="D1272" t="s">
        <v>26</v>
      </c>
      <c r="E1272" t="s">
        <v>28</v>
      </c>
      <c r="F1272" t="s">
        <v>54</v>
      </c>
      <c r="G1272" t="s">
        <v>72</v>
      </c>
      <c r="H1272" t="s">
        <v>74</v>
      </c>
      <c r="I1272">
        <v>6</v>
      </c>
      <c r="J1272">
        <v>438</v>
      </c>
      <c r="K1272">
        <v>0.15</v>
      </c>
      <c r="L1272">
        <v>2233.8000000000002</v>
      </c>
      <c r="M1272">
        <v>1673.33</v>
      </c>
      <c r="N1272">
        <v>560.47</v>
      </c>
      <c r="O1272" t="s">
        <v>77</v>
      </c>
      <c r="P1272" t="s">
        <v>86</v>
      </c>
    </row>
    <row r="1273" spans="1:16" x14ac:dyDescent="0.25">
      <c r="A1273">
        <v>1272</v>
      </c>
      <c r="B1273" s="1">
        <v>45697</v>
      </c>
      <c r="C1273" t="s">
        <v>21</v>
      </c>
      <c r="D1273" t="s">
        <v>24</v>
      </c>
      <c r="E1273" t="s">
        <v>33</v>
      </c>
      <c r="F1273" t="s">
        <v>60</v>
      </c>
      <c r="G1273" t="s">
        <v>72</v>
      </c>
      <c r="H1273" t="s">
        <v>75</v>
      </c>
      <c r="I1273">
        <v>7</v>
      </c>
      <c r="J1273">
        <v>43239</v>
      </c>
      <c r="K1273">
        <v>0.1</v>
      </c>
      <c r="L1273">
        <v>272405.7</v>
      </c>
      <c r="M1273">
        <v>177916.97</v>
      </c>
      <c r="N1273">
        <v>94488.73</v>
      </c>
      <c r="O1273" t="s">
        <v>78</v>
      </c>
      <c r="P1273" t="s">
        <v>84</v>
      </c>
    </row>
    <row r="1274" spans="1:16" x14ac:dyDescent="0.25">
      <c r="A1274">
        <v>1273</v>
      </c>
      <c r="B1274" s="1">
        <v>45751</v>
      </c>
      <c r="C1274" t="s">
        <v>20</v>
      </c>
      <c r="D1274" t="s">
        <v>26</v>
      </c>
      <c r="E1274" t="s">
        <v>34</v>
      </c>
      <c r="F1274" t="s">
        <v>55</v>
      </c>
      <c r="G1274" t="s">
        <v>70</v>
      </c>
      <c r="H1274" t="s">
        <v>74</v>
      </c>
      <c r="I1274">
        <v>3</v>
      </c>
      <c r="J1274">
        <v>1595</v>
      </c>
      <c r="K1274">
        <v>0.05</v>
      </c>
      <c r="L1274">
        <v>4545.75</v>
      </c>
      <c r="M1274">
        <v>3348.67</v>
      </c>
      <c r="N1274">
        <v>1197.08</v>
      </c>
      <c r="O1274" t="s">
        <v>77</v>
      </c>
      <c r="P1274" t="s">
        <v>83</v>
      </c>
    </row>
    <row r="1275" spans="1:16" x14ac:dyDescent="0.25">
      <c r="A1275">
        <v>1274</v>
      </c>
      <c r="B1275" s="1">
        <v>45921</v>
      </c>
      <c r="C1275" t="s">
        <v>22</v>
      </c>
      <c r="D1275" t="s">
        <v>24</v>
      </c>
      <c r="E1275" t="s">
        <v>33</v>
      </c>
      <c r="F1275" t="s">
        <v>52</v>
      </c>
      <c r="G1275" t="s">
        <v>72</v>
      </c>
      <c r="H1275" t="s">
        <v>75</v>
      </c>
      <c r="I1275">
        <v>7</v>
      </c>
      <c r="J1275">
        <v>15565</v>
      </c>
      <c r="K1275">
        <v>0.1</v>
      </c>
      <c r="L1275">
        <v>98059.5</v>
      </c>
      <c r="M1275">
        <v>56029.95</v>
      </c>
      <c r="N1275">
        <v>42029.55</v>
      </c>
      <c r="O1275" t="s">
        <v>77</v>
      </c>
      <c r="P1275" t="s">
        <v>82</v>
      </c>
    </row>
    <row r="1276" spans="1:16" x14ac:dyDescent="0.25">
      <c r="A1276">
        <v>1275</v>
      </c>
      <c r="B1276" s="1">
        <v>45955</v>
      </c>
      <c r="C1276" t="s">
        <v>23</v>
      </c>
      <c r="D1276" t="s">
        <v>27</v>
      </c>
      <c r="E1276" t="s">
        <v>28</v>
      </c>
      <c r="F1276" t="s">
        <v>35</v>
      </c>
      <c r="G1276" t="s">
        <v>72</v>
      </c>
      <c r="H1276" t="s">
        <v>73</v>
      </c>
      <c r="I1276">
        <v>4</v>
      </c>
      <c r="J1276">
        <v>2157</v>
      </c>
      <c r="K1276">
        <v>0.1</v>
      </c>
      <c r="L1276">
        <v>7765.2</v>
      </c>
      <c r="M1276">
        <v>5101.51</v>
      </c>
      <c r="N1276">
        <v>2663.69</v>
      </c>
      <c r="O1276" t="s">
        <v>77</v>
      </c>
      <c r="P1276" t="s">
        <v>82</v>
      </c>
    </row>
    <row r="1277" spans="1:16" x14ac:dyDescent="0.25">
      <c r="A1277">
        <v>1276</v>
      </c>
      <c r="B1277" s="1">
        <v>45920</v>
      </c>
      <c r="C1277" t="s">
        <v>22</v>
      </c>
      <c r="D1277" t="s">
        <v>24</v>
      </c>
      <c r="E1277" t="s">
        <v>29</v>
      </c>
      <c r="F1277" t="s">
        <v>36</v>
      </c>
      <c r="G1277" t="s">
        <v>72</v>
      </c>
      <c r="H1277" t="s">
        <v>74</v>
      </c>
      <c r="I1277">
        <v>6</v>
      </c>
      <c r="J1277">
        <v>9556</v>
      </c>
      <c r="K1277">
        <v>0.05</v>
      </c>
      <c r="L1277">
        <v>54469.2</v>
      </c>
      <c r="M1277">
        <v>30619.33</v>
      </c>
      <c r="N1277">
        <v>23849.87</v>
      </c>
      <c r="O1277" t="s">
        <v>76</v>
      </c>
      <c r="P1277" t="s">
        <v>83</v>
      </c>
    </row>
    <row r="1278" spans="1:16" x14ac:dyDescent="0.25">
      <c r="A1278">
        <v>1277</v>
      </c>
      <c r="B1278" s="1">
        <v>45835</v>
      </c>
      <c r="C1278" t="s">
        <v>23</v>
      </c>
      <c r="D1278" t="s">
        <v>27</v>
      </c>
      <c r="E1278" t="s">
        <v>31</v>
      </c>
      <c r="F1278" t="s">
        <v>47</v>
      </c>
      <c r="G1278" t="s">
        <v>72</v>
      </c>
      <c r="H1278" t="s">
        <v>74</v>
      </c>
      <c r="I1278">
        <v>4</v>
      </c>
      <c r="J1278">
        <v>1217</v>
      </c>
      <c r="K1278">
        <v>0.05</v>
      </c>
      <c r="L1278">
        <v>4624.6000000000004</v>
      </c>
      <c r="M1278">
        <v>3901.35</v>
      </c>
      <c r="N1278">
        <v>723.25</v>
      </c>
      <c r="O1278" t="s">
        <v>80</v>
      </c>
      <c r="P1278" t="s">
        <v>82</v>
      </c>
    </row>
    <row r="1279" spans="1:16" x14ac:dyDescent="0.25">
      <c r="A1279">
        <v>1278</v>
      </c>
      <c r="B1279" s="1">
        <v>45664</v>
      </c>
      <c r="C1279" t="s">
        <v>23</v>
      </c>
      <c r="D1279" t="s">
        <v>27</v>
      </c>
      <c r="E1279" t="s">
        <v>30</v>
      </c>
      <c r="F1279" t="s">
        <v>56</v>
      </c>
      <c r="G1279" t="s">
        <v>70</v>
      </c>
      <c r="H1279" t="s">
        <v>73</v>
      </c>
      <c r="I1279">
        <v>2</v>
      </c>
      <c r="J1279">
        <v>6215</v>
      </c>
      <c r="K1279">
        <v>0.1</v>
      </c>
      <c r="L1279">
        <v>11187</v>
      </c>
      <c r="M1279">
        <v>9349.75</v>
      </c>
      <c r="N1279">
        <v>1837.25</v>
      </c>
      <c r="O1279" t="s">
        <v>79</v>
      </c>
      <c r="P1279" t="s">
        <v>86</v>
      </c>
    </row>
    <row r="1280" spans="1:16" x14ac:dyDescent="0.25">
      <c r="A1280">
        <v>1279</v>
      </c>
      <c r="B1280" s="1">
        <v>46017</v>
      </c>
      <c r="C1280" t="s">
        <v>23</v>
      </c>
      <c r="D1280" t="s">
        <v>27</v>
      </c>
      <c r="E1280" t="s">
        <v>32</v>
      </c>
      <c r="F1280" t="s">
        <v>66</v>
      </c>
      <c r="G1280" t="s">
        <v>70</v>
      </c>
      <c r="H1280" t="s">
        <v>73</v>
      </c>
      <c r="I1280">
        <v>4</v>
      </c>
      <c r="J1280">
        <v>20500</v>
      </c>
      <c r="K1280">
        <v>0.05</v>
      </c>
      <c r="L1280">
        <v>77900</v>
      </c>
      <c r="M1280">
        <v>47982.81</v>
      </c>
      <c r="N1280">
        <v>29917.19</v>
      </c>
      <c r="O1280" t="s">
        <v>79</v>
      </c>
      <c r="P1280" t="s">
        <v>88</v>
      </c>
    </row>
    <row r="1281" spans="1:16" x14ac:dyDescent="0.25">
      <c r="A1281">
        <v>1280</v>
      </c>
      <c r="B1281" s="1">
        <v>45756</v>
      </c>
      <c r="C1281" t="s">
        <v>22</v>
      </c>
      <c r="D1281" t="s">
        <v>24</v>
      </c>
      <c r="E1281" t="s">
        <v>28</v>
      </c>
      <c r="F1281" t="s">
        <v>61</v>
      </c>
      <c r="G1281" t="s">
        <v>71</v>
      </c>
      <c r="H1281" t="s">
        <v>75</v>
      </c>
      <c r="I1281">
        <v>2</v>
      </c>
      <c r="J1281">
        <v>2137</v>
      </c>
      <c r="K1281">
        <v>0.1</v>
      </c>
      <c r="L1281">
        <v>3846.6</v>
      </c>
      <c r="M1281">
        <v>3030.44</v>
      </c>
      <c r="N1281">
        <v>816.16</v>
      </c>
      <c r="O1281" t="s">
        <v>79</v>
      </c>
      <c r="P1281" t="s">
        <v>88</v>
      </c>
    </row>
    <row r="1282" spans="1:16" x14ac:dyDescent="0.25">
      <c r="A1282">
        <v>1281</v>
      </c>
      <c r="B1282" s="1">
        <v>46014</v>
      </c>
      <c r="C1282" t="s">
        <v>19</v>
      </c>
      <c r="D1282" t="s">
        <v>26</v>
      </c>
      <c r="E1282" t="s">
        <v>33</v>
      </c>
      <c r="F1282" t="s">
        <v>60</v>
      </c>
      <c r="G1282" t="s">
        <v>71</v>
      </c>
      <c r="H1282" t="s">
        <v>74</v>
      </c>
      <c r="I1282">
        <v>5</v>
      </c>
      <c r="J1282">
        <v>4920</v>
      </c>
      <c r="K1282">
        <v>0</v>
      </c>
      <c r="L1282">
        <v>24600</v>
      </c>
      <c r="M1282">
        <v>13894.38</v>
      </c>
      <c r="N1282">
        <v>10705.62</v>
      </c>
      <c r="O1282" t="s">
        <v>80</v>
      </c>
      <c r="P1282" t="s">
        <v>81</v>
      </c>
    </row>
    <row r="1283" spans="1:16" x14ac:dyDescent="0.25">
      <c r="A1283">
        <v>1282</v>
      </c>
      <c r="B1283" s="1">
        <v>45950</v>
      </c>
      <c r="C1283" t="s">
        <v>20</v>
      </c>
      <c r="D1283" t="s">
        <v>26</v>
      </c>
      <c r="E1283" t="s">
        <v>31</v>
      </c>
      <c r="F1283" t="s">
        <v>47</v>
      </c>
      <c r="G1283" t="s">
        <v>70</v>
      </c>
      <c r="H1283" t="s">
        <v>73</v>
      </c>
      <c r="I1283">
        <v>1</v>
      </c>
      <c r="J1283">
        <v>2437</v>
      </c>
      <c r="K1283">
        <v>0.05</v>
      </c>
      <c r="L1283">
        <v>2315.15</v>
      </c>
      <c r="M1283">
        <v>1380.55</v>
      </c>
      <c r="N1283">
        <v>934.6</v>
      </c>
      <c r="O1283" t="s">
        <v>79</v>
      </c>
      <c r="P1283" t="s">
        <v>81</v>
      </c>
    </row>
    <row r="1284" spans="1:16" x14ac:dyDescent="0.25">
      <c r="A1284">
        <v>1283</v>
      </c>
      <c r="B1284" s="1">
        <v>45851</v>
      </c>
      <c r="C1284" t="s">
        <v>23</v>
      </c>
      <c r="D1284" t="s">
        <v>27</v>
      </c>
      <c r="E1284" t="s">
        <v>30</v>
      </c>
      <c r="F1284" t="s">
        <v>37</v>
      </c>
      <c r="G1284" t="s">
        <v>72</v>
      </c>
      <c r="H1284" t="s">
        <v>74</v>
      </c>
      <c r="I1284">
        <v>4</v>
      </c>
      <c r="J1284">
        <v>14151</v>
      </c>
      <c r="K1284">
        <v>0.05</v>
      </c>
      <c r="L1284">
        <v>53773.8</v>
      </c>
      <c r="M1284">
        <v>32214.11</v>
      </c>
      <c r="N1284">
        <v>21559.69</v>
      </c>
      <c r="O1284" t="s">
        <v>78</v>
      </c>
      <c r="P1284" t="s">
        <v>83</v>
      </c>
    </row>
    <row r="1285" spans="1:16" x14ac:dyDescent="0.25">
      <c r="A1285">
        <v>1284</v>
      </c>
      <c r="B1285" s="1">
        <v>45740</v>
      </c>
      <c r="C1285" t="s">
        <v>20</v>
      </c>
      <c r="D1285" t="s">
        <v>26</v>
      </c>
      <c r="E1285" t="s">
        <v>31</v>
      </c>
      <c r="F1285" t="s">
        <v>38</v>
      </c>
      <c r="G1285" t="s">
        <v>72</v>
      </c>
      <c r="H1285" t="s">
        <v>74</v>
      </c>
      <c r="I1285">
        <v>1</v>
      </c>
      <c r="J1285">
        <v>1723</v>
      </c>
      <c r="K1285">
        <v>0.05</v>
      </c>
      <c r="L1285">
        <v>1636.85</v>
      </c>
      <c r="M1285">
        <v>1164.78</v>
      </c>
      <c r="N1285">
        <v>472.07</v>
      </c>
      <c r="O1285" t="s">
        <v>77</v>
      </c>
      <c r="P1285" t="s">
        <v>81</v>
      </c>
    </row>
    <row r="1286" spans="1:16" x14ac:dyDescent="0.25">
      <c r="A1286">
        <v>1285</v>
      </c>
      <c r="B1286" s="1">
        <v>45776</v>
      </c>
      <c r="C1286" t="s">
        <v>20</v>
      </c>
      <c r="D1286" t="s">
        <v>26</v>
      </c>
      <c r="E1286" t="s">
        <v>29</v>
      </c>
      <c r="F1286" t="s">
        <v>42</v>
      </c>
      <c r="G1286" t="s">
        <v>71</v>
      </c>
      <c r="H1286" t="s">
        <v>73</v>
      </c>
      <c r="I1286">
        <v>8</v>
      </c>
      <c r="J1286">
        <v>8427</v>
      </c>
      <c r="K1286">
        <v>0</v>
      </c>
      <c r="L1286">
        <v>67416</v>
      </c>
      <c r="M1286">
        <v>56468.24</v>
      </c>
      <c r="N1286">
        <v>10947.76</v>
      </c>
      <c r="O1286" t="s">
        <v>78</v>
      </c>
      <c r="P1286" t="s">
        <v>83</v>
      </c>
    </row>
    <row r="1287" spans="1:16" x14ac:dyDescent="0.25">
      <c r="A1287">
        <v>1286</v>
      </c>
      <c r="B1287" s="1">
        <v>45910</v>
      </c>
      <c r="C1287" t="s">
        <v>18</v>
      </c>
      <c r="D1287" t="s">
        <v>26</v>
      </c>
      <c r="E1287" t="s">
        <v>32</v>
      </c>
      <c r="F1287" t="s">
        <v>49</v>
      </c>
      <c r="G1287" t="s">
        <v>72</v>
      </c>
      <c r="H1287" t="s">
        <v>75</v>
      </c>
      <c r="I1287">
        <v>7</v>
      </c>
      <c r="J1287">
        <v>17472</v>
      </c>
      <c r="K1287">
        <v>0.05</v>
      </c>
      <c r="L1287">
        <v>116188.8</v>
      </c>
      <c r="M1287">
        <v>87146.07</v>
      </c>
      <c r="N1287">
        <v>29042.73</v>
      </c>
      <c r="O1287" t="s">
        <v>79</v>
      </c>
      <c r="P1287" t="s">
        <v>86</v>
      </c>
    </row>
    <row r="1288" spans="1:16" x14ac:dyDescent="0.25">
      <c r="A1288">
        <v>1287</v>
      </c>
      <c r="B1288" s="1">
        <v>45777</v>
      </c>
      <c r="C1288" t="s">
        <v>17</v>
      </c>
      <c r="D1288" t="s">
        <v>25</v>
      </c>
      <c r="E1288" t="s">
        <v>30</v>
      </c>
      <c r="F1288" t="s">
        <v>64</v>
      </c>
      <c r="G1288" t="s">
        <v>70</v>
      </c>
      <c r="H1288" t="s">
        <v>73</v>
      </c>
      <c r="I1288">
        <v>8</v>
      </c>
      <c r="J1288">
        <v>36011</v>
      </c>
      <c r="K1288">
        <v>0.1</v>
      </c>
      <c r="L1288">
        <v>259279.2</v>
      </c>
      <c r="M1288">
        <v>151063.19</v>
      </c>
      <c r="N1288">
        <v>108216.01</v>
      </c>
      <c r="O1288" t="s">
        <v>79</v>
      </c>
      <c r="P1288" t="s">
        <v>88</v>
      </c>
    </row>
    <row r="1289" spans="1:16" x14ac:dyDescent="0.25">
      <c r="A1289">
        <v>1288</v>
      </c>
      <c r="B1289" s="1">
        <v>45810</v>
      </c>
      <c r="C1289" t="s">
        <v>23</v>
      </c>
      <c r="D1289" t="s">
        <v>27</v>
      </c>
      <c r="E1289" t="s">
        <v>34</v>
      </c>
      <c r="F1289" t="s">
        <v>68</v>
      </c>
      <c r="G1289" t="s">
        <v>72</v>
      </c>
      <c r="H1289" t="s">
        <v>75</v>
      </c>
      <c r="I1289">
        <v>4</v>
      </c>
      <c r="J1289">
        <v>4457</v>
      </c>
      <c r="K1289">
        <v>0.2</v>
      </c>
      <c r="L1289">
        <v>14262.4</v>
      </c>
      <c r="M1289">
        <v>9377.01</v>
      </c>
      <c r="N1289">
        <v>4885.3900000000003</v>
      </c>
      <c r="O1289" t="s">
        <v>76</v>
      </c>
      <c r="P1289" t="s">
        <v>86</v>
      </c>
    </row>
    <row r="1290" spans="1:16" x14ac:dyDescent="0.25">
      <c r="A1290">
        <v>1289</v>
      </c>
      <c r="B1290" s="1">
        <v>45831</v>
      </c>
      <c r="C1290" t="s">
        <v>17</v>
      </c>
      <c r="D1290" t="s">
        <v>25</v>
      </c>
      <c r="E1290" t="s">
        <v>33</v>
      </c>
      <c r="F1290" t="s">
        <v>60</v>
      </c>
      <c r="G1290" t="s">
        <v>70</v>
      </c>
      <c r="H1290" t="s">
        <v>73</v>
      </c>
      <c r="I1290">
        <v>3</v>
      </c>
      <c r="J1290">
        <v>42872</v>
      </c>
      <c r="K1290">
        <v>0</v>
      </c>
      <c r="L1290">
        <v>128616</v>
      </c>
      <c r="M1290">
        <v>107572.46</v>
      </c>
      <c r="N1290">
        <v>21043.54</v>
      </c>
      <c r="O1290" t="s">
        <v>80</v>
      </c>
      <c r="P1290" t="s">
        <v>86</v>
      </c>
    </row>
    <row r="1291" spans="1:16" x14ac:dyDescent="0.25">
      <c r="A1291">
        <v>1290</v>
      </c>
      <c r="B1291" s="1">
        <v>45839</v>
      </c>
      <c r="C1291" t="s">
        <v>16</v>
      </c>
      <c r="D1291" t="s">
        <v>24</v>
      </c>
      <c r="E1291" t="s">
        <v>30</v>
      </c>
      <c r="F1291" t="s">
        <v>40</v>
      </c>
      <c r="G1291" t="s">
        <v>72</v>
      </c>
      <c r="H1291" t="s">
        <v>73</v>
      </c>
      <c r="I1291">
        <v>2</v>
      </c>
      <c r="J1291">
        <v>59442</v>
      </c>
      <c r="K1291">
        <v>0.15</v>
      </c>
      <c r="L1291">
        <v>101051.4</v>
      </c>
      <c r="M1291">
        <v>63599.839999999997</v>
      </c>
      <c r="N1291">
        <v>37451.56</v>
      </c>
      <c r="O1291" t="s">
        <v>78</v>
      </c>
      <c r="P1291" t="s">
        <v>86</v>
      </c>
    </row>
    <row r="1292" spans="1:16" x14ac:dyDescent="0.25">
      <c r="A1292">
        <v>1291</v>
      </c>
      <c r="B1292" s="1">
        <v>45842</v>
      </c>
      <c r="C1292" t="s">
        <v>21</v>
      </c>
      <c r="D1292" t="s">
        <v>24</v>
      </c>
      <c r="E1292" t="s">
        <v>29</v>
      </c>
      <c r="F1292" t="s">
        <v>36</v>
      </c>
      <c r="G1292" t="s">
        <v>72</v>
      </c>
      <c r="H1292" t="s">
        <v>74</v>
      </c>
      <c r="I1292">
        <v>8</v>
      </c>
      <c r="J1292">
        <v>9863</v>
      </c>
      <c r="K1292">
        <v>0</v>
      </c>
      <c r="L1292">
        <v>78904</v>
      </c>
      <c r="M1292">
        <v>57593.58</v>
      </c>
      <c r="N1292">
        <v>21310.42</v>
      </c>
      <c r="O1292" t="s">
        <v>78</v>
      </c>
      <c r="P1292" t="s">
        <v>81</v>
      </c>
    </row>
    <row r="1293" spans="1:16" x14ac:dyDescent="0.25">
      <c r="A1293">
        <v>1292</v>
      </c>
      <c r="B1293" s="1">
        <v>45918</v>
      </c>
      <c r="C1293" t="s">
        <v>23</v>
      </c>
      <c r="D1293" t="s">
        <v>27</v>
      </c>
      <c r="E1293" t="s">
        <v>33</v>
      </c>
      <c r="F1293" t="s">
        <v>60</v>
      </c>
      <c r="G1293" t="s">
        <v>72</v>
      </c>
      <c r="H1293" t="s">
        <v>75</v>
      </c>
      <c r="I1293">
        <v>1</v>
      </c>
      <c r="J1293">
        <v>13871</v>
      </c>
      <c r="K1293">
        <v>0.15</v>
      </c>
      <c r="L1293">
        <v>11790.35</v>
      </c>
      <c r="M1293">
        <v>7205.18</v>
      </c>
      <c r="N1293">
        <v>4585.17</v>
      </c>
      <c r="O1293" t="s">
        <v>79</v>
      </c>
      <c r="P1293" t="s">
        <v>84</v>
      </c>
    </row>
    <row r="1294" spans="1:16" x14ac:dyDescent="0.25">
      <c r="A1294">
        <v>1293</v>
      </c>
      <c r="B1294" s="1">
        <v>46011</v>
      </c>
      <c r="C1294" t="s">
        <v>18</v>
      </c>
      <c r="D1294" t="s">
        <v>26</v>
      </c>
      <c r="E1294" t="s">
        <v>28</v>
      </c>
      <c r="F1294" t="s">
        <v>58</v>
      </c>
      <c r="G1294" t="s">
        <v>71</v>
      </c>
      <c r="H1294" t="s">
        <v>75</v>
      </c>
      <c r="I1294">
        <v>1</v>
      </c>
      <c r="J1294">
        <v>823</v>
      </c>
      <c r="K1294">
        <v>0</v>
      </c>
      <c r="L1294">
        <v>823</v>
      </c>
      <c r="M1294">
        <v>683.52</v>
      </c>
      <c r="N1294">
        <v>139.47999999999999</v>
      </c>
      <c r="O1294" t="s">
        <v>79</v>
      </c>
      <c r="P1294" t="s">
        <v>88</v>
      </c>
    </row>
    <row r="1295" spans="1:16" x14ac:dyDescent="0.25">
      <c r="A1295">
        <v>1294</v>
      </c>
      <c r="B1295" s="1">
        <v>45865</v>
      </c>
      <c r="C1295" t="s">
        <v>21</v>
      </c>
      <c r="D1295" t="s">
        <v>24</v>
      </c>
      <c r="E1295" t="s">
        <v>29</v>
      </c>
      <c r="F1295" t="s">
        <v>42</v>
      </c>
      <c r="G1295" t="s">
        <v>72</v>
      </c>
      <c r="H1295" t="s">
        <v>75</v>
      </c>
      <c r="I1295">
        <v>8</v>
      </c>
      <c r="J1295">
        <v>6250</v>
      </c>
      <c r="K1295">
        <v>0.1</v>
      </c>
      <c r="L1295">
        <v>45000</v>
      </c>
      <c r="M1295">
        <v>32605.97</v>
      </c>
      <c r="N1295">
        <v>12394.03</v>
      </c>
      <c r="O1295" t="s">
        <v>76</v>
      </c>
      <c r="P1295" t="s">
        <v>81</v>
      </c>
    </row>
    <row r="1296" spans="1:16" x14ac:dyDescent="0.25">
      <c r="A1296">
        <v>1295</v>
      </c>
      <c r="B1296" s="1">
        <v>45774</v>
      </c>
      <c r="C1296" t="s">
        <v>19</v>
      </c>
      <c r="D1296" t="s">
        <v>26</v>
      </c>
      <c r="E1296" t="s">
        <v>32</v>
      </c>
      <c r="F1296" t="s">
        <v>62</v>
      </c>
      <c r="G1296" t="s">
        <v>70</v>
      </c>
      <c r="H1296" t="s">
        <v>74</v>
      </c>
      <c r="I1296">
        <v>2</v>
      </c>
      <c r="J1296">
        <v>15335</v>
      </c>
      <c r="K1296">
        <v>0.15</v>
      </c>
      <c r="L1296">
        <v>26069.5</v>
      </c>
      <c r="M1296">
        <v>19012.8</v>
      </c>
      <c r="N1296">
        <v>7056.7</v>
      </c>
      <c r="O1296" t="s">
        <v>77</v>
      </c>
      <c r="P1296" t="s">
        <v>85</v>
      </c>
    </row>
    <row r="1297" spans="1:16" x14ac:dyDescent="0.25">
      <c r="A1297">
        <v>1296</v>
      </c>
      <c r="B1297" s="1">
        <v>45794</v>
      </c>
      <c r="C1297" t="s">
        <v>16</v>
      </c>
      <c r="D1297" t="s">
        <v>24</v>
      </c>
      <c r="E1297" t="s">
        <v>33</v>
      </c>
      <c r="F1297" t="s">
        <v>46</v>
      </c>
      <c r="G1297" t="s">
        <v>71</v>
      </c>
      <c r="H1297" t="s">
        <v>73</v>
      </c>
      <c r="I1297">
        <v>1</v>
      </c>
      <c r="J1297">
        <v>46135</v>
      </c>
      <c r="K1297">
        <v>0</v>
      </c>
      <c r="L1297">
        <v>46135</v>
      </c>
      <c r="M1297">
        <v>36456.239999999998</v>
      </c>
      <c r="N1297">
        <v>9678.76</v>
      </c>
      <c r="O1297" t="s">
        <v>78</v>
      </c>
      <c r="P1297" t="s">
        <v>84</v>
      </c>
    </row>
    <row r="1298" spans="1:16" x14ac:dyDescent="0.25">
      <c r="A1298">
        <v>1297</v>
      </c>
      <c r="B1298" s="1">
        <v>45870</v>
      </c>
      <c r="C1298" t="s">
        <v>16</v>
      </c>
      <c r="D1298" t="s">
        <v>24</v>
      </c>
      <c r="E1298" t="s">
        <v>34</v>
      </c>
      <c r="F1298" t="s">
        <v>43</v>
      </c>
      <c r="G1298" t="s">
        <v>71</v>
      </c>
      <c r="H1298" t="s">
        <v>73</v>
      </c>
      <c r="I1298">
        <v>6</v>
      </c>
      <c r="J1298">
        <v>2158</v>
      </c>
      <c r="K1298">
        <v>0.05</v>
      </c>
      <c r="L1298">
        <v>12300.6</v>
      </c>
      <c r="M1298">
        <v>9991.7000000000007</v>
      </c>
      <c r="N1298">
        <v>2308.9</v>
      </c>
      <c r="O1298" t="s">
        <v>79</v>
      </c>
      <c r="P1298" t="s">
        <v>88</v>
      </c>
    </row>
    <row r="1299" spans="1:16" x14ac:dyDescent="0.25">
      <c r="A1299">
        <v>1298</v>
      </c>
      <c r="B1299" s="1">
        <v>45888</v>
      </c>
      <c r="C1299" t="s">
        <v>17</v>
      </c>
      <c r="D1299" t="s">
        <v>25</v>
      </c>
      <c r="E1299" t="s">
        <v>31</v>
      </c>
      <c r="F1299" t="s">
        <v>47</v>
      </c>
      <c r="G1299" t="s">
        <v>71</v>
      </c>
      <c r="H1299" t="s">
        <v>73</v>
      </c>
      <c r="I1299">
        <v>4</v>
      </c>
      <c r="J1299">
        <v>1927</v>
      </c>
      <c r="K1299">
        <v>0</v>
      </c>
      <c r="L1299">
        <v>7708</v>
      </c>
      <c r="M1299">
        <v>6034.92</v>
      </c>
      <c r="N1299">
        <v>1673.08</v>
      </c>
      <c r="O1299" t="s">
        <v>78</v>
      </c>
      <c r="P1299" t="s">
        <v>81</v>
      </c>
    </row>
    <row r="1300" spans="1:16" x14ac:dyDescent="0.25">
      <c r="A1300">
        <v>1299</v>
      </c>
      <c r="B1300" s="1">
        <v>45989</v>
      </c>
      <c r="C1300" t="s">
        <v>16</v>
      </c>
      <c r="D1300" t="s">
        <v>24</v>
      </c>
      <c r="E1300" t="s">
        <v>30</v>
      </c>
      <c r="F1300" t="s">
        <v>40</v>
      </c>
      <c r="G1300" t="s">
        <v>72</v>
      </c>
      <c r="H1300" t="s">
        <v>73</v>
      </c>
      <c r="I1300">
        <v>3</v>
      </c>
      <c r="J1300">
        <v>48766</v>
      </c>
      <c r="K1300">
        <v>0.1</v>
      </c>
      <c r="L1300">
        <v>131668.20000000001</v>
      </c>
      <c r="M1300">
        <v>108501.4</v>
      </c>
      <c r="N1300">
        <v>23166.799999999999</v>
      </c>
      <c r="O1300" t="s">
        <v>77</v>
      </c>
      <c r="P1300" t="s">
        <v>81</v>
      </c>
    </row>
    <row r="1301" spans="1:16" x14ac:dyDescent="0.25">
      <c r="A1301">
        <v>1300</v>
      </c>
      <c r="B1301" s="1">
        <v>45933</v>
      </c>
      <c r="C1301" t="s">
        <v>20</v>
      </c>
      <c r="D1301" t="s">
        <v>26</v>
      </c>
      <c r="E1301" t="s">
        <v>34</v>
      </c>
      <c r="F1301" t="s">
        <v>68</v>
      </c>
      <c r="G1301" t="s">
        <v>71</v>
      </c>
      <c r="H1301" t="s">
        <v>75</v>
      </c>
      <c r="I1301">
        <v>6</v>
      </c>
      <c r="J1301">
        <v>160</v>
      </c>
      <c r="K1301">
        <v>0.1</v>
      </c>
      <c r="L1301">
        <v>864</v>
      </c>
      <c r="M1301">
        <v>655.99</v>
      </c>
      <c r="N1301">
        <v>208.01</v>
      </c>
      <c r="O1301" t="s">
        <v>76</v>
      </c>
      <c r="P1301" t="s">
        <v>87</v>
      </c>
    </row>
    <row r="1302" spans="1:16" x14ac:dyDescent="0.25">
      <c r="A1302">
        <v>1301</v>
      </c>
      <c r="B1302" s="1">
        <v>45750</v>
      </c>
      <c r="C1302" t="s">
        <v>23</v>
      </c>
      <c r="D1302" t="s">
        <v>27</v>
      </c>
      <c r="E1302" t="s">
        <v>34</v>
      </c>
      <c r="F1302" t="s">
        <v>43</v>
      </c>
      <c r="G1302" t="s">
        <v>72</v>
      </c>
      <c r="H1302" t="s">
        <v>74</v>
      </c>
      <c r="I1302">
        <v>7</v>
      </c>
      <c r="J1302">
        <v>5407</v>
      </c>
      <c r="K1302">
        <v>0.1</v>
      </c>
      <c r="L1302">
        <v>34064.1</v>
      </c>
      <c r="M1302">
        <v>20409.990000000002</v>
      </c>
      <c r="N1302">
        <v>13654.11</v>
      </c>
      <c r="O1302" t="s">
        <v>76</v>
      </c>
      <c r="P1302" t="s">
        <v>81</v>
      </c>
    </row>
    <row r="1303" spans="1:16" x14ac:dyDescent="0.25">
      <c r="A1303">
        <v>1302</v>
      </c>
      <c r="B1303" s="1">
        <v>45787</v>
      </c>
      <c r="C1303" t="s">
        <v>17</v>
      </c>
      <c r="D1303" t="s">
        <v>25</v>
      </c>
      <c r="E1303" t="s">
        <v>33</v>
      </c>
      <c r="F1303" t="s">
        <v>46</v>
      </c>
      <c r="G1303" t="s">
        <v>72</v>
      </c>
      <c r="H1303" t="s">
        <v>74</v>
      </c>
      <c r="I1303">
        <v>4</v>
      </c>
      <c r="J1303">
        <v>33738</v>
      </c>
      <c r="K1303">
        <v>0</v>
      </c>
      <c r="L1303">
        <v>134952</v>
      </c>
      <c r="M1303">
        <v>84790.74</v>
      </c>
      <c r="N1303">
        <v>50161.26</v>
      </c>
      <c r="O1303" t="s">
        <v>80</v>
      </c>
      <c r="P1303" t="s">
        <v>82</v>
      </c>
    </row>
    <row r="1304" spans="1:16" x14ac:dyDescent="0.25">
      <c r="A1304">
        <v>1303</v>
      </c>
      <c r="B1304" s="1">
        <v>45847</v>
      </c>
      <c r="C1304" t="s">
        <v>18</v>
      </c>
      <c r="D1304" t="s">
        <v>26</v>
      </c>
      <c r="E1304" t="s">
        <v>33</v>
      </c>
      <c r="F1304" t="s">
        <v>59</v>
      </c>
      <c r="G1304" t="s">
        <v>71</v>
      </c>
      <c r="H1304" t="s">
        <v>73</v>
      </c>
      <c r="I1304">
        <v>8</v>
      </c>
      <c r="J1304">
        <v>36117</v>
      </c>
      <c r="K1304">
        <v>0.1</v>
      </c>
      <c r="L1304">
        <v>260042.4</v>
      </c>
      <c r="M1304">
        <v>187170.02</v>
      </c>
      <c r="N1304">
        <v>72872.38</v>
      </c>
      <c r="O1304" t="s">
        <v>76</v>
      </c>
      <c r="P1304" t="s">
        <v>83</v>
      </c>
    </row>
    <row r="1305" spans="1:16" x14ac:dyDescent="0.25">
      <c r="A1305">
        <v>1304</v>
      </c>
      <c r="B1305" s="1">
        <v>45944</v>
      </c>
      <c r="C1305" t="s">
        <v>22</v>
      </c>
      <c r="D1305" t="s">
        <v>24</v>
      </c>
      <c r="E1305" t="s">
        <v>31</v>
      </c>
      <c r="F1305" t="s">
        <v>38</v>
      </c>
      <c r="G1305" t="s">
        <v>70</v>
      </c>
      <c r="H1305" t="s">
        <v>74</v>
      </c>
      <c r="I1305">
        <v>5</v>
      </c>
      <c r="J1305">
        <v>797</v>
      </c>
      <c r="K1305">
        <v>0.2</v>
      </c>
      <c r="L1305">
        <v>3188</v>
      </c>
      <c r="M1305">
        <v>2752.95</v>
      </c>
      <c r="N1305">
        <v>435.05</v>
      </c>
      <c r="O1305" t="s">
        <v>76</v>
      </c>
      <c r="P1305" t="s">
        <v>86</v>
      </c>
    </row>
    <row r="1306" spans="1:16" x14ac:dyDescent="0.25">
      <c r="A1306">
        <v>1305</v>
      </c>
      <c r="B1306" s="1">
        <v>45877</v>
      </c>
      <c r="C1306" t="s">
        <v>20</v>
      </c>
      <c r="D1306" t="s">
        <v>26</v>
      </c>
      <c r="E1306" t="s">
        <v>30</v>
      </c>
      <c r="F1306" t="s">
        <v>64</v>
      </c>
      <c r="G1306" t="s">
        <v>72</v>
      </c>
      <c r="H1306" t="s">
        <v>73</v>
      </c>
      <c r="I1306">
        <v>5</v>
      </c>
      <c r="J1306">
        <v>18377</v>
      </c>
      <c r="K1306">
        <v>0</v>
      </c>
      <c r="L1306">
        <v>91885</v>
      </c>
      <c r="M1306">
        <v>66170.61</v>
      </c>
      <c r="N1306">
        <v>25714.39</v>
      </c>
      <c r="O1306" t="s">
        <v>76</v>
      </c>
      <c r="P1306" t="s">
        <v>85</v>
      </c>
    </row>
    <row r="1307" spans="1:16" x14ac:dyDescent="0.25">
      <c r="A1307">
        <v>1306</v>
      </c>
      <c r="B1307" s="1">
        <v>46004</v>
      </c>
      <c r="C1307" t="s">
        <v>18</v>
      </c>
      <c r="D1307" t="s">
        <v>26</v>
      </c>
      <c r="E1307" t="s">
        <v>28</v>
      </c>
      <c r="F1307" t="s">
        <v>63</v>
      </c>
      <c r="G1307" t="s">
        <v>70</v>
      </c>
      <c r="H1307" t="s">
        <v>74</v>
      </c>
      <c r="I1307">
        <v>1</v>
      </c>
      <c r="J1307">
        <v>274</v>
      </c>
      <c r="K1307">
        <v>0.1</v>
      </c>
      <c r="L1307">
        <v>246.6</v>
      </c>
      <c r="M1307">
        <v>159.15</v>
      </c>
      <c r="N1307">
        <v>87.45</v>
      </c>
      <c r="O1307" t="s">
        <v>79</v>
      </c>
      <c r="P1307" t="s">
        <v>85</v>
      </c>
    </row>
    <row r="1308" spans="1:16" x14ac:dyDescent="0.25">
      <c r="A1308">
        <v>1307</v>
      </c>
      <c r="B1308" s="1">
        <v>45668</v>
      </c>
      <c r="C1308" t="s">
        <v>19</v>
      </c>
      <c r="D1308" t="s">
        <v>26</v>
      </c>
      <c r="E1308" t="s">
        <v>32</v>
      </c>
      <c r="F1308" t="s">
        <v>66</v>
      </c>
      <c r="G1308" t="s">
        <v>71</v>
      </c>
      <c r="H1308" t="s">
        <v>74</v>
      </c>
      <c r="I1308">
        <v>8</v>
      </c>
      <c r="J1308">
        <v>12523</v>
      </c>
      <c r="K1308">
        <v>0.15</v>
      </c>
      <c r="L1308">
        <v>85156.4</v>
      </c>
      <c r="M1308">
        <v>51487.39</v>
      </c>
      <c r="N1308">
        <v>33669.01</v>
      </c>
      <c r="O1308" t="s">
        <v>77</v>
      </c>
      <c r="P1308" t="s">
        <v>88</v>
      </c>
    </row>
    <row r="1309" spans="1:16" x14ac:dyDescent="0.25">
      <c r="A1309">
        <v>1308</v>
      </c>
      <c r="B1309" s="1">
        <v>45710</v>
      </c>
      <c r="C1309" t="s">
        <v>21</v>
      </c>
      <c r="D1309" t="s">
        <v>24</v>
      </c>
      <c r="E1309" t="s">
        <v>33</v>
      </c>
      <c r="F1309" t="s">
        <v>52</v>
      </c>
      <c r="G1309" t="s">
        <v>72</v>
      </c>
      <c r="H1309" t="s">
        <v>73</v>
      </c>
      <c r="I1309">
        <v>7</v>
      </c>
      <c r="J1309">
        <v>19577</v>
      </c>
      <c r="K1309">
        <v>0.05</v>
      </c>
      <c r="L1309">
        <v>130187.05</v>
      </c>
      <c r="M1309">
        <v>89255.94</v>
      </c>
      <c r="N1309">
        <v>40931.11</v>
      </c>
      <c r="O1309" t="s">
        <v>77</v>
      </c>
      <c r="P1309" t="s">
        <v>83</v>
      </c>
    </row>
    <row r="1310" spans="1:16" x14ac:dyDescent="0.25">
      <c r="A1310">
        <v>1309</v>
      </c>
      <c r="B1310" s="1">
        <v>45986</v>
      </c>
      <c r="C1310" t="s">
        <v>20</v>
      </c>
      <c r="D1310" t="s">
        <v>26</v>
      </c>
      <c r="E1310" t="s">
        <v>28</v>
      </c>
      <c r="F1310" t="s">
        <v>54</v>
      </c>
      <c r="G1310" t="s">
        <v>70</v>
      </c>
      <c r="H1310" t="s">
        <v>74</v>
      </c>
      <c r="I1310">
        <v>1</v>
      </c>
      <c r="J1310">
        <v>1045</v>
      </c>
      <c r="K1310">
        <v>0.05</v>
      </c>
      <c r="L1310">
        <v>992.75</v>
      </c>
      <c r="M1310">
        <v>704.44</v>
      </c>
      <c r="N1310">
        <v>288.31</v>
      </c>
      <c r="O1310" t="s">
        <v>76</v>
      </c>
      <c r="P1310" t="s">
        <v>83</v>
      </c>
    </row>
    <row r="1311" spans="1:16" x14ac:dyDescent="0.25">
      <c r="A1311">
        <v>1310</v>
      </c>
      <c r="B1311" s="1">
        <v>45993</v>
      </c>
      <c r="C1311" t="s">
        <v>16</v>
      </c>
      <c r="D1311" t="s">
        <v>24</v>
      </c>
      <c r="E1311" t="s">
        <v>34</v>
      </c>
      <c r="F1311" t="s">
        <v>43</v>
      </c>
      <c r="G1311" t="s">
        <v>70</v>
      </c>
      <c r="H1311" t="s">
        <v>74</v>
      </c>
      <c r="I1311">
        <v>3</v>
      </c>
      <c r="J1311">
        <v>5364</v>
      </c>
      <c r="K1311">
        <v>0.15</v>
      </c>
      <c r="L1311">
        <v>13678.2</v>
      </c>
      <c r="M1311">
        <v>8812.42</v>
      </c>
      <c r="N1311">
        <v>4865.78</v>
      </c>
      <c r="O1311" t="s">
        <v>79</v>
      </c>
      <c r="P1311" t="s">
        <v>85</v>
      </c>
    </row>
    <row r="1312" spans="1:16" x14ac:dyDescent="0.25">
      <c r="A1312">
        <v>1311</v>
      </c>
      <c r="B1312" s="1">
        <v>46001</v>
      </c>
      <c r="C1312" t="s">
        <v>17</v>
      </c>
      <c r="D1312" t="s">
        <v>25</v>
      </c>
      <c r="E1312" t="s">
        <v>30</v>
      </c>
      <c r="F1312" t="s">
        <v>37</v>
      </c>
      <c r="G1312" t="s">
        <v>70</v>
      </c>
      <c r="H1312" t="s">
        <v>75</v>
      </c>
      <c r="I1312">
        <v>2</v>
      </c>
      <c r="J1312">
        <v>60916</v>
      </c>
      <c r="K1312">
        <v>0</v>
      </c>
      <c r="L1312">
        <v>121832</v>
      </c>
      <c r="M1312">
        <v>78457.539999999994</v>
      </c>
      <c r="N1312">
        <v>43374.46</v>
      </c>
      <c r="O1312" t="s">
        <v>80</v>
      </c>
      <c r="P1312" t="s">
        <v>83</v>
      </c>
    </row>
    <row r="1313" spans="1:16" x14ac:dyDescent="0.25">
      <c r="A1313">
        <v>1312</v>
      </c>
      <c r="B1313" s="1">
        <v>45750</v>
      </c>
      <c r="C1313" t="s">
        <v>21</v>
      </c>
      <c r="D1313" t="s">
        <v>24</v>
      </c>
      <c r="E1313" t="s">
        <v>29</v>
      </c>
      <c r="F1313" t="s">
        <v>45</v>
      </c>
      <c r="G1313" t="s">
        <v>70</v>
      </c>
      <c r="H1313" t="s">
        <v>73</v>
      </c>
      <c r="I1313">
        <v>4</v>
      </c>
      <c r="J1313">
        <v>5177</v>
      </c>
      <c r="K1313">
        <v>0</v>
      </c>
      <c r="L1313">
        <v>20708</v>
      </c>
      <c r="M1313">
        <v>15702.36</v>
      </c>
      <c r="N1313">
        <v>5005.6400000000003</v>
      </c>
      <c r="O1313" t="s">
        <v>78</v>
      </c>
      <c r="P1313" t="s">
        <v>81</v>
      </c>
    </row>
    <row r="1314" spans="1:16" x14ac:dyDescent="0.25">
      <c r="A1314">
        <v>1313</v>
      </c>
      <c r="B1314" s="1">
        <v>45866</v>
      </c>
      <c r="C1314" t="s">
        <v>23</v>
      </c>
      <c r="D1314" t="s">
        <v>27</v>
      </c>
      <c r="E1314" t="s">
        <v>29</v>
      </c>
      <c r="F1314" t="s">
        <v>36</v>
      </c>
      <c r="G1314" t="s">
        <v>71</v>
      </c>
      <c r="H1314" t="s">
        <v>74</v>
      </c>
      <c r="I1314">
        <v>5</v>
      </c>
      <c r="J1314">
        <v>6592</v>
      </c>
      <c r="K1314">
        <v>0.05</v>
      </c>
      <c r="L1314">
        <v>31312</v>
      </c>
      <c r="M1314">
        <v>23493.14</v>
      </c>
      <c r="N1314">
        <v>7818.86</v>
      </c>
      <c r="O1314" t="s">
        <v>79</v>
      </c>
      <c r="P1314" t="s">
        <v>82</v>
      </c>
    </row>
    <row r="1315" spans="1:16" x14ac:dyDescent="0.25">
      <c r="A1315">
        <v>1314</v>
      </c>
      <c r="B1315" s="1">
        <v>45959</v>
      </c>
      <c r="C1315" t="s">
        <v>17</v>
      </c>
      <c r="D1315" t="s">
        <v>25</v>
      </c>
      <c r="E1315" t="s">
        <v>29</v>
      </c>
      <c r="F1315" t="s">
        <v>57</v>
      </c>
      <c r="G1315" t="s">
        <v>71</v>
      </c>
      <c r="H1315" t="s">
        <v>75</v>
      </c>
      <c r="I1315">
        <v>1</v>
      </c>
      <c r="J1315">
        <v>9410</v>
      </c>
      <c r="K1315">
        <v>0</v>
      </c>
      <c r="L1315">
        <v>9410</v>
      </c>
      <c r="M1315">
        <v>6288.2</v>
      </c>
      <c r="N1315">
        <v>3121.8</v>
      </c>
      <c r="O1315" t="s">
        <v>77</v>
      </c>
      <c r="P1315" t="s">
        <v>82</v>
      </c>
    </row>
    <row r="1316" spans="1:16" x14ac:dyDescent="0.25">
      <c r="A1316">
        <v>1315</v>
      </c>
      <c r="B1316" s="1">
        <v>45697</v>
      </c>
      <c r="C1316" t="s">
        <v>20</v>
      </c>
      <c r="D1316" t="s">
        <v>26</v>
      </c>
      <c r="E1316" t="s">
        <v>29</v>
      </c>
      <c r="F1316" t="s">
        <v>42</v>
      </c>
      <c r="G1316" t="s">
        <v>72</v>
      </c>
      <c r="H1316" t="s">
        <v>75</v>
      </c>
      <c r="I1316">
        <v>6</v>
      </c>
      <c r="J1316">
        <v>7455</v>
      </c>
      <c r="K1316">
        <v>0</v>
      </c>
      <c r="L1316">
        <v>44730</v>
      </c>
      <c r="M1316">
        <v>38866.720000000001</v>
      </c>
      <c r="N1316">
        <v>5863.28</v>
      </c>
      <c r="O1316" t="s">
        <v>76</v>
      </c>
      <c r="P1316" t="s">
        <v>86</v>
      </c>
    </row>
    <row r="1317" spans="1:16" x14ac:dyDescent="0.25">
      <c r="A1317">
        <v>1316</v>
      </c>
      <c r="B1317" s="1">
        <v>45985</v>
      </c>
      <c r="C1317" t="s">
        <v>20</v>
      </c>
      <c r="D1317" t="s">
        <v>26</v>
      </c>
      <c r="E1317" t="s">
        <v>31</v>
      </c>
      <c r="F1317" t="s">
        <v>67</v>
      </c>
      <c r="G1317" t="s">
        <v>72</v>
      </c>
      <c r="H1317" t="s">
        <v>73</v>
      </c>
      <c r="I1317">
        <v>8</v>
      </c>
      <c r="J1317">
        <v>576</v>
      </c>
      <c r="K1317">
        <v>0.1</v>
      </c>
      <c r="L1317">
        <v>4147.2</v>
      </c>
      <c r="M1317">
        <v>3239.62</v>
      </c>
      <c r="N1317">
        <v>907.58</v>
      </c>
      <c r="O1317" t="s">
        <v>80</v>
      </c>
      <c r="P1317" t="s">
        <v>81</v>
      </c>
    </row>
    <row r="1318" spans="1:16" x14ac:dyDescent="0.25">
      <c r="A1318">
        <v>1317</v>
      </c>
      <c r="B1318" s="1">
        <v>45704</v>
      </c>
      <c r="C1318" t="s">
        <v>22</v>
      </c>
      <c r="D1318" t="s">
        <v>24</v>
      </c>
      <c r="E1318" t="s">
        <v>32</v>
      </c>
      <c r="F1318" t="s">
        <v>49</v>
      </c>
      <c r="G1318" t="s">
        <v>72</v>
      </c>
      <c r="H1318" t="s">
        <v>74</v>
      </c>
      <c r="I1318">
        <v>3</v>
      </c>
      <c r="J1318">
        <v>14179</v>
      </c>
      <c r="K1318">
        <v>0.1</v>
      </c>
      <c r="L1318">
        <v>38283.300000000003</v>
      </c>
      <c r="M1318">
        <v>26053.34</v>
      </c>
      <c r="N1318">
        <v>12229.96</v>
      </c>
      <c r="O1318" t="s">
        <v>78</v>
      </c>
      <c r="P1318" t="s">
        <v>87</v>
      </c>
    </row>
    <row r="1319" spans="1:16" x14ac:dyDescent="0.25">
      <c r="A1319">
        <v>1318</v>
      </c>
      <c r="B1319" s="1">
        <v>45957</v>
      </c>
      <c r="C1319" t="s">
        <v>16</v>
      </c>
      <c r="D1319" t="s">
        <v>24</v>
      </c>
      <c r="E1319" t="s">
        <v>33</v>
      </c>
      <c r="F1319" t="s">
        <v>52</v>
      </c>
      <c r="G1319" t="s">
        <v>72</v>
      </c>
      <c r="H1319" t="s">
        <v>73</v>
      </c>
      <c r="I1319">
        <v>5</v>
      </c>
      <c r="J1319">
        <v>2827</v>
      </c>
      <c r="K1319">
        <v>0.15</v>
      </c>
      <c r="L1319">
        <v>12014.75</v>
      </c>
      <c r="M1319">
        <v>7080.21</v>
      </c>
      <c r="N1319">
        <v>4934.54</v>
      </c>
      <c r="O1319" t="s">
        <v>80</v>
      </c>
      <c r="P1319" t="s">
        <v>84</v>
      </c>
    </row>
    <row r="1320" spans="1:16" x14ac:dyDescent="0.25">
      <c r="A1320">
        <v>1319</v>
      </c>
      <c r="B1320" s="1">
        <v>45808</v>
      </c>
      <c r="C1320" t="s">
        <v>16</v>
      </c>
      <c r="D1320" t="s">
        <v>24</v>
      </c>
      <c r="E1320" t="s">
        <v>31</v>
      </c>
      <c r="F1320" t="s">
        <v>69</v>
      </c>
      <c r="G1320" t="s">
        <v>70</v>
      </c>
      <c r="H1320" t="s">
        <v>73</v>
      </c>
      <c r="I1320">
        <v>4</v>
      </c>
      <c r="J1320">
        <v>1284</v>
      </c>
      <c r="K1320">
        <v>0.05</v>
      </c>
      <c r="L1320">
        <v>4879.2</v>
      </c>
      <c r="M1320">
        <v>3703.34</v>
      </c>
      <c r="N1320">
        <v>1175.8599999999999</v>
      </c>
      <c r="O1320" t="s">
        <v>77</v>
      </c>
      <c r="P1320" t="s">
        <v>87</v>
      </c>
    </row>
    <row r="1321" spans="1:16" x14ac:dyDescent="0.25">
      <c r="A1321">
        <v>1320</v>
      </c>
      <c r="B1321" s="1">
        <v>45909</v>
      </c>
      <c r="C1321" t="s">
        <v>22</v>
      </c>
      <c r="D1321" t="s">
        <v>24</v>
      </c>
      <c r="E1321" t="s">
        <v>33</v>
      </c>
      <c r="F1321" t="s">
        <v>52</v>
      </c>
      <c r="G1321" t="s">
        <v>71</v>
      </c>
      <c r="H1321" t="s">
        <v>75</v>
      </c>
      <c r="I1321">
        <v>5</v>
      </c>
      <c r="J1321">
        <v>22137</v>
      </c>
      <c r="K1321">
        <v>0</v>
      </c>
      <c r="L1321">
        <v>110685</v>
      </c>
      <c r="M1321">
        <v>61554.51</v>
      </c>
      <c r="N1321">
        <v>49130.49</v>
      </c>
      <c r="O1321" t="s">
        <v>76</v>
      </c>
      <c r="P1321" t="s">
        <v>87</v>
      </c>
    </row>
    <row r="1322" spans="1:16" x14ac:dyDescent="0.25">
      <c r="A1322">
        <v>1321</v>
      </c>
      <c r="B1322" s="1">
        <v>45805</v>
      </c>
      <c r="C1322" t="s">
        <v>20</v>
      </c>
      <c r="D1322" t="s">
        <v>26</v>
      </c>
      <c r="E1322" t="s">
        <v>30</v>
      </c>
      <c r="F1322" t="s">
        <v>64</v>
      </c>
      <c r="G1322" t="s">
        <v>70</v>
      </c>
      <c r="H1322" t="s">
        <v>74</v>
      </c>
      <c r="I1322">
        <v>4</v>
      </c>
      <c r="J1322">
        <v>17487</v>
      </c>
      <c r="K1322">
        <v>0.1</v>
      </c>
      <c r="L1322">
        <v>62953.2</v>
      </c>
      <c r="M1322">
        <v>48310.07</v>
      </c>
      <c r="N1322">
        <v>14643.13</v>
      </c>
      <c r="O1322" t="s">
        <v>79</v>
      </c>
      <c r="P1322" t="s">
        <v>85</v>
      </c>
    </row>
    <row r="1323" spans="1:16" x14ac:dyDescent="0.25">
      <c r="A1323">
        <v>1322</v>
      </c>
      <c r="B1323" s="1">
        <v>45707</v>
      </c>
      <c r="C1323" t="s">
        <v>20</v>
      </c>
      <c r="D1323" t="s">
        <v>26</v>
      </c>
      <c r="E1323" t="s">
        <v>28</v>
      </c>
      <c r="F1323" t="s">
        <v>61</v>
      </c>
      <c r="G1323" t="s">
        <v>70</v>
      </c>
      <c r="H1323" t="s">
        <v>73</v>
      </c>
      <c r="I1323">
        <v>5</v>
      </c>
      <c r="J1323">
        <v>1943</v>
      </c>
      <c r="K1323">
        <v>0</v>
      </c>
      <c r="L1323">
        <v>9715</v>
      </c>
      <c r="M1323">
        <v>7507.44</v>
      </c>
      <c r="N1323">
        <v>2207.56</v>
      </c>
      <c r="O1323" t="s">
        <v>76</v>
      </c>
      <c r="P1323" t="s">
        <v>84</v>
      </c>
    </row>
    <row r="1324" spans="1:16" x14ac:dyDescent="0.25">
      <c r="A1324">
        <v>1323</v>
      </c>
      <c r="B1324" s="1">
        <v>45802</v>
      </c>
      <c r="C1324" t="s">
        <v>23</v>
      </c>
      <c r="D1324" t="s">
        <v>27</v>
      </c>
      <c r="E1324" t="s">
        <v>34</v>
      </c>
      <c r="F1324" t="s">
        <v>65</v>
      </c>
      <c r="G1324" t="s">
        <v>71</v>
      </c>
      <c r="H1324" t="s">
        <v>74</v>
      </c>
      <c r="I1324">
        <v>6</v>
      </c>
      <c r="J1324">
        <v>374</v>
      </c>
      <c r="K1324">
        <v>0.1</v>
      </c>
      <c r="L1324">
        <v>2019.6</v>
      </c>
      <c r="M1324">
        <v>1490.69</v>
      </c>
      <c r="N1324">
        <v>528.91</v>
      </c>
      <c r="O1324" t="s">
        <v>76</v>
      </c>
      <c r="P1324" t="s">
        <v>85</v>
      </c>
    </row>
    <row r="1325" spans="1:16" x14ac:dyDescent="0.25">
      <c r="A1325">
        <v>1324</v>
      </c>
      <c r="B1325" s="1">
        <v>45901</v>
      </c>
      <c r="C1325" t="s">
        <v>18</v>
      </c>
      <c r="D1325" t="s">
        <v>26</v>
      </c>
      <c r="E1325" t="s">
        <v>32</v>
      </c>
      <c r="F1325" t="s">
        <v>49</v>
      </c>
      <c r="G1325" t="s">
        <v>70</v>
      </c>
      <c r="H1325" t="s">
        <v>74</v>
      </c>
      <c r="I1325">
        <v>7</v>
      </c>
      <c r="J1325">
        <v>3116</v>
      </c>
      <c r="K1325">
        <v>0.15</v>
      </c>
      <c r="L1325">
        <v>18540.2</v>
      </c>
      <c r="M1325">
        <v>12651.94</v>
      </c>
      <c r="N1325">
        <v>5888.26</v>
      </c>
      <c r="O1325" t="s">
        <v>78</v>
      </c>
      <c r="P1325" t="s">
        <v>84</v>
      </c>
    </row>
    <row r="1326" spans="1:16" x14ac:dyDescent="0.25">
      <c r="A1326">
        <v>1325</v>
      </c>
      <c r="B1326" s="1">
        <v>45964</v>
      </c>
      <c r="C1326" t="s">
        <v>22</v>
      </c>
      <c r="D1326" t="s">
        <v>24</v>
      </c>
      <c r="E1326" t="s">
        <v>29</v>
      </c>
      <c r="F1326" t="s">
        <v>57</v>
      </c>
      <c r="G1326" t="s">
        <v>70</v>
      </c>
      <c r="H1326" t="s">
        <v>74</v>
      </c>
      <c r="I1326">
        <v>7</v>
      </c>
      <c r="J1326">
        <v>7543</v>
      </c>
      <c r="K1326">
        <v>0.05</v>
      </c>
      <c r="L1326">
        <v>50160.95</v>
      </c>
      <c r="M1326">
        <v>30049.96</v>
      </c>
      <c r="N1326">
        <v>20110.990000000002</v>
      </c>
      <c r="O1326" t="s">
        <v>79</v>
      </c>
      <c r="P1326" t="s">
        <v>82</v>
      </c>
    </row>
    <row r="1327" spans="1:16" x14ac:dyDescent="0.25">
      <c r="A1327">
        <v>1326</v>
      </c>
      <c r="B1327" s="1">
        <v>45880</v>
      </c>
      <c r="C1327" t="s">
        <v>20</v>
      </c>
      <c r="D1327" t="s">
        <v>26</v>
      </c>
      <c r="E1327" t="s">
        <v>30</v>
      </c>
      <c r="F1327" t="s">
        <v>37</v>
      </c>
      <c r="G1327" t="s">
        <v>71</v>
      </c>
      <c r="H1327" t="s">
        <v>75</v>
      </c>
      <c r="I1327">
        <v>8</v>
      </c>
      <c r="J1327">
        <v>69703</v>
      </c>
      <c r="K1327">
        <v>0</v>
      </c>
      <c r="L1327">
        <v>557624</v>
      </c>
      <c r="M1327">
        <v>407028.51</v>
      </c>
      <c r="N1327">
        <v>150595.49</v>
      </c>
      <c r="O1327" t="s">
        <v>79</v>
      </c>
      <c r="P1327" t="s">
        <v>88</v>
      </c>
    </row>
    <row r="1328" spans="1:16" x14ac:dyDescent="0.25">
      <c r="A1328">
        <v>1327</v>
      </c>
      <c r="B1328" s="1">
        <v>45889</v>
      </c>
      <c r="C1328" t="s">
        <v>20</v>
      </c>
      <c r="D1328" t="s">
        <v>26</v>
      </c>
      <c r="E1328" t="s">
        <v>32</v>
      </c>
      <c r="F1328" t="s">
        <v>66</v>
      </c>
      <c r="G1328" t="s">
        <v>71</v>
      </c>
      <c r="H1328" t="s">
        <v>73</v>
      </c>
      <c r="I1328">
        <v>8</v>
      </c>
      <c r="J1328">
        <v>20270</v>
      </c>
      <c r="K1328">
        <v>0.05</v>
      </c>
      <c r="L1328">
        <v>154052</v>
      </c>
      <c r="M1328">
        <v>133918.6</v>
      </c>
      <c r="N1328">
        <v>20133.400000000001</v>
      </c>
      <c r="O1328" t="s">
        <v>79</v>
      </c>
      <c r="P1328" t="s">
        <v>81</v>
      </c>
    </row>
    <row r="1329" spans="1:16" x14ac:dyDescent="0.25">
      <c r="A1329">
        <v>1328</v>
      </c>
      <c r="B1329" s="1">
        <v>45720</v>
      </c>
      <c r="C1329" t="s">
        <v>20</v>
      </c>
      <c r="D1329" t="s">
        <v>26</v>
      </c>
      <c r="E1329" t="s">
        <v>29</v>
      </c>
      <c r="F1329" t="s">
        <v>42</v>
      </c>
      <c r="G1329" t="s">
        <v>70</v>
      </c>
      <c r="H1329" t="s">
        <v>74</v>
      </c>
      <c r="I1329">
        <v>6</v>
      </c>
      <c r="J1329">
        <v>4724</v>
      </c>
      <c r="K1329">
        <v>0.2</v>
      </c>
      <c r="L1329">
        <v>22675.200000000001</v>
      </c>
      <c r="M1329">
        <v>14683.04</v>
      </c>
      <c r="N1329">
        <v>7992.16</v>
      </c>
      <c r="O1329" t="s">
        <v>77</v>
      </c>
      <c r="P1329" t="s">
        <v>86</v>
      </c>
    </row>
    <row r="1330" spans="1:16" x14ac:dyDescent="0.25">
      <c r="A1330">
        <v>1329</v>
      </c>
      <c r="B1330" s="1">
        <v>45812</v>
      </c>
      <c r="C1330" t="s">
        <v>22</v>
      </c>
      <c r="D1330" t="s">
        <v>24</v>
      </c>
      <c r="E1330" t="s">
        <v>34</v>
      </c>
      <c r="F1330" t="s">
        <v>43</v>
      </c>
      <c r="G1330" t="s">
        <v>72</v>
      </c>
      <c r="H1330" t="s">
        <v>74</v>
      </c>
      <c r="I1330">
        <v>3</v>
      </c>
      <c r="J1330">
        <v>2155</v>
      </c>
      <c r="K1330">
        <v>0.1</v>
      </c>
      <c r="L1330">
        <v>5818.5</v>
      </c>
      <c r="M1330">
        <v>3708.57</v>
      </c>
      <c r="N1330">
        <v>2109.9299999999998</v>
      </c>
      <c r="O1330" t="s">
        <v>77</v>
      </c>
      <c r="P1330" t="s">
        <v>82</v>
      </c>
    </row>
    <row r="1331" spans="1:16" x14ac:dyDescent="0.25">
      <c r="A1331">
        <v>1330</v>
      </c>
      <c r="B1331" s="1">
        <v>45679</v>
      </c>
      <c r="C1331" t="s">
        <v>21</v>
      </c>
      <c r="D1331" t="s">
        <v>24</v>
      </c>
      <c r="E1331" t="s">
        <v>28</v>
      </c>
      <c r="F1331" t="s">
        <v>54</v>
      </c>
      <c r="G1331" t="s">
        <v>70</v>
      </c>
      <c r="H1331" t="s">
        <v>73</v>
      </c>
      <c r="I1331">
        <v>8</v>
      </c>
      <c r="J1331">
        <v>2317</v>
      </c>
      <c r="K1331">
        <v>0.15</v>
      </c>
      <c r="L1331">
        <v>15755.6</v>
      </c>
      <c r="M1331">
        <v>9106.8799999999992</v>
      </c>
      <c r="N1331">
        <v>6648.72</v>
      </c>
      <c r="O1331" t="s">
        <v>76</v>
      </c>
      <c r="P1331" t="s">
        <v>88</v>
      </c>
    </row>
    <row r="1332" spans="1:16" x14ac:dyDescent="0.25">
      <c r="A1332">
        <v>1331</v>
      </c>
      <c r="B1332" s="1">
        <v>45667</v>
      </c>
      <c r="C1332" t="s">
        <v>21</v>
      </c>
      <c r="D1332" t="s">
        <v>24</v>
      </c>
      <c r="E1332" t="s">
        <v>28</v>
      </c>
      <c r="F1332" t="s">
        <v>54</v>
      </c>
      <c r="G1332" t="s">
        <v>72</v>
      </c>
      <c r="H1332" t="s">
        <v>73</v>
      </c>
      <c r="I1332">
        <v>8</v>
      </c>
      <c r="J1332">
        <v>1434</v>
      </c>
      <c r="K1332">
        <v>0</v>
      </c>
      <c r="L1332">
        <v>11472</v>
      </c>
      <c r="M1332">
        <v>7040.67</v>
      </c>
      <c r="N1332">
        <v>4431.33</v>
      </c>
      <c r="O1332" t="s">
        <v>80</v>
      </c>
      <c r="P1332" t="s">
        <v>88</v>
      </c>
    </row>
    <row r="1333" spans="1:16" x14ac:dyDescent="0.25">
      <c r="A1333">
        <v>1332</v>
      </c>
      <c r="B1333" s="1">
        <v>45929</v>
      </c>
      <c r="C1333" t="s">
        <v>20</v>
      </c>
      <c r="D1333" t="s">
        <v>26</v>
      </c>
      <c r="E1333" t="s">
        <v>28</v>
      </c>
      <c r="F1333" t="s">
        <v>35</v>
      </c>
      <c r="G1333" t="s">
        <v>72</v>
      </c>
      <c r="H1333" t="s">
        <v>75</v>
      </c>
      <c r="I1333">
        <v>4</v>
      </c>
      <c r="J1333">
        <v>1713</v>
      </c>
      <c r="K1333">
        <v>0.05</v>
      </c>
      <c r="L1333">
        <v>6509.4</v>
      </c>
      <c r="M1333">
        <v>5554.91</v>
      </c>
      <c r="N1333">
        <v>954.49</v>
      </c>
      <c r="O1333" t="s">
        <v>76</v>
      </c>
      <c r="P1333" t="s">
        <v>83</v>
      </c>
    </row>
    <row r="1334" spans="1:16" x14ac:dyDescent="0.25">
      <c r="A1334">
        <v>1333</v>
      </c>
      <c r="B1334" s="1">
        <v>45770</v>
      </c>
      <c r="C1334" t="s">
        <v>23</v>
      </c>
      <c r="D1334" t="s">
        <v>27</v>
      </c>
      <c r="E1334" t="s">
        <v>31</v>
      </c>
      <c r="F1334" t="s">
        <v>67</v>
      </c>
      <c r="G1334" t="s">
        <v>71</v>
      </c>
      <c r="H1334" t="s">
        <v>75</v>
      </c>
      <c r="I1334">
        <v>6</v>
      </c>
      <c r="J1334">
        <v>550</v>
      </c>
      <c r="K1334">
        <v>0</v>
      </c>
      <c r="L1334">
        <v>3300</v>
      </c>
      <c r="M1334">
        <v>2872.53</v>
      </c>
      <c r="N1334">
        <v>427.47</v>
      </c>
      <c r="O1334" t="s">
        <v>79</v>
      </c>
      <c r="P1334" t="s">
        <v>86</v>
      </c>
    </row>
    <row r="1335" spans="1:16" x14ac:dyDescent="0.25">
      <c r="A1335">
        <v>1334</v>
      </c>
      <c r="B1335" s="1">
        <v>45946</v>
      </c>
      <c r="C1335" t="s">
        <v>20</v>
      </c>
      <c r="D1335" t="s">
        <v>26</v>
      </c>
      <c r="E1335" t="s">
        <v>34</v>
      </c>
      <c r="F1335" t="s">
        <v>51</v>
      </c>
      <c r="G1335" t="s">
        <v>71</v>
      </c>
      <c r="H1335" t="s">
        <v>73</v>
      </c>
      <c r="I1335">
        <v>3</v>
      </c>
      <c r="J1335">
        <v>3527</v>
      </c>
      <c r="K1335">
        <v>0</v>
      </c>
      <c r="L1335">
        <v>10581</v>
      </c>
      <c r="M1335">
        <v>7145.1</v>
      </c>
      <c r="N1335">
        <v>3435.9</v>
      </c>
      <c r="O1335" t="s">
        <v>80</v>
      </c>
      <c r="P1335" t="s">
        <v>86</v>
      </c>
    </row>
    <row r="1336" spans="1:16" x14ac:dyDescent="0.25">
      <c r="A1336">
        <v>1335</v>
      </c>
      <c r="B1336" s="1">
        <v>45914</v>
      </c>
      <c r="C1336" t="s">
        <v>23</v>
      </c>
      <c r="D1336" t="s">
        <v>27</v>
      </c>
      <c r="E1336" t="s">
        <v>32</v>
      </c>
      <c r="F1336" t="s">
        <v>48</v>
      </c>
      <c r="G1336" t="s">
        <v>72</v>
      </c>
      <c r="H1336" t="s">
        <v>75</v>
      </c>
      <c r="I1336">
        <v>5</v>
      </c>
      <c r="J1336">
        <v>7150</v>
      </c>
      <c r="K1336">
        <v>0</v>
      </c>
      <c r="L1336">
        <v>35750</v>
      </c>
      <c r="M1336">
        <v>24663.61</v>
      </c>
      <c r="N1336">
        <v>11086.39</v>
      </c>
      <c r="O1336" t="s">
        <v>79</v>
      </c>
      <c r="P1336" t="s">
        <v>86</v>
      </c>
    </row>
    <row r="1337" spans="1:16" x14ac:dyDescent="0.25">
      <c r="A1337">
        <v>1336</v>
      </c>
      <c r="B1337" s="1">
        <v>46007</v>
      </c>
      <c r="C1337" t="s">
        <v>21</v>
      </c>
      <c r="D1337" t="s">
        <v>24</v>
      </c>
      <c r="E1337" t="s">
        <v>34</v>
      </c>
      <c r="F1337" t="s">
        <v>51</v>
      </c>
      <c r="G1337" t="s">
        <v>71</v>
      </c>
      <c r="H1337" t="s">
        <v>75</v>
      </c>
      <c r="I1337">
        <v>4</v>
      </c>
      <c r="J1337">
        <v>3740</v>
      </c>
      <c r="K1337">
        <v>0.05</v>
      </c>
      <c r="L1337">
        <v>14212</v>
      </c>
      <c r="M1337">
        <v>11210.63</v>
      </c>
      <c r="N1337">
        <v>3001.37</v>
      </c>
      <c r="O1337" t="s">
        <v>77</v>
      </c>
      <c r="P1337" t="s">
        <v>85</v>
      </c>
    </row>
    <row r="1338" spans="1:16" x14ac:dyDescent="0.25">
      <c r="A1338">
        <v>1337</v>
      </c>
      <c r="B1338" s="1">
        <v>45767</v>
      </c>
      <c r="C1338" t="s">
        <v>21</v>
      </c>
      <c r="D1338" t="s">
        <v>24</v>
      </c>
      <c r="E1338" t="s">
        <v>34</v>
      </c>
      <c r="F1338" t="s">
        <v>51</v>
      </c>
      <c r="G1338" t="s">
        <v>71</v>
      </c>
      <c r="H1338" t="s">
        <v>74</v>
      </c>
      <c r="I1338">
        <v>2</v>
      </c>
      <c r="J1338">
        <v>3515</v>
      </c>
      <c r="K1338">
        <v>0.05</v>
      </c>
      <c r="L1338">
        <v>6678.5</v>
      </c>
      <c r="M1338">
        <v>3789.91</v>
      </c>
      <c r="N1338">
        <v>2888.59</v>
      </c>
      <c r="O1338" t="s">
        <v>80</v>
      </c>
      <c r="P1338" t="s">
        <v>81</v>
      </c>
    </row>
    <row r="1339" spans="1:16" x14ac:dyDescent="0.25">
      <c r="A1339">
        <v>1338</v>
      </c>
      <c r="B1339" s="1">
        <v>45804</v>
      </c>
      <c r="C1339" t="s">
        <v>20</v>
      </c>
      <c r="D1339" t="s">
        <v>26</v>
      </c>
      <c r="E1339" t="s">
        <v>34</v>
      </c>
      <c r="F1339" t="s">
        <v>43</v>
      </c>
      <c r="G1339" t="s">
        <v>72</v>
      </c>
      <c r="H1339" t="s">
        <v>73</v>
      </c>
      <c r="I1339">
        <v>7</v>
      </c>
      <c r="J1339">
        <v>3878</v>
      </c>
      <c r="K1339">
        <v>0</v>
      </c>
      <c r="L1339">
        <v>27146</v>
      </c>
      <c r="M1339">
        <v>17759.16</v>
      </c>
      <c r="N1339">
        <v>9386.84</v>
      </c>
      <c r="O1339" t="s">
        <v>76</v>
      </c>
      <c r="P1339" t="s">
        <v>88</v>
      </c>
    </row>
    <row r="1340" spans="1:16" x14ac:dyDescent="0.25">
      <c r="A1340">
        <v>1339</v>
      </c>
      <c r="B1340" s="1">
        <v>45702</v>
      </c>
      <c r="C1340" t="s">
        <v>16</v>
      </c>
      <c r="D1340" t="s">
        <v>24</v>
      </c>
      <c r="E1340" t="s">
        <v>34</v>
      </c>
      <c r="F1340" t="s">
        <v>68</v>
      </c>
      <c r="G1340" t="s">
        <v>70</v>
      </c>
      <c r="H1340" t="s">
        <v>73</v>
      </c>
      <c r="I1340">
        <v>4</v>
      </c>
      <c r="J1340">
        <v>5506</v>
      </c>
      <c r="K1340">
        <v>0</v>
      </c>
      <c r="L1340">
        <v>22024</v>
      </c>
      <c r="M1340">
        <v>12596.2</v>
      </c>
      <c r="N1340">
        <v>9427.7999999999993</v>
      </c>
      <c r="O1340" t="s">
        <v>80</v>
      </c>
      <c r="P1340" t="s">
        <v>87</v>
      </c>
    </row>
    <row r="1341" spans="1:16" x14ac:dyDescent="0.25">
      <c r="A1341">
        <v>1340</v>
      </c>
      <c r="B1341" s="1">
        <v>45891</v>
      </c>
      <c r="C1341" t="s">
        <v>19</v>
      </c>
      <c r="D1341" t="s">
        <v>26</v>
      </c>
      <c r="E1341" t="s">
        <v>28</v>
      </c>
      <c r="F1341" t="s">
        <v>35</v>
      </c>
      <c r="G1341" t="s">
        <v>70</v>
      </c>
      <c r="H1341" t="s">
        <v>74</v>
      </c>
      <c r="I1341">
        <v>6</v>
      </c>
      <c r="J1341">
        <v>1744</v>
      </c>
      <c r="K1341">
        <v>0</v>
      </c>
      <c r="L1341">
        <v>10464</v>
      </c>
      <c r="M1341">
        <v>7707.89</v>
      </c>
      <c r="N1341">
        <v>2756.11</v>
      </c>
      <c r="O1341" t="s">
        <v>80</v>
      </c>
      <c r="P1341" t="s">
        <v>85</v>
      </c>
    </row>
    <row r="1342" spans="1:16" x14ac:dyDescent="0.25">
      <c r="A1342">
        <v>1341</v>
      </c>
      <c r="B1342" s="1">
        <v>45843</v>
      </c>
      <c r="C1342" t="s">
        <v>19</v>
      </c>
      <c r="D1342" t="s">
        <v>26</v>
      </c>
      <c r="E1342" t="s">
        <v>28</v>
      </c>
      <c r="F1342" t="s">
        <v>35</v>
      </c>
      <c r="G1342" t="s">
        <v>72</v>
      </c>
      <c r="H1342" t="s">
        <v>74</v>
      </c>
      <c r="I1342">
        <v>6</v>
      </c>
      <c r="J1342">
        <v>627</v>
      </c>
      <c r="K1342">
        <v>0</v>
      </c>
      <c r="L1342">
        <v>3762</v>
      </c>
      <c r="M1342">
        <v>2639.14</v>
      </c>
      <c r="N1342">
        <v>1122.8599999999999</v>
      </c>
      <c r="O1342" t="s">
        <v>77</v>
      </c>
      <c r="P1342" t="s">
        <v>83</v>
      </c>
    </row>
    <row r="1343" spans="1:16" x14ac:dyDescent="0.25">
      <c r="A1343">
        <v>1342</v>
      </c>
      <c r="B1343" s="1">
        <v>45948</v>
      </c>
      <c r="C1343" t="s">
        <v>16</v>
      </c>
      <c r="D1343" t="s">
        <v>24</v>
      </c>
      <c r="E1343" t="s">
        <v>34</v>
      </c>
      <c r="F1343" t="s">
        <v>55</v>
      </c>
      <c r="G1343" t="s">
        <v>70</v>
      </c>
      <c r="H1343" t="s">
        <v>74</v>
      </c>
      <c r="I1343">
        <v>3</v>
      </c>
      <c r="J1343">
        <v>1017</v>
      </c>
      <c r="K1343">
        <v>0</v>
      </c>
      <c r="L1343">
        <v>3051</v>
      </c>
      <c r="M1343">
        <v>1846.14</v>
      </c>
      <c r="N1343">
        <v>1204.8599999999999</v>
      </c>
      <c r="O1343" t="s">
        <v>80</v>
      </c>
      <c r="P1343" t="s">
        <v>88</v>
      </c>
    </row>
    <row r="1344" spans="1:16" x14ac:dyDescent="0.25">
      <c r="A1344">
        <v>1343</v>
      </c>
      <c r="B1344" s="1">
        <v>46015</v>
      </c>
      <c r="C1344" t="s">
        <v>20</v>
      </c>
      <c r="D1344" t="s">
        <v>26</v>
      </c>
      <c r="E1344" t="s">
        <v>33</v>
      </c>
      <c r="F1344" t="s">
        <v>46</v>
      </c>
      <c r="G1344" t="s">
        <v>70</v>
      </c>
      <c r="H1344" t="s">
        <v>74</v>
      </c>
      <c r="I1344">
        <v>8</v>
      </c>
      <c r="J1344">
        <v>47968</v>
      </c>
      <c r="K1344">
        <v>0.1</v>
      </c>
      <c r="L1344">
        <v>345369.59999999998</v>
      </c>
      <c r="M1344">
        <v>302029.62</v>
      </c>
      <c r="N1344">
        <v>43339.98</v>
      </c>
      <c r="O1344" t="s">
        <v>80</v>
      </c>
      <c r="P1344" t="s">
        <v>84</v>
      </c>
    </row>
    <row r="1345" spans="1:16" x14ac:dyDescent="0.25">
      <c r="A1345">
        <v>1344</v>
      </c>
      <c r="B1345" s="1">
        <v>45913</v>
      </c>
      <c r="C1345" t="s">
        <v>20</v>
      </c>
      <c r="D1345" t="s">
        <v>26</v>
      </c>
      <c r="E1345" t="s">
        <v>31</v>
      </c>
      <c r="F1345" t="s">
        <v>67</v>
      </c>
      <c r="G1345" t="s">
        <v>70</v>
      </c>
      <c r="H1345" t="s">
        <v>75</v>
      </c>
      <c r="I1345">
        <v>4</v>
      </c>
      <c r="J1345">
        <v>2178</v>
      </c>
      <c r="K1345">
        <v>0.1</v>
      </c>
      <c r="L1345">
        <v>7840.8</v>
      </c>
      <c r="M1345">
        <v>5178.46</v>
      </c>
      <c r="N1345">
        <v>2662.34</v>
      </c>
      <c r="O1345" t="s">
        <v>77</v>
      </c>
      <c r="P1345" t="s">
        <v>83</v>
      </c>
    </row>
    <row r="1346" spans="1:16" x14ac:dyDescent="0.25">
      <c r="A1346">
        <v>1345</v>
      </c>
      <c r="B1346" s="1">
        <v>45981</v>
      </c>
      <c r="C1346" t="s">
        <v>22</v>
      </c>
      <c r="D1346" t="s">
        <v>24</v>
      </c>
      <c r="E1346" t="s">
        <v>33</v>
      </c>
      <c r="F1346" t="s">
        <v>59</v>
      </c>
      <c r="G1346" t="s">
        <v>71</v>
      </c>
      <c r="H1346" t="s">
        <v>74</v>
      </c>
      <c r="I1346">
        <v>2</v>
      </c>
      <c r="J1346">
        <v>16768</v>
      </c>
      <c r="K1346">
        <v>0.05</v>
      </c>
      <c r="L1346">
        <v>31859.200000000001</v>
      </c>
      <c r="M1346">
        <v>21816.48</v>
      </c>
      <c r="N1346">
        <v>10042.719999999999</v>
      </c>
      <c r="O1346" t="s">
        <v>76</v>
      </c>
      <c r="P1346" t="s">
        <v>88</v>
      </c>
    </row>
    <row r="1347" spans="1:16" x14ac:dyDescent="0.25">
      <c r="A1347">
        <v>1346</v>
      </c>
      <c r="B1347" s="1">
        <v>45951</v>
      </c>
      <c r="C1347" t="s">
        <v>19</v>
      </c>
      <c r="D1347" t="s">
        <v>26</v>
      </c>
      <c r="E1347" t="s">
        <v>31</v>
      </c>
      <c r="F1347" t="s">
        <v>47</v>
      </c>
      <c r="G1347" t="s">
        <v>70</v>
      </c>
      <c r="H1347" t="s">
        <v>74</v>
      </c>
      <c r="I1347">
        <v>7</v>
      </c>
      <c r="J1347">
        <v>434</v>
      </c>
      <c r="K1347">
        <v>0</v>
      </c>
      <c r="L1347">
        <v>3038</v>
      </c>
      <c r="M1347">
        <v>1732.03</v>
      </c>
      <c r="N1347">
        <v>1305.97</v>
      </c>
      <c r="O1347" t="s">
        <v>77</v>
      </c>
      <c r="P1347" t="s">
        <v>84</v>
      </c>
    </row>
    <row r="1348" spans="1:16" x14ac:dyDescent="0.25">
      <c r="A1348">
        <v>1347</v>
      </c>
      <c r="B1348" s="1">
        <v>45828</v>
      </c>
      <c r="C1348" t="s">
        <v>20</v>
      </c>
      <c r="D1348" t="s">
        <v>26</v>
      </c>
      <c r="E1348" t="s">
        <v>28</v>
      </c>
      <c r="F1348" t="s">
        <v>58</v>
      </c>
      <c r="G1348" t="s">
        <v>70</v>
      </c>
      <c r="H1348" t="s">
        <v>74</v>
      </c>
      <c r="I1348">
        <v>2</v>
      </c>
      <c r="J1348">
        <v>1776</v>
      </c>
      <c r="K1348">
        <v>0.1</v>
      </c>
      <c r="L1348">
        <v>3196.8</v>
      </c>
      <c r="M1348">
        <v>1807.59</v>
      </c>
      <c r="N1348">
        <v>1389.21</v>
      </c>
      <c r="O1348" t="s">
        <v>77</v>
      </c>
      <c r="P1348" t="s">
        <v>82</v>
      </c>
    </row>
    <row r="1349" spans="1:16" x14ac:dyDescent="0.25">
      <c r="A1349">
        <v>1348</v>
      </c>
      <c r="B1349" s="1">
        <v>45911</v>
      </c>
      <c r="C1349" t="s">
        <v>18</v>
      </c>
      <c r="D1349" t="s">
        <v>26</v>
      </c>
      <c r="E1349" t="s">
        <v>34</v>
      </c>
      <c r="F1349" t="s">
        <v>51</v>
      </c>
      <c r="G1349" t="s">
        <v>70</v>
      </c>
      <c r="H1349" t="s">
        <v>73</v>
      </c>
      <c r="I1349">
        <v>8</v>
      </c>
      <c r="J1349">
        <v>4113</v>
      </c>
      <c r="K1349">
        <v>0.15</v>
      </c>
      <c r="L1349">
        <v>27968.400000000001</v>
      </c>
      <c r="M1349">
        <v>20289.64</v>
      </c>
      <c r="N1349">
        <v>7678.76</v>
      </c>
      <c r="O1349" t="s">
        <v>78</v>
      </c>
      <c r="P1349" t="s">
        <v>88</v>
      </c>
    </row>
    <row r="1350" spans="1:16" x14ac:dyDescent="0.25">
      <c r="A1350">
        <v>1349</v>
      </c>
      <c r="B1350" s="1">
        <v>46008</v>
      </c>
      <c r="C1350" t="s">
        <v>22</v>
      </c>
      <c r="D1350" t="s">
        <v>24</v>
      </c>
      <c r="E1350" t="s">
        <v>32</v>
      </c>
      <c r="F1350" t="s">
        <v>39</v>
      </c>
      <c r="G1350" t="s">
        <v>71</v>
      </c>
      <c r="H1350" t="s">
        <v>73</v>
      </c>
      <c r="I1350">
        <v>2</v>
      </c>
      <c r="J1350">
        <v>9605</v>
      </c>
      <c r="K1350">
        <v>0.05</v>
      </c>
      <c r="L1350">
        <v>18249.5</v>
      </c>
      <c r="M1350">
        <v>11322.69</v>
      </c>
      <c r="N1350">
        <v>6926.81</v>
      </c>
      <c r="O1350" t="s">
        <v>79</v>
      </c>
      <c r="P1350" t="s">
        <v>88</v>
      </c>
    </row>
    <row r="1351" spans="1:16" x14ac:dyDescent="0.25">
      <c r="A1351">
        <v>1350</v>
      </c>
      <c r="B1351" s="1">
        <v>45989</v>
      </c>
      <c r="C1351" t="s">
        <v>23</v>
      </c>
      <c r="D1351" t="s">
        <v>27</v>
      </c>
      <c r="E1351" t="s">
        <v>34</v>
      </c>
      <c r="F1351" t="s">
        <v>65</v>
      </c>
      <c r="G1351" t="s">
        <v>71</v>
      </c>
      <c r="H1351" t="s">
        <v>74</v>
      </c>
      <c r="I1351">
        <v>5</v>
      </c>
      <c r="J1351">
        <v>2669</v>
      </c>
      <c r="K1351">
        <v>0</v>
      </c>
      <c r="L1351">
        <v>13345</v>
      </c>
      <c r="M1351">
        <v>7798.82</v>
      </c>
      <c r="N1351">
        <v>5546.18</v>
      </c>
      <c r="O1351" t="s">
        <v>76</v>
      </c>
      <c r="P1351" t="s">
        <v>86</v>
      </c>
    </row>
    <row r="1352" spans="1:16" x14ac:dyDescent="0.25">
      <c r="A1352">
        <v>1351</v>
      </c>
      <c r="B1352" s="1">
        <v>45861</v>
      </c>
      <c r="C1352" t="s">
        <v>21</v>
      </c>
      <c r="D1352" t="s">
        <v>24</v>
      </c>
      <c r="E1352" t="s">
        <v>29</v>
      </c>
      <c r="F1352" t="s">
        <v>57</v>
      </c>
      <c r="G1352" t="s">
        <v>70</v>
      </c>
      <c r="H1352" t="s">
        <v>74</v>
      </c>
      <c r="I1352">
        <v>3</v>
      </c>
      <c r="J1352">
        <v>1873</v>
      </c>
      <c r="K1352">
        <v>0.1</v>
      </c>
      <c r="L1352">
        <v>5057.1000000000004</v>
      </c>
      <c r="M1352">
        <v>3953.45</v>
      </c>
      <c r="N1352">
        <v>1103.6500000000001</v>
      </c>
      <c r="O1352" t="s">
        <v>77</v>
      </c>
      <c r="P1352" t="s">
        <v>83</v>
      </c>
    </row>
    <row r="1353" spans="1:16" x14ac:dyDescent="0.25">
      <c r="A1353">
        <v>1352</v>
      </c>
      <c r="B1353" s="1">
        <v>45762</v>
      </c>
      <c r="C1353" t="s">
        <v>20</v>
      </c>
      <c r="D1353" t="s">
        <v>26</v>
      </c>
      <c r="E1353" t="s">
        <v>34</v>
      </c>
      <c r="F1353" t="s">
        <v>51</v>
      </c>
      <c r="G1353" t="s">
        <v>72</v>
      </c>
      <c r="H1353" t="s">
        <v>75</v>
      </c>
      <c r="I1353">
        <v>3</v>
      </c>
      <c r="J1353">
        <v>5821</v>
      </c>
      <c r="K1353">
        <v>0.1</v>
      </c>
      <c r="L1353">
        <v>15716.7</v>
      </c>
      <c r="M1353">
        <v>13449.72</v>
      </c>
      <c r="N1353">
        <v>2266.98</v>
      </c>
      <c r="O1353" t="s">
        <v>80</v>
      </c>
      <c r="P1353" t="s">
        <v>84</v>
      </c>
    </row>
    <row r="1354" spans="1:16" x14ac:dyDescent="0.25">
      <c r="A1354">
        <v>1353</v>
      </c>
      <c r="B1354" s="1">
        <v>45670</v>
      </c>
      <c r="C1354" t="s">
        <v>21</v>
      </c>
      <c r="D1354" t="s">
        <v>24</v>
      </c>
      <c r="E1354" t="s">
        <v>29</v>
      </c>
      <c r="F1354" t="s">
        <v>57</v>
      </c>
      <c r="G1354" t="s">
        <v>72</v>
      </c>
      <c r="H1354" t="s">
        <v>75</v>
      </c>
      <c r="I1354">
        <v>5</v>
      </c>
      <c r="J1354">
        <v>8216</v>
      </c>
      <c r="K1354">
        <v>0.05</v>
      </c>
      <c r="L1354">
        <v>39026</v>
      </c>
      <c r="M1354">
        <v>23640.06</v>
      </c>
      <c r="N1354">
        <v>15385.94</v>
      </c>
      <c r="O1354" t="s">
        <v>79</v>
      </c>
      <c r="P1354" t="s">
        <v>85</v>
      </c>
    </row>
    <row r="1355" spans="1:16" x14ac:dyDescent="0.25">
      <c r="A1355">
        <v>1354</v>
      </c>
      <c r="B1355" s="1">
        <v>45779</v>
      </c>
      <c r="C1355" t="s">
        <v>20</v>
      </c>
      <c r="D1355" t="s">
        <v>26</v>
      </c>
      <c r="E1355" t="s">
        <v>28</v>
      </c>
      <c r="F1355" t="s">
        <v>61</v>
      </c>
      <c r="G1355" t="s">
        <v>72</v>
      </c>
      <c r="H1355" t="s">
        <v>73</v>
      </c>
      <c r="I1355">
        <v>4</v>
      </c>
      <c r="J1355">
        <v>1076</v>
      </c>
      <c r="K1355">
        <v>0</v>
      </c>
      <c r="L1355">
        <v>4304</v>
      </c>
      <c r="M1355">
        <v>3101.5</v>
      </c>
      <c r="N1355">
        <v>1202.5</v>
      </c>
      <c r="O1355" t="s">
        <v>77</v>
      </c>
      <c r="P1355" t="s">
        <v>81</v>
      </c>
    </row>
    <row r="1356" spans="1:16" x14ac:dyDescent="0.25">
      <c r="A1356">
        <v>1355</v>
      </c>
      <c r="B1356" s="1">
        <v>45779</v>
      </c>
      <c r="C1356" t="s">
        <v>23</v>
      </c>
      <c r="D1356" t="s">
        <v>27</v>
      </c>
      <c r="E1356" t="s">
        <v>29</v>
      </c>
      <c r="F1356" t="s">
        <v>53</v>
      </c>
      <c r="G1356" t="s">
        <v>71</v>
      </c>
      <c r="H1356" t="s">
        <v>75</v>
      </c>
      <c r="I1356">
        <v>5</v>
      </c>
      <c r="J1356">
        <v>11908</v>
      </c>
      <c r="K1356">
        <v>0</v>
      </c>
      <c r="L1356">
        <v>59540</v>
      </c>
      <c r="M1356">
        <v>33539.53</v>
      </c>
      <c r="N1356">
        <v>26000.47</v>
      </c>
      <c r="O1356" t="s">
        <v>80</v>
      </c>
      <c r="P1356" t="s">
        <v>82</v>
      </c>
    </row>
    <row r="1357" spans="1:16" x14ac:dyDescent="0.25">
      <c r="A1357">
        <v>1356</v>
      </c>
      <c r="B1357" s="1">
        <v>46011</v>
      </c>
      <c r="C1357" t="s">
        <v>20</v>
      </c>
      <c r="D1357" t="s">
        <v>26</v>
      </c>
      <c r="E1357" t="s">
        <v>29</v>
      </c>
      <c r="F1357" t="s">
        <v>53</v>
      </c>
      <c r="G1357" t="s">
        <v>72</v>
      </c>
      <c r="H1357" t="s">
        <v>75</v>
      </c>
      <c r="I1357">
        <v>3</v>
      </c>
      <c r="J1357">
        <v>4351</v>
      </c>
      <c r="K1357">
        <v>0.05</v>
      </c>
      <c r="L1357">
        <v>12400.35</v>
      </c>
      <c r="M1357">
        <v>9349.25</v>
      </c>
      <c r="N1357">
        <v>3051.1</v>
      </c>
      <c r="O1357" t="s">
        <v>80</v>
      </c>
      <c r="P1357" t="s">
        <v>83</v>
      </c>
    </row>
    <row r="1358" spans="1:16" x14ac:dyDescent="0.25">
      <c r="A1358">
        <v>1357</v>
      </c>
      <c r="B1358" s="1">
        <v>45753</v>
      </c>
      <c r="C1358" t="s">
        <v>16</v>
      </c>
      <c r="D1358" t="s">
        <v>24</v>
      </c>
      <c r="E1358" t="s">
        <v>30</v>
      </c>
      <c r="F1358" t="s">
        <v>44</v>
      </c>
      <c r="G1358" t="s">
        <v>70</v>
      </c>
      <c r="H1358" t="s">
        <v>75</v>
      </c>
      <c r="I1358">
        <v>6</v>
      </c>
      <c r="J1358">
        <v>29799</v>
      </c>
      <c r="K1358">
        <v>0.1</v>
      </c>
      <c r="L1358">
        <v>160914.6</v>
      </c>
      <c r="M1358">
        <v>124961.73</v>
      </c>
      <c r="N1358">
        <v>35952.870000000003</v>
      </c>
      <c r="O1358" t="s">
        <v>77</v>
      </c>
      <c r="P1358" t="s">
        <v>88</v>
      </c>
    </row>
    <row r="1359" spans="1:16" x14ac:dyDescent="0.25">
      <c r="A1359">
        <v>1358</v>
      </c>
      <c r="B1359" s="1">
        <v>45875</v>
      </c>
      <c r="C1359" t="s">
        <v>20</v>
      </c>
      <c r="D1359" t="s">
        <v>26</v>
      </c>
      <c r="E1359" t="s">
        <v>30</v>
      </c>
      <c r="F1359" t="s">
        <v>56</v>
      </c>
      <c r="G1359" t="s">
        <v>72</v>
      </c>
      <c r="H1359" t="s">
        <v>75</v>
      </c>
      <c r="I1359">
        <v>5</v>
      </c>
      <c r="J1359">
        <v>52429</v>
      </c>
      <c r="K1359">
        <v>0</v>
      </c>
      <c r="L1359">
        <v>262145</v>
      </c>
      <c r="M1359">
        <v>184383.43</v>
      </c>
      <c r="N1359">
        <v>77761.570000000007</v>
      </c>
      <c r="O1359" t="s">
        <v>79</v>
      </c>
      <c r="P1359" t="s">
        <v>87</v>
      </c>
    </row>
    <row r="1360" spans="1:16" x14ac:dyDescent="0.25">
      <c r="A1360">
        <v>1359</v>
      </c>
      <c r="B1360" s="1">
        <v>45755</v>
      </c>
      <c r="C1360" t="s">
        <v>19</v>
      </c>
      <c r="D1360" t="s">
        <v>26</v>
      </c>
      <c r="E1360" t="s">
        <v>30</v>
      </c>
      <c r="F1360" t="s">
        <v>40</v>
      </c>
      <c r="G1360" t="s">
        <v>71</v>
      </c>
      <c r="H1360" t="s">
        <v>75</v>
      </c>
      <c r="I1360">
        <v>3</v>
      </c>
      <c r="J1360">
        <v>12670</v>
      </c>
      <c r="K1360">
        <v>0</v>
      </c>
      <c r="L1360">
        <v>38010</v>
      </c>
      <c r="M1360">
        <v>27917.29</v>
      </c>
      <c r="N1360">
        <v>10092.709999999999</v>
      </c>
      <c r="O1360" t="s">
        <v>76</v>
      </c>
      <c r="P1360" t="s">
        <v>82</v>
      </c>
    </row>
    <row r="1361" spans="1:16" x14ac:dyDescent="0.25">
      <c r="A1361">
        <v>1360</v>
      </c>
      <c r="B1361" s="1">
        <v>45680</v>
      </c>
      <c r="C1361" t="s">
        <v>22</v>
      </c>
      <c r="D1361" t="s">
        <v>24</v>
      </c>
      <c r="E1361" t="s">
        <v>34</v>
      </c>
      <c r="F1361" t="s">
        <v>65</v>
      </c>
      <c r="G1361" t="s">
        <v>72</v>
      </c>
      <c r="H1361" t="s">
        <v>74</v>
      </c>
      <c r="I1361">
        <v>2</v>
      </c>
      <c r="J1361">
        <v>4082</v>
      </c>
      <c r="K1361">
        <v>0.05</v>
      </c>
      <c r="L1361">
        <v>7755.8</v>
      </c>
      <c r="M1361">
        <v>6339.86</v>
      </c>
      <c r="N1361">
        <v>1415.94</v>
      </c>
      <c r="O1361" t="s">
        <v>80</v>
      </c>
      <c r="P1361" t="s">
        <v>83</v>
      </c>
    </row>
    <row r="1362" spans="1:16" x14ac:dyDescent="0.25">
      <c r="A1362">
        <v>1361</v>
      </c>
      <c r="B1362" s="1">
        <v>45938</v>
      </c>
      <c r="C1362" t="s">
        <v>20</v>
      </c>
      <c r="D1362" t="s">
        <v>26</v>
      </c>
      <c r="E1362" t="s">
        <v>30</v>
      </c>
      <c r="F1362" t="s">
        <v>64</v>
      </c>
      <c r="G1362" t="s">
        <v>70</v>
      </c>
      <c r="H1362" t="s">
        <v>73</v>
      </c>
      <c r="I1362">
        <v>8</v>
      </c>
      <c r="J1362">
        <v>35238</v>
      </c>
      <c r="K1362">
        <v>0.2</v>
      </c>
      <c r="L1362">
        <v>225523.20000000001</v>
      </c>
      <c r="M1362">
        <v>151152.12</v>
      </c>
      <c r="N1362">
        <v>74371.08</v>
      </c>
      <c r="O1362" t="s">
        <v>80</v>
      </c>
      <c r="P1362" t="s">
        <v>83</v>
      </c>
    </row>
    <row r="1363" spans="1:16" x14ac:dyDescent="0.25">
      <c r="A1363">
        <v>1362</v>
      </c>
      <c r="B1363" s="1">
        <v>46013</v>
      </c>
      <c r="C1363" t="s">
        <v>23</v>
      </c>
      <c r="D1363" t="s">
        <v>27</v>
      </c>
      <c r="E1363" t="s">
        <v>33</v>
      </c>
      <c r="F1363" t="s">
        <v>41</v>
      </c>
      <c r="G1363" t="s">
        <v>72</v>
      </c>
      <c r="H1363" t="s">
        <v>74</v>
      </c>
      <c r="I1363">
        <v>3</v>
      </c>
      <c r="J1363">
        <v>38597</v>
      </c>
      <c r="K1363">
        <v>0.05</v>
      </c>
      <c r="L1363">
        <v>110001.45</v>
      </c>
      <c r="M1363">
        <v>92527.6</v>
      </c>
      <c r="N1363">
        <v>17473.849999999999</v>
      </c>
      <c r="O1363" t="s">
        <v>80</v>
      </c>
      <c r="P1363" t="s">
        <v>85</v>
      </c>
    </row>
    <row r="1364" spans="1:16" x14ac:dyDescent="0.25">
      <c r="A1364">
        <v>1363</v>
      </c>
      <c r="B1364" s="1">
        <v>45719</v>
      </c>
      <c r="C1364" t="s">
        <v>21</v>
      </c>
      <c r="D1364" t="s">
        <v>24</v>
      </c>
      <c r="E1364" t="s">
        <v>28</v>
      </c>
      <c r="F1364" t="s">
        <v>63</v>
      </c>
      <c r="G1364" t="s">
        <v>70</v>
      </c>
      <c r="H1364" t="s">
        <v>74</v>
      </c>
      <c r="I1364">
        <v>2</v>
      </c>
      <c r="J1364">
        <v>150</v>
      </c>
      <c r="K1364">
        <v>0.05</v>
      </c>
      <c r="L1364">
        <v>285</v>
      </c>
      <c r="M1364">
        <v>225.72</v>
      </c>
      <c r="N1364">
        <v>59.28</v>
      </c>
      <c r="O1364" t="s">
        <v>79</v>
      </c>
      <c r="P1364" t="s">
        <v>83</v>
      </c>
    </row>
    <row r="1365" spans="1:16" x14ac:dyDescent="0.25">
      <c r="A1365">
        <v>1364</v>
      </c>
      <c r="B1365" s="1">
        <v>45848</v>
      </c>
      <c r="C1365" t="s">
        <v>18</v>
      </c>
      <c r="D1365" t="s">
        <v>26</v>
      </c>
      <c r="E1365" t="s">
        <v>29</v>
      </c>
      <c r="F1365" t="s">
        <v>45</v>
      </c>
      <c r="G1365" t="s">
        <v>72</v>
      </c>
      <c r="H1365" t="s">
        <v>73</v>
      </c>
      <c r="I1365">
        <v>1</v>
      </c>
      <c r="J1365">
        <v>10189</v>
      </c>
      <c r="K1365">
        <v>0.15</v>
      </c>
      <c r="L1365">
        <v>8660.65</v>
      </c>
      <c r="M1365">
        <v>5981.83</v>
      </c>
      <c r="N1365">
        <v>2678.82</v>
      </c>
      <c r="O1365" t="s">
        <v>76</v>
      </c>
      <c r="P1365" t="s">
        <v>87</v>
      </c>
    </row>
    <row r="1366" spans="1:16" x14ac:dyDescent="0.25">
      <c r="A1366">
        <v>1365</v>
      </c>
      <c r="B1366" s="1">
        <v>45941</v>
      </c>
      <c r="C1366" t="s">
        <v>23</v>
      </c>
      <c r="D1366" t="s">
        <v>27</v>
      </c>
      <c r="E1366" t="s">
        <v>29</v>
      </c>
      <c r="F1366" t="s">
        <v>57</v>
      </c>
      <c r="G1366" t="s">
        <v>70</v>
      </c>
      <c r="H1366" t="s">
        <v>74</v>
      </c>
      <c r="I1366">
        <v>1</v>
      </c>
      <c r="J1366">
        <v>8036</v>
      </c>
      <c r="K1366">
        <v>0.1</v>
      </c>
      <c r="L1366">
        <v>7232.4</v>
      </c>
      <c r="M1366">
        <v>3988.91</v>
      </c>
      <c r="N1366">
        <v>3243.49</v>
      </c>
      <c r="O1366" t="s">
        <v>78</v>
      </c>
      <c r="P1366" t="s">
        <v>87</v>
      </c>
    </row>
    <row r="1367" spans="1:16" x14ac:dyDescent="0.25">
      <c r="A1367">
        <v>1366</v>
      </c>
      <c r="B1367" s="1">
        <v>45850</v>
      </c>
      <c r="C1367" t="s">
        <v>23</v>
      </c>
      <c r="D1367" t="s">
        <v>27</v>
      </c>
      <c r="E1367" t="s">
        <v>33</v>
      </c>
      <c r="F1367" t="s">
        <v>41</v>
      </c>
      <c r="G1367" t="s">
        <v>71</v>
      </c>
      <c r="H1367" t="s">
        <v>73</v>
      </c>
      <c r="I1367">
        <v>4</v>
      </c>
      <c r="J1367">
        <v>21775</v>
      </c>
      <c r="K1367">
        <v>0.2</v>
      </c>
      <c r="L1367">
        <v>69680</v>
      </c>
      <c r="M1367">
        <v>49786.879999999997</v>
      </c>
      <c r="N1367">
        <v>19893.12</v>
      </c>
      <c r="O1367" t="s">
        <v>80</v>
      </c>
      <c r="P1367" t="s">
        <v>83</v>
      </c>
    </row>
    <row r="1368" spans="1:16" x14ac:dyDescent="0.25">
      <c r="A1368">
        <v>1367</v>
      </c>
      <c r="B1368" s="1">
        <v>45838</v>
      </c>
      <c r="C1368" t="s">
        <v>23</v>
      </c>
      <c r="D1368" t="s">
        <v>27</v>
      </c>
      <c r="E1368" t="s">
        <v>29</v>
      </c>
      <c r="F1368" t="s">
        <v>45</v>
      </c>
      <c r="G1368" t="s">
        <v>72</v>
      </c>
      <c r="H1368" t="s">
        <v>73</v>
      </c>
      <c r="I1368">
        <v>7</v>
      </c>
      <c r="J1368">
        <v>5157</v>
      </c>
      <c r="K1368">
        <v>0.15</v>
      </c>
      <c r="L1368">
        <v>30684.15</v>
      </c>
      <c r="M1368">
        <v>22512.97</v>
      </c>
      <c r="N1368">
        <v>8171.18</v>
      </c>
      <c r="O1368" t="s">
        <v>79</v>
      </c>
      <c r="P1368" t="s">
        <v>85</v>
      </c>
    </row>
    <row r="1369" spans="1:16" x14ac:dyDescent="0.25">
      <c r="A1369">
        <v>1368</v>
      </c>
      <c r="B1369" s="1">
        <v>45764</v>
      </c>
      <c r="C1369" t="s">
        <v>18</v>
      </c>
      <c r="D1369" t="s">
        <v>26</v>
      </c>
      <c r="E1369" t="s">
        <v>34</v>
      </c>
      <c r="F1369" t="s">
        <v>65</v>
      </c>
      <c r="G1369" t="s">
        <v>71</v>
      </c>
      <c r="H1369" t="s">
        <v>73</v>
      </c>
      <c r="I1369">
        <v>7</v>
      </c>
      <c r="J1369">
        <v>188</v>
      </c>
      <c r="K1369">
        <v>0.15</v>
      </c>
      <c r="L1369">
        <v>1118.5999999999999</v>
      </c>
      <c r="M1369">
        <v>808.93</v>
      </c>
      <c r="N1369">
        <v>309.67</v>
      </c>
      <c r="O1369" t="s">
        <v>80</v>
      </c>
      <c r="P1369" t="s">
        <v>87</v>
      </c>
    </row>
    <row r="1370" spans="1:16" x14ac:dyDescent="0.25">
      <c r="A1370">
        <v>1369</v>
      </c>
      <c r="B1370" s="1">
        <v>45766</v>
      </c>
      <c r="C1370" t="s">
        <v>20</v>
      </c>
      <c r="D1370" t="s">
        <v>26</v>
      </c>
      <c r="E1370" t="s">
        <v>31</v>
      </c>
      <c r="F1370" t="s">
        <v>50</v>
      </c>
      <c r="G1370" t="s">
        <v>71</v>
      </c>
      <c r="H1370" t="s">
        <v>73</v>
      </c>
      <c r="I1370">
        <v>1</v>
      </c>
      <c r="J1370">
        <v>368</v>
      </c>
      <c r="K1370">
        <v>0.1</v>
      </c>
      <c r="L1370">
        <v>331.2</v>
      </c>
      <c r="M1370">
        <v>194.59</v>
      </c>
      <c r="N1370">
        <v>136.61000000000001</v>
      </c>
      <c r="O1370" t="s">
        <v>77</v>
      </c>
      <c r="P1370" t="s">
        <v>81</v>
      </c>
    </row>
    <row r="1371" spans="1:16" x14ac:dyDescent="0.25">
      <c r="A1371">
        <v>1370</v>
      </c>
      <c r="B1371" s="1">
        <v>45905</v>
      </c>
      <c r="C1371" t="s">
        <v>22</v>
      </c>
      <c r="D1371" t="s">
        <v>24</v>
      </c>
      <c r="E1371" t="s">
        <v>33</v>
      </c>
      <c r="F1371" t="s">
        <v>46</v>
      </c>
      <c r="G1371" t="s">
        <v>70</v>
      </c>
      <c r="H1371" t="s">
        <v>74</v>
      </c>
      <c r="I1371">
        <v>4</v>
      </c>
      <c r="J1371">
        <v>9000</v>
      </c>
      <c r="K1371">
        <v>0.1</v>
      </c>
      <c r="L1371">
        <v>32400</v>
      </c>
      <c r="M1371">
        <v>23676.95</v>
      </c>
      <c r="N1371">
        <v>8723.0499999999993</v>
      </c>
      <c r="O1371" t="s">
        <v>76</v>
      </c>
      <c r="P1371" t="s">
        <v>82</v>
      </c>
    </row>
    <row r="1372" spans="1:16" x14ac:dyDescent="0.25">
      <c r="A1372">
        <v>1371</v>
      </c>
      <c r="B1372" s="1">
        <v>45948</v>
      </c>
      <c r="C1372" t="s">
        <v>19</v>
      </c>
      <c r="D1372" t="s">
        <v>26</v>
      </c>
      <c r="E1372" t="s">
        <v>28</v>
      </c>
      <c r="F1372" t="s">
        <v>63</v>
      </c>
      <c r="G1372" t="s">
        <v>70</v>
      </c>
      <c r="H1372" t="s">
        <v>75</v>
      </c>
      <c r="I1372">
        <v>2</v>
      </c>
      <c r="J1372">
        <v>1046</v>
      </c>
      <c r="K1372">
        <v>0.05</v>
      </c>
      <c r="L1372">
        <v>1987.4</v>
      </c>
      <c r="M1372">
        <v>1478.26</v>
      </c>
      <c r="N1372">
        <v>509.14</v>
      </c>
      <c r="O1372" t="s">
        <v>77</v>
      </c>
      <c r="P1372" t="s">
        <v>81</v>
      </c>
    </row>
    <row r="1373" spans="1:16" x14ac:dyDescent="0.25">
      <c r="A1373">
        <v>1372</v>
      </c>
      <c r="B1373" s="1">
        <v>45768</v>
      </c>
      <c r="C1373" t="s">
        <v>19</v>
      </c>
      <c r="D1373" t="s">
        <v>26</v>
      </c>
      <c r="E1373" t="s">
        <v>34</v>
      </c>
      <c r="F1373" t="s">
        <v>43</v>
      </c>
      <c r="G1373" t="s">
        <v>72</v>
      </c>
      <c r="H1373" t="s">
        <v>75</v>
      </c>
      <c r="I1373">
        <v>5</v>
      </c>
      <c r="J1373">
        <v>5611</v>
      </c>
      <c r="K1373">
        <v>0.1</v>
      </c>
      <c r="L1373">
        <v>25249.5</v>
      </c>
      <c r="M1373">
        <v>19086.84</v>
      </c>
      <c r="N1373">
        <v>6162.66</v>
      </c>
      <c r="O1373" t="s">
        <v>79</v>
      </c>
      <c r="P1373" t="s">
        <v>83</v>
      </c>
    </row>
    <row r="1374" spans="1:16" x14ac:dyDescent="0.25">
      <c r="A1374">
        <v>1373</v>
      </c>
      <c r="B1374" s="1">
        <v>45733</v>
      </c>
      <c r="C1374" t="s">
        <v>16</v>
      </c>
      <c r="D1374" t="s">
        <v>24</v>
      </c>
      <c r="E1374" t="s">
        <v>30</v>
      </c>
      <c r="F1374" t="s">
        <v>64</v>
      </c>
      <c r="G1374" t="s">
        <v>72</v>
      </c>
      <c r="H1374" t="s">
        <v>75</v>
      </c>
      <c r="I1374">
        <v>7</v>
      </c>
      <c r="J1374">
        <v>29270</v>
      </c>
      <c r="K1374">
        <v>0.1</v>
      </c>
      <c r="L1374">
        <v>184401</v>
      </c>
      <c r="M1374">
        <v>130698.54</v>
      </c>
      <c r="N1374">
        <v>53702.46</v>
      </c>
      <c r="O1374" t="s">
        <v>78</v>
      </c>
      <c r="P1374" t="s">
        <v>86</v>
      </c>
    </row>
    <row r="1375" spans="1:16" x14ac:dyDescent="0.25">
      <c r="A1375">
        <v>1374</v>
      </c>
      <c r="B1375" s="1">
        <v>45987</v>
      </c>
      <c r="C1375" t="s">
        <v>16</v>
      </c>
      <c r="D1375" t="s">
        <v>24</v>
      </c>
      <c r="E1375" t="s">
        <v>33</v>
      </c>
      <c r="F1375" t="s">
        <v>52</v>
      </c>
      <c r="G1375" t="s">
        <v>71</v>
      </c>
      <c r="H1375" t="s">
        <v>74</v>
      </c>
      <c r="I1375">
        <v>2</v>
      </c>
      <c r="J1375">
        <v>16747</v>
      </c>
      <c r="K1375">
        <v>0.15</v>
      </c>
      <c r="L1375">
        <v>28469.9</v>
      </c>
      <c r="M1375">
        <v>17597.669999999998</v>
      </c>
      <c r="N1375">
        <v>10872.23</v>
      </c>
      <c r="O1375" t="s">
        <v>77</v>
      </c>
      <c r="P1375" t="s">
        <v>88</v>
      </c>
    </row>
    <row r="1376" spans="1:16" x14ac:dyDescent="0.25">
      <c r="A1376">
        <v>1375</v>
      </c>
      <c r="B1376" s="1">
        <v>45948</v>
      </c>
      <c r="C1376" t="s">
        <v>16</v>
      </c>
      <c r="D1376" t="s">
        <v>24</v>
      </c>
      <c r="E1376" t="s">
        <v>29</v>
      </c>
      <c r="F1376" t="s">
        <v>42</v>
      </c>
      <c r="G1376" t="s">
        <v>70</v>
      </c>
      <c r="H1376" t="s">
        <v>74</v>
      </c>
      <c r="I1376">
        <v>4</v>
      </c>
      <c r="J1376">
        <v>5869</v>
      </c>
      <c r="K1376">
        <v>0.05</v>
      </c>
      <c r="L1376">
        <v>22302.2</v>
      </c>
      <c r="M1376">
        <v>16155.08</v>
      </c>
      <c r="N1376">
        <v>6147.12</v>
      </c>
      <c r="O1376" t="s">
        <v>79</v>
      </c>
      <c r="P1376" t="s">
        <v>86</v>
      </c>
    </row>
    <row r="1377" spans="1:16" x14ac:dyDescent="0.25">
      <c r="A1377">
        <v>1376</v>
      </c>
      <c r="B1377" s="1">
        <v>45738</v>
      </c>
      <c r="C1377" t="s">
        <v>20</v>
      </c>
      <c r="D1377" t="s">
        <v>26</v>
      </c>
      <c r="E1377" t="s">
        <v>32</v>
      </c>
      <c r="F1377" t="s">
        <v>49</v>
      </c>
      <c r="G1377" t="s">
        <v>72</v>
      </c>
      <c r="H1377" t="s">
        <v>75</v>
      </c>
      <c r="I1377">
        <v>6</v>
      </c>
      <c r="J1377">
        <v>10449</v>
      </c>
      <c r="K1377">
        <v>0.1</v>
      </c>
      <c r="L1377">
        <v>56424.6</v>
      </c>
      <c r="M1377">
        <v>49020.79</v>
      </c>
      <c r="N1377">
        <v>7403.81</v>
      </c>
      <c r="O1377" t="s">
        <v>76</v>
      </c>
      <c r="P1377" t="s">
        <v>88</v>
      </c>
    </row>
    <row r="1378" spans="1:16" x14ac:dyDescent="0.25">
      <c r="A1378">
        <v>1377</v>
      </c>
      <c r="B1378" s="1">
        <v>45870</v>
      </c>
      <c r="C1378" t="s">
        <v>23</v>
      </c>
      <c r="D1378" t="s">
        <v>27</v>
      </c>
      <c r="E1378" t="s">
        <v>33</v>
      </c>
      <c r="F1378" t="s">
        <v>59</v>
      </c>
      <c r="G1378" t="s">
        <v>71</v>
      </c>
      <c r="H1378" t="s">
        <v>73</v>
      </c>
      <c r="I1378">
        <v>7</v>
      </c>
      <c r="J1378">
        <v>31872</v>
      </c>
      <c r="K1378">
        <v>0.1</v>
      </c>
      <c r="L1378">
        <v>200793.60000000001</v>
      </c>
      <c r="M1378">
        <v>155807.49</v>
      </c>
      <c r="N1378">
        <v>44986.11</v>
      </c>
      <c r="O1378" t="s">
        <v>79</v>
      </c>
      <c r="P1378" t="s">
        <v>85</v>
      </c>
    </row>
    <row r="1379" spans="1:16" x14ac:dyDescent="0.25">
      <c r="A1379">
        <v>1378</v>
      </c>
      <c r="B1379" s="1">
        <v>46022</v>
      </c>
      <c r="C1379" t="s">
        <v>20</v>
      </c>
      <c r="D1379" t="s">
        <v>26</v>
      </c>
      <c r="E1379" t="s">
        <v>28</v>
      </c>
      <c r="F1379" t="s">
        <v>35</v>
      </c>
      <c r="G1379" t="s">
        <v>71</v>
      </c>
      <c r="H1379" t="s">
        <v>74</v>
      </c>
      <c r="I1379">
        <v>2</v>
      </c>
      <c r="J1379">
        <v>1001</v>
      </c>
      <c r="K1379">
        <v>0.05</v>
      </c>
      <c r="L1379">
        <v>1901.9</v>
      </c>
      <c r="M1379">
        <v>1529.03</v>
      </c>
      <c r="N1379">
        <v>372.87</v>
      </c>
      <c r="O1379" t="s">
        <v>79</v>
      </c>
      <c r="P1379" t="s">
        <v>85</v>
      </c>
    </row>
    <row r="1380" spans="1:16" x14ac:dyDescent="0.25">
      <c r="A1380">
        <v>1379</v>
      </c>
      <c r="B1380" s="1">
        <v>45839</v>
      </c>
      <c r="C1380" t="s">
        <v>17</v>
      </c>
      <c r="D1380" t="s">
        <v>25</v>
      </c>
      <c r="E1380" t="s">
        <v>33</v>
      </c>
      <c r="F1380" t="s">
        <v>52</v>
      </c>
      <c r="G1380" t="s">
        <v>71</v>
      </c>
      <c r="H1380" t="s">
        <v>75</v>
      </c>
      <c r="I1380">
        <v>2</v>
      </c>
      <c r="J1380">
        <v>29928</v>
      </c>
      <c r="K1380">
        <v>0.05</v>
      </c>
      <c r="L1380">
        <v>56863.199999999997</v>
      </c>
      <c r="M1380">
        <v>37600.15</v>
      </c>
      <c r="N1380">
        <v>19263.05</v>
      </c>
      <c r="O1380" t="s">
        <v>76</v>
      </c>
      <c r="P1380" t="s">
        <v>87</v>
      </c>
    </row>
    <row r="1381" spans="1:16" x14ac:dyDescent="0.25">
      <c r="A1381">
        <v>1380</v>
      </c>
      <c r="B1381" s="1">
        <v>45932</v>
      </c>
      <c r="C1381" t="s">
        <v>20</v>
      </c>
      <c r="D1381" t="s">
        <v>26</v>
      </c>
      <c r="E1381" t="s">
        <v>30</v>
      </c>
      <c r="F1381" t="s">
        <v>44</v>
      </c>
      <c r="G1381" t="s">
        <v>72</v>
      </c>
      <c r="H1381" t="s">
        <v>75</v>
      </c>
      <c r="I1381">
        <v>1</v>
      </c>
      <c r="J1381">
        <v>41824</v>
      </c>
      <c r="K1381">
        <v>0.1</v>
      </c>
      <c r="L1381">
        <v>37641.599999999999</v>
      </c>
      <c r="M1381">
        <v>24843.439999999999</v>
      </c>
      <c r="N1381">
        <v>12798.16</v>
      </c>
      <c r="O1381" t="s">
        <v>76</v>
      </c>
      <c r="P1381" t="s">
        <v>83</v>
      </c>
    </row>
    <row r="1382" spans="1:16" x14ac:dyDescent="0.25">
      <c r="A1382">
        <v>1381</v>
      </c>
      <c r="B1382" s="1">
        <v>45819</v>
      </c>
      <c r="C1382" t="s">
        <v>21</v>
      </c>
      <c r="D1382" t="s">
        <v>24</v>
      </c>
      <c r="E1382" t="s">
        <v>28</v>
      </c>
      <c r="F1382" t="s">
        <v>54</v>
      </c>
      <c r="G1382" t="s">
        <v>71</v>
      </c>
      <c r="H1382" t="s">
        <v>73</v>
      </c>
      <c r="I1382">
        <v>4</v>
      </c>
      <c r="J1382">
        <v>277</v>
      </c>
      <c r="K1382">
        <v>0.05</v>
      </c>
      <c r="L1382">
        <v>1052.5999999999999</v>
      </c>
      <c r="M1382">
        <v>621.08000000000004</v>
      </c>
      <c r="N1382">
        <v>431.52</v>
      </c>
      <c r="O1382" t="s">
        <v>77</v>
      </c>
      <c r="P1382" t="s">
        <v>87</v>
      </c>
    </row>
    <row r="1383" spans="1:16" x14ac:dyDescent="0.25">
      <c r="A1383">
        <v>1382</v>
      </c>
      <c r="B1383" s="1">
        <v>45837</v>
      </c>
      <c r="C1383" t="s">
        <v>20</v>
      </c>
      <c r="D1383" t="s">
        <v>26</v>
      </c>
      <c r="E1383" t="s">
        <v>30</v>
      </c>
      <c r="F1383" t="s">
        <v>40</v>
      </c>
      <c r="G1383" t="s">
        <v>71</v>
      </c>
      <c r="H1383" t="s">
        <v>74</v>
      </c>
      <c r="I1383">
        <v>2</v>
      </c>
      <c r="J1383">
        <v>24206</v>
      </c>
      <c r="K1383">
        <v>0.05</v>
      </c>
      <c r="L1383">
        <v>45991.4</v>
      </c>
      <c r="M1383">
        <v>38714.47</v>
      </c>
      <c r="N1383">
        <v>7276.93</v>
      </c>
      <c r="O1383" t="s">
        <v>79</v>
      </c>
      <c r="P1383" t="s">
        <v>87</v>
      </c>
    </row>
    <row r="1384" spans="1:16" x14ac:dyDescent="0.25">
      <c r="A1384">
        <v>1383</v>
      </c>
      <c r="B1384" s="1">
        <v>45838</v>
      </c>
      <c r="C1384" t="s">
        <v>20</v>
      </c>
      <c r="D1384" t="s">
        <v>26</v>
      </c>
      <c r="E1384" t="s">
        <v>30</v>
      </c>
      <c r="F1384" t="s">
        <v>37</v>
      </c>
      <c r="G1384" t="s">
        <v>71</v>
      </c>
      <c r="H1384" t="s">
        <v>75</v>
      </c>
      <c r="I1384">
        <v>1</v>
      </c>
      <c r="J1384">
        <v>54146</v>
      </c>
      <c r="K1384">
        <v>0.1</v>
      </c>
      <c r="L1384">
        <v>48731.4</v>
      </c>
      <c r="M1384">
        <v>30127.84</v>
      </c>
      <c r="N1384">
        <v>18603.560000000001</v>
      </c>
      <c r="O1384" t="s">
        <v>80</v>
      </c>
      <c r="P1384" t="s">
        <v>85</v>
      </c>
    </row>
    <row r="1385" spans="1:16" x14ac:dyDescent="0.25">
      <c r="A1385">
        <v>1384</v>
      </c>
      <c r="B1385" s="1">
        <v>45899</v>
      </c>
      <c r="C1385" t="s">
        <v>23</v>
      </c>
      <c r="D1385" t="s">
        <v>27</v>
      </c>
      <c r="E1385" t="s">
        <v>33</v>
      </c>
      <c r="F1385" t="s">
        <v>60</v>
      </c>
      <c r="G1385" t="s">
        <v>72</v>
      </c>
      <c r="H1385" t="s">
        <v>75</v>
      </c>
      <c r="I1385">
        <v>1</v>
      </c>
      <c r="J1385">
        <v>4205</v>
      </c>
      <c r="K1385">
        <v>0.2</v>
      </c>
      <c r="L1385">
        <v>3364</v>
      </c>
      <c r="M1385">
        <v>2331.3000000000002</v>
      </c>
      <c r="N1385">
        <v>1032.7</v>
      </c>
      <c r="O1385" t="s">
        <v>79</v>
      </c>
      <c r="P1385" t="s">
        <v>82</v>
      </c>
    </row>
    <row r="1386" spans="1:16" x14ac:dyDescent="0.25">
      <c r="A1386">
        <v>1385</v>
      </c>
      <c r="B1386" s="1">
        <v>45870</v>
      </c>
      <c r="C1386" t="s">
        <v>20</v>
      </c>
      <c r="D1386" t="s">
        <v>26</v>
      </c>
      <c r="E1386" t="s">
        <v>31</v>
      </c>
      <c r="F1386" t="s">
        <v>47</v>
      </c>
      <c r="G1386" t="s">
        <v>72</v>
      </c>
      <c r="H1386" t="s">
        <v>75</v>
      </c>
      <c r="I1386">
        <v>1</v>
      </c>
      <c r="J1386">
        <v>1455</v>
      </c>
      <c r="K1386">
        <v>0.1</v>
      </c>
      <c r="L1386">
        <v>1309.5</v>
      </c>
      <c r="M1386">
        <v>743.98</v>
      </c>
      <c r="N1386">
        <v>565.52</v>
      </c>
      <c r="O1386" t="s">
        <v>78</v>
      </c>
      <c r="P1386" t="s">
        <v>82</v>
      </c>
    </row>
    <row r="1387" spans="1:16" x14ac:dyDescent="0.25">
      <c r="A1387">
        <v>1386</v>
      </c>
      <c r="B1387" s="1">
        <v>45888</v>
      </c>
      <c r="C1387" t="s">
        <v>16</v>
      </c>
      <c r="D1387" t="s">
        <v>24</v>
      </c>
      <c r="E1387" t="s">
        <v>29</v>
      </c>
      <c r="F1387" t="s">
        <v>42</v>
      </c>
      <c r="G1387" t="s">
        <v>71</v>
      </c>
      <c r="H1387" t="s">
        <v>74</v>
      </c>
      <c r="I1387">
        <v>5</v>
      </c>
      <c r="J1387">
        <v>11333</v>
      </c>
      <c r="K1387">
        <v>0.05</v>
      </c>
      <c r="L1387">
        <v>53831.75</v>
      </c>
      <c r="M1387">
        <v>46051.39</v>
      </c>
      <c r="N1387">
        <v>7780.36</v>
      </c>
      <c r="O1387" t="s">
        <v>80</v>
      </c>
      <c r="P1387" t="s">
        <v>84</v>
      </c>
    </row>
    <row r="1388" spans="1:16" x14ac:dyDescent="0.25">
      <c r="A1388">
        <v>1387</v>
      </c>
      <c r="B1388" s="1">
        <v>45799</v>
      </c>
      <c r="C1388" t="s">
        <v>22</v>
      </c>
      <c r="D1388" t="s">
        <v>24</v>
      </c>
      <c r="E1388" t="s">
        <v>29</v>
      </c>
      <c r="F1388" t="s">
        <v>57</v>
      </c>
      <c r="G1388" t="s">
        <v>72</v>
      </c>
      <c r="H1388" t="s">
        <v>74</v>
      </c>
      <c r="I1388">
        <v>1</v>
      </c>
      <c r="J1388">
        <v>4492</v>
      </c>
      <c r="K1388">
        <v>0.05</v>
      </c>
      <c r="L1388">
        <v>4267.3999999999996</v>
      </c>
      <c r="M1388">
        <v>3586.43</v>
      </c>
      <c r="N1388">
        <v>680.97</v>
      </c>
      <c r="O1388" t="s">
        <v>79</v>
      </c>
      <c r="P1388" t="s">
        <v>88</v>
      </c>
    </row>
    <row r="1389" spans="1:16" x14ac:dyDescent="0.25">
      <c r="A1389">
        <v>1388</v>
      </c>
      <c r="B1389" s="1">
        <v>45923</v>
      </c>
      <c r="C1389" t="s">
        <v>19</v>
      </c>
      <c r="D1389" t="s">
        <v>26</v>
      </c>
      <c r="E1389" t="s">
        <v>33</v>
      </c>
      <c r="F1389" t="s">
        <v>41</v>
      </c>
      <c r="G1389" t="s">
        <v>70</v>
      </c>
      <c r="H1389" t="s">
        <v>75</v>
      </c>
      <c r="I1389">
        <v>7</v>
      </c>
      <c r="J1389">
        <v>21652</v>
      </c>
      <c r="K1389">
        <v>0.15</v>
      </c>
      <c r="L1389">
        <v>128829.4</v>
      </c>
      <c r="M1389">
        <v>72175.41</v>
      </c>
      <c r="N1389">
        <v>56653.99</v>
      </c>
      <c r="O1389" t="s">
        <v>79</v>
      </c>
      <c r="P1389" t="s">
        <v>81</v>
      </c>
    </row>
    <row r="1390" spans="1:16" x14ac:dyDescent="0.25">
      <c r="A1390">
        <v>1389</v>
      </c>
      <c r="B1390" s="1">
        <v>45800</v>
      </c>
      <c r="C1390" t="s">
        <v>21</v>
      </c>
      <c r="D1390" t="s">
        <v>24</v>
      </c>
      <c r="E1390" t="s">
        <v>33</v>
      </c>
      <c r="F1390" t="s">
        <v>41</v>
      </c>
      <c r="G1390" t="s">
        <v>70</v>
      </c>
      <c r="H1390" t="s">
        <v>74</v>
      </c>
      <c r="I1390">
        <v>3</v>
      </c>
      <c r="J1390">
        <v>47767</v>
      </c>
      <c r="K1390">
        <v>0</v>
      </c>
      <c r="L1390">
        <v>143301</v>
      </c>
      <c r="M1390">
        <v>89952.87</v>
      </c>
      <c r="N1390">
        <v>53348.13</v>
      </c>
      <c r="O1390" t="s">
        <v>77</v>
      </c>
      <c r="P1390" t="s">
        <v>86</v>
      </c>
    </row>
    <row r="1391" spans="1:16" x14ac:dyDescent="0.25">
      <c r="A1391">
        <v>1390</v>
      </c>
      <c r="B1391" s="1">
        <v>46015</v>
      </c>
      <c r="C1391" t="s">
        <v>23</v>
      </c>
      <c r="D1391" t="s">
        <v>27</v>
      </c>
      <c r="E1391" t="s">
        <v>28</v>
      </c>
      <c r="F1391" t="s">
        <v>61</v>
      </c>
      <c r="G1391" t="s">
        <v>70</v>
      </c>
      <c r="H1391" t="s">
        <v>75</v>
      </c>
      <c r="I1391">
        <v>6</v>
      </c>
      <c r="J1391">
        <v>1505</v>
      </c>
      <c r="K1391">
        <v>0.1</v>
      </c>
      <c r="L1391">
        <v>8127</v>
      </c>
      <c r="M1391">
        <v>5060.6400000000003</v>
      </c>
      <c r="N1391">
        <v>3066.36</v>
      </c>
      <c r="O1391" t="s">
        <v>76</v>
      </c>
      <c r="P1391" t="s">
        <v>81</v>
      </c>
    </row>
    <row r="1392" spans="1:16" x14ac:dyDescent="0.25">
      <c r="A1392">
        <v>1391</v>
      </c>
      <c r="B1392" s="1">
        <v>45728</v>
      </c>
      <c r="C1392" t="s">
        <v>17</v>
      </c>
      <c r="D1392" t="s">
        <v>25</v>
      </c>
      <c r="E1392" t="s">
        <v>29</v>
      </c>
      <c r="F1392" t="s">
        <v>36</v>
      </c>
      <c r="G1392" t="s">
        <v>72</v>
      </c>
      <c r="H1392" t="s">
        <v>75</v>
      </c>
      <c r="I1392">
        <v>5</v>
      </c>
      <c r="J1392">
        <v>5894</v>
      </c>
      <c r="K1392">
        <v>0.05</v>
      </c>
      <c r="L1392">
        <v>27996.5</v>
      </c>
      <c r="M1392">
        <v>21562.78</v>
      </c>
      <c r="N1392">
        <v>6433.72</v>
      </c>
      <c r="O1392" t="s">
        <v>80</v>
      </c>
      <c r="P1392" t="s">
        <v>85</v>
      </c>
    </row>
    <row r="1393" spans="1:16" x14ac:dyDescent="0.25">
      <c r="A1393">
        <v>1392</v>
      </c>
      <c r="B1393" s="1">
        <v>45975</v>
      </c>
      <c r="C1393" t="s">
        <v>23</v>
      </c>
      <c r="D1393" t="s">
        <v>27</v>
      </c>
      <c r="E1393" t="s">
        <v>31</v>
      </c>
      <c r="F1393" t="s">
        <v>69</v>
      </c>
      <c r="G1393" t="s">
        <v>72</v>
      </c>
      <c r="H1393" t="s">
        <v>73</v>
      </c>
      <c r="I1393">
        <v>5</v>
      </c>
      <c r="J1393">
        <v>2429</v>
      </c>
      <c r="K1393">
        <v>0.1</v>
      </c>
      <c r="L1393">
        <v>10930.5</v>
      </c>
      <c r="M1393">
        <v>6912.71</v>
      </c>
      <c r="N1393">
        <v>4017.79</v>
      </c>
      <c r="O1393" t="s">
        <v>79</v>
      </c>
      <c r="P1393" t="s">
        <v>87</v>
      </c>
    </row>
    <row r="1394" spans="1:16" x14ac:dyDescent="0.25">
      <c r="A1394">
        <v>1393</v>
      </c>
      <c r="B1394" s="1">
        <v>45895</v>
      </c>
      <c r="C1394" t="s">
        <v>22</v>
      </c>
      <c r="D1394" t="s">
        <v>24</v>
      </c>
      <c r="E1394" t="s">
        <v>33</v>
      </c>
      <c r="F1394" t="s">
        <v>52</v>
      </c>
      <c r="G1394" t="s">
        <v>70</v>
      </c>
      <c r="H1394" t="s">
        <v>73</v>
      </c>
      <c r="I1394">
        <v>3</v>
      </c>
      <c r="J1394">
        <v>3318</v>
      </c>
      <c r="K1394">
        <v>0.1</v>
      </c>
      <c r="L1394">
        <v>8958.6</v>
      </c>
      <c r="M1394">
        <v>5501.46</v>
      </c>
      <c r="N1394">
        <v>3457.14</v>
      </c>
      <c r="O1394" t="s">
        <v>79</v>
      </c>
      <c r="P1394" t="s">
        <v>85</v>
      </c>
    </row>
    <row r="1395" spans="1:16" x14ac:dyDescent="0.25">
      <c r="A1395">
        <v>1394</v>
      </c>
      <c r="B1395" s="1">
        <v>45835</v>
      </c>
      <c r="C1395" t="s">
        <v>20</v>
      </c>
      <c r="D1395" t="s">
        <v>26</v>
      </c>
      <c r="E1395" t="s">
        <v>30</v>
      </c>
      <c r="F1395" t="s">
        <v>44</v>
      </c>
      <c r="G1395" t="s">
        <v>72</v>
      </c>
      <c r="H1395" t="s">
        <v>73</v>
      </c>
      <c r="I1395">
        <v>5</v>
      </c>
      <c r="J1395">
        <v>13266</v>
      </c>
      <c r="K1395">
        <v>0.1</v>
      </c>
      <c r="L1395">
        <v>59697</v>
      </c>
      <c r="M1395">
        <v>50553.51</v>
      </c>
      <c r="N1395">
        <v>9143.49</v>
      </c>
      <c r="O1395" t="s">
        <v>77</v>
      </c>
      <c r="P1395" t="s">
        <v>82</v>
      </c>
    </row>
    <row r="1396" spans="1:16" x14ac:dyDescent="0.25">
      <c r="A1396">
        <v>1395</v>
      </c>
      <c r="B1396" s="1">
        <v>45708</v>
      </c>
      <c r="C1396" t="s">
        <v>23</v>
      </c>
      <c r="D1396" t="s">
        <v>27</v>
      </c>
      <c r="E1396" t="s">
        <v>29</v>
      </c>
      <c r="F1396" t="s">
        <v>57</v>
      </c>
      <c r="G1396" t="s">
        <v>72</v>
      </c>
      <c r="H1396" t="s">
        <v>75</v>
      </c>
      <c r="I1396">
        <v>4</v>
      </c>
      <c r="J1396">
        <v>8120</v>
      </c>
      <c r="K1396">
        <v>0.1</v>
      </c>
      <c r="L1396">
        <v>29232</v>
      </c>
      <c r="M1396">
        <v>22293.64</v>
      </c>
      <c r="N1396">
        <v>6938.36</v>
      </c>
      <c r="O1396" t="s">
        <v>78</v>
      </c>
      <c r="P1396" t="s">
        <v>81</v>
      </c>
    </row>
    <row r="1397" spans="1:16" x14ac:dyDescent="0.25">
      <c r="A1397">
        <v>1396</v>
      </c>
      <c r="B1397" s="1">
        <v>45983</v>
      </c>
      <c r="C1397" t="s">
        <v>20</v>
      </c>
      <c r="D1397" t="s">
        <v>26</v>
      </c>
      <c r="E1397" t="s">
        <v>34</v>
      </c>
      <c r="F1397" t="s">
        <v>43</v>
      </c>
      <c r="G1397" t="s">
        <v>71</v>
      </c>
      <c r="H1397" t="s">
        <v>75</v>
      </c>
      <c r="I1397">
        <v>7</v>
      </c>
      <c r="J1397">
        <v>1572</v>
      </c>
      <c r="K1397">
        <v>0</v>
      </c>
      <c r="L1397">
        <v>11004</v>
      </c>
      <c r="M1397">
        <v>9253.34</v>
      </c>
      <c r="N1397">
        <v>1750.66</v>
      </c>
      <c r="O1397" t="s">
        <v>77</v>
      </c>
      <c r="P1397" t="s">
        <v>86</v>
      </c>
    </row>
    <row r="1398" spans="1:16" x14ac:dyDescent="0.25">
      <c r="A1398">
        <v>1397</v>
      </c>
      <c r="B1398" s="1">
        <v>45976</v>
      </c>
      <c r="C1398" t="s">
        <v>16</v>
      </c>
      <c r="D1398" t="s">
        <v>24</v>
      </c>
      <c r="E1398" t="s">
        <v>29</v>
      </c>
      <c r="F1398" t="s">
        <v>45</v>
      </c>
      <c r="G1398" t="s">
        <v>70</v>
      </c>
      <c r="H1398" t="s">
        <v>75</v>
      </c>
      <c r="I1398">
        <v>5</v>
      </c>
      <c r="J1398">
        <v>7826</v>
      </c>
      <c r="K1398">
        <v>0</v>
      </c>
      <c r="L1398">
        <v>39130</v>
      </c>
      <c r="M1398">
        <v>30368.92</v>
      </c>
      <c r="N1398">
        <v>8761.08</v>
      </c>
      <c r="O1398" t="s">
        <v>79</v>
      </c>
      <c r="P1398" t="s">
        <v>86</v>
      </c>
    </row>
    <row r="1399" spans="1:16" x14ac:dyDescent="0.25">
      <c r="A1399">
        <v>1398</v>
      </c>
      <c r="B1399" s="1">
        <v>45912</v>
      </c>
      <c r="C1399" t="s">
        <v>19</v>
      </c>
      <c r="D1399" t="s">
        <v>26</v>
      </c>
      <c r="E1399" t="s">
        <v>33</v>
      </c>
      <c r="F1399" t="s">
        <v>46</v>
      </c>
      <c r="G1399" t="s">
        <v>71</v>
      </c>
      <c r="H1399" t="s">
        <v>74</v>
      </c>
      <c r="I1399">
        <v>6</v>
      </c>
      <c r="J1399">
        <v>15391</v>
      </c>
      <c r="K1399">
        <v>0.05</v>
      </c>
      <c r="L1399">
        <v>87728.7</v>
      </c>
      <c r="M1399">
        <v>55400.65</v>
      </c>
      <c r="N1399">
        <v>32328.05</v>
      </c>
      <c r="O1399" t="s">
        <v>76</v>
      </c>
      <c r="P1399" t="s">
        <v>85</v>
      </c>
    </row>
    <row r="1400" spans="1:16" x14ac:dyDescent="0.25">
      <c r="A1400">
        <v>1399</v>
      </c>
      <c r="B1400" s="1">
        <v>45947</v>
      </c>
      <c r="C1400" t="s">
        <v>18</v>
      </c>
      <c r="D1400" t="s">
        <v>26</v>
      </c>
      <c r="E1400" t="s">
        <v>28</v>
      </c>
      <c r="F1400" t="s">
        <v>61</v>
      </c>
      <c r="G1400" t="s">
        <v>70</v>
      </c>
      <c r="H1400" t="s">
        <v>73</v>
      </c>
      <c r="I1400">
        <v>8</v>
      </c>
      <c r="J1400">
        <v>1397</v>
      </c>
      <c r="K1400">
        <v>0</v>
      </c>
      <c r="L1400">
        <v>11176</v>
      </c>
      <c r="M1400">
        <v>7103.41</v>
      </c>
      <c r="N1400">
        <v>4072.59</v>
      </c>
      <c r="O1400" t="s">
        <v>79</v>
      </c>
      <c r="P1400" t="s">
        <v>81</v>
      </c>
    </row>
    <row r="1401" spans="1:16" x14ac:dyDescent="0.25">
      <c r="A1401">
        <v>1400</v>
      </c>
      <c r="B1401" s="1">
        <v>45830</v>
      </c>
      <c r="C1401" t="s">
        <v>20</v>
      </c>
      <c r="D1401" t="s">
        <v>26</v>
      </c>
      <c r="E1401" t="s">
        <v>33</v>
      </c>
      <c r="F1401" t="s">
        <v>52</v>
      </c>
      <c r="G1401" t="s">
        <v>71</v>
      </c>
      <c r="H1401" t="s">
        <v>73</v>
      </c>
      <c r="I1401">
        <v>4</v>
      </c>
      <c r="J1401">
        <v>35975</v>
      </c>
      <c r="K1401">
        <v>0.05</v>
      </c>
      <c r="L1401">
        <v>136705</v>
      </c>
      <c r="M1401">
        <v>78680.47</v>
      </c>
      <c r="N1401">
        <v>58024.53</v>
      </c>
      <c r="O1401" t="s">
        <v>78</v>
      </c>
      <c r="P1401" t="s">
        <v>84</v>
      </c>
    </row>
    <row r="1402" spans="1:16" x14ac:dyDescent="0.25">
      <c r="A1402">
        <v>1401</v>
      </c>
      <c r="B1402" s="1">
        <v>45681</v>
      </c>
      <c r="C1402" t="s">
        <v>23</v>
      </c>
      <c r="D1402" t="s">
        <v>27</v>
      </c>
      <c r="E1402" t="s">
        <v>32</v>
      </c>
      <c r="F1402" t="s">
        <v>49</v>
      </c>
      <c r="G1402" t="s">
        <v>70</v>
      </c>
      <c r="H1402" t="s">
        <v>74</v>
      </c>
      <c r="I1402">
        <v>8</v>
      </c>
      <c r="J1402">
        <v>8499</v>
      </c>
      <c r="K1402">
        <v>0</v>
      </c>
      <c r="L1402">
        <v>67992</v>
      </c>
      <c r="M1402">
        <v>51269.52</v>
      </c>
      <c r="N1402">
        <v>16722.48</v>
      </c>
      <c r="O1402" t="s">
        <v>80</v>
      </c>
      <c r="P1402" t="s">
        <v>87</v>
      </c>
    </row>
    <row r="1403" spans="1:16" x14ac:dyDescent="0.25">
      <c r="A1403">
        <v>1402</v>
      </c>
      <c r="B1403" s="1">
        <v>45715</v>
      </c>
      <c r="C1403" t="s">
        <v>18</v>
      </c>
      <c r="D1403" t="s">
        <v>26</v>
      </c>
      <c r="E1403" t="s">
        <v>33</v>
      </c>
      <c r="F1403" t="s">
        <v>46</v>
      </c>
      <c r="G1403" t="s">
        <v>70</v>
      </c>
      <c r="H1403" t="s">
        <v>74</v>
      </c>
      <c r="I1403">
        <v>6</v>
      </c>
      <c r="J1403">
        <v>49552</v>
      </c>
      <c r="K1403">
        <v>0.1</v>
      </c>
      <c r="L1403">
        <v>267580.79999999999</v>
      </c>
      <c r="M1403">
        <v>232139.37</v>
      </c>
      <c r="N1403">
        <v>35441.43</v>
      </c>
      <c r="O1403" t="s">
        <v>79</v>
      </c>
      <c r="P1403" t="s">
        <v>87</v>
      </c>
    </row>
    <row r="1404" spans="1:16" x14ac:dyDescent="0.25">
      <c r="A1404">
        <v>1403</v>
      </c>
      <c r="B1404" s="1">
        <v>45830</v>
      </c>
      <c r="C1404" t="s">
        <v>18</v>
      </c>
      <c r="D1404" t="s">
        <v>26</v>
      </c>
      <c r="E1404" t="s">
        <v>34</v>
      </c>
      <c r="F1404" t="s">
        <v>43</v>
      </c>
      <c r="G1404" t="s">
        <v>70</v>
      </c>
      <c r="H1404" t="s">
        <v>73</v>
      </c>
      <c r="I1404">
        <v>7</v>
      </c>
      <c r="J1404">
        <v>5522</v>
      </c>
      <c r="K1404">
        <v>0</v>
      </c>
      <c r="L1404">
        <v>38654</v>
      </c>
      <c r="M1404">
        <v>22761.29</v>
      </c>
      <c r="N1404">
        <v>15892.71</v>
      </c>
      <c r="O1404" t="s">
        <v>76</v>
      </c>
      <c r="P1404" t="s">
        <v>86</v>
      </c>
    </row>
    <row r="1405" spans="1:16" x14ac:dyDescent="0.25">
      <c r="A1405">
        <v>1404</v>
      </c>
      <c r="B1405" s="1">
        <v>45729</v>
      </c>
      <c r="C1405" t="s">
        <v>20</v>
      </c>
      <c r="D1405" t="s">
        <v>26</v>
      </c>
      <c r="E1405" t="s">
        <v>31</v>
      </c>
      <c r="F1405" t="s">
        <v>69</v>
      </c>
      <c r="G1405" t="s">
        <v>71</v>
      </c>
      <c r="H1405" t="s">
        <v>75</v>
      </c>
      <c r="I1405">
        <v>1</v>
      </c>
      <c r="J1405">
        <v>2058</v>
      </c>
      <c r="K1405">
        <v>0.05</v>
      </c>
      <c r="L1405">
        <v>1955.1</v>
      </c>
      <c r="M1405">
        <v>1377.03</v>
      </c>
      <c r="N1405">
        <v>578.07000000000005</v>
      </c>
      <c r="O1405" t="s">
        <v>78</v>
      </c>
      <c r="P1405" t="s">
        <v>85</v>
      </c>
    </row>
    <row r="1406" spans="1:16" x14ac:dyDescent="0.25">
      <c r="A1406">
        <v>1405</v>
      </c>
      <c r="B1406" s="1">
        <v>45859</v>
      </c>
      <c r="C1406" t="s">
        <v>20</v>
      </c>
      <c r="D1406" t="s">
        <v>26</v>
      </c>
      <c r="E1406" t="s">
        <v>34</v>
      </c>
      <c r="F1406" t="s">
        <v>55</v>
      </c>
      <c r="G1406" t="s">
        <v>71</v>
      </c>
      <c r="H1406" t="s">
        <v>73</v>
      </c>
      <c r="I1406">
        <v>7</v>
      </c>
      <c r="J1406">
        <v>1135</v>
      </c>
      <c r="K1406">
        <v>0.05</v>
      </c>
      <c r="L1406">
        <v>7547.75</v>
      </c>
      <c r="M1406">
        <v>6441.8</v>
      </c>
      <c r="N1406">
        <v>1105.95</v>
      </c>
      <c r="O1406" t="s">
        <v>78</v>
      </c>
      <c r="P1406" t="s">
        <v>87</v>
      </c>
    </row>
    <row r="1407" spans="1:16" x14ac:dyDescent="0.25">
      <c r="A1407">
        <v>1406</v>
      </c>
      <c r="B1407" s="1">
        <v>45749</v>
      </c>
      <c r="C1407" t="s">
        <v>16</v>
      </c>
      <c r="D1407" t="s">
        <v>24</v>
      </c>
      <c r="E1407" t="s">
        <v>34</v>
      </c>
      <c r="F1407" t="s">
        <v>65</v>
      </c>
      <c r="G1407" t="s">
        <v>72</v>
      </c>
      <c r="H1407" t="s">
        <v>73</v>
      </c>
      <c r="I1407">
        <v>3</v>
      </c>
      <c r="J1407">
        <v>1314</v>
      </c>
      <c r="K1407">
        <v>0.2</v>
      </c>
      <c r="L1407">
        <v>3153.6</v>
      </c>
      <c r="M1407">
        <v>2077.34</v>
      </c>
      <c r="N1407">
        <v>1076.26</v>
      </c>
      <c r="O1407" t="s">
        <v>80</v>
      </c>
      <c r="P1407" t="s">
        <v>86</v>
      </c>
    </row>
    <row r="1408" spans="1:16" x14ac:dyDescent="0.25">
      <c r="A1408">
        <v>1407</v>
      </c>
      <c r="B1408" s="1">
        <v>45973</v>
      </c>
      <c r="C1408" t="s">
        <v>21</v>
      </c>
      <c r="D1408" t="s">
        <v>24</v>
      </c>
      <c r="E1408" t="s">
        <v>29</v>
      </c>
      <c r="F1408" t="s">
        <v>53</v>
      </c>
      <c r="G1408" t="s">
        <v>71</v>
      </c>
      <c r="H1408" t="s">
        <v>73</v>
      </c>
      <c r="I1408">
        <v>6</v>
      </c>
      <c r="J1408">
        <v>3766</v>
      </c>
      <c r="K1408">
        <v>0.15</v>
      </c>
      <c r="L1408">
        <v>19206.599999999999</v>
      </c>
      <c r="M1408">
        <v>14029.38</v>
      </c>
      <c r="N1408">
        <v>5177.22</v>
      </c>
      <c r="O1408" t="s">
        <v>78</v>
      </c>
      <c r="P1408" t="s">
        <v>88</v>
      </c>
    </row>
    <row r="1409" spans="1:16" x14ac:dyDescent="0.25">
      <c r="A1409">
        <v>1408</v>
      </c>
      <c r="B1409" s="1">
        <v>45955</v>
      </c>
      <c r="C1409" t="s">
        <v>20</v>
      </c>
      <c r="D1409" t="s">
        <v>26</v>
      </c>
      <c r="E1409" t="s">
        <v>29</v>
      </c>
      <c r="F1409" t="s">
        <v>53</v>
      </c>
      <c r="G1409" t="s">
        <v>72</v>
      </c>
      <c r="H1409" t="s">
        <v>73</v>
      </c>
      <c r="I1409">
        <v>3</v>
      </c>
      <c r="J1409">
        <v>856</v>
      </c>
      <c r="K1409">
        <v>0</v>
      </c>
      <c r="L1409">
        <v>2568</v>
      </c>
      <c r="M1409">
        <v>1740.99</v>
      </c>
      <c r="N1409">
        <v>827.01</v>
      </c>
      <c r="O1409" t="s">
        <v>77</v>
      </c>
      <c r="P1409" t="s">
        <v>86</v>
      </c>
    </row>
    <row r="1410" spans="1:16" x14ac:dyDescent="0.25">
      <c r="A1410">
        <v>1409</v>
      </c>
      <c r="B1410" s="1">
        <v>45785</v>
      </c>
      <c r="C1410" t="s">
        <v>18</v>
      </c>
      <c r="D1410" t="s">
        <v>26</v>
      </c>
      <c r="E1410" t="s">
        <v>32</v>
      </c>
      <c r="F1410" t="s">
        <v>62</v>
      </c>
      <c r="G1410" t="s">
        <v>72</v>
      </c>
      <c r="H1410" t="s">
        <v>75</v>
      </c>
      <c r="I1410">
        <v>4</v>
      </c>
      <c r="J1410">
        <v>6715</v>
      </c>
      <c r="K1410">
        <v>0.1</v>
      </c>
      <c r="L1410">
        <v>24174</v>
      </c>
      <c r="M1410">
        <v>15953.11</v>
      </c>
      <c r="N1410">
        <v>8220.89</v>
      </c>
      <c r="O1410" t="s">
        <v>79</v>
      </c>
      <c r="P1410" t="s">
        <v>82</v>
      </c>
    </row>
    <row r="1411" spans="1:16" x14ac:dyDescent="0.25">
      <c r="A1411">
        <v>1410</v>
      </c>
      <c r="B1411" s="1">
        <v>46019</v>
      </c>
      <c r="C1411" t="s">
        <v>18</v>
      </c>
      <c r="D1411" t="s">
        <v>26</v>
      </c>
      <c r="E1411" t="s">
        <v>34</v>
      </c>
      <c r="F1411" t="s">
        <v>65</v>
      </c>
      <c r="G1411" t="s">
        <v>70</v>
      </c>
      <c r="H1411" t="s">
        <v>74</v>
      </c>
      <c r="I1411">
        <v>4</v>
      </c>
      <c r="J1411">
        <v>3015</v>
      </c>
      <c r="K1411">
        <v>0.05</v>
      </c>
      <c r="L1411">
        <v>11457</v>
      </c>
      <c r="M1411">
        <v>7048.43</v>
      </c>
      <c r="N1411">
        <v>4408.57</v>
      </c>
      <c r="O1411" t="s">
        <v>78</v>
      </c>
      <c r="P1411" t="s">
        <v>86</v>
      </c>
    </row>
    <row r="1412" spans="1:16" x14ac:dyDescent="0.25">
      <c r="A1412">
        <v>1411</v>
      </c>
      <c r="B1412" s="1">
        <v>45944</v>
      </c>
      <c r="C1412" t="s">
        <v>20</v>
      </c>
      <c r="D1412" t="s">
        <v>26</v>
      </c>
      <c r="E1412" t="s">
        <v>33</v>
      </c>
      <c r="F1412" t="s">
        <v>60</v>
      </c>
      <c r="G1412" t="s">
        <v>70</v>
      </c>
      <c r="H1412" t="s">
        <v>73</v>
      </c>
      <c r="I1412">
        <v>1</v>
      </c>
      <c r="J1412">
        <v>30710</v>
      </c>
      <c r="K1412">
        <v>0.1</v>
      </c>
      <c r="L1412">
        <v>27639</v>
      </c>
      <c r="M1412">
        <v>21577.64</v>
      </c>
      <c r="N1412">
        <v>6061.36</v>
      </c>
      <c r="O1412" t="s">
        <v>76</v>
      </c>
      <c r="P1412" t="s">
        <v>84</v>
      </c>
    </row>
    <row r="1413" spans="1:16" x14ac:dyDescent="0.25">
      <c r="A1413">
        <v>1412</v>
      </c>
      <c r="B1413" s="1">
        <v>45833</v>
      </c>
      <c r="C1413" t="s">
        <v>23</v>
      </c>
      <c r="D1413" t="s">
        <v>27</v>
      </c>
      <c r="E1413" t="s">
        <v>31</v>
      </c>
      <c r="F1413" t="s">
        <v>38</v>
      </c>
      <c r="G1413" t="s">
        <v>72</v>
      </c>
      <c r="H1413" t="s">
        <v>74</v>
      </c>
      <c r="I1413">
        <v>5</v>
      </c>
      <c r="J1413">
        <v>1294</v>
      </c>
      <c r="K1413">
        <v>0.15</v>
      </c>
      <c r="L1413">
        <v>5499.5</v>
      </c>
      <c r="M1413">
        <v>4436.47</v>
      </c>
      <c r="N1413">
        <v>1063.03</v>
      </c>
      <c r="O1413" t="s">
        <v>76</v>
      </c>
      <c r="P1413" t="s">
        <v>87</v>
      </c>
    </row>
    <row r="1414" spans="1:16" x14ac:dyDescent="0.25">
      <c r="A1414">
        <v>1413</v>
      </c>
      <c r="B1414" s="1">
        <v>45802</v>
      </c>
      <c r="C1414" t="s">
        <v>22</v>
      </c>
      <c r="D1414" t="s">
        <v>24</v>
      </c>
      <c r="E1414" t="s">
        <v>34</v>
      </c>
      <c r="F1414" t="s">
        <v>65</v>
      </c>
      <c r="G1414" t="s">
        <v>70</v>
      </c>
      <c r="H1414" t="s">
        <v>75</v>
      </c>
      <c r="I1414">
        <v>6</v>
      </c>
      <c r="J1414">
        <v>1204</v>
      </c>
      <c r="K1414">
        <v>0.1</v>
      </c>
      <c r="L1414">
        <v>6501.6</v>
      </c>
      <c r="M1414">
        <v>3941.08</v>
      </c>
      <c r="N1414">
        <v>2560.52</v>
      </c>
      <c r="O1414" t="s">
        <v>76</v>
      </c>
      <c r="P1414" t="s">
        <v>82</v>
      </c>
    </row>
    <row r="1415" spans="1:16" x14ac:dyDescent="0.25">
      <c r="A1415">
        <v>1414</v>
      </c>
      <c r="B1415" s="1">
        <v>45783</v>
      </c>
      <c r="C1415" t="s">
        <v>20</v>
      </c>
      <c r="D1415" t="s">
        <v>26</v>
      </c>
      <c r="E1415" t="s">
        <v>28</v>
      </c>
      <c r="F1415" t="s">
        <v>54</v>
      </c>
      <c r="G1415" t="s">
        <v>70</v>
      </c>
      <c r="H1415" t="s">
        <v>73</v>
      </c>
      <c r="I1415">
        <v>6</v>
      </c>
      <c r="J1415">
        <v>2093</v>
      </c>
      <c r="K1415">
        <v>0</v>
      </c>
      <c r="L1415">
        <v>12558</v>
      </c>
      <c r="M1415">
        <v>9786.59</v>
      </c>
      <c r="N1415">
        <v>2771.41</v>
      </c>
      <c r="O1415" t="s">
        <v>78</v>
      </c>
      <c r="P1415" t="s">
        <v>84</v>
      </c>
    </row>
    <row r="1416" spans="1:16" x14ac:dyDescent="0.25">
      <c r="A1416">
        <v>1415</v>
      </c>
      <c r="B1416" s="1">
        <v>45884</v>
      </c>
      <c r="C1416" t="s">
        <v>20</v>
      </c>
      <c r="D1416" t="s">
        <v>26</v>
      </c>
      <c r="E1416" t="s">
        <v>30</v>
      </c>
      <c r="F1416" t="s">
        <v>56</v>
      </c>
      <c r="G1416" t="s">
        <v>72</v>
      </c>
      <c r="H1416" t="s">
        <v>75</v>
      </c>
      <c r="I1416">
        <v>2</v>
      </c>
      <c r="J1416">
        <v>57381</v>
      </c>
      <c r="K1416">
        <v>0.1</v>
      </c>
      <c r="L1416">
        <v>103285.8</v>
      </c>
      <c r="M1416">
        <v>73667.62</v>
      </c>
      <c r="N1416">
        <v>29618.18</v>
      </c>
      <c r="O1416" t="s">
        <v>78</v>
      </c>
      <c r="P1416" t="s">
        <v>83</v>
      </c>
    </row>
    <row r="1417" spans="1:16" x14ac:dyDescent="0.25">
      <c r="A1417">
        <v>1416</v>
      </c>
      <c r="B1417" s="1">
        <v>45973</v>
      </c>
      <c r="C1417" t="s">
        <v>23</v>
      </c>
      <c r="D1417" t="s">
        <v>27</v>
      </c>
      <c r="E1417" t="s">
        <v>29</v>
      </c>
      <c r="F1417" t="s">
        <v>45</v>
      </c>
      <c r="G1417" t="s">
        <v>70</v>
      </c>
      <c r="H1417" t="s">
        <v>73</v>
      </c>
      <c r="I1417">
        <v>4</v>
      </c>
      <c r="J1417">
        <v>3362</v>
      </c>
      <c r="K1417">
        <v>0</v>
      </c>
      <c r="L1417">
        <v>13448</v>
      </c>
      <c r="M1417">
        <v>9779.85</v>
      </c>
      <c r="N1417">
        <v>3668.15</v>
      </c>
      <c r="O1417" t="s">
        <v>79</v>
      </c>
      <c r="P1417" t="s">
        <v>87</v>
      </c>
    </row>
    <row r="1418" spans="1:16" x14ac:dyDescent="0.25">
      <c r="A1418">
        <v>1417</v>
      </c>
      <c r="B1418" s="1">
        <v>45779</v>
      </c>
      <c r="C1418" t="s">
        <v>22</v>
      </c>
      <c r="D1418" t="s">
        <v>24</v>
      </c>
      <c r="E1418" t="s">
        <v>28</v>
      </c>
      <c r="F1418" t="s">
        <v>54</v>
      </c>
      <c r="G1418" t="s">
        <v>71</v>
      </c>
      <c r="H1418" t="s">
        <v>75</v>
      </c>
      <c r="I1418">
        <v>5</v>
      </c>
      <c r="J1418">
        <v>1502</v>
      </c>
      <c r="K1418">
        <v>0.15</v>
      </c>
      <c r="L1418">
        <v>6383.5</v>
      </c>
      <c r="M1418">
        <v>3590.87</v>
      </c>
      <c r="N1418">
        <v>2792.63</v>
      </c>
      <c r="O1418" t="s">
        <v>79</v>
      </c>
      <c r="P1418" t="s">
        <v>82</v>
      </c>
    </row>
    <row r="1419" spans="1:16" x14ac:dyDescent="0.25">
      <c r="A1419">
        <v>1418</v>
      </c>
      <c r="B1419" s="1">
        <v>45810</v>
      </c>
      <c r="C1419" t="s">
        <v>22</v>
      </c>
      <c r="D1419" t="s">
        <v>24</v>
      </c>
      <c r="E1419" t="s">
        <v>28</v>
      </c>
      <c r="F1419" t="s">
        <v>54</v>
      </c>
      <c r="G1419" t="s">
        <v>72</v>
      </c>
      <c r="H1419" t="s">
        <v>73</v>
      </c>
      <c r="I1419">
        <v>1</v>
      </c>
      <c r="J1419">
        <v>1963</v>
      </c>
      <c r="K1419">
        <v>0.05</v>
      </c>
      <c r="L1419">
        <v>1864.85</v>
      </c>
      <c r="M1419">
        <v>1167.8</v>
      </c>
      <c r="N1419">
        <v>697.05</v>
      </c>
      <c r="O1419" t="s">
        <v>76</v>
      </c>
      <c r="P1419" t="s">
        <v>85</v>
      </c>
    </row>
    <row r="1420" spans="1:16" x14ac:dyDescent="0.25">
      <c r="A1420">
        <v>1419</v>
      </c>
      <c r="B1420" s="1">
        <v>45710</v>
      </c>
      <c r="C1420" t="s">
        <v>23</v>
      </c>
      <c r="D1420" t="s">
        <v>27</v>
      </c>
      <c r="E1420" t="s">
        <v>32</v>
      </c>
      <c r="F1420" t="s">
        <v>66</v>
      </c>
      <c r="G1420" t="s">
        <v>70</v>
      </c>
      <c r="H1420" t="s">
        <v>75</v>
      </c>
      <c r="I1420">
        <v>3</v>
      </c>
      <c r="J1420">
        <v>11210</v>
      </c>
      <c r="K1420">
        <v>0.1</v>
      </c>
      <c r="L1420">
        <v>30267</v>
      </c>
      <c r="M1420">
        <v>22989.81</v>
      </c>
      <c r="N1420">
        <v>7277.19</v>
      </c>
      <c r="O1420" t="s">
        <v>77</v>
      </c>
      <c r="P1420" t="s">
        <v>87</v>
      </c>
    </row>
    <row r="1421" spans="1:16" x14ac:dyDescent="0.25">
      <c r="A1421">
        <v>1420</v>
      </c>
      <c r="B1421" s="1">
        <v>45679</v>
      </c>
      <c r="C1421" t="s">
        <v>19</v>
      </c>
      <c r="D1421" t="s">
        <v>26</v>
      </c>
      <c r="E1421" t="s">
        <v>30</v>
      </c>
      <c r="F1421" t="s">
        <v>64</v>
      </c>
      <c r="G1421" t="s">
        <v>71</v>
      </c>
      <c r="H1421" t="s">
        <v>75</v>
      </c>
      <c r="I1421">
        <v>7</v>
      </c>
      <c r="J1421">
        <v>68086</v>
      </c>
      <c r="K1421">
        <v>0.1</v>
      </c>
      <c r="L1421">
        <v>428941.8</v>
      </c>
      <c r="M1421">
        <v>292525.37</v>
      </c>
      <c r="N1421">
        <v>136416.43</v>
      </c>
      <c r="O1421" t="s">
        <v>78</v>
      </c>
      <c r="P1421" t="s">
        <v>85</v>
      </c>
    </row>
    <row r="1422" spans="1:16" x14ac:dyDescent="0.25">
      <c r="A1422">
        <v>1421</v>
      </c>
      <c r="B1422" s="1">
        <v>45954</v>
      </c>
      <c r="C1422" t="s">
        <v>23</v>
      </c>
      <c r="D1422" t="s">
        <v>27</v>
      </c>
      <c r="E1422" t="s">
        <v>28</v>
      </c>
      <c r="F1422" t="s">
        <v>54</v>
      </c>
      <c r="G1422" t="s">
        <v>72</v>
      </c>
      <c r="H1422" t="s">
        <v>75</v>
      </c>
      <c r="I1422">
        <v>2</v>
      </c>
      <c r="J1422">
        <v>487</v>
      </c>
      <c r="K1422">
        <v>0</v>
      </c>
      <c r="L1422">
        <v>974</v>
      </c>
      <c r="M1422">
        <v>801.05</v>
      </c>
      <c r="N1422">
        <v>172.95</v>
      </c>
      <c r="O1422" t="s">
        <v>78</v>
      </c>
      <c r="P1422" t="s">
        <v>86</v>
      </c>
    </row>
    <row r="1423" spans="1:16" x14ac:dyDescent="0.25">
      <c r="A1423">
        <v>1422</v>
      </c>
      <c r="B1423" s="1">
        <v>45873</v>
      </c>
      <c r="C1423" t="s">
        <v>21</v>
      </c>
      <c r="D1423" t="s">
        <v>24</v>
      </c>
      <c r="E1423" t="s">
        <v>29</v>
      </c>
      <c r="F1423" t="s">
        <v>53</v>
      </c>
      <c r="G1423" t="s">
        <v>71</v>
      </c>
      <c r="H1423" t="s">
        <v>74</v>
      </c>
      <c r="I1423">
        <v>3</v>
      </c>
      <c r="J1423">
        <v>6628</v>
      </c>
      <c r="K1423">
        <v>0.05</v>
      </c>
      <c r="L1423">
        <v>18889.8</v>
      </c>
      <c r="M1423">
        <v>13472.76</v>
      </c>
      <c r="N1423">
        <v>5417.04</v>
      </c>
      <c r="O1423" t="s">
        <v>79</v>
      </c>
      <c r="P1423" t="s">
        <v>86</v>
      </c>
    </row>
    <row r="1424" spans="1:16" x14ac:dyDescent="0.25">
      <c r="A1424">
        <v>1423</v>
      </c>
      <c r="B1424" s="1">
        <v>45897</v>
      </c>
      <c r="C1424" t="s">
        <v>16</v>
      </c>
      <c r="D1424" t="s">
        <v>24</v>
      </c>
      <c r="E1424" t="s">
        <v>29</v>
      </c>
      <c r="F1424" t="s">
        <v>57</v>
      </c>
      <c r="G1424" t="s">
        <v>72</v>
      </c>
      <c r="H1424" t="s">
        <v>75</v>
      </c>
      <c r="I1424">
        <v>7</v>
      </c>
      <c r="J1424">
        <v>11143</v>
      </c>
      <c r="K1424">
        <v>0.2</v>
      </c>
      <c r="L1424">
        <v>62400.800000000003</v>
      </c>
      <c r="M1424">
        <v>42733.38</v>
      </c>
      <c r="N1424">
        <v>19667.419999999998</v>
      </c>
      <c r="O1424" t="s">
        <v>78</v>
      </c>
      <c r="P1424" t="s">
        <v>81</v>
      </c>
    </row>
    <row r="1425" spans="1:16" x14ac:dyDescent="0.25">
      <c r="A1425">
        <v>1424</v>
      </c>
      <c r="B1425" s="1">
        <v>45721</v>
      </c>
      <c r="C1425" t="s">
        <v>21</v>
      </c>
      <c r="D1425" t="s">
        <v>24</v>
      </c>
      <c r="E1425" t="s">
        <v>34</v>
      </c>
      <c r="F1425" t="s">
        <v>55</v>
      </c>
      <c r="G1425" t="s">
        <v>70</v>
      </c>
      <c r="H1425" t="s">
        <v>75</v>
      </c>
      <c r="I1425">
        <v>7</v>
      </c>
      <c r="J1425">
        <v>1636</v>
      </c>
      <c r="K1425">
        <v>0.05</v>
      </c>
      <c r="L1425">
        <v>10879.4</v>
      </c>
      <c r="M1425">
        <v>6300.16</v>
      </c>
      <c r="N1425">
        <v>4579.24</v>
      </c>
      <c r="O1425" t="s">
        <v>76</v>
      </c>
      <c r="P1425" t="s">
        <v>83</v>
      </c>
    </row>
    <row r="1426" spans="1:16" x14ac:dyDescent="0.25">
      <c r="A1426">
        <v>1425</v>
      </c>
      <c r="B1426" s="1">
        <v>45789</v>
      </c>
      <c r="C1426" t="s">
        <v>23</v>
      </c>
      <c r="D1426" t="s">
        <v>27</v>
      </c>
      <c r="E1426" t="s">
        <v>31</v>
      </c>
      <c r="F1426" t="s">
        <v>69</v>
      </c>
      <c r="G1426" t="s">
        <v>71</v>
      </c>
      <c r="H1426" t="s">
        <v>75</v>
      </c>
      <c r="I1426">
        <v>1</v>
      </c>
      <c r="J1426">
        <v>2256</v>
      </c>
      <c r="K1426">
        <v>0</v>
      </c>
      <c r="L1426">
        <v>2256</v>
      </c>
      <c r="M1426">
        <v>1793.63</v>
      </c>
      <c r="N1426">
        <v>462.37</v>
      </c>
      <c r="O1426" t="s">
        <v>77</v>
      </c>
      <c r="P1426" t="s">
        <v>86</v>
      </c>
    </row>
    <row r="1427" spans="1:16" x14ac:dyDescent="0.25">
      <c r="A1427">
        <v>1426</v>
      </c>
      <c r="B1427" s="1">
        <v>45893</v>
      </c>
      <c r="C1427" t="s">
        <v>23</v>
      </c>
      <c r="D1427" t="s">
        <v>27</v>
      </c>
      <c r="E1427" t="s">
        <v>30</v>
      </c>
      <c r="F1427" t="s">
        <v>44</v>
      </c>
      <c r="G1427" t="s">
        <v>71</v>
      </c>
      <c r="H1427" t="s">
        <v>73</v>
      </c>
      <c r="I1427">
        <v>5</v>
      </c>
      <c r="J1427">
        <v>69196</v>
      </c>
      <c r="K1427">
        <v>0.15</v>
      </c>
      <c r="L1427">
        <v>294083</v>
      </c>
      <c r="M1427">
        <v>247412.96</v>
      </c>
      <c r="N1427">
        <v>46670.04</v>
      </c>
      <c r="O1427" t="s">
        <v>76</v>
      </c>
      <c r="P1427" t="s">
        <v>82</v>
      </c>
    </row>
    <row r="1428" spans="1:16" x14ac:dyDescent="0.25">
      <c r="A1428">
        <v>1427</v>
      </c>
      <c r="B1428" s="1">
        <v>45963</v>
      </c>
      <c r="C1428" t="s">
        <v>19</v>
      </c>
      <c r="D1428" t="s">
        <v>26</v>
      </c>
      <c r="E1428" t="s">
        <v>31</v>
      </c>
      <c r="F1428" t="s">
        <v>67</v>
      </c>
      <c r="G1428" t="s">
        <v>72</v>
      </c>
      <c r="H1428" t="s">
        <v>75</v>
      </c>
      <c r="I1428">
        <v>8</v>
      </c>
      <c r="J1428">
        <v>1745</v>
      </c>
      <c r="K1428">
        <v>0.1</v>
      </c>
      <c r="L1428">
        <v>12564</v>
      </c>
      <c r="M1428">
        <v>8573.48</v>
      </c>
      <c r="N1428">
        <v>3990.52</v>
      </c>
      <c r="O1428" t="s">
        <v>76</v>
      </c>
      <c r="P1428" t="s">
        <v>81</v>
      </c>
    </row>
    <row r="1429" spans="1:16" x14ac:dyDescent="0.25">
      <c r="A1429">
        <v>1428</v>
      </c>
      <c r="B1429" s="1">
        <v>45715</v>
      </c>
      <c r="C1429" t="s">
        <v>21</v>
      </c>
      <c r="D1429" t="s">
        <v>24</v>
      </c>
      <c r="E1429" t="s">
        <v>31</v>
      </c>
      <c r="F1429" t="s">
        <v>67</v>
      </c>
      <c r="G1429" t="s">
        <v>72</v>
      </c>
      <c r="H1429" t="s">
        <v>75</v>
      </c>
      <c r="I1429">
        <v>1</v>
      </c>
      <c r="J1429">
        <v>1707</v>
      </c>
      <c r="K1429">
        <v>0.05</v>
      </c>
      <c r="L1429">
        <v>1621.65</v>
      </c>
      <c r="M1429">
        <v>984.13</v>
      </c>
      <c r="N1429">
        <v>637.52</v>
      </c>
      <c r="O1429" t="s">
        <v>76</v>
      </c>
      <c r="P1429" t="s">
        <v>84</v>
      </c>
    </row>
    <row r="1430" spans="1:16" x14ac:dyDescent="0.25">
      <c r="A1430">
        <v>1429</v>
      </c>
      <c r="B1430" s="1">
        <v>45853</v>
      </c>
      <c r="C1430" t="s">
        <v>23</v>
      </c>
      <c r="D1430" t="s">
        <v>27</v>
      </c>
      <c r="E1430" t="s">
        <v>33</v>
      </c>
      <c r="F1430" t="s">
        <v>41</v>
      </c>
      <c r="G1430" t="s">
        <v>70</v>
      </c>
      <c r="H1430" t="s">
        <v>74</v>
      </c>
      <c r="I1430">
        <v>1</v>
      </c>
      <c r="J1430">
        <v>48031</v>
      </c>
      <c r="K1430">
        <v>0.1</v>
      </c>
      <c r="L1430">
        <v>43227.9</v>
      </c>
      <c r="M1430">
        <v>35982.5</v>
      </c>
      <c r="N1430">
        <v>7245.4</v>
      </c>
      <c r="O1430" t="s">
        <v>79</v>
      </c>
      <c r="P1430" t="s">
        <v>87</v>
      </c>
    </row>
    <row r="1431" spans="1:16" x14ac:dyDescent="0.25">
      <c r="A1431">
        <v>1430</v>
      </c>
      <c r="B1431" s="1">
        <v>45725</v>
      </c>
      <c r="C1431" t="s">
        <v>22</v>
      </c>
      <c r="D1431" t="s">
        <v>24</v>
      </c>
      <c r="E1431" t="s">
        <v>30</v>
      </c>
      <c r="F1431" t="s">
        <v>44</v>
      </c>
      <c r="G1431" t="s">
        <v>71</v>
      </c>
      <c r="H1431" t="s">
        <v>73</v>
      </c>
      <c r="I1431">
        <v>1</v>
      </c>
      <c r="J1431">
        <v>26778</v>
      </c>
      <c r="K1431">
        <v>0.1</v>
      </c>
      <c r="L1431">
        <v>24100.2</v>
      </c>
      <c r="M1431">
        <v>20292.22</v>
      </c>
      <c r="N1431">
        <v>3807.98</v>
      </c>
      <c r="O1431" t="s">
        <v>78</v>
      </c>
      <c r="P1431" t="s">
        <v>86</v>
      </c>
    </row>
    <row r="1432" spans="1:16" x14ac:dyDescent="0.25">
      <c r="A1432">
        <v>1431</v>
      </c>
      <c r="B1432" s="1">
        <v>45941</v>
      </c>
      <c r="C1432" t="s">
        <v>19</v>
      </c>
      <c r="D1432" t="s">
        <v>26</v>
      </c>
      <c r="E1432" t="s">
        <v>28</v>
      </c>
      <c r="F1432" t="s">
        <v>54</v>
      </c>
      <c r="G1432" t="s">
        <v>70</v>
      </c>
      <c r="H1432" t="s">
        <v>74</v>
      </c>
      <c r="I1432">
        <v>8</v>
      </c>
      <c r="J1432">
        <v>2002</v>
      </c>
      <c r="K1432">
        <v>0.05</v>
      </c>
      <c r="L1432">
        <v>15215.2</v>
      </c>
      <c r="M1432">
        <v>11203.87</v>
      </c>
      <c r="N1432">
        <v>4011.33</v>
      </c>
      <c r="O1432" t="s">
        <v>79</v>
      </c>
      <c r="P1432" t="s">
        <v>88</v>
      </c>
    </row>
    <row r="1433" spans="1:16" x14ac:dyDescent="0.25">
      <c r="A1433">
        <v>1432</v>
      </c>
      <c r="B1433" s="1">
        <v>45862</v>
      </c>
      <c r="C1433" t="s">
        <v>19</v>
      </c>
      <c r="D1433" t="s">
        <v>26</v>
      </c>
      <c r="E1433" t="s">
        <v>28</v>
      </c>
      <c r="F1433" t="s">
        <v>58</v>
      </c>
      <c r="G1433" t="s">
        <v>70</v>
      </c>
      <c r="H1433" t="s">
        <v>73</v>
      </c>
      <c r="I1433">
        <v>8</v>
      </c>
      <c r="J1433">
        <v>1480</v>
      </c>
      <c r="K1433">
        <v>0.1</v>
      </c>
      <c r="L1433">
        <v>10656</v>
      </c>
      <c r="M1433">
        <v>8988.9</v>
      </c>
      <c r="N1433">
        <v>1667.1</v>
      </c>
      <c r="O1433" t="s">
        <v>76</v>
      </c>
      <c r="P1433" t="s">
        <v>83</v>
      </c>
    </row>
    <row r="1434" spans="1:16" x14ac:dyDescent="0.25">
      <c r="A1434">
        <v>1433</v>
      </c>
      <c r="B1434" s="1">
        <v>45694</v>
      </c>
      <c r="C1434" t="s">
        <v>20</v>
      </c>
      <c r="D1434" t="s">
        <v>26</v>
      </c>
      <c r="E1434" t="s">
        <v>32</v>
      </c>
      <c r="F1434" t="s">
        <v>49</v>
      </c>
      <c r="G1434" t="s">
        <v>72</v>
      </c>
      <c r="H1434" t="s">
        <v>75</v>
      </c>
      <c r="I1434">
        <v>4</v>
      </c>
      <c r="J1434">
        <v>15182</v>
      </c>
      <c r="K1434">
        <v>0.1</v>
      </c>
      <c r="L1434">
        <v>54655.199999999997</v>
      </c>
      <c r="M1434">
        <v>47459.22</v>
      </c>
      <c r="N1434">
        <v>7195.98</v>
      </c>
      <c r="O1434" t="s">
        <v>77</v>
      </c>
      <c r="P1434" t="s">
        <v>85</v>
      </c>
    </row>
    <row r="1435" spans="1:16" x14ac:dyDescent="0.25">
      <c r="A1435">
        <v>1434</v>
      </c>
      <c r="B1435" s="1">
        <v>45682</v>
      </c>
      <c r="C1435" t="s">
        <v>20</v>
      </c>
      <c r="D1435" t="s">
        <v>26</v>
      </c>
      <c r="E1435" t="s">
        <v>32</v>
      </c>
      <c r="F1435" t="s">
        <v>66</v>
      </c>
      <c r="G1435" t="s">
        <v>70</v>
      </c>
      <c r="H1435" t="s">
        <v>73</v>
      </c>
      <c r="I1435">
        <v>8</v>
      </c>
      <c r="J1435">
        <v>5906</v>
      </c>
      <c r="K1435">
        <v>0.1</v>
      </c>
      <c r="L1435">
        <v>42523.199999999997</v>
      </c>
      <c r="M1435">
        <v>26750.720000000001</v>
      </c>
      <c r="N1435">
        <v>15772.48</v>
      </c>
      <c r="O1435" t="s">
        <v>79</v>
      </c>
      <c r="P1435" t="s">
        <v>81</v>
      </c>
    </row>
    <row r="1436" spans="1:16" x14ac:dyDescent="0.25">
      <c r="A1436">
        <v>1435</v>
      </c>
      <c r="B1436" s="1">
        <v>45665</v>
      </c>
      <c r="C1436" t="s">
        <v>21</v>
      </c>
      <c r="D1436" t="s">
        <v>24</v>
      </c>
      <c r="E1436" t="s">
        <v>32</v>
      </c>
      <c r="F1436" t="s">
        <v>62</v>
      </c>
      <c r="G1436" t="s">
        <v>72</v>
      </c>
      <c r="H1436" t="s">
        <v>73</v>
      </c>
      <c r="I1436">
        <v>2</v>
      </c>
      <c r="J1436">
        <v>8268</v>
      </c>
      <c r="K1436">
        <v>0.05</v>
      </c>
      <c r="L1436">
        <v>15709.2</v>
      </c>
      <c r="M1436">
        <v>10359.85</v>
      </c>
      <c r="N1436">
        <v>5349.35</v>
      </c>
      <c r="O1436" t="s">
        <v>79</v>
      </c>
      <c r="P1436" t="s">
        <v>81</v>
      </c>
    </row>
    <row r="1437" spans="1:16" x14ac:dyDescent="0.25">
      <c r="A1437">
        <v>1436</v>
      </c>
      <c r="B1437" s="1">
        <v>45959</v>
      </c>
      <c r="C1437" t="s">
        <v>23</v>
      </c>
      <c r="D1437" t="s">
        <v>27</v>
      </c>
      <c r="E1437" t="s">
        <v>28</v>
      </c>
      <c r="F1437" t="s">
        <v>58</v>
      </c>
      <c r="G1437" t="s">
        <v>70</v>
      </c>
      <c r="H1437" t="s">
        <v>74</v>
      </c>
      <c r="I1437">
        <v>1</v>
      </c>
      <c r="J1437">
        <v>1832</v>
      </c>
      <c r="K1437">
        <v>0.1</v>
      </c>
      <c r="L1437">
        <v>1648.8</v>
      </c>
      <c r="M1437">
        <v>1366.74</v>
      </c>
      <c r="N1437">
        <v>282.06</v>
      </c>
      <c r="O1437" t="s">
        <v>76</v>
      </c>
      <c r="P1437" t="s">
        <v>82</v>
      </c>
    </row>
    <row r="1438" spans="1:16" x14ac:dyDescent="0.25">
      <c r="A1438">
        <v>1437</v>
      </c>
      <c r="B1438" s="1">
        <v>46012</v>
      </c>
      <c r="C1438" t="s">
        <v>20</v>
      </c>
      <c r="D1438" t="s">
        <v>26</v>
      </c>
      <c r="E1438" t="s">
        <v>28</v>
      </c>
      <c r="F1438" t="s">
        <v>54</v>
      </c>
      <c r="G1438" t="s">
        <v>70</v>
      </c>
      <c r="H1438" t="s">
        <v>75</v>
      </c>
      <c r="I1438">
        <v>3</v>
      </c>
      <c r="J1438">
        <v>1692</v>
      </c>
      <c r="K1438">
        <v>0.05</v>
      </c>
      <c r="L1438">
        <v>4822.2</v>
      </c>
      <c r="M1438">
        <v>4124.43</v>
      </c>
      <c r="N1438">
        <v>697.77</v>
      </c>
      <c r="O1438" t="s">
        <v>80</v>
      </c>
      <c r="P1438" t="s">
        <v>86</v>
      </c>
    </row>
    <row r="1439" spans="1:16" x14ac:dyDescent="0.25">
      <c r="A1439">
        <v>1438</v>
      </c>
      <c r="B1439" s="1">
        <v>45815</v>
      </c>
      <c r="C1439" t="s">
        <v>18</v>
      </c>
      <c r="D1439" t="s">
        <v>26</v>
      </c>
      <c r="E1439" t="s">
        <v>28</v>
      </c>
      <c r="F1439" t="s">
        <v>35</v>
      </c>
      <c r="G1439" t="s">
        <v>70</v>
      </c>
      <c r="H1439" t="s">
        <v>73</v>
      </c>
      <c r="I1439">
        <v>6</v>
      </c>
      <c r="J1439">
        <v>151</v>
      </c>
      <c r="K1439">
        <v>0.1</v>
      </c>
      <c r="L1439">
        <v>815.4</v>
      </c>
      <c r="M1439">
        <v>448.56</v>
      </c>
      <c r="N1439">
        <v>366.84</v>
      </c>
      <c r="O1439" t="s">
        <v>76</v>
      </c>
      <c r="P1439" t="s">
        <v>81</v>
      </c>
    </row>
    <row r="1440" spans="1:16" x14ac:dyDescent="0.25">
      <c r="A1440">
        <v>1439</v>
      </c>
      <c r="B1440" s="1">
        <v>45776</v>
      </c>
      <c r="C1440" t="s">
        <v>23</v>
      </c>
      <c r="D1440" t="s">
        <v>27</v>
      </c>
      <c r="E1440" t="s">
        <v>31</v>
      </c>
      <c r="F1440" t="s">
        <v>47</v>
      </c>
      <c r="G1440" t="s">
        <v>70</v>
      </c>
      <c r="H1440" t="s">
        <v>74</v>
      </c>
      <c r="I1440">
        <v>3</v>
      </c>
      <c r="J1440">
        <v>1392</v>
      </c>
      <c r="K1440">
        <v>0.1</v>
      </c>
      <c r="L1440">
        <v>3758.4</v>
      </c>
      <c r="M1440">
        <v>2486.33</v>
      </c>
      <c r="N1440">
        <v>1272.07</v>
      </c>
      <c r="O1440" t="s">
        <v>78</v>
      </c>
      <c r="P1440" t="s">
        <v>85</v>
      </c>
    </row>
    <row r="1441" spans="1:16" x14ac:dyDescent="0.25">
      <c r="A1441">
        <v>1440</v>
      </c>
      <c r="B1441" s="1">
        <v>45683</v>
      </c>
      <c r="C1441" t="s">
        <v>17</v>
      </c>
      <c r="D1441" t="s">
        <v>25</v>
      </c>
      <c r="E1441" t="s">
        <v>30</v>
      </c>
      <c r="F1441" t="s">
        <v>37</v>
      </c>
      <c r="G1441" t="s">
        <v>71</v>
      </c>
      <c r="H1441" t="s">
        <v>73</v>
      </c>
      <c r="I1441">
        <v>2</v>
      </c>
      <c r="J1441">
        <v>65866</v>
      </c>
      <c r="K1441">
        <v>0.15</v>
      </c>
      <c r="L1441">
        <v>111972.2</v>
      </c>
      <c r="M1441">
        <v>69131.58</v>
      </c>
      <c r="N1441">
        <v>42840.62</v>
      </c>
      <c r="O1441" t="s">
        <v>80</v>
      </c>
      <c r="P1441" t="s">
        <v>87</v>
      </c>
    </row>
    <row r="1442" spans="1:16" x14ac:dyDescent="0.25">
      <c r="A1442">
        <v>1441</v>
      </c>
      <c r="B1442" s="1">
        <v>45677</v>
      </c>
      <c r="C1442" t="s">
        <v>20</v>
      </c>
      <c r="D1442" t="s">
        <v>26</v>
      </c>
      <c r="E1442" t="s">
        <v>32</v>
      </c>
      <c r="F1442" t="s">
        <v>39</v>
      </c>
      <c r="G1442" t="s">
        <v>72</v>
      </c>
      <c r="H1442" t="s">
        <v>75</v>
      </c>
      <c r="I1442">
        <v>2</v>
      </c>
      <c r="J1442">
        <v>12056</v>
      </c>
      <c r="K1442">
        <v>0</v>
      </c>
      <c r="L1442">
        <v>24112</v>
      </c>
      <c r="M1442">
        <v>20324.66</v>
      </c>
      <c r="N1442">
        <v>3787.34</v>
      </c>
      <c r="O1442" t="s">
        <v>80</v>
      </c>
      <c r="P1442" t="s">
        <v>87</v>
      </c>
    </row>
    <row r="1443" spans="1:16" x14ac:dyDescent="0.25">
      <c r="A1443">
        <v>1442</v>
      </c>
      <c r="B1443" s="1">
        <v>45768</v>
      </c>
      <c r="C1443" t="s">
        <v>23</v>
      </c>
      <c r="D1443" t="s">
        <v>27</v>
      </c>
      <c r="E1443" t="s">
        <v>34</v>
      </c>
      <c r="F1443" t="s">
        <v>55</v>
      </c>
      <c r="G1443" t="s">
        <v>70</v>
      </c>
      <c r="H1443" t="s">
        <v>75</v>
      </c>
      <c r="I1443">
        <v>2</v>
      </c>
      <c r="J1443">
        <v>3582</v>
      </c>
      <c r="K1443">
        <v>0.05</v>
      </c>
      <c r="L1443">
        <v>6805.8</v>
      </c>
      <c r="M1443">
        <v>5374.27</v>
      </c>
      <c r="N1443">
        <v>1431.53</v>
      </c>
      <c r="O1443" t="s">
        <v>80</v>
      </c>
      <c r="P1443" t="s">
        <v>88</v>
      </c>
    </row>
    <row r="1444" spans="1:16" x14ac:dyDescent="0.25">
      <c r="A1444">
        <v>1443</v>
      </c>
      <c r="B1444" s="1">
        <v>45713</v>
      </c>
      <c r="C1444" t="s">
        <v>21</v>
      </c>
      <c r="D1444" t="s">
        <v>24</v>
      </c>
      <c r="E1444" t="s">
        <v>34</v>
      </c>
      <c r="F1444" t="s">
        <v>51</v>
      </c>
      <c r="G1444" t="s">
        <v>72</v>
      </c>
      <c r="H1444" t="s">
        <v>73</v>
      </c>
      <c r="I1444">
        <v>5</v>
      </c>
      <c r="J1444">
        <v>484</v>
      </c>
      <c r="K1444">
        <v>0</v>
      </c>
      <c r="L1444">
        <v>2420</v>
      </c>
      <c r="M1444">
        <v>1393.6</v>
      </c>
      <c r="N1444">
        <v>1026.4000000000001</v>
      </c>
      <c r="O1444" t="s">
        <v>79</v>
      </c>
      <c r="P1444" t="s">
        <v>88</v>
      </c>
    </row>
    <row r="1445" spans="1:16" x14ac:dyDescent="0.25">
      <c r="A1445">
        <v>1444</v>
      </c>
      <c r="B1445" s="1">
        <v>45659</v>
      </c>
      <c r="C1445" t="s">
        <v>18</v>
      </c>
      <c r="D1445" t="s">
        <v>26</v>
      </c>
      <c r="E1445" t="s">
        <v>34</v>
      </c>
      <c r="F1445" t="s">
        <v>68</v>
      </c>
      <c r="G1445" t="s">
        <v>72</v>
      </c>
      <c r="H1445" t="s">
        <v>74</v>
      </c>
      <c r="I1445">
        <v>4</v>
      </c>
      <c r="J1445">
        <v>4811</v>
      </c>
      <c r="K1445">
        <v>0.05</v>
      </c>
      <c r="L1445">
        <v>18281.8</v>
      </c>
      <c r="M1445">
        <v>11164.75</v>
      </c>
      <c r="N1445">
        <v>7117.05</v>
      </c>
      <c r="O1445" t="s">
        <v>80</v>
      </c>
      <c r="P1445" t="s">
        <v>85</v>
      </c>
    </row>
    <row r="1446" spans="1:16" x14ac:dyDescent="0.25">
      <c r="A1446">
        <v>1445</v>
      </c>
      <c r="B1446" s="1">
        <v>45887</v>
      </c>
      <c r="C1446" t="s">
        <v>20</v>
      </c>
      <c r="D1446" t="s">
        <v>26</v>
      </c>
      <c r="E1446" t="s">
        <v>33</v>
      </c>
      <c r="F1446" t="s">
        <v>59</v>
      </c>
      <c r="G1446" t="s">
        <v>72</v>
      </c>
      <c r="H1446" t="s">
        <v>74</v>
      </c>
      <c r="I1446">
        <v>3</v>
      </c>
      <c r="J1446">
        <v>10780</v>
      </c>
      <c r="K1446">
        <v>0.15</v>
      </c>
      <c r="L1446">
        <v>27489</v>
      </c>
      <c r="M1446">
        <v>17991.61</v>
      </c>
      <c r="N1446">
        <v>9497.39</v>
      </c>
      <c r="O1446" t="s">
        <v>76</v>
      </c>
      <c r="P1446" t="s">
        <v>81</v>
      </c>
    </row>
    <row r="1447" spans="1:16" x14ac:dyDescent="0.25">
      <c r="A1447">
        <v>1446</v>
      </c>
      <c r="B1447" s="1">
        <v>45904</v>
      </c>
      <c r="C1447" t="s">
        <v>23</v>
      </c>
      <c r="D1447" t="s">
        <v>27</v>
      </c>
      <c r="E1447" t="s">
        <v>29</v>
      </c>
      <c r="F1447" t="s">
        <v>57</v>
      </c>
      <c r="G1447" t="s">
        <v>70</v>
      </c>
      <c r="H1447" t="s">
        <v>75</v>
      </c>
      <c r="I1447">
        <v>3</v>
      </c>
      <c r="J1447">
        <v>6464</v>
      </c>
      <c r="K1447">
        <v>0.1</v>
      </c>
      <c r="L1447">
        <v>17452.8</v>
      </c>
      <c r="M1447">
        <v>13542.35</v>
      </c>
      <c r="N1447">
        <v>3910.45</v>
      </c>
      <c r="O1447" t="s">
        <v>78</v>
      </c>
      <c r="P1447" t="s">
        <v>88</v>
      </c>
    </row>
    <row r="1448" spans="1:16" x14ac:dyDescent="0.25">
      <c r="A1448">
        <v>1447</v>
      </c>
      <c r="B1448" s="1">
        <v>45705</v>
      </c>
      <c r="C1448" t="s">
        <v>16</v>
      </c>
      <c r="D1448" t="s">
        <v>24</v>
      </c>
      <c r="E1448" t="s">
        <v>34</v>
      </c>
      <c r="F1448" t="s">
        <v>43</v>
      </c>
      <c r="G1448" t="s">
        <v>72</v>
      </c>
      <c r="H1448" t="s">
        <v>73</v>
      </c>
      <c r="I1448">
        <v>7</v>
      </c>
      <c r="J1448">
        <v>910</v>
      </c>
      <c r="K1448">
        <v>0</v>
      </c>
      <c r="L1448">
        <v>6370</v>
      </c>
      <c r="M1448">
        <v>4698.0600000000004</v>
      </c>
      <c r="N1448">
        <v>1671.94</v>
      </c>
      <c r="O1448" t="s">
        <v>78</v>
      </c>
      <c r="P1448" t="s">
        <v>84</v>
      </c>
    </row>
    <row r="1449" spans="1:16" x14ac:dyDescent="0.25">
      <c r="A1449">
        <v>1448</v>
      </c>
      <c r="B1449" s="1">
        <v>45983</v>
      </c>
      <c r="C1449" t="s">
        <v>22</v>
      </c>
      <c r="D1449" t="s">
        <v>24</v>
      </c>
      <c r="E1449" t="s">
        <v>29</v>
      </c>
      <c r="F1449" t="s">
        <v>45</v>
      </c>
      <c r="G1449" t="s">
        <v>71</v>
      </c>
      <c r="H1449" t="s">
        <v>73</v>
      </c>
      <c r="I1449">
        <v>6</v>
      </c>
      <c r="J1449">
        <v>7107</v>
      </c>
      <c r="K1449">
        <v>0.05</v>
      </c>
      <c r="L1449">
        <v>40509.9</v>
      </c>
      <c r="M1449">
        <v>30521.43</v>
      </c>
      <c r="N1449">
        <v>9988.4699999999993</v>
      </c>
      <c r="O1449" t="s">
        <v>78</v>
      </c>
      <c r="P1449" t="s">
        <v>87</v>
      </c>
    </row>
    <row r="1450" spans="1:16" x14ac:dyDescent="0.25">
      <c r="A1450">
        <v>1449</v>
      </c>
      <c r="B1450" s="1">
        <v>45756</v>
      </c>
      <c r="C1450" t="s">
        <v>17</v>
      </c>
      <c r="D1450" t="s">
        <v>25</v>
      </c>
      <c r="E1450" t="s">
        <v>33</v>
      </c>
      <c r="F1450" t="s">
        <v>46</v>
      </c>
      <c r="G1450" t="s">
        <v>70</v>
      </c>
      <c r="H1450" t="s">
        <v>74</v>
      </c>
      <c r="I1450">
        <v>5</v>
      </c>
      <c r="J1450">
        <v>22841</v>
      </c>
      <c r="K1450">
        <v>0.05</v>
      </c>
      <c r="L1450">
        <v>108494.75</v>
      </c>
      <c r="M1450">
        <v>94862.44</v>
      </c>
      <c r="N1450">
        <v>13632.31</v>
      </c>
      <c r="O1450" t="s">
        <v>78</v>
      </c>
      <c r="P1450" t="s">
        <v>87</v>
      </c>
    </row>
    <row r="1451" spans="1:16" x14ac:dyDescent="0.25">
      <c r="A1451">
        <v>1450</v>
      </c>
      <c r="B1451" s="1">
        <v>45713</v>
      </c>
      <c r="C1451" t="s">
        <v>23</v>
      </c>
      <c r="D1451" t="s">
        <v>27</v>
      </c>
      <c r="E1451" t="s">
        <v>32</v>
      </c>
      <c r="F1451" t="s">
        <v>66</v>
      </c>
      <c r="G1451" t="s">
        <v>71</v>
      </c>
      <c r="H1451" t="s">
        <v>73</v>
      </c>
      <c r="I1451">
        <v>6</v>
      </c>
      <c r="J1451">
        <v>16851</v>
      </c>
      <c r="K1451">
        <v>0.15</v>
      </c>
      <c r="L1451">
        <v>85940.1</v>
      </c>
      <c r="M1451">
        <v>64283.32</v>
      </c>
      <c r="N1451">
        <v>21656.78</v>
      </c>
      <c r="O1451" t="s">
        <v>80</v>
      </c>
      <c r="P1451" t="s">
        <v>84</v>
      </c>
    </row>
    <row r="1452" spans="1:16" x14ac:dyDescent="0.25">
      <c r="A1452">
        <v>1451</v>
      </c>
      <c r="B1452" s="1">
        <v>45733</v>
      </c>
      <c r="C1452" t="s">
        <v>23</v>
      </c>
      <c r="D1452" t="s">
        <v>27</v>
      </c>
      <c r="E1452" t="s">
        <v>28</v>
      </c>
      <c r="F1452" t="s">
        <v>63</v>
      </c>
      <c r="G1452" t="s">
        <v>71</v>
      </c>
      <c r="H1452" t="s">
        <v>73</v>
      </c>
      <c r="I1452">
        <v>4</v>
      </c>
      <c r="J1452">
        <v>2150</v>
      </c>
      <c r="K1452">
        <v>0.1</v>
      </c>
      <c r="L1452">
        <v>7740</v>
      </c>
      <c r="M1452">
        <v>5447.15</v>
      </c>
      <c r="N1452">
        <v>2292.85</v>
      </c>
      <c r="O1452" t="s">
        <v>77</v>
      </c>
      <c r="P1452" t="s">
        <v>87</v>
      </c>
    </row>
    <row r="1453" spans="1:16" x14ac:dyDescent="0.25">
      <c r="A1453">
        <v>1452</v>
      </c>
      <c r="B1453" s="1">
        <v>45966</v>
      </c>
      <c r="C1453" t="s">
        <v>22</v>
      </c>
      <c r="D1453" t="s">
        <v>24</v>
      </c>
      <c r="E1453" t="s">
        <v>30</v>
      </c>
      <c r="F1453" t="s">
        <v>37</v>
      </c>
      <c r="G1453" t="s">
        <v>70</v>
      </c>
      <c r="H1453" t="s">
        <v>74</v>
      </c>
      <c r="I1453">
        <v>8</v>
      </c>
      <c r="J1453">
        <v>49243</v>
      </c>
      <c r="K1453">
        <v>0.05</v>
      </c>
      <c r="L1453">
        <v>374246.8</v>
      </c>
      <c r="M1453">
        <v>254358.51</v>
      </c>
      <c r="N1453">
        <v>119888.29</v>
      </c>
      <c r="O1453" t="s">
        <v>79</v>
      </c>
      <c r="P1453" t="s">
        <v>82</v>
      </c>
    </row>
    <row r="1454" spans="1:16" x14ac:dyDescent="0.25">
      <c r="A1454">
        <v>1453</v>
      </c>
      <c r="B1454" s="1">
        <v>45710</v>
      </c>
      <c r="C1454" t="s">
        <v>19</v>
      </c>
      <c r="D1454" t="s">
        <v>26</v>
      </c>
      <c r="E1454" t="s">
        <v>30</v>
      </c>
      <c r="F1454" t="s">
        <v>44</v>
      </c>
      <c r="G1454" t="s">
        <v>70</v>
      </c>
      <c r="H1454" t="s">
        <v>74</v>
      </c>
      <c r="I1454">
        <v>5</v>
      </c>
      <c r="J1454">
        <v>41994</v>
      </c>
      <c r="K1454">
        <v>0</v>
      </c>
      <c r="L1454">
        <v>209970</v>
      </c>
      <c r="M1454">
        <v>174231.89</v>
      </c>
      <c r="N1454">
        <v>35738.11</v>
      </c>
      <c r="O1454" t="s">
        <v>76</v>
      </c>
      <c r="P1454" t="s">
        <v>82</v>
      </c>
    </row>
    <row r="1455" spans="1:16" x14ac:dyDescent="0.25">
      <c r="A1455">
        <v>1454</v>
      </c>
      <c r="B1455" s="1">
        <v>45754</v>
      </c>
      <c r="C1455" t="s">
        <v>23</v>
      </c>
      <c r="D1455" t="s">
        <v>27</v>
      </c>
      <c r="E1455" t="s">
        <v>29</v>
      </c>
      <c r="F1455" t="s">
        <v>45</v>
      </c>
      <c r="G1455" t="s">
        <v>71</v>
      </c>
      <c r="H1455" t="s">
        <v>74</v>
      </c>
      <c r="I1455">
        <v>8</v>
      </c>
      <c r="J1455">
        <v>4813</v>
      </c>
      <c r="K1455">
        <v>0.05</v>
      </c>
      <c r="L1455">
        <v>36578.800000000003</v>
      </c>
      <c r="M1455">
        <v>28746.32</v>
      </c>
      <c r="N1455">
        <v>7832.48</v>
      </c>
      <c r="O1455" t="s">
        <v>76</v>
      </c>
      <c r="P1455" t="s">
        <v>85</v>
      </c>
    </row>
    <row r="1456" spans="1:16" x14ac:dyDescent="0.25">
      <c r="A1456">
        <v>1455</v>
      </c>
      <c r="B1456" s="1">
        <v>45860</v>
      </c>
      <c r="C1456" t="s">
        <v>23</v>
      </c>
      <c r="D1456" t="s">
        <v>27</v>
      </c>
      <c r="E1456" t="s">
        <v>28</v>
      </c>
      <c r="F1456" t="s">
        <v>58</v>
      </c>
      <c r="G1456" t="s">
        <v>70</v>
      </c>
      <c r="H1456" t="s">
        <v>75</v>
      </c>
      <c r="I1456">
        <v>5</v>
      </c>
      <c r="J1456">
        <v>1774</v>
      </c>
      <c r="K1456">
        <v>0.1</v>
      </c>
      <c r="L1456">
        <v>7983</v>
      </c>
      <c r="M1456">
        <v>5416.82</v>
      </c>
      <c r="N1456">
        <v>2566.1799999999998</v>
      </c>
      <c r="O1456" t="s">
        <v>76</v>
      </c>
      <c r="P1456" t="s">
        <v>85</v>
      </c>
    </row>
    <row r="1457" spans="1:16" x14ac:dyDescent="0.25">
      <c r="A1457">
        <v>1456</v>
      </c>
      <c r="B1457" s="1">
        <v>45706</v>
      </c>
      <c r="C1457" t="s">
        <v>23</v>
      </c>
      <c r="D1457" t="s">
        <v>27</v>
      </c>
      <c r="E1457" t="s">
        <v>29</v>
      </c>
      <c r="F1457" t="s">
        <v>42</v>
      </c>
      <c r="G1457" t="s">
        <v>71</v>
      </c>
      <c r="H1457" t="s">
        <v>75</v>
      </c>
      <c r="I1457">
        <v>1</v>
      </c>
      <c r="J1457">
        <v>6729</v>
      </c>
      <c r="K1457">
        <v>0.1</v>
      </c>
      <c r="L1457">
        <v>6056.1</v>
      </c>
      <c r="M1457">
        <v>4821.09</v>
      </c>
      <c r="N1457">
        <v>1235.01</v>
      </c>
      <c r="O1457" t="s">
        <v>77</v>
      </c>
      <c r="P1457" t="s">
        <v>84</v>
      </c>
    </row>
    <row r="1458" spans="1:16" x14ac:dyDescent="0.25">
      <c r="A1458">
        <v>1457</v>
      </c>
      <c r="B1458" s="1">
        <v>45822</v>
      </c>
      <c r="C1458" t="s">
        <v>23</v>
      </c>
      <c r="D1458" t="s">
        <v>27</v>
      </c>
      <c r="E1458" t="s">
        <v>31</v>
      </c>
      <c r="F1458" t="s">
        <v>67</v>
      </c>
      <c r="G1458" t="s">
        <v>70</v>
      </c>
      <c r="H1458" t="s">
        <v>74</v>
      </c>
      <c r="I1458">
        <v>1</v>
      </c>
      <c r="J1458">
        <v>2264</v>
      </c>
      <c r="K1458">
        <v>0.1</v>
      </c>
      <c r="L1458">
        <v>2037.6</v>
      </c>
      <c r="M1458">
        <v>1140.72</v>
      </c>
      <c r="N1458">
        <v>896.88</v>
      </c>
      <c r="O1458" t="s">
        <v>76</v>
      </c>
      <c r="P1458" t="s">
        <v>81</v>
      </c>
    </row>
    <row r="1459" spans="1:16" x14ac:dyDescent="0.25">
      <c r="A1459">
        <v>1458</v>
      </c>
      <c r="B1459" s="1">
        <v>45880</v>
      </c>
      <c r="C1459" t="s">
        <v>19</v>
      </c>
      <c r="D1459" t="s">
        <v>26</v>
      </c>
      <c r="E1459" t="s">
        <v>33</v>
      </c>
      <c r="F1459" t="s">
        <v>59</v>
      </c>
      <c r="G1459" t="s">
        <v>71</v>
      </c>
      <c r="H1459" t="s">
        <v>74</v>
      </c>
      <c r="I1459">
        <v>7</v>
      </c>
      <c r="J1459">
        <v>15049</v>
      </c>
      <c r="K1459">
        <v>0.05</v>
      </c>
      <c r="L1459">
        <v>100075.85</v>
      </c>
      <c r="M1459">
        <v>86033.13</v>
      </c>
      <c r="N1459">
        <v>14042.72</v>
      </c>
      <c r="O1459" t="s">
        <v>80</v>
      </c>
      <c r="P1459" t="s">
        <v>87</v>
      </c>
    </row>
    <row r="1460" spans="1:16" x14ac:dyDescent="0.25">
      <c r="A1460">
        <v>1459</v>
      </c>
      <c r="B1460" s="1">
        <v>45965</v>
      </c>
      <c r="C1460" t="s">
        <v>22</v>
      </c>
      <c r="D1460" t="s">
        <v>24</v>
      </c>
      <c r="E1460" t="s">
        <v>32</v>
      </c>
      <c r="F1460" t="s">
        <v>62</v>
      </c>
      <c r="G1460" t="s">
        <v>70</v>
      </c>
      <c r="H1460" t="s">
        <v>75</v>
      </c>
      <c r="I1460">
        <v>6</v>
      </c>
      <c r="J1460">
        <v>5747</v>
      </c>
      <c r="K1460">
        <v>0</v>
      </c>
      <c r="L1460">
        <v>34482</v>
      </c>
      <c r="M1460">
        <v>19519.48</v>
      </c>
      <c r="N1460">
        <v>14962.52</v>
      </c>
      <c r="O1460" t="s">
        <v>77</v>
      </c>
      <c r="P1460" t="s">
        <v>85</v>
      </c>
    </row>
    <row r="1461" spans="1:16" x14ac:dyDescent="0.25">
      <c r="A1461">
        <v>1460</v>
      </c>
      <c r="B1461" s="1">
        <v>45920</v>
      </c>
      <c r="C1461" t="s">
        <v>17</v>
      </c>
      <c r="D1461" t="s">
        <v>25</v>
      </c>
      <c r="E1461" t="s">
        <v>33</v>
      </c>
      <c r="F1461" t="s">
        <v>59</v>
      </c>
      <c r="G1461" t="s">
        <v>71</v>
      </c>
      <c r="H1461" t="s">
        <v>73</v>
      </c>
      <c r="I1461">
        <v>2</v>
      </c>
      <c r="J1461">
        <v>38995</v>
      </c>
      <c r="K1461">
        <v>0.15</v>
      </c>
      <c r="L1461">
        <v>66291.5</v>
      </c>
      <c r="M1461">
        <v>44270.79</v>
      </c>
      <c r="N1461">
        <v>22020.71</v>
      </c>
      <c r="O1461" t="s">
        <v>78</v>
      </c>
      <c r="P1461" t="s">
        <v>85</v>
      </c>
    </row>
    <row r="1462" spans="1:16" x14ac:dyDescent="0.25">
      <c r="A1462">
        <v>1461</v>
      </c>
      <c r="B1462" s="1">
        <v>45910</v>
      </c>
      <c r="C1462" t="s">
        <v>20</v>
      </c>
      <c r="D1462" t="s">
        <v>26</v>
      </c>
      <c r="E1462" t="s">
        <v>28</v>
      </c>
      <c r="F1462" t="s">
        <v>35</v>
      </c>
      <c r="G1462" t="s">
        <v>72</v>
      </c>
      <c r="H1462" t="s">
        <v>74</v>
      </c>
      <c r="I1462">
        <v>3</v>
      </c>
      <c r="J1462">
        <v>2371</v>
      </c>
      <c r="K1462">
        <v>0.1</v>
      </c>
      <c r="L1462">
        <v>6401.7</v>
      </c>
      <c r="M1462">
        <v>4386.55</v>
      </c>
      <c r="N1462">
        <v>2015.15</v>
      </c>
      <c r="O1462" t="s">
        <v>76</v>
      </c>
      <c r="P1462" t="s">
        <v>88</v>
      </c>
    </row>
    <row r="1463" spans="1:16" x14ac:dyDescent="0.25">
      <c r="A1463">
        <v>1462</v>
      </c>
      <c r="B1463" s="1">
        <v>45708</v>
      </c>
      <c r="C1463" t="s">
        <v>22</v>
      </c>
      <c r="D1463" t="s">
        <v>24</v>
      </c>
      <c r="E1463" t="s">
        <v>32</v>
      </c>
      <c r="F1463" t="s">
        <v>48</v>
      </c>
      <c r="G1463" t="s">
        <v>72</v>
      </c>
      <c r="H1463" t="s">
        <v>75</v>
      </c>
      <c r="I1463">
        <v>5</v>
      </c>
      <c r="J1463">
        <v>11427</v>
      </c>
      <c r="K1463">
        <v>0</v>
      </c>
      <c r="L1463">
        <v>57135</v>
      </c>
      <c r="M1463">
        <v>35402.81</v>
      </c>
      <c r="N1463">
        <v>21732.19</v>
      </c>
      <c r="O1463" t="s">
        <v>78</v>
      </c>
      <c r="P1463" t="s">
        <v>88</v>
      </c>
    </row>
    <row r="1464" spans="1:16" x14ac:dyDescent="0.25">
      <c r="A1464">
        <v>1463</v>
      </c>
      <c r="B1464" s="1">
        <v>45988</v>
      </c>
      <c r="C1464" t="s">
        <v>22</v>
      </c>
      <c r="D1464" t="s">
        <v>24</v>
      </c>
      <c r="E1464" t="s">
        <v>28</v>
      </c>
      <c r="F1464" t="s">
        <v>35</v>
      </c>
      <c r="G1464" t="s">
        <v>70</v>
      </c>
      <c r="H1464" t="s">
        <v>75</v>
      </c>
      <c r="I1464">
        <v>2</v>
      </c>
      <c r="J1464">
        <v>1569</v>
      </c>
      <c r="K1464">
        <v>0.1</v>
      </c>
      <c r="L1464">
        <v>2824.2</v>
      </c>
      <c r="M1464">
        <v>2089.91</v>
      </c>
      <c r="N1464">
        <v>734.29</v>
      </c>
      <c r="O1464" t="s">
        <v>76</v>
      </c>
      <c r="P1464" t="s">
        <v>85</v>
      </c>
    </row>
    <row r="1465" spans="1:16" x14ac:dyDescent="0.25">
      <c r="A1465">
        <v>1464</v>
      </c>
      <c r="B1465" s="1">
        <v>45927</v>
      </c>
      <c r="C1465" t="s">
        <v>20</v>
      </c>
      <c r="D1465" t="s">
        <v>26</v>
      </c>
      <c r="E1465" t="s">
        <v>32</v>
      </c>
      <c r="F1465" t="s">
        <v>62</v>
      </c>
      <c r="G1465" t="s">
        <v>71</v>
      </c>
      <c r="H1465" t="s">
        <v>75</v>
      </c>
      <c r="I1465">
        <v>6</v>
      </c>
      <c r="J1465">
        <v>7638</v>
      </c>
      <c r="K1465">
        <v>0</v>
      </c>
      <c r="L1465">
        <v>45828</v>
      </c>
      <c r="M1465">
        <v>27178.41</v>
      </c>
      <c r="N1465">
        <v>18649.59</v>
      </c>
      <c r="O1465" t="s">
        <v>78</v>
      </c>
      <c r="P1465" t="s">
        <v>81</v>
      </c>
    </row>
    <row r="1466" spans="1:16" x14ac:dyDescent="0.25">
      <c r="A1466">
        <v>1465</v>
      </c>
      <c r="B1466" s="1">
        <v>45712</v>
      </c>
      <c r="C1466" t="s">
        <v>23</v>
      </c>
      <c r="D1466" t="s">
        <v>27</v>
      </c>
      <c r="E1466" t="s">
        <v>31</v>
      </c>
      <c r="F1466" t="s">
        <v>69</v>
      </c>
      <c r="G1466" t="s">
        <v>71</v>
      </c>
      <c r="H1466" t="s">
        <v>74</v>
      </c>
      <c r="I1466">
        <v>8</v>
      </c>
      <c r="J1466">
        <v>1534</v>
      </c>
      <c r="K1466">
        <v>0.05</v>
      </c>
      <c r="L1466">
        <v>11658.4</v>
      </c>
      <c r="M1466">
        <v>6741.64</v>
      </c>
      <c r="N1466">
        <v>4916.76</v>
      </c>
      <c r="O1466" t="s">
        <v>78</v>
      </c>
      <c r="P1466" t="s">
        <v>82</v>
      </c>
    </row>
    <row r="1467" spans="1:16" x14ac:dyDescent="0.25">
      <c r="A1467">
        <v>1466</v>
      </c>
      <c r="B1467" s="1">
        <v>45853</v>
      </c>
      <c r="C1467" t="s">
        <v>20</v>
      </c>
      <c r="D1467" t="s">
        <v>26</v>
      </c>
      <c r="E1467" t="s">
        <v>30</v>
      </c>
      <c r="F1467" t="s">
        <v>56</v>
      </c>
      <c r="G1467" t="s">
        <v>71</v>
      </c>
      <c r="H1467" t="s">
        <v>75</v>
      </c>
      <c r="I1467">
        <v>2</v>
      </c>
      <c r="J1467">
        <v>53350</v>
      </c>
      <c r="K1467">
        <v>0.05</v>
      </c>
      <c r="L1467">
        <v>101365</v>
      </c>
      <c r="M1467">
        <v>83202.2</v>
      </c>
      <c r="N1467">
        <v>18162.8</v>
      </c>
      <c r="O1467" t="s">
        <v>76</v>
      </c>
      <c r="P1467" t="s">
        <v>85</v>
      </c>
    </row>
    <row r="1468" spans="1:16" x14ac:dyDescent="0.25">
      <c r="A1468">
        <v>1467</v>
      </c>
      <c r="B1468" s="1">
        <v>45872</v>
      </c>
      <c r="C1468" t="s">
        <v>19</v>
      </c>
      <c r="D1468" t="s">
        <v>26</v>
      </c>
      <c r="E1468" t="s">
        <v>32</v>
      </c>
      <c r="F1468" t="s">
        <v>49</v>
      </c>
      <c r="G1468" t="s">
        <v>70</v>
      </c>
      <c r="H1468" t="s">
        <v>73</v>
      </c>
      <c r="I1468">
        <v>2</v>
      </c>
      <c r="J1468">
        <v>18395</v>
      </c>
      <c r="K1468">
        <v>0.1</v>
      </c>
      <c r="L1468">
        <v>33111</v>
      </c>
      <c r="M1468">
        <v>24468.01</v>
      </c>
      <c r="N1468">
        <v>8642.99</v>
      </c>
      <c r="O1468" t="s">
        <v>77</v>
      </c>
      <c r="P1468" t="s">
        <v>84</v>
      </c>
    </row>
    <row r="1469" spans="1:16" x14ac:dyDescent="0.25">
      <c r="A1469">
        <v>1468</v>
      </c>
      <c r="B1469" s="1">
        <v>45989</v>
      </c>
      <c r="C1469" t="s">
        <v>20</v>
      </c>
      <c r="D1469" t="s">
        <v>26</v>
      </c>
      <c r="E1469" t="s">
        <v>31</v>
      </c>
      <c r="F1469" t="s">
        <v>67</v>
      </c>
      <c r="G1469" t="s">
        <v>72</v>
      </c>
      <c r="H1469" t="s">
        <v>74</v>
      </c>
      <c r="I1469">
        <v>4</v>
      </c>
      <c r="J1469">
        <v>2213</v>
      </c>
      <c r="K1469">
        <v>0.1</v>
      </c>
      <c r="L1469">
        <v>7966.8</v>
      </c>
      <c r="M1469">
        <v>4737.47</v>
      </c>
      <c r="N1469">
        <v>3229.33</v>
      </c>
      <c r="O1469" t="s">
        <v>77</v>
      </c>
      <c r="P1469" t="s">
        <v>83</v>
      </c>
    </row>
    <row r="1470" spans="1:16" x14ac:dyDescent="0.25">
      <c r="A1470">
        <v>1469</v>
      </c>
      <c r="B1470" s="1">
        <v>45770</v>
      </c>
      <c r="C1470" t="s">
        <v>16</v>
      </c>
      <c r="D1470" t="s">
        <v>24</v>
      </c>
      <c r="E1470" t="s">
        <v>34</v>
      </c>
      <c r="F1470" t="s">
        <v>65</v>
      </c>
      <c r="G1470" t="s">
        <v>71</v>
      </c>
      <c r="H1470" t="s">
        <v>74</v>
      </c>
      <c r="I1470">
        <v>5</v>
      </c>
      <c r="J1470">
        <v>427</v>
      </c>
      <c r="K1470">
        <v>0</v>
      </c>
      <c r="L1470">
        <v>2135</v>
      </c>
      <c r="M1470">
        <v>1694.36</v>
      </c>
      <c r="N1470">
        <v>440.64</v>
      </c>
      <c r="O1470" t="s">
        <v>80</v>
      </c>
      <c r="P1470" t="s">
        <v>82</v>
      </c>
    </row>
    <row r="1471" spans="1:16" x14ac:dyDescent="0.25">
      <c r="A1471">
        <v>1470</v>
      </c>
      <c r="B1471" s="1">
        <v>45783</v>
      </c>
      <c r="C1471" t="s">
        <v>23</v>
      </c>
      <c r="D1471" t="s">
        <v>27</v>
      </c>
      <c r="E1471" t="s">
        <v>32</v>
      </c>
      <c r="F1471" t="s">
        <v>49</v>
      </c>
      <c r="G1471" t="s">
        <v>71</v>
      </c>
      <c r="H1471" t="s">
        <v>73</v>
      </c>
      <c r="I1471">
        <v>7</v>
      </c>
      <c r="J1471">
        <v>17278</v>
      </c>
      <c r="K1471">
        <v>0</v>
      </c>
      <c r="L1471">
        <v>120946</v>
      </c>
      <c r="M1471">
        <v>70112.710000000006</v>
      </c>
      <c r="N1471">
        <v>50833.29</v>
      </c>
      <c r="O1471" t="s">
        <v>79</v>
      </c>
      <c r="P1471" t="s">
        <v>82</v>
      </c>
    </row>
    <row r="1472" spans="1:16" x14ac:dyDescent="0.25">
      <c r="A1472">
        <v>1471</v>
      </c>
      <c r="B1472" s="1">
        <v>45683</v>
      </c>
      <c r="C1472" t="s">
        <v>17</v>
      </c>
      <c r="D1472" t="s">
        <v>25</v>
      </c>
      <c r="E1472" t="s">
        <v>31</v>
      </c>
      <c r="F1472" t="s">
        <v>47</v>
      </c>
      <c r="G1472" t="s">
        <v>70</v>
      </c>
      <c r="H1472" t="s">
        <v>74</v>
      </c>
      <c r="I1472">
        <v>8</v>
      </c>
      <c r="J1472">
        <v>670</v>
      </c>
      <c r="K1472">
        <v>0.1</v>
      </c>
      <c r="L1472">
        <v>4824</v>
      </c>
      <c r="M1472">
        <v>2795.7</v>
      </c>
      <c r="N1472">
        <v>2028.3</v>
      </c>
      <c r="O1472" t="s">
        <v>76</v>
      </c>
      <c r="P1472" t="s">
        <v>83</v>
      </c>
    </row>
    <row r="1473" spans="1:16" x14ac:dyDescent="0.25">
      <c r="A1473">
        <v>1472</v>
      </c>
      <c r="B1473" s="1">
        <v>45807</v>
      </c>
      <c r="C1473" t="s">
        <v>20</v>
      </c>
      <c r="D1473" t="s">
        <v>26</v>
      </c>
      <c r="E1473" t="s">
        <v>33</v>
      </c>
      <c r="F1473" t="s">
        <v>59</v>
      </c>
      <c r="G1473" t="s">
        <v>70</v>
      </c>
      <c r="H1473" t="s">
        <v>74</v>
      </c>
      <c r="I1473">
        <v>6</v>
      </c>
      <c r="J1473">
        <v>35525</v>
      </c>
      <c r="K1473">
        <v>0</v>
      </c>
      <c r="L1473">
        <v>213150</v>
      </c>
      <c r="M1473">
        <v>153463.32</v>
      </c>
      <c r="N1473">
        <v>59686.68</v>
      </c>
      <c r="O1473" t="s">
        <v>77</v>
      </c>
      <c r="P1473" t="s">
        <v>84</v>
      </c>
    </row>
    <row r="1474" spans="1:16" x14ac:dyDescent="0.25">
      <c r="A1474">
        <v>1473</v>
      </c>
      <c r="B1474" s="1">
        <v>45865</v>
      </c>
      <c r="C1474" t="s">
        <v>16</v>
      </c>
      <c r="D1474" t="s">
        <v>24</v>
      </c>
      <c r="E1474" t="s">
        <v>30</v>
      </c>
      <c r="F1474" t="s">
        <v>64</v>
      </c>
      <c r="G1474" t="s">
        <v>71</v>
      </c>
      <c r="H1474" t="s">
        <v>75</v>
      </c>
      <c r="I1474">
        <v>2</v>
      </c>
      <c r="J1474">
        <v>55657</v>
      </c>
      <c r="K1474">
        <v>0</v>
      </c>
      <c r="L1474">
        <v>111314</v>
      </c>
      <c r="M1474">
        <v>96035.06</v>
      </c>
      <c r="N1474">
        <v>15278.94</v>
      </c>
      <c r="O1474" t="s">
        <v>78</v>
      </c>
      <c r="P1474" t="s">
        <v>87</v>
      </c>
    </row>
    <row r="1475" spans="1:16" x14ac:dyDescent="0.25">
      <c r="A1475">
        <v>1474</v>
      </c>
      <c r="B1475" s="1">
        <v>45738</v>
      </c>
      <c r="C1475" t="s">
        <v>22</v>
      </c>
      <c r="D1475" t="s">
        <v>24</v>
      </c>
      <c r="E1475" t="s">
        <v>33</v>
      </c>
      <c r="F1475" t="s">
        <v>46</v>
      </c>
      <c r="G1475" t="s">
        <v>71</v>
      </c>
      <c r="H1475" t="s">
        <v>73</v>
      </c>
      <c r="I1475">
        <v>1</v>
      </c>
      <c r="J1475">
        <v>18302</v>
      </c>
      <c r="K1475">
        <v>0.1</v>
      </c>
      <c r="L1475">
        <v>16471.8</v>
      </c>
      <c r="M1475">
        <v>9740.0499999999993</v>
      </c>
      <c r="N1475">
        <v>6731.75</v>
      </c>
      <c r="O1475" t="s">
        <v>80</v>
      </c>
      <c r="P1475" t="s">
        <v>86</v>
      </c>
    </row>
    <row r="1476" spans="1:16" x14ac:dyDescent="0.25">
      <c r="A1476">
        <v>1475</v>
      </c>
      <c r="B1476" s="1">
        <v>45719</v>
      </c>
      <c r="C1476" t="s">
        <v>19</v>
      </c>
      <c r="D1476" t="s">
        <v>26</v>
      </c>
      <c r="E1476" t="s">
        <v>29</v>
      </c>
      <c r="F1476" t="s">
        <v>53</v>
      </c>
      <c r="G1476" t="s">
        <v>71</v>
      </c>
      <c r="H1476" t="s">
        <v>74</v>
      </c>
      <c r="I1476">
        <v>8</v>
      </c>
      <c r="J1476">
        <v>7728</v>
      </c>
      <c r="K1476">
        <v>0.05</v>
      </c>
      <c r="L1476">
        <v>58732.800000000003</v>
      </c>
      <c r="M1476">
        <v>37356.050000000003</v>
      </c>
      <c r="N1476">
        <v>21376.75</v>
      </c>
      <c r="O1476" t="s">
        <v>77</v>
      </c>
      <c r="P1476" t="s">
        <v>82</v>
      </c>
    </row>
    <row r="1477" spans="1:16" x14ac:dyDescent="0.25">
      <c r="A1477">
        <v>1476</v>
      </c>
      <c r="B1477" s="1">
        <v>45664</v>
      </c>
      <c r="C1477" t="s">
        <v>20</v>
      </c>
      <c r="D1477" t="s">
        <v>26</v>
      </c>
      <c r="E1477" t="s">
        <v>31</v>
      </c>
      <c r="F1477" t="s">
        <v>38</v>
      </c>
      <c r="G1477" t="s">
        <v>70</v>
      </c>
      <c r="H1477" t="s">
        <v>74</v>
      </c>
      <c r="I1477">
        <v>2</v>
      </c>
      <c r="J1477">
        <v>834</v>
      </c>
      <c r="K1477">
        <v>0.15</v>
      </c>
      <c r="L1477">
        <v>1417.8</v>
      </c>
      <c r="M1477">
        <v>1235.1099999999999</v>
      </c>
      <c r="N1477">
        <v>182.69</v>
      </c>
      <c r="O1477" t="s">
        <v>77</v>
      </c>
      <c r="P1477" t="s">
        <v>86</v>
      </c>
    </row>
    <row r="1478" spans="1:16" x14ac:dyDescent="0.25">
      <c r="A1478">
        <v>1477</v>
      </c>
      <c r="B1478" s="1">
        <v>45832</v>
      </c>
      <c r="C1478" t="s">
        <v>16</v>
      </c>
      <c r="D1478" t="s">
        <v>24</v>
      </c>
      <c r="E1478" t="s">
        <v>32</v>
      </c>
      <c r="F1478" t="s">
        <v>62</v>
      </c>
      <c r="G1478" t="s">
        <v>72</v>
      </c>
      <c r="H1478" t="s">
        <v>75</v>
      </c>
      <c r="I1478">
        <v>8</v>
      </c>
      <c r="J1478">
        <v>10608</v>
      </c>
      <c r="K1478">
        <v>0.1</v>
      </c>
      <c r="L1478">
        <v>76377.600000000006</v>
      </c>
      <c r="M1478">
        <v>62153.32</v>
      </c>
      <c r="N1478">
        <v>14224.28</v>
      </c>
      <c r="O1478" t="s">
        <v>80</v>
      </c>
      <c r="P1478" t="s">
        <v>88</v>
      </c>
    </row>
    <row r="1479" spans="1:16" x14ac:dyDescent="0.25">
      <c r="A1479">
        <v>1478</v>
      </c>
      <c r="B1479" s="1">
        <v>45972</v>
      </c>
      <c r="C1479" t="s">
        <v>19</v>
      </c>
      <c r="D1479" t="s">
        <v>26</v>
      </c>
      <c r="E1479" t="s">
        <v>29</v>
      </c>
      <c r="F1479" t="s">
        <v>57</v>
      </c>
      <c r="G1479" t="s">
        <v>72</v>
      </c>
      <c r="H1479" t="s">
        <v>75</v>
      </c>
      <c r="I1479">
        <v>5</v>
      </c>
      <c r="J1479">
        <v>7921</v>
      </c>
      <c r="K1479">
        <v>0</v>
      </c>
      <c r="L1479">
        <v>39605</v>
      </c>
      <c r="M1479">
        <v>25569.23</v>
      </c>
      <c r="N1479">
        <v>14035.77</v>
      </c>
      <c r="O1479" t="s">
        <v>80</v>
      </c>
      <c r="P1479" t="s">
        <v>82</v>
      </c>
    </row>
    <row r="1480" spans="1:16" x14ac:dyDescent="0.25">
      <c r="A1480">
        <v>1479</v>
      </c>
      <c r="B1480" s="1">
        <v>45955</v>
      </c>
      <c r="C1480" t="s">
        <v>18</v>
      </c>
      <c r="D1480" t="s">
        <v>26</v>
      </c>
      <c r="E1480" t="s">
        <v>31</v>
      </c>
      <c r="F1480" t="s">
        <v>38</v>
      </c>
      <c r="G1480" t="s">
        <v>72</v>
      </c>
      <c r="H1480" t="s">
        <v>73</v>
      </c>
      <c r="I1480">
        <v>4</v>
      </c>
      <c r="J1480">
        <v>1158</v>
      </c>
      <c r="K1480">
        <v>0.15</v>
      </c>
      <c r="L1480">
        <v>3937.2</v>
      </c>
      <c r="M1480">
        <v>2234.91</v>
      </c>
      <c r="N1480">
        <v>1702.29</v>
      </c>
      <c r="O1480" t="s">
        <v>79</v>
      </c>
      <c r="P1480" t="s">
        <v>87</v>
      </c>
    </row>
    <row r="1481" spans="1:16" x14ac:dyDescent="0.25">
      <c r="A1481">
        <v>1480</v>
      </c>
      <c r="B1481" s="1">
        <v>45979</v>
      </c>
      <c r="C1481" t="s">
        <v>17</v>
      </c>
      <c r="D1481" t="s">
        <v>25</v>
      </c>
      <c r="E1481" t="s">
        <v>30</v>
      </c>
      <c r="F1481" t="s">
        <v>40</v>
      </c>
      <c r="G1481" t="s">
        <v>70</v>
      </c>
      <c r="H1481" t="s">
        <v>75</v>
      </c>
      <c r="I1481">
        <v>1</v>
      </c>
      <c r="J1481">
        <v>2297</v>
      </c>
      <c r="K1481">
        <v>0</v>
      </c>
      <c r="L1481">
        <v>2297</v>
      </c>
      <c r="M1481">
        <v>1590.59</v>
      </c>
      <c r="N1481">
        <v>706.41</v>
      </c>
      <c r="O1481" t="s">
        <v>77</v>
      </c>
      <c r="P1481" t="s">
        <v>81</v>
      </c>
    </row>
    <row r="1482" spans="1:16" x14ac:dyDescent="0.25">
      <c r="A1482">
        <v>1481</v>
      </c>
      <c r="B1482" s="1">
        <v>45997</v>
      </c>
      <c r="C1482" t="s">
        <v>23</v>
      </c>
      <c r="D1482" t="s">
        <v>27</v>
      </c>
      <c r="E1482" t="s">
        <v>32</v>
      </c>
      <c r="F1482" t="s">
        <v>66</v>
      </c>
      <c r="G1482" t="s">
        <v>71</v>
      </c>
      <c r="H1482" t="s">
        <v>74</v>
      </c>
      <c r="I1482">
        <v>8</v>
      </c>
      <c r="J1482">
        <v>7486</v>
      </c>
      <c r="K1482">
        <v>0.1</v>
      </c>
      <c r="L1482">
        <v>53899.199999999997</v>
      </c>
      <c r="M1482">
        <v>46401.86</v>
      </c>
      <c r="N1482">
        <v>7497.34</v>
      </c>
      <c r="O1482" t="s">
        <v>77</v>
      </c>
      <c r="P1482" t="s">
        <v>85</v>
      </c>
    </row>
    <row r="1483" spans="1:16" x14ac:dyDescent="0.25">
      <c r="A1483">
        <v>1482</v>
      </c>
      <c r="B1483" s="1">
        <v>45730</v>
      </c>
      <c r="C1483" t="s">
        <v>17</v>
      </c>
      <c r="D1483" t="s">
        <v>25</v>
      </c>
      <c r="E1483" t="s">
        <v>32</v>
      </c>
      <c r="F1483" t="s">
        <v>48</v>
      </c>
      <c r="G1483" t="s">
        <v>72</v>
      </c>
      <c r="H1483" t="s">
        <v>73</v>
      </c>
      <c r="I1483">
        <v>1</v>
      </c>
      <c r="J1483">
        <v>2164</v>
      </c>
      <c r="K1483">
        <v>0.05</v>
      </c>
      <c r="L1483">
        <v>2055.8000000000002</v>
      </c>
      <c r="M1483">
        <v>1597.46</v>
      </c>
      <c r="N1483">
        <v>458.34</v>
      </c>
      <c r="O1483" t="s">
        <v>78</v>
      </c>
      <c r="P1483" t="s">
        <v>85</v>
      </c>
    </row>
    <row r="1484" spans="1:16" x14ac:dyDescent="0.25">
      <c r="A1484">
        <v>1483</v>
      </c>
      <c r="B1484" s="1">
        <v>45891</v>
      </c>
      <c r="C1484" t="s">
        <v>21</v>
      </c>
      <c r="D1484" t="s">
        <v>24</v>
      </c>
      <c r="E1484" t="s">
        <v>32</v>
      </c>
      <c r="F1484" t="s">
        <v>62</v>
      </c>
      <c r="G1484" t="s">
        <v>72</v>
      </c>
      <c r="H1484" t="s">
        <v>73</v>
      </c>
      <c r="I1484">
        <v>1</v>
      </c>
      <c r="J1484">
        <v>11986</v>
      </c>
      <c r="K1484">
        <v>0.05</v>
      </c>
      <c r="L1484">
        <v>11386.7</v>
      </c>
      <c r="M1484">
        <v>8875.7999999999993</v>
      </c>
      <c r="N1484">
        <v>2510.9</v>
      </c>
      <c r="O1484" t="s">
        <v>77</v>
      </c>
      <c r="P1484" t="s">
        <v>88</v>
      </c>
    </row>
    <row r="1485" spans="1:16" x14ac:dyDescent="0.25">
      <c r="A1485">
        <v>1484</v>
      </c>
      <c r="B1485" s="1">
        <v>45894</v>
      </c>
      <c r="C1485" t="s">
        <v>23</v>
      </c>
      <c r="D1485" t="s">
        <v>27</v>
      </c>
      <c r="E1485" t="s">
        <v>31</v>
      </c>
      <c r="F1485" t="s">
        <v>69</v>
      </c>
      <c r="G1485" t="s">
        <v>72</v>
      </c>
      <c r="H1485" t="s">
        <v>75</v>
      </c>
      <c r="I1485">
        <v>2</v>
      </c>
      <c r="J1485">
        <v>1773</v>
      </c>
      <c r="K1485">
        <v>0</v>
      </c>
      <c r="L1485">
        <v>3546</v>
      </c>
      <c r="M1485">
        <v>2125.35</v>
      </c>
      <c r="N1485">
        <v>1420.65</v>
      </c>
      <c r="O1485" t="s">
        <v>77</v>
      </c>
      <c r="P1485" t="s">
        <v>81</v>
      </c>
    </row>
    <row r="1486" spans="1:16" x14ac:dyDescent="0.25">
      <c r="A1486">
        <v>1485</v>
      </c>
      <c r="B1486" s="1">
        <v>45729</v>
      </c>
      <c r="C1486" t="s">
        <v>19</v>
      </c>
      <c r="D1486" t="s">
        <v>26</v>
      </c>
      <c r="E1486" t="s">
        <v>33</v>
      </c>
      <c r="F1486" t="s">
        <v>52</v>
      </c>
      <c r="G1486" t="s">
        <v>71</v>
      </c>
      <c r="H1486" t="s">
        <v>74</v>
      </c>
      <c r="I1486">
        <v>6</v>
      </c>
      <c r="J1486">
        <v>37535</v>
      </c>
      <c r="K1486">
        <v>0.05</v>
      </c>
      <c r="L1486">
        <v>213949.5</v>
      </c>
      <c r="M1486">
        <v>155198.18</v>
      </c>
      <c r="N1486">
        <v>58751.32</v>
      </c>
      <c r="O1486" t="s">
        <v>76</v>
      </c>
      <c r="P1486" t="s">
        <v>88</v>
      </c>
    </row>
    <row r="1487" spans="1:16" x14ac:dyDescent="0.25">
      <c r="A1487">
        <v>1486</v>
      </c>
      <c r="B1487" s="1">
        <v>46014</v>
      </c>
      <c r="C1487" t="s">
        <v>20</v>
      </c>
      <c r="D1487" t="s">
        <v>26</v>
      </c>
      <c r="E1487" t="s">
        <v>30</v>
      </c>
      <c r="F1487" t="s">
        <v>40</v>
      </c>
      <c r="G1487" t="s">
        <v>70</v>
      </c>
      <c r="H1487" t="s">
        <v>75</v>
      </c>
      <c r="I1487">
        <v>8</v>
      </c>
      <c r="J1487">
        <v>45497</v>
      </c>
      <c r="K1487">
        <v>0.2</v>
      </c>
      <c r="L1487">
        <v>291180.79999999999</v>
      </c>
      <c r="M1487">
        <v>246938.63</v>
      </c>
      <c r="N1487">
        <v>44242.17</v>
      </c>
      <c r="O1487" t="s">
        <v>80</v>
      </c>
      <c r="P1487" t="s">
        <v>84</v>
      </c>
    </row>
    <row r="1488" spans="1:16" x14ac:dyDescent="0.25">
      <c r="A1488">
        <v>1487</v>
      </c>
      <c r="B1488" s="1">
        <v>45856</v>
      </c>
      <c r="C1488" t="s">
        <v>17</v>
      </c>
      <c r="D1488" t="s">
        <v>25</v>
      </c>
      <c r="E1488" t="s">
        <v>33</v>
      </c>
      <c r="F1488" t="s">
        <v>60</v>
      </c>
      <c r="G1488" t="s">
        <v>72</v>
      </c>
      <c r="H1488" t="s">
        <v>75</v>
      </c>
      <c r="I1488">
        <v>1</v>
      </c>
      <c r="J1488">
        <v>37315</v>
      </c>
      <c r="K1488">
        <v>0.05</v>
      </c>
      <c r="L1488">
        <v>35449.25</v>
      </c>
      <c r="M1488">
        <v>24489.15</v>
      </c>
      <c r="N1488">
        <v>10960.1</v>
      </c>
      <c r="O1488" t="s">
        <v>77</v>
      </c>
      <c r="P1488" t="s">
        <v>86</v>
      </c>
    </row>
    <row r="1489" spans="1:16" x14ac:dyDescent="0.25">
      <c r="A1489">
        <v>1488</v>
      </c>
      <c r="B1489" s="1">
        <v>45771</v>
      </c>
      <c r="C1489" t="s">
        <v>23</v>
      </c>
      <c r="D1489" t="s">
        <v>27</v>
      </c>
      <c r="E1489" t="s">
        <v>32</v>
      </c>
      <c r="F1489" t="s">
        <v>66</v>
      </c>
      <c r="G1489" t="s">
        <v>71</v>
      </c>
      <c r="H1489" t="s">
        <v>73</v>
      </c>
      <c r="I1489">
        <v>3</v>
      </c>
      <c r="J1489">
        <v>18027</v>
      </c>
      <c r="K1489">
        <v>0.05</v>
      </c>
      <c r="L1489">
        <v>51376.95</v>
      </c>
      <c r="M1489">
        <v>39329.49</v>
      </c>
      <c r="N1489">
        <v>12047.46</v>
      </c>
      <c r="O1489" t="s">
        <v>77</v>
      </c>
      <c r="P1489" t="s">
        <v>83</v>
      </c>
    </row>
    <row r="1490" spans="1:16" x14ac:dyDescent="0.25">
      <c r="A1490">
        <v>1489</v>
      </c>
      <c r="B1490" s="1">
        <v>45861</v>
      </c>
      <c r="C1490" t="s">
        <v>23</v>
      </c>
      <c r="D1490" t="s">
        <v>27</v>
      </c>
      <c r="E1490" t="s">
        <v>34</v>
      </c>
      <c r="F1490" t="s">
        <v>51</v>
      </c>
      <c r="G1490" t="s">
        <v>70</v>
      </c>
      <c r="H1490" t="s">
        <v>74</v>
      </c>
      <c r="I1490">
        <v>7</v>
      </c>
      <c r="J1490">
        <v>533</v>
      </c>
      <c r="K1490">
        <v>0.15</v>
      </c>
      <c r="L1490">
        <v>3171.35</v>
      </c>
      <c r="M1490">
        <v>2619.7399999999998</v>
      </c>
      <c r="N1490">
        <v>551.61</v>
      </c>
      <c r="O1490" t="s">
        <v>78</v>
      </c>
      <c r="P1490" t="s">
        <v>81</v>
      </c>
    </row>
    <row r="1491" spans="1:16" x14ac:dyDescent="0.25">
      <c r="A1491">
        <v>1490</v>
      </c>
      <c r="B1491" s="1">
        <v>45679</v>
      </c>
      <c r="C1491" t="s">
        <v>22</v>
      </c>
      <c r="D1491" t="s">
        <v>24</v>
      </c>
      <c r="E1491" t="s">
        <v>32</v>
      </c>
      <c r="F1491" t="s">
        <v>62</v>
      </c>
      <c r="G1491" t="s">
        <v>71</v>
      </c>
      <c r="H1491" t="s">
        <v>74</v>
      </c>
      <c r="I1491">
        <v>5</v>
      </c>
      <c r="J1491">
        <v>23253</v>
      </c>
      <c r="K1491">
        <v>0</v>
      </c>
      <c r="L1491">
        <v>116265</v>
      </c>
      <c r="M1491">
        <v>90744.68</v>
      </c>
      <c r="N1491">
        <v>25520.32</v>
      </c>
      <c r="O1491" t="s">
        <v>76</v>
      </c>
      <c r="P1491" t="s">
        <v>88</v>
      </c>
    </row>
    <row r="1492" spans="1:16" x14ac:dyDescent="0.25">
      <c r="A1492">
        <v>1491</v>
      </c>
      <c r="B1492" s="1">
        <v>45836</v>
      </c>
      <c r="C1492" t="s">
        <v>21</v>
      </c>
      <c r="D1492" t="s">
        <v>24</v>
      </c>
      <c r="E1492" t="s">
        <v>34</v>
      </c>
      <c r="F1492" t="s">
        <v>68</v>
      </c>
      <c r="G1492" t="s">
        <v>72</v>
      </c>
      <c r="H1492" t="s">
        <v>74</v>
      </c>
      <c r="I1492">
        <v>2</v>
      </c>
      <c r="J1492">
        <v>2051</v>
      </c>
      <c r="K1492">
        <v>0.1</v>
      </c>
      <c r="L1492">
        <v>3691.8</v>
      </c>
      <c r="M1492">
        <v>2461.85</v>
      </c>
      <c r="N1492">
        <v>1229.95</v>
      </c>
      <c r="O1492" t="s">
        <v>80</v>
      </c>
      <c r="P1492" t="s">
        <v>85</v>
      </c>
    </row>
    <row r="1493" spans="1:16" x14ac:dyDescent="0.25">
      <c r="A1493">
        <v>1492</v>
      </c>
      <c r="B1493" s="1">
        <v>45969</v>
      </c>
      <c r="C1493" t="s">
        <v>21</v>
      </c>
      <c r="D1493" t="s">
        <v>24</v>
      </c>
      <c r="E1493" t="s">
        <v>32</v>
      </c>
      <c r="F1493" t="s">
        <v>39</v>
      </c>
      <c r="G1493" t="s">
        <v>72</v>
      </c>
      <c r="H1493" t="s">
        <v>75</v>
      </c>
      <c r="I1493">
        <v>4</v>
      </c>
      <c r="J1493">
        <v>9188</v>
      </c>
      <c r="K1493">
        <v>0.05</v>
      </c>
      <c r="L1493">
        <v>34914.400000000001</v>
      </c>
      <c r="M1493">
        <v>23857.21</v>
      </c>
      <c r="N1493">
        <v>11057.19</v>
      </c>
      <c r="O1493" t="s">
        <v>79</v>
      </c>
      <c r="P1493" t="s">
        <v>88</v>
      </c>
    </row>
    <row r="1494" spans="1:16" x14ac:dyDescent="0.25">
      <c r="A1494">
        <v>1493</v>
      </c>
      <c r="B1494" s="1">
        <v>45684</v>
      </c>
      <c r="C1494" t="s">
        <v>17</v>
      </c>
      <c r="D1494" t="s">
        <v>25</v>
      </c>
      <c r="E1494" t="s">
        <v>33</v>
      </c>
      <c r="F1494" t="s">
        <v>60</v>
      </c>
      <c r="G1494" t="s">
        <v>70</v>
      </c>
      <c r="H1494" t="s">
        <v>74</v>
      </c>
      <c r="I1494">
        <v>1</v>
      </c>
      <c r="J1494">
        <v>13879</v>
      </c>
      <c r="K1494">
        <v>0.1</v>
      </c>
      <c r="L1494">
        <v>12491.1</v>
      </c>
      <c r="M1494">
        <v>10627.57</v>
      </c>
      <c r="N1494">
        <v>1863.53</v>
      </c>
      <c r="O1494" t="s">
        <v>76</v>
      </c>
      <c r="P1494" t="s">
        <v>87</v>
      </c>
    </row>
    <row r="1495" spans="1:16" x14ac:dyDescent="0.25">
      <c r="A1495">
        <v>1494</v>
      </c>
      <c r="B1495" s="1">
        <v>45928</v>
      </c>
      <c r="C1495" t="s">
        <v>17</v>
      </c>
      <c r="D1495" t="s">
        <v>25</v>
      </c>
      <c r="E1495" t="s">
        <v>28</v>
      </c>
      <c r="F1495" t="s">
        <v>35</v>
      </c>
      <c r="G1495" t="s">
        <v>70</v>
      </c>
      <c r="H1495" t="s">
        <v>74</v>
      </c>
      <c r="I1495">
        <v>8</v>
      </c>
      <c r="J1495">
        <v>702</v>
      </c>
      <c r="K1495">
        <v>0.05</v>
      </c>
      <c r="L1495">
        <v>5335.2</v>
      </c>
      <c r="M1495">
        <v>3313.62</v>
      </c>
      <c r="N1495">
        <v>2021.58</v>
      </c>
      <c r="O1495" t="s">
        <v>80</v>
      </c>
      <c r="P1495" t="s">
        <v>82</v>
      </c>
    </row>
    <row r="1496" spans="1:16" x14ac:dyDescent="0.25">
      <c r="A1496">
        <v>1495</v>
      </c>
      <c r="B1496" s="1">
        <v>45803</v>
      </c>
      <c r="C1496" t="s">
        <v>19</v>
      </c>
      <c r="D1496" t="s">
        <v>26</v>
      </c>
      <c r="E1496" t="s">
        <v>28</v>
      </c>
      <c r="F1496" t="s">
        <v>54</v>
      </c>
      <c r="G1496" t="s">
        <v>72</v>
      </c>
      <c r="H1496" t="s">
        <v>73</v>
      </c>
      <c r="I1496">
        <v>4</v>
      </c>
      <c r="J1496">
        <v>2214</v>
      </c>
      <c r="K1496">
        <v>0.05</v>
      </c>
      <c r="L1496">
        <v>8413.2000000000007</v>
      </c>
      <c r="M1496">
        <v>6023.89</v>
      </c>
      <c r="N1496">
        <v>2389.31</v>
      </c>
      <c r="O1496" t="s">
        <v>80</v>
      </c>
      <c r="P1496" t="s">
        <v>84</v>
      </c>
    </row>
    <row r="1497" spans="1:16" x14ac:dyDescent="0.25">
      <c r="A1497">
        <v>1496</v>
      </c>
      <c r="B1497" s="1">
        <v>46022</v>
      </c>
      <c r="C1497" t="s">
        <v>19</v>
      </c>
      <c r="D1497" t="s">
        <v>26</v>
      </c>
      <c r="E1497" t="s">
        <v>31</v>
      </c>
      <c r="F1497" t="s">
        <v>67</v>
      </c>
      <c r="G1497" t="s">
        <v>71</v>
      </c>
      <c r="H1497" t="s">
        <v>74</v>
      </c>
      <c r="I1497">
        <v>6</v>
      </c>
      <c r="J1497">
        <v>1182</v>
      </c>
      <c r="K1497">
        <v>0.05</v>
      </c>
      <c r="L1497">
        <v>6737.4</v>
      </c>
      <c r="M1497">
        <v>3709.64</v>
      </c>
      <c r="N1497">
        <v>3027.76</v>
      </c>
      <c r="O1497" t="s">
        <v>77</v>
      </c>
      <c r="P1497" t="s">
        <v>84</v>
      </c>
    </row>
    <row r="1498" spans="1:16" x14ac:dyDescent="0.25">
      <c r="A1498">
        <v>1497</v>
      </c>
      <c r="B1498" s="1">
        <v>45957</v>
      </c>
      <c r="C1498" t="s">
        <v>21</v>
      </c>
      <c r="D1498" t="s">
        <v>24</v>
      </c>
      <c r="E1498" t="s">
        <v>30</v>
      </c>
      <c r="F1498" t="s">
        <v>64</v>
      </c>
      <c r="G1498" t="s">
        <v>70</v>
      </c>
      <c r="H1498" t="s">
        <v>75</v>
      </c>
      <c r="I1498">
        <v>8</v>
      </c>
      <c r="J1498">
        <v>62901</v>
      </c>
      <c r="K1498">
        <v>0</v>
      </c>
      <c r="L1498">
        <v>503208</v>
      </c>
      <c r="M1498">
        <v>300960.02</v>
      </c>
      <c r="N1498">
        <v>202247.98</v>
      </c>
      <c r="O1498" t="s">
        <v>78</v>
      </c>
      <c r="P1498" t="s">
        <v>86</v>
      </c>
    </row>
    <row r="1499" spans="1:16" x14ac:dyDescent="0.25">
      <c r="A1499">
        <v>1498</v>
      </c>
      <c r="B1499" s="1">
        <v>45901</v>
      </c>
      <c r="C1499" t="s">
        <v>20</v>
      </c>
      <c r="D1499" t="s">
        <v>26</v>
      </c>
      <c r="E1499" t="s">
        <v>30</v>
      </c>
      <c r="F1499" t="s">
        <v>44</v>
      </c>
      <c r="G1499" t="s">
        <v>70</v>
      </c>
      <c r="H1499" t="s">
        <v>74</v>
      </c>
      <c r="I1499">
        <v>8</v>
      </c>
      <c r="J1499">
        <v>37201</v>
      </c>
      <c r="K1499">
        <v>0.05</v>
      </c>
      <c r="L1499">
        <v>282727.59999999998</v>
      </c>
      <c r="M1499">
        <v>173301.9</v>
      </c>
      <c r="N1499">
        <v>109425.7</v>
      </c>
      <c r="O1499" t="s">
        <v>78</v>
      </c>
      <c r="P1499" t="s">
        <v>83</v>
      </c>
    </row>
    <row r="1500" spans="1:16" x14ac:dyDescent="0.25">
      <c r="A1500">
        <v>1499</v>
      </c>
      <c r="B1500" s="1">
        <v>45924</v>
      </c>
      <c r="C1500" t="s">
        <v>20</v>
      </c>
      <c r="D1500" t="s">
        <v>26</v>
      </c>
      <c r="E1500" t="s">
        <v>33</v>
      </c>
      <c r="F1500" t="s">
        <v>52</v>
      </c>
      <c r="G1500" t="s">
        <v>71</v>
      </c>
      <c r="H1500" t="s">
        <v>75</v>
      </c>
      <c r="I1500">
        <v>6</v>
      </c>
      <c r="J1500">
        <v>20484</v>
      </c>
      <c r="K1500">
        <v>0.05</v>
      </c>
      <c r="L1500">
        <v>116758.8</v>
      </c>
      <c r="M1500">
        <v>81678.320000000007</v>
      </c>
      <c r="N1500">
        <v>35080.480000000003</v>
      </c>
      <c r="O1500" t="s">
        <v>80</v>
      </c>
      <c r="P1500" t="s">
        <v>87</v>
      </c>
    </row>
    <row r="1501" spans="1:16" x14ac:dyDescent="0.25">
      <c r="A1501">
        <v>1500</v>
      </c>
      <c r="B1501" s="1">
        <v>45752</v>
      </c>
      <c r="C1501" t="s">
        <v>19</v>
      </c>
      <c r="D1501" t="s">
        <v>26</v>
      </c>
      <c r="E1501" t="s">
        <v>31</v>
      </c>
      <c r="F1501" t="s">
        <v>38</v>
      </c>
      <c r="G1501" t="s">
        <v>72</v>
      </c>
      <c r="H1501" t="s">
        <v>73</v>
      </c>
      <c r="I1501">
        <v>3</v>
      </c>
      <c r="J1501">
        <v>1290</v>
      </c>
      <c r="K1501">
        <v>0</v>
      </c>
      <c r="L1501">
        <v>3870</v>
      </c>
      <c r="M1501">
        <v>2566.0500000000002</v>
      </c>
      <c r="N1501">
        <v>1303.95</v>
      </c>
      <c r="O1501" t="s">
        <v>80</v>
      </c>
      <c r="P1501" t="s">
        <v>86</v>
      </c>
    </row>
    <row r="1502" spans="1:16" x14ac:dyDescent="0.25">
      <c r="A1502">
        <v>1501</v>
      </c>
      <c r="B1502" s="1">
        <v>45927</v>
      </c>
      <c r="C1502" t="s">
        <v>17</v>
      </c>
      <c r="D1502" t="s">
        <v>25</v>
      </c>
      <c r="E1502" t="s">
        <v>28</v>
      </c>
      <c r="F1502" t="s">
        <v>54</v>
      </c>
      <c r="G1502" t="s">
        <v>72</v>
      </c>
      <c r="H1502" t="s">
        <v>73</v>
      </c>
      <c r="I1502">
        <v>8</v>
      </c>
      <c r="J1502">
        <v>2121</v>
      </c>
      <c r="K1502">
        <v>0.15</v>
      </c>
      <c r="L1502">
        <v>14422.8</v>
      </c>
      <c r="M1502">
        <v>11308.29</v>
      </c>
      <c r="N1502">
        <v>3114.51</v>
      </c>
      <c r="O1502" t="s">
        <v>80</v>
      </c>
      <c r="P1502" t="s">
        <v>88</v>
      </c>
    </row>
    <row r="1503" spans="1:16" x14ac:dyDescent="0.25">
      <c r="A1503">
        <v>1502</v>
      </c>
      <c r="B1503" s="1">
        <v>45911</v>
      </c>
      <c r="C1503" t="s">
        <v>21</v>
      </c>
      <c r="D1503" t="s">
        <v>24</v>
      </c>
      <c r="E1503" t="s">
        <v>32</v>
      </c>
      <c r="F1503" t="s">
        <v>49</v>
      </c>
      <c r="G1503" t="s">
        <v>70</v>
      </c>
      <c r="H1503" t="s">
        <v>74</v>
      </c>
      <c r="I1503">
        <v>7</v>
      </c>
      <c r="J1503">
        <v>1683</v>
      </c>
      <c r="K1503">
        <v>0.05</v>
      </c>
      <c r="L1503">
        <v>11191.95</v>
      </c>
      <c r="M1503">
        <v>7869.03</v>
      </c>
      <c r="N1503">
        <v>3322.92</v>
      </c>
      <c r="O1503" t="s">
        <v>78</v>
      </c>
      <c r="P1503" t="s">
        <v>82</v>
      </c>
    </row>
    <row r="1504" spans="1:16" x14ac:dyDescent="0.25">
      <c r="A1504">
        <v>1503</v>
      </c>
      <c r="B1504" s="1">
        <v>45739</v>
      </c>
      <c r="C1504" t="s">
        <v>21</v>
      </c>
      <c r="D1504" t="s">
        <v>24</v>
      </c>
      <c r="E1504" t="s">
        <v>32</v>
      </c>
      <c r="F1504" t="s">
        <v>66</v>
      </c>
      <c r="G1504" t="s">
        <v>70</v>
      </c>
      <c r="H1504" t="s">
        <v>74</v>
      </c>
      <c r="I1504">
        <v>8</v>
      </c>
      <c r="J1504">
        <v>4615</v>
      </c>
      <c r="K1504">
        <v>0.1</v>
      </c>
      <c r="L1504">
        <v>33228</v>
      </c>
      <c r="M1504">
        <v>21928.799999999999</v>
      </c>
      <c r="N1504">
        <v>11299.2</v>
      </c>
      <c r="O1504" t="s">
        <v>78</v>
      </c>
      <c r="P1504" t="s">
        <v>82</v>
      </c>
    </row>
    <row r="1505" spans="1:16" x14ac:dyDescent="0.25">
      <c r="A1505">
        <v>1504</v>
      </c>
      <c r="B1505" s="1">
        <v>45715</v>
      </c>
      <c r="C1505" t="s">
        <v>23</v>
      </c>
      <c r="D1505" t="s">
        <v>27</v>
      </c>
      <c r="E1505" t="s">
        <v>34</v>
      </c>
      <c r="F1505" t="s">
        <v>68</v>
      </c>
      <c r="G1505" t="s">
        <v>70</v>
      </c>
      <c r="H1505" t="s">
        <v>75</v>
      </c>
      <c r="I1505">
        <v>3</v>
      </c>
      <c r="J1505">
        <v>4653</v>
      </c>
      <c r="K1505">
        <v>0.15</v>
      </c>
      <c r="L1505">
        <v>11865.15</v>
      </c>
      <c r="M1505">
        <v>9891.4699999999993</v>
      </c>
      <c r="N1505">
        <v>1973.68</v>
      </c>
      <c r="O1505" t="s">
        <v>78</v>
      </c>
      <c r="P1505" t="s">
        <v>86</v>
      </c>
    </row>
    <row r="1506" spans="1:16" x14ac:dyDescent="0.25">
      <c r="A1506">
        <v>1505</v>
      </c>
      <c r="B1506" s="1">
        <v>45900</v>
      </c>
      <c r="C1506" t="s">
        <v>22</v>
      </c>
      <c r="D1506" t="s">
        <v>24</v>
      </c>
      <c r="E1506" t="s">
        <v>32</v>
      </c>
      <c r="F1506" t="s">
        <v>62</v>
      </c>
      <c r="G1506" t="s">
        <v>70</v>
      </c>
      <c r="H1506" t="s">
        <v>74</v>
      </c>
      <c r="I1506">
        <v>1</v>
      </c>
      <c r="J1506">
        <v>13940</v>
      </c>
      <c r="K1506">
        <v>0.05</v>
      </c>
      <c r="L1506">
        <v>13243</v>
      </c>
      <c r="M1506">
        <v>7560.94</v>
      </c>
      <c r="N1506">
        <v>5682.06</v>
      </c>
      <c r="O1506" t="s">
        <v>79</v>
      </c>
      <c r="P1506" t="s">
        <v>86</v>
      </c>
    </row>
    <row r="1507" spans="1:16" x14ac:dyDescent="0.25">
      <c r="A1507">
        <v>1506</v>
      </c>
      <c r="B1507" s="1">
        <v>46003</v>
      </c>
      <c r="C1507" t="s">
        <v>21</v>
      </c>
      <c r="D1507" t="s">
        <v>24</v>
      </c>
      <c r="E1507" t="s">
        <v>30</v>
      </c>
      <c r="F1507" t="s">
        <v>40</v>
      </c>
      <c r="G1507" t="s">
        <v>70</v>
      </c>
      <c r="H1507" t="s">
        <v>75</v>
      </c>
      <c r="I1507">
        <v>1</v>
      </c>
      <c r="J1507">
        <v>7164</v>
      </c>
      <c r="K1507">
        <v>0.15</v>
      </c>
      <c r="L1507">
        <v>6089.4</v>
      </c>
      <c r="M1507">
        <v>4526.68</v>
      </c>
      <c r="N1507">
        <v>1562.72</v>
      </c>
      <c r="O1507" t="s">
        <v>78</v>
      </c>
      <c r="P1507" t="s">
        <v>84</v>
      </c>
    </row>
    <row r="1508" spans="1:16" x14ac:dyDescent="0.25">
      <c r="A1508">
        <v>1507</v>
      </c>
      <c r="B1508" s="1">
        <v>45987</v>
      </c>
      <c r="C1508" t="s">
        <v>19</v>
      </c>
      <c r="D1508" t="s">
        <v>26</v>
      </c>
      <c r="E1508" t="s">
        <v>28</v>
      </c>
      <c r="F1508" t="s">
        <v>58</v>
      </c>
      <c r="G1508" t="s">
        <v>71</v>
      </c>
      <c r="H1508" t="s">
        <v>73</v>
      </c>
      <c r="I1508">
        <v>4</v>
      </c>
      <c r="J1508">
        <v>1595</v>
      </c>
      <c r="K1508">
        <v>0.1</v>
      </c>
      <c r="L1508">
        <v>5742</v>
      </c>
      <c r="M1508">
        <v>4645.5600000000004</v>
      </c>
      <c r="N1508">
        <v>1096.44</v>
      </c>
      <c r="O1508" t="s">
        <v>80</v>
      </c>
      <c r="P1508" t="s">
        <v>81</v>
      </c>
    </row>
    <row r="1509" spans="1:16" x14ac:dyDescent="0.25">
      <c r="A1509">
        <v>1508</v>
      </c>
      <c r="B1509" s="1">
        <v>45936</v>
      </c>
      <c r="C1509" t="s">
        <v>20</v>
      </c>
      <c r="D1509" t="s">
        <v>26</v>
      </c>
      <c r="E1509" t="s">
        <v>29</v>
      </c>
      <c r="F1509" t="s">
        <v>42</v>
      </c>
      <c r="G1509" t="s">
        <v>71</v>
      </c>
      <c r="H1509" t="s">
        <v>73</v>
      </c>
      <c r="I1509">
        <v>1</v>
      </c>
      <c r="J1509">
        <v>2773</v>
      </c>
      <c r="K1509">
        <v>0.1</v>
      </c>
      <c r="L1509">
        <v>2495.6999999999998</v>
      </c>
      <c r="M1509">
        <v>2155.85</v>
      </c>
      <c r="N1509">
        <v>339.85</v>
      </c>
      <c r="O1509" t="s">
        <v>77</v>
      </c>
      <c r="P1509" t="s">
        <v>83</v>
      </c>
    </row>
    <row r="1510" spans="1:16" x14ac:dyDescent="0.25">
      <c r="A1510">
        <v>1509</v>
      </c>
      <c r="B1510" s="1">
        <v>45977</v>
      </c>
      <c r="C1510" t="s">
        <v>20</v>
      </c>
      <c r="D1510" t="s">
        <v>26</v>
      </c>
      <c r="E1510" t="s">
        <v>32</v>
      </c>
      <c r="F1510" t="s">
        <v>39</v>
      </c>
      <c r="G1510" t="s">
        <v>71</v>
      </c>
      <c r="H1510" t="s">
        <v>73</v>
      </c>
      <c r="I1510">
        <v>7</v>
      </c>
      <c r="J1510">
        <v>2533</v>
      </c>
      <c r="K1510">
        <v>0.15</v>
      </c>
      <c r="L1510">
        <v>15071.35</v>
      </c>
      <c r="M1510">
        <v>12016.03</v>
      </c>
      <c r="N1510">
        <v>3055.32</v>
      </c>
      <c r="O1510" t="s">
        <v>80</v>
      </c>
      <c r="P1510" t="s">
        <v>86</v>
      </c>
    </row>
    <row r="1511" spans="1:16" x14ac:dyDescent="0.25">
      <c r="A1511">
        <v>1510</v>
      </c>
      <c r="B1511" s="1">
        <v>45772</v>
      </c>
      <c r="C1511" t="s">
        <v>21</v>
      </c>
      <c r="D1511" t="s">
        <v>24</v>
      </c>
      <c r="E1511" t="s">
        <v>31</v>
      </c>
      <c r="F1511" t="s">
        <v>69</v>
      </c>
      <c r="G1511" t="s">
        <v>72</v>
      </c>
      <c r="H1511" t="s">
        <v>73</v>
      </c>
      <c r="I1511">
        <v>6</v>
      </c>
      <c r="J1511">
        <v>1246</v>
      </c>
      <c r="K1511">
        <v>0.2</v>
      </c>
      <c r="L1511">
        <v>5980.8</v>
      </c>
      <c r="M1511">
        <v>5138.21</v>
      </c>
      <c r="N1511">
        <v>842.59</v>
      </c>
      <c r="O1511" t="s">
        <v>76</v>
      </c>
      <c r="P1511" t="s">
        <v>84</v>
      </c>
    </row>
    <row r="1512" spans="1:16" x14ac:dyDescent="0.25">
      <c r="A1512">
        <v>1511</v>
      </c>
      <c r="B1512" s="1">
        <v>45913</v>
      </c>
      <c r="C1512" t="s">
        <v>23</v>
      </c>
      <c r="D1512" t="s">
        <v>27</v>
      </c>
      <c r="E1512" t="s">
        <v>29</v>
      </c>
      <c r="F1512" t="s">
        <v>53</v>
      </c>
      <c r="G1512" t="s">
        <v>70</v>
      </c>
      <c r="H1512" t="s">
        <v>73</v>
      </c>
      <c r="I1512">
        <v>2</v>
      </c>
      <c r="J1512">
        <v>6490</v>
      </c>
      <c r="K1512">
        <v>0.1</v>
      </c>
      <c r="L1512">
        <v>11682</v>
      </c>
      <c r="M1512">
        <v>7836.21</v>
      </c>
      <c r="N1512">
        <v>3845.79</v>
      </c>
      <c r="O1512" t="s">
        <v>78</v>
      </c>
      <c r="P1512" t="s">
        <v>84</v>
      </c>
    </row>
    <row r="1513" spans="1:16" x14ac:dyDescent="0.25">
      <c r="A1513">
        <v>1512</v>
      </c>
      <c r="B1513" s="1">
        <v>45972</v>
      </c>
      <c r="C1513" t="s">
        <v>20</v>
      </c>
      <c r="D1513" t="s">
        <v>26</v>
      </c>
      <c r="E1513" t="s">
        <v>33</v>
      </c>
      <c r="F1513" t="s">
        <v>60</v>
      </c>
      <c r="G1513" t="s">
        <v>71</v>
      </c>
      <c r="H1513" t="s">
        <v>75</v>
      </c>
      <c r="I1513">
        <v>2</v>
      </c>
      <c r="J1513">
        <v>17349</v>
      </c>
      <c r="K1513">
        <v>0.1</v>
      </c>
      <c r="L1513">
        <v>31228.2</v>
      </c>
      <c r="M1513">
        <v>18220.55</v>
      </c>
      <c r="N1513">
        <v>13007.65</v>
      </c>
      <c r="O1513" t="s">
        <v>78</v>
      </c>
      <c r="P1513" t="s">
        <v>85</v>
      </c>
    </row>
    <row r="1514" spans="1:16" x14ac:dyDescent="0.25">
      <c r="A1514">
        <v>1513</v>
      </c>
      <c r="B1514" s="1">
        <v>45965</v>
      </c>
      <c r="C1514" t="s">
        <v>21</v>
      </c>
      <c r="D1514" t="s">
        <v>24</v>
      </c>
      <c r="E1514" t="s">
        <v>33</v>
      </c>
      <c r="F1514" t="s">
        <v>59</v>
      </c>
      <c r="G1514" t="s">
        <v>70</v>
      </c>
      <c r="H1514" t="s">
        <v>74</v>
      </c>
      <c r="I1514">
        <v>4</v>
      </c>
      <c r="J1514">
        <v>24256</v>
      </c>
      <c r="K1514">
        <v>0</v>
      </c>
      <c r="L1514">
        <v>97024</v>
      </c>
      <c r="M1514">
        <v>72794.509999999995</v>
      </c>
      <c r="N1514">
        <v>24229.49</v>
      </c>
      <c r="O1514" t="s">
        <v>76</v>
      </c>
      <c r="P1514" t="s">
        <v>85</v>
      </c>
    </row>
    <row r="1515" spans="1:16" x14ac:dyDescent="0.25">
      <c r="A1515">
        <v>1514</v>
      </c>
      <c r="B1515" s="1">
        <v>45698</v>
      </c>
      <c r="C1515" t="s">
        <v>16</v>
      </c>
      <c r="D1515" t="s">
        <v>24</v>
      </c>
      <c r="E1515" t="s">
        <v>29</v>
      </c>
      <c r="F1515" t="s">
        <v>57</v>
      </c>
      <c r="G1515" t="s">
        <v>70</v>
      </c>
      <c r="H1515" t="s">
        <v>75</v>
      </c>
      <c r="I1515">
        <v>7</v>
      </c>
      <c r="J1515">
        <v>690</v>
      </c>
      <c r="K1515">
        <v>0.05</v>
      </c>
      <c r="L1515">
        <v>4588.5</v>
      </c>
      <c r="M1515">
        <v>3298.53</v>
      </c>
      <c r="N1515">
        <v>1289.97</v>
      </c>
      <c r="O1515" t="s">
        <v>78</v>
      </c>
      <c r="P1515" t="s">
        <v>83</v>
      </c>
    </row>
    <row r="1516" spans="1:16" x14ac:dyDescent="0.25">
      <c r="A1516">
        <v>1515</v>
      </c>
      <c r="B1516" s="1">
        <v>45830</v>
      </c>
      <c r="C1516" t="s">
        <v>17</v>
      </c>
      <c r="D1516" t="s">
        <v>25</v>
      </c>
      <c r="E1516" t="s">
        <v>34</v>
      </c>
      <c r="F1516" t="s">
        <v>51</v>
      </c>
      <c r="G1516" t="s">
        <v>72</v>
      </c>
      <c r="H1516" t="s">
        <v>73</v>
      </c>
      <c r="I1516">
        <v>7</v>
      </c>
      <c r="J1516">
        <v>3994</v>
      </c>
      <c r="K1516">
        <v>0.05</v>
      </c>
      <c r="L1516">
        <v>26560.1</v>
      </c>
      <c r="M1516">
        <v>18945.240000000002</v>
      </c>
      <c r="N1516">
        <v>7614.86</v>
      </c>
      <c r="O1516" t="s">
        <v>79</v>
      </c>
      <c r="P1516" t="s">
        <v>83</v>
      </c>
    </row>
    <row r="1517" spans="1:16" x14ac:dyDescent="0.25">
      <c r="A1517">
        <v>1516</v>
      </c>
      <c r="B1517" s="1">
        <v>45678</v>
      </c>
      <c r="C1517" t="s">
        <v>18</v>
      </c>
      <c r="D1517" t="s">
        <v>26</v>
      </c>
      <c r="E1517" t="s">
        <v>30</v>
      </c>
      <c r="F1517" t="s">
        <v>64</v>
      </c>
      <c r="G1517" t="s">
        <v>72</v>
      </c>
      <c r="H1517" t="s">
        <v>73</v>
      </c>
      <c r="I1517">
        <v>3</v>
      </c>
      <c r="J1517">
        <v>11690</v>
      </c>
      <c r="K1517">
        <v>0.1</v>
      </c>
      <c r="L1517">
        <v>31563</v>
      </c>
      <c r="M1517">
        <v>21078.46</v>
      </c>
      <c r="N1517">
        <v>10484.540000000001</v>
      </c>
      <c r="O1517" t="s">
        <v>77</v>
      </c>
      <c r="P1517" t="s">
        <v>81</v>
      </c>
    </row>
    <row r="1518" spans="1:16" x14ac:dyDescent="0.25">
      <c r="A1518">
        <v>1517</v>
      </c>
      <c r="B1518" s="1">
        <v>45753</v>
      </c>
      <c r="C1518" t="s">
        <v>23</v>
      </c>
      <c r="D1518" t="s">
        <v>27</v>
      </c>
      <c r="E1518" t="s">
        <v>30</v>
      </c>
      <c r="F1518" t="s">
        <v>56</v>
      </c>
      <c r="G1518" t="s">
        <v>72</v>
      </c>
      <c r="H1518" t="s">
        <v>73</v>
      </c>
      <c r="I1518">
        <v>5</v>
      </c>
      <c r="J1518">
        <v>35263</v>
      </c>
      <c r="K1518">
        <v>0.15</v>
      </c>
      <c r="L1518">
        <v>149867.75</v>
      </c>
      <c r="M1518">
        <v>112295.36</v>
      </c>
      <c r="N1518">
        <v>37572.39</v>
      </c>
      <c r="O1518" t="s">
        <v>76</v>
      </c>
      <c r="P1518" t="s">
        <v>88</v>
      </c>
    </row>
    <row r="1519" spans="1:16" x14ac:dyDescent="0.25">
      <c r="A1519">
        <v>1518</v>
      </c>
      <c r="B1519" s="1">
        <v>45674</v>
      </c>
      <c r="C1519" t="s">
        <v>18</v>
      </c>
      <c r="D1519" t="s">
        <v>26</v>
      </c>
      <c r="E1519" t="s">
        <v>28</v>
      </c>
      <c r="F1519" t="s">
        <v>35</v>
      </c>
      <c r="G1519" t="s">
        <v>71</v>
      </c>
      <c r="H1519" t="s">
        <v>73</v>
      </c>
      <c r="I1519">
        <v>3</v>
      </c>
      <c r="J1519">
        <v>1586</v>
      </c>
      <c r="K1519">
        <v>0.1</v>
      </c>
      <c r="L1519">
        <v>4282.2</v>
      </c>
      <c r="M1519">
        <v>2763.36</v>
      </c>
      <c r="N1519">
        <v>1518.84</v>
      </c>
      <c r="O1519" t="s">
        <v>80</v>
      </c>
      <c r="P1519" t="s">
        <v>88</v>
      </c>
    </row>
    <row r="1520" spans="1:16" x14ac:dyDescent="0.25">
      <c r="A1520">
        <v>1519</v>
      </c>
      <c r="B1520" s="1">
        <v>45997</v>
      </c>
      <c r="C1520" t="s">
        <v>20</v>
      </c>
      <c r="D1520" t="s">
        <v>26</v>
      </c>
      <c r="E1520" t="s">
        <v>33</v>
      </c>
      <c r="F1520" t="s">
        <v>52</v>
      </c>
      <c r="G1520" t="s">
        <v>70</v>
      </c>
      <c r="H1520" t="s">
        <v>73</v>
      </c>
      <c r="I1520">
        <v>7</v>
      </c>
      <c r="J1520">
        <v>20525</v>
      </c>
      <c r="K1520">
        <v>0.05</v>
      </c>
      <c r="L1520">
        <v>136491.25</v>
      </c>
      <c r="M1520">
        <v>75528.490000000005</v>
      </c>
      <c r="N1520">
        <v>60962.76</v>
      </c>
      <c r="O1520" t="s">
        <v>76</v>
      </c>
      <c r="P1520" t="s">
        <v>88</v>
      </c>
    </row>
    <row r="1521" spans="1:16" x14ac:dyDescent="0.25">
      <c r="A1521">
        <v>1520</v>
      </c>
      <c r="B1521" s="1">
        <v>45906</v>
      </c>
      <c r="C1521" t="s">
        <v>20</v>
      </c>
      <c r="D1521" t="s">
        <v>26</v>
      </c>
      <c r="E1521" t="s">
        <v>30</v>
      </c>
      <c r="F1521" t="s">
        <v>37</v>
      </c>
      <c r="G1521" t="s">
        <v>71</v>
      </c>
      <c r="H1521" t="s">
        <v>75</v>
      </c>
      <c r="I1521">
        <v>6</v>
      </c>
      <c r="J1521">
        <v>42496</v>
      </c>
      <c r="K1521">
        <v>0.05</v>
      </c>
      <c r="L1521">
        <v>242227.20000000001</v>
      </c>
      <c r="M1521">
        <v>210494.4</v>
      </c>
      <c r="N1521">
        <v>31732.799999999999</v>
      </c>
      <c r="O1521" t="s">
        <v>79</v>
      </c>
      <c r="P1521" t="s">
        <v>83</v>
      </c>
    </row>
    <row r="1522" spans="1:16" x14ac:dyDescent="0.25">
      <c r="A1522">
        <v>1521</v>
      </c>
      <c r="B1522" s="1">
        <v>45807</v>
      </c>
      <c r="C1522" t="s">
        <v>22</v>
      </c>
      <c r="D1522" t="s">
        <v>24</v>
      </c>
      <c r="E1522" t="s">
        <v>31</v>
      </c>
      <c r="F1522" t="s">
        <v>47</v>
      </c>
      <c r="G1522" t="s">
        <v>70</v>
      </c>
      <c r="H1522" t="s">
        <v>73</v>
      </c>
      <c r="I1522">
        <v>4</v>
      </c>
      <c r="J1522">
        <v>302</v>
      </c>
      <c r="K1522">
        <v>0</v>
      </c>
      <c r="L1522">
        <v>1208</v>
      </c>
      <c r="M1522">
        <v>770.81</v>
      </c>
      <c r="N1522">
        <v>437.19</v>
      </c>
      <c r="O1522" t="s">
        <v>76</v>
      </c>
      <c r="P1522" t="s">
        <v>85</v>
      </c>
    </row>
    <row r="1523" spans="1:16" x14ac:dyDescent="0.25">
      <c r="A1523">
        <v>1522</v>
      </c>
      <c r="B1523" s="1">
        <v>45721</v>
      </c>
      <c r="C1523" t="s">
        <v>19</v>
      </c>
      <c r="D1523" t="s">
        <v>26</v>
      </c>
      <c r="E1523" t="s">
        <v>32</v>
      </c>
      <c r="F1523" t="s">
        <v>48</v>
      </c>
      <c r="G1523" t="s">
        <v>71</v>
      </c>
      <c r="H1523" t="s">
        <v>73</v>
      </c>
      <c r="I1523">
        <v>4</v>
      </c>
      <c r="J1523">
        <v>3611</v>
      </c>
      <c r="K1523">
        <v>0</v>
      </c>
      <c r="L1523">
        <v>14444</v>
      </c>
      <c r="M1523">
        <v>9444.4599999999991</v>
      </c>
      <c r="N1523">
        <v>4999.54</v>
      </c>
      <c r="O1523" t="s">
        <v>80</v>
      </c>
      <c r="P1523" t="s">
        <v>82</v>
      </c>
    </row>
    <row r="1524" spans="1:16" x14ac:dyDescent="0.25">
      <c r="A1524">
        <v>1523</v>
      </c>
      <c r="B1524" s="1">
        <v>45909</v>
      </c>
      <c r="C1524" t="s">
        <v>22</v>
      </c>
      <c r="D1524" t="s">
        <v>24</v>
      </c>
      <c r="E1524" t="s">
        <v>30</v>
      </c>
      <c r="F1524" t="s">
        <v>40</v>
      </c>
      <c r="G1524" t="s">
        <v>71</v>
      </c>
      <c r="H1524" t="s">
        <v>74</v>
      </c>
      <c r="I1524">
        <v>5</v>
      </c>
      <c r="J1524">
        <v>53640</v>
      </c>
      <c r="K1524">
        <v>0.15</v>
      </c>
      <c r="L1524">
        <v>227970</v>
      </c>
      <c r="M1524">
        <v>182322.66</v>
      </c>
      <c r="N1524">
        <v>45647.34</v>
      </c>
      <c r="O1524" t="s">
        <v>77</v>
      </c>
      <c r="P1524" t="s">
        <v>87</v>
      </c>
    </row>
    <row r="1525" spans="1:16" x14ac:dyDescent="0.25">
      <c r="A1525">
        <v>1524</v>
      </c>
      <c r="B1525" s="1">
        <v>45890</v>
      </c>
      <c r="C1525" t="s">
        <v>23</v>
      </c>
      <c r="D1525" t="s">
        <v>27</v>
      </c>
      <c r="E1525" t="s">
        <v>34</v>
      </c>
      <c r="F1525" t="s">
        <v>43</v>
      </c>
      <c r="G1525" t="s">
        <v>72</v>
      </c>
      <c r="H1525" t="s">
        <v>74</v>
      </c>
      <c r="I1525">
        <v>5</v>
      </c>
      <c r="J1525">
        <v>562</v>
      </c>
      <c r="K1525">
        <v>0.15</v>
      </c>
      <c r="L1525">
        <v>2388.5</v>
      </c>
      <c r="M1525">
        <v>1682.22</v>
      </c>
      <c r="N1525">
        <v>706.28</v>
      </c>
      <c r="O1525" t="s">
        <v>80</v>
      </c>
      <c r="P1525" t="s">
        <v>87</v>
      </c>
    </row>
    <row r="1526" spans="1:16" x14ac:dyDescent="0.25">
      <c r="A1526">
        <v>1525</v>
      </c>
      <c r="B1526" s="1">
        <v>45900</v>
      </c>
      <c r="C1526" t="s">
        <v>22</v>
      </c>
      <c r="D1526" t="s">
        <v>24</v>
      </c>
      <c r="E1526" t="s">
        <v>34</v>
      </c>
      <c r="F1526" t="s">
        <v>65</v>
      </c>
      <c r="G1526" t="s">
        <v>70</v>
      </c>
      <c r="H1526" t="s">
        <v>73</v>
      </c>
      <c r="I1526">
        <v>6</v>
      </c>
      <c r="J1526">
        <v>2751</v>
      </c>
      <c r="K1526">
        <v>0.1</v>
      </c>
      <c r="L1526">
        <v>14855.4</v>
      </c>
      <c r="M1526">
        <v>9495.0400000000009</v>
      </c>
      <c r="N1526">
        <v>5360.36</v>
      </c>
      <c r="O1526" t="s">
        <v>80</v>
      </c>
      <c r="P1526" t="s">
        <v>86</v>
      </c>
    </row>
    <row r="1527" spans="1:16" x14ac:dyDescent="0.25">
      <c r="A1527">
        <v>1526</v>
      </c>
      <c r="B1527" s="1">
        <v>45997</v>
      </c>
      <c r="C1527" t="s">
        <v>23</v>
      </c>
      <c r="D1527" t="s">
        <v>27</v>
      </c>
      <c r="E1527" t="s">
        <v>31</v>
      </c>
      <c r="F1527" t="s">
        <v>50</v>
      </c>
      <c r="G1527" t="s">
        <v>70</v>
      </c>
      <c r="H1527" t="s">
        <v>73</v>
      </c>
      <c r="I1527">
        <v>7</v>
      </c>
      <c r="J1527">
        <v>720</v>
      </c>
      <c r="K1527">
        <v>0.1</v>
      </c>
      <c r="L1527">
        <v>4536</v>
      </c>
      <c r="M1527">
        <v>3965.65</v>
      </c>
      <c r="N1527">
        <v>570.35</v>
      </c>
      <c r="O1527" t="s">
        <v>76</v>
      </c>
      <c r="P1527" t="s">
        <v>85</v>
      </c>
    </row>
    <row r="1528" spans="1:16" x14ac:dyDescent="0.25">
      <c r="A1528">
        <v>1527</v>
      </c>
      <c r="B1528" s="1">
        <v>45923</v>
      </c>
      <c r="C1528" t="s">
        <v>17</v>
      </c>
      <c r="D1528" t="s">
        <v>25</v>
      </c>
      <c r="E1528" t="s">
        <v>34</v>
      </c>
      <c r="F1528" t="s">
        <v>51</v>
      </c>
      <c r="G1528" t="s">
        <v>71</v>
      </c>
      <c r="H1528" t="s">
        <v>73</v>
      </c>
      <c r="I1528">
        <v>3</v>
      </c>
      <c r="J1528">
        <v>5181</v>
      </c>
      <c r="K1528">
        <v>0</v>
      </c>
      <c r="L1528">
        <v>15543</v>
      </c>
      <c r="M1528">
        <v>9979.7800000000007</v>
      </c>
      <c r="N1528">
        <v>5563.22</v>
      </c>
      <c r="O1528" t="s">
        <v>80</v>
      </c>
      <c r="P1528" t="s">
        <v>81</v>
      </c>
    </row>
    <row r="1529" spans="1:16" x14ac:dyDescent="0.25">
      <c r="A1529">
        <v>1528</v>
      </c>
      <c r="B1529" s="1">
        <v>45969</v>
      </c>
      <c r="C1529" t="s">
        <v>23</v>
      </c>
      <c r="D1529" t="s">
        <v>27</v>
      </c>
      <c r="E1529" t="s">
        <v>32</v>
      </c>
      <c r="F1529" t="s">
        <v>62</v>
      </c>
      <c r="G1529" t="s">
        <v>71</v>
      </c>
      <c r="H1529" t="s">
        <v>75</v>
      </c>
      <c r="I1529">
        <v>8</v>
      </c>
      <c r="J1529">
        <v>2747</v>
      </c>
      <c r="K1529">
        <v>0.15</v>
      </c>
      <c r="L1529">
        <v>18679.599999999999</v>
      </c>
      <c r="M1529">
        <v>16394.68</v>
      </c>
      <c r="N1529">
        <v>2284.92</v>
      </c>
      <c r="O1529" t="s">
        <v>76</v>
      </c>
      <c r="P1529" t="s">
        <v>82</v>
      </c>
    </row>
    <row r="1530" spans="1:16" x14ac:dyDescent="0.25">
      <c r="A1530">
        <v>1529</v>
      </c>
      <c r="B1530" s="1">
        <v>45762</v>
      </c>
      <c r="C1530" t="s">
        <v>19</v>
      </c>
      <c r="D1530" t="s">
        <v>26</v>
      </c>
      <c r="E1530" t="s">
        <v>32</v>
      </c>
      <c r="F1530" t="s">
        <v>39</v>
      </c>
      <c r="G1530" t="s">
        <v>71</v>
      </c>
      <c r="H1530" t="s">
        <v>74</v>
      </c>
      <c r="I1530">
        <v>6</v>
      </c>
      <c r="J1530">
        <v>13608</v>
      </c>
      <c r="K1530">
        <v>0.15</v>
      </c>
      <c r="L1530">
        <v>69400.800000000003</v>
      </c>
      <c r="M1530">
        <v>39383.61</v>
      </c>
      <c r="N1530">
        <v>30017.19</v>
      </c>
      <c r="O1530" t="s">
        <v>77</v>
      </c>
      <c r="P1530" t="s">
        <v>86</v>
      </c>
    </row>
    <row r="1531" spans="1:16" x14ac:dyDescent="0.25">
      <c r="A1531">
        <v>1530</v>
      </c>
      <c r="B1531" s="1">
        <v>45970</v>
      </c>
      <c r="C1531" t="s">
        <v>16</v>
      </c>
      <c r="D1531" t="s">
        <v>24</v>
      </c>
      <c r="E1531" t="s">
        <v>32</v>
      </c>
      <c r="F1531" t="s">
        <v>49</v>
      </c>
      <c r="G1531" t="s">
        <v>72</v>
      </c>
      <c r="H1531" t="s">
        <v>74</v>
      </c>
      <c r="I1531">
        <v>1</v>
      </c>
      <c r="J1531">
        <v>20391</v>
      </c>
      <c r="K1531">
        <v>0</v>
      </c>
      <c r="L1531">
        <v>20391</v>
      </c>
      <c r="M1531">
        <v>15975.96</v>
      </c>
      <c r="N1531">
        <v>4415.04</v>
      </c>
      <c r="O1531" t="s">
        <v>76</v>
      </c>
      <c r="P1531" t="s">
        <v>83</v>
      </c>
    </row>
    <row r="1532" spans="1:16" x14ac:dyDescent="0.25">
      <c r="A1532">
        <v>1531</v>
      </c>
      <c r="B1532" s="1">
        <v>45897</v>
      </c>
      <c r="C1532" t="s">
        <v>21</v>
      </c>
      <c r="D1532" t="s">
        <v>24</v>
      </c>
      <c r="E1532" t="s">
        <v>32</v>
      </c>
      <c r="F1532" t="s">
        <v>48</v>
      </c>
      <c r="G1532" t="s">
        <v>71</v>
      </c>
      <c r="H1532" t="s">
        <v>73</v>
      </c>
      <c r="I1532">
        <v>6</v>
      </c>
      <c r="J1532">
        <v>19381</v>
      </c>
      <c r="K1532">
        <v>0.05</v>
      </c>
      <c r="L1532">
        <v>110471.7</v>
      </c>
      <c r="M1532">
        <v>65819.13</v>
      </c>
      <c r="N1532">
        <v>44652.57</v>
      </c>
      <c r="O1532" t="s">
        <v>80</v>
      </c>
      <c r="P1532" t="s">
        <v>82</v>
      </c>
    </row>
    <row r="1533" spans="1:16" x14ac:dyDescent="0.25">
      <c r="A1533">
        <v>1532</v>
      </c>
      <c r="B1533" s="1">
        <v>45710</v>
      </c>
      <c r="C1533" t="s">
        <v>22</v>
      </c>
      <c r="D1533" t="s">
        <v>24</v>
      </c>
      <c r="E1533" t="s">
        <v>32</v>
      </c>
      <c r="F1533" t="s">
        <v>66</v>
      </c>
      <c r="G1533" t="s">
        <v>72</v>
      </c>
      <c r="H1533" t="s">
        <v>75</v>
      </c>
      <c r="I1533">
        <v>7</v>
      </c>
      <c r="J1533">
        <v>11916</v>
      </c>
      <c r="K1533">
        <v>0.15</v>
      </c>
      <c r="L1533">
        <v>70900.2</v>
      </c>
      <c r="M1533">
        <v>41726.129999999997</v>
      </c>
      <c r="N1533">
        <v>29174.07</v>
      </c>
      <c r="O1533" t="s">
        <v>77</v>
      </c>
      <c r="P1533" t="s">
        <v>84</v>
      </c>
    </row>
    <row r="1534" spans="1:16" x14ac:dyDescent="0.25">
      <c r="A1534">
        <v>1533</v>
      </c>
      <c r="B1534" s="1">
        <v>45706</v>
      </c>
      <c r="C1534" t="s">
        <v>23</v>
      </c>
      <c r="D1534" t="s">
        <v>27</v>
      </c>
      <c r="E1534" t="s">
        <v>28</v>
      </c>
      <c r="F1534" t="s">
        <v>63</v>
      </c>
      <c r="G1534" t="s">
        <v>71</v>
      </c>
      <c r="H1534" t="s">
        <v>75</v>
      </c>
      <c r="I1534">
        <v>5</v>
      </c>
      <c r="J1534">
        <v>1352</v>
      </c>
      <c r="K1534">
        <v>0.1</v>
      </c>
      <c r="L1534">
        <v>6084</v>
      </c>
      <c r="M1534">
        <v>4601.3500000000004</v>
      </c>
      <c r="N1534">
        <v>1482.65</v>
      </c>
      <c r="O1534" t="s">
        <v>80</v>
      </c>
      <c r="P1534" t="s">
        <v>83</v>
      </c>
    </row>
    <row r="1535" spans="1:16" x14ac:dyDescent="0.25">
      <c r="A1535">
        <v>1534</v>
      </c>
      <c r="B1535" s="1">
        <v>45915</v>
      </c>
      <c r="C1535" t="s">
        <v>21</v>
      </c>
      <c r="D1535" t="s">
        <v>24</v>
      </c>
      <c r="E1535" t="s">
        <v>30</v>
      </c>
      <c r="F1535" t="s">
        <v>40</v>
      </c>
      <c r="G1535" t="s">
        <v>71</v>
      </c>
      <c r="H1535" t="s">
        <v>74</v>
      </c>
      <c r="I1535">
        <v>7</v>
      </c>
      <c r="J1535">
        <v>43471</v>
      </c>
      <c r="K1535">
        <v>0.05</v>
      </c>
      <c r="L1535">
        <v>289082.15000000002</v>
      </c>
      <c r="M1535">
        <v>208164.99</v>
      </c>
      <c r="N1535">
        <v>80917.16</v>
      </c>
      <c r="O1535" t="s">
        <v>80</v>
      </c>
      <c r="P1535" t="s">
        <v>81</v>
      </c>
    </row>
    <row r="1536" spans="1:16" x14ac:dyDescent="0.25">
      <c r="A1536">
        <v>1535</v>
      </c>
      <c r="B1536" s="1">
        <v>45957</v>
      </c>
      <c r="C1536" t="s">
        <v>19</v>
      </c>
      <c r="D1536" t="s">
        <v>26</v>
      </c>
      <c r="E1536" t="s">
        <v>31</v>
      </c>
      <c r="F1536" t="s">
        <v>38</v>
      </c>
      <c r="G1536" t="s">
        <v>72</v>
      </c>
      <c r="H1536" t="s">
        <v>75</v>
      </c>
      <c r="I1536">
        <v>8</v>
      </c>
      <c r="J1536">
        <v>1890</v>
      </c>
      <c r="K1536">
        <v>0.1</v>
      </c>
      <c r="L1536">
        <v>13608</v>
      </c>
      <c r="M1536">
        <v>10447.07</v>
      </c>
      <c r="N1536">
        <v>3160.93</v>
      </c>
      <c r="O1536" t="s">
        <v>80</v>
      </c>
      <c r="P1536" t="s">
        <v>88</v>
      </c>
    </row>
    <row r="1537" spans="1:16" x14ac:dyDescent="0.25">
      <c r="A1537">
        <v>1536</v>
      </c>
      <c r="B1537" s="1">
        <v>46011</v>
      </c>
      <c r="C1537" t="s">
        <v>18</v>
      </c>
      <c r="D1537" t="s">
        <v>26</v>
      </c>
      <c r="E1537" t="s">
        <v>34</v>
      </c>
      <c r="F1537" t="s">
        <v>68</v>
      </c>
      <c r="G1537" t="s">
        <v>70</v>
      </c>
      <c r="H1537" t="s">
        <v>75</v>
      </c>
      <c r="I1537">
        <v>4</v>
      </c>
      <c r="J1537">
        <v>4692</v>
      </c>
      <c r="K1537">
        <v>0.2</v>
      </c>
      <c r="L1537">
        <v>15014.4</v>
      </c>
      <c r="M1537">
        <v>8331.41</v>
      </c>
      <c r="N1537">
        <v>6682.99</v>
      </c>
      <c r="O1537" t="s">
        <v>80</v>
      </c>
      <c r="P1537" t="s">
        <v>86</v>
      </c>
    </row>
    <row r="1538" spans="1:16" x14ac:dyDescent="0.25">
      <c r="A1538">
        <v>1537</v>
      </c>
      <c r="B1538" s="1">
        <v>45687</v>
      </c>
      <c r="C1538" t="s">
        <v>20</v>
      </c>
      <c r="D1538" t="s">
        <v>26</v>
      </c>
      <c r="E1538" t="s">
        <v>31</v>
      </c>
      <c r="F1538" t="s">
        <v>38</v>
      </c>
      <c r="G1538" t="s">
        <v>72</v>
      </c>
      <c r="H1538" t="s">
        <v>75</v>
      </c>
      <c r="I1538">
        <v>7</v>
      </c>
      <c r="J1538">
        <v>1935</v>
      </c>
      <c r="K1538">
        <v>0</v>
      </c>
      <c r="L1538">
        <v>13545</v>
      </c>
      <c r="M1538">
        <v>9701.11</v>
      </c>
      <c r="N1538">
        <v>3843.89</v>
      </c>
      <c r="O1538" t="s">
        <v>76</v>
      </c>
      <c r="P1538" t="s">
        <v>83</v>
      </c>
    </row>
    <row r="1539" spans="1:16" x14ac:dyDescent="0.25">
      <c r="A1539">
        <v>1538</v>
      </c>
      <c r="B1539" s="1">
        <v>45752</v>
      </c>
      <c r="C1539" t="s">
        <v>22</v>
      </c>
      <c r="D1539" t="s">
        <v>24</v>
      </c>
      <c r="E1539" t="s">
        <v>30</v>
      </c>
      <c r="F1539" t="s">
        <v>64</v>
      </c>
      <c r="G1539" t="s">
        <v>71</v>
      </c>
      <c r="H1539" t="s">
        <v>74</v>
      </c>
      <c r="I1539">
        <v>6</v>
      </c>
      <c r="J1539">
        <v>12084</v>
      </c>
      <c r="K1539">
        <v>0</v>
      </c>
      <c r="L1539">
        <v>72504</v>
      </c>
      <c r="M1539">
        <v>40687.65</v>
      </c>
      <c r="N1539">
        <v>31816.35</v>
      </c>
      <c r="O1539" t="s">
        <v>76</v>
      </c>
      <c r="P1539" t="s">
        <v>87</v>
      </c>
    </row>
    <row r="1540" spans="1:16" x14ac:dyDescent="0.25">
      <c r="A1540">
        <v>1539</v>
      </c>
      <c r="B1540" s="1">
        <v>45933</v>
      </c>
      <c r="C1540" t="s">
        <v>19</v>
      </c>
      <c r="D1540" t="s">
        <v>26</v>
      </c>
      <c r="E1540" t="s">
        <v>29</v>
      </c>
      <c r="F1540" t="s">
        <v>53</v>
      </c>
      <c r="G1540" t="s">
        <v>71</v>
      </c>
      <c r="H1540" t="s">
        <v>74</v>
      </c>
      <c r="I1540">
        <v>8</v>
      </c>
      <c r="J1540">
        <v>1763</v>
      </c>
      <c r="K1540">
        <v>0</v>
      </c>
      <c r="L1540">
        <v>14104</v>
      </c>
      <c r="M1540">
        <v>7982.92</v>
      </c>
      <c r="N1540">
        <v>6121.08</v>
      </c>
      <c r="O1540" t="s">
        <v>76</v>
      </c>
      <c r="P1540" t="s">
        <v>87</v>
      </c>
    </row>
    <row r="1541" spans="1:16" x14ac:dyDescent="0.25">
      <c r="A1541">
        <v>1540</v>
      </c>
      <c r="B1541" s="1">
        <v>46012</v>
      </c>
      <c r="C1541" t="s">
        <v>22</v>
      </c>
      <c r="D1541" t="s">
        <v>24</v>
      </c>
      <c r="E1541" t="s">
        <v>29</v>
      </c>
      <c r="F1541" t="s">
        <v>42</v>
      </c>
      <c r="G1541" t="s">
        <v>72</v>
      </c>
      <c r="H1541" t="s">
        <v>75</v>
      </c>
      <c r="I1541">
        <v>4</v>
      </c>
      <c r="J1541">
        <v>9650</v>
      </c>
      <c r="K1541">
        <v>0.2</v>
      </c>
      <c r="L1541">
        <v>30880</v>
      </c>
      <c r="M1541">
        <v>24836.18</v>
      </c>
      <c r="N1541">
        <v>6043.82</v>
      </c>
      <c r="O1541" t="s">
        <v>78</v>
      </c>
      <c r="P1541" t="s">
        <v>81</v>
      </c>
    </row>
    <row r="1542" spans="1:16" x14ac:dyDescent="0.25">
      <c r="A1542">
        <v>1541</v>
      </c>
      <c r="B1542" s="1">
        <v>46007</v>
      </c>
      <c r="C1542" t="s">
        <v>20</v>
      </c>
      <c r="D1542" t="s">
        <v>26</v>
      </c>
      <c r="E1542" t="s">
        <v>34</v>
      </c>
      <c r="F1542" t="s">
        <v>51</v>
      </c>
      <c r="G1542" t="s">
        <v>71</v>
      </c>
      <c r="H1542" t="s">
        <v>74</v>
      </c>
      <c r="I1542">
        <v>3</v>
      </c>
      <c r="J1542">
        <v>2998</v>
      </c>
      <c r="K1542">
        <v>0.05</v>
      </c>
      <c r="L1542">
        <v>8544.2999999999993</v>
      </c>
      <c r="M1542">
        <v>6553.34</v>
      </c>
      <c r="N1542">
        <v>1990.96</v>
      </c>
      <c r="O1542" t="s">
        <v>76</v>
      </c>
      <c r="P1542" t="s">
        <v>83</v>
      </c>
    </row>
    <row r="1543" spans="1:16" x14ac:dyDescent="0.25">
      <c r="A1543">
        <v>1542</v>
      </c>
      <c r="B1543" s="1">
        <v>45760</v>
      </c>
      <c r="C1543" t="s">
        <v>17</v>
      </c>
      <c r="D1543" t="s">
        <v>25</v>
      </c>
      <c r="E1543" t="s">
        <v>31</v>
      </c>
      <c r="F1543" t="s">
        <v>38</v>
      </c>
      <c r="G1543" t="s">
        <v>70</v>
      </c>
      <c r="H1543" t="s">
        <v>73</v>
      </c>
      <c r="I1543">
        <v>2</v>
      </c>
      <c r="J1543">
        <v>1545</v>
      </c>
      <c r="K1543">
        <v>0.1</v>
      </c>
      <c r="L1543">
        <v>2781</v>
      </c>
      <c r="M1543">
        <v>1972.7</v>
      </c>
      <c r="N1543">
        <v>808.3</v>
      </c>
      <c r="O1543" t="s">
        <v>80</v>
      </c>
      <c r="P1543" t="s">
        <v>85</v>
      </c>
    </row>
    <row r="1544" spans="1:16" x14ac:dyDescent="0.25">
      <c r="A1544">
        <v>1543</v>
      </c>
      <c r="B1544" s="1">
        <v>45996</v>
      </c>
      <c r="C1544" t="s">
        <v>22</v>
      </c>
      <c r="D1544" t="s">
        <v>24</v>
      </c>
      <c r="E1544" t="s">
        <v>31</v>
      </c>
      <c r="F1544" t="s">
        <v>50</v>
      </c>
      <c r="G1544" t="s">
        <v>71</v>
      </c>
      <c r="H1544" t="s">
        <v>74</v>
      </c>
      <c r="I1544">
        <v>2</v>
      </c>
      <c r="J1544">
        <v>1983</v>
      </c>
      <c r="K1544">
        <v>0.1</v>
      </c>
      <c r="L1544">
        <v>3569.4</v>
      </c>
      <c r="M1544">
        <v>2455.44</v>
      </c>
      <c r="N1544">
        <v>1113.96</v>
      </c>
      <c r="O1544" t="s">
        <v>80</v>
      </c>
      <c r="P1544" t="s">
        <v>83</v>
      </c>
    </row>
    <row r="1545" spans="1:16" x14ac:dyDescent="0.25">
      <c r="A1545">
        <v>1544</v>
      </c>
      <c r="B1545" s="1">
        <v>45666</v>
      </c>
      <c r="C1545" t="s">
        <v>18</v>
      </c>
      <c r="D1545" t="s">
        <v>26</v>
      </c>
      <c r="E1545" t="s">
        <v>29</v>
      </c>
      <c r="F1545" t="s">
        <v>53</v>
      </c>
      <c r="G1545" t="s">
        <v>71</v>
      </c>
      <c r="H1545" t="s">
        <v>75</v>
      </c>
      <c r="I1545">
        <v>8</v>
      </c>
      <c r="J1545">
        <v>9392</v>
      </c>
      <c r="K1545">
        <v>0.1</v>
      </c>
      <c r="L1545">
        <v>67622.399999999994</v>
      </c>
      <c r="M1545">
        <v>37936.400000000001</v>
      </c>
      <c r="N1545">
        <v>29686</v>
      </c>
      <c r="O1545" t="s">
        <v>78</v>
      </c>
      <c r="P1545" t="s">
        <v>83</v>
      </c>
    </row>
    <row r="1546" spans="1:16" x14ac:dyDescent="0.25">
      <c r="A1546">
        <v>1545</v>
      </c>
      <c r="B1546" s="1">
        <v>45781</v>
      </c>
      <c r="C1546" t="s">
        <v>19</v>
      </c>
      <c r="D1546" t="s">
        <v>26</v>
      </c>
      <c r="E1546" t="s">
        <v>34</v>
      </c>
      <c r="F1546" t="s">
        <v>55</v>
      </c>
      <c r="G1546" t="s">
        <v>70</v>
      </c>
      <c r="H1546" t="s">
        <v>74</v>
      </c>
      <c r="I1546">
        <v>7</v>
      </c>
      <c r="J1546">
        <v>4303</v>
      </c>
      <c r="K1546">
        <v>0.15</v>
      </c>
      <c r="L1546">
        <v>25602.85</v>
      </c>
      <c r="M1546">
        <v>15464.09</v>
      </c>
      <c r="N1546">
        <v>10138.76</v>
      </c>
      <c r="O1546" t="s">
        <v>76</v>
      </c>
      <c r="P1546" t="s">
        <v>82</v>
      </c>
    </row>
    <row r="1547" spans="1:16" x14ac:dyDescent="0.25">
      <c r="A1547">
        <v>1546</v>
      </c>
      <c r="B1547" s="1">
        <v>45812</v>
      </c>
      <c r="C1547" t="s">
        <v>19</v>
      </c>
      <c r="D1547" t="s">
        <v>26</v>
      </c>
      <c r="E1547" t="s">
        <v>30</v>
      </c>
      <c r="F1547" t="s">
        <v>64</v>
      </c>
      <c r="G1547" t="s">
        <v>71</v>
      </c>
      <c r="H1547" t="s">
        <v>74</v>
      </c>
      <c r="I1547">
        <v>8</v>
      </c>
      <c r="J1547">
        <v>15337</v>
      </c>
      <c r="K1547">
        <v>0.05</v>
      </c>
      <c r="L1547">
        <v>116561.2</v>
      </c>
      <c r="M1547">
        <v>94108.49</v>
      </c>
      <c r="N1547">
        <v>22452.71</v>
      </c>
      <c r="O1547" t="s">
        <v>80</v>
      </c>
      <c r="P1547" t="s">
        <v>86</v>
      </c>
    </row>
    <row r="1548" spans="1:16" x14ac:dyDescent="0.25">
      <c r="A1548">
        <v>1547</v>
      </c>
      <c r="B1548" s="1">
        <v>45759</v>
      </c>
      <c r="C1548" t="s">
        <v>21</v>
      </c>
      <c r="D1548" t="s">
        <v>24</v>
      </c>
      <c r="E1548" t="s">
        <v>33</v>
      </c>
      <c r="F1548" t="s">
        <v>46</v>
      </c>
      <c r="G1548" t="s">
        <v>72</v>
      </c>
      <c r="H1548" t="s">
        <v>74</v>
      </c>
      <c r="I1548">
        <v>1</v>
      </c>
      <c r="J1548">
        <v>40777</v>
      </c>
      <c r="K1548">
        <v>0.1</v>
      </c>
      <c r="L1548">
        <v>36699.300000000003</v>
      </c>
      <c r="M1548">
        <v>24334.52</v>
      </c>
      <c r="N1548">
        <v>12364.78</v>
      </c>
      <c r="O1548" t="s">
        <v>76</v>
      </c>
      <c r="P1548" t="s">
        <v>85</v>
      </c>
    </row>
    <row r="1549" spans="1:16" x14ac:dyDescent="0.25">
      <c r="A1549">
        <v>1548</v>
      </c>
      <c r="B1549" s="1">
        <v>45999</v>
      </c>
      <c r="C1549" t="s">
        <v>21</v>
      </c>
      <c r="D1549" t="s">
        <v>24</v>
      </c>
      <c r="E1549" t="s">
        <v>30</v>
      </c>
      <c r="F1549" t="s">
        <v>64</v>
      </c>
      <c r="G1549" t="s">
        <v>71</v>
      </c>
      <c r="H1549" t="s">
        <v>75</v>
      </c>
      <c r="I1549">
        <v>3</v>
      </c>
      <c r="J1549">
        <v>58524</v>
      </c>
      <c r="K1549">
        <v>0</v>
      </c>
      <c r="L1549">
        <v>175572</v>
      </c>
      <c r="M1549">
        <v>99793.25</v>
      </c>
      <c r="N1549">
        <v>75778.75</v>
      </c>
      <c r="O1549" t="s">
        <v>78</v>
      </c>
      <c r="P1549" t="s">
        <v>88</v>
      </c>
    </row>
    <row r="1550" spans="1:16" x14ac:dyDescent="0.25">
      <c r="A1550">
        <v>1549</v>
      </c>
      <c r="B1550" s="1">
        <v>45717</v>
      </c>
      <c r="C1550" t="s">
        <v>21</v>
      </c>
      <c r="D1550" t="s">
        <v>24</v>
      </c>
      <c r="E1550" t="s">
        <v>33</v>
      </c>
      <c r="F1550" t="s">
        <v>46</v>
      </c>
      <c r="G1550" t="s">
        <v>71</v>
      </c>
      <c r="H1550" t="s">
        <v>74</v>
      </c>
      <c r="I1550">
        <v>3</v>
      </c>
      <c r="J1550">
        <v>3975</v>
      </c>
      <c r="K1550">
        <v>0.05</v>
      </c>
      <c r="L1550">
        <v>11328.75</v>
      </c>
      <c r="M1550">
        <v>7411.54</v>
      </c>
      <c r="N1550">
        <v>3917.21</v>
      </c>
      <c r="O1550" t="s">
        <v>76</v>
      </c>
      <c r="P1550" t="s">
        <v>81</v>
      </c>
    </row>
    <row r="1551" spans="1:16" x14ac:dyDescent="0.25">
      <c r="A1551">
        <v>1550</v>
      </c>
      <c r="B1551" s="1">
        <v>45865</v>
      </c>
      <c r="C1551" t="s">
        <v>17</v>
      </c>
      <c r="D1551" t="s">
        <v>25</v>
      </c>
      <c r="E1551" t="s">
        <v>34</v>
      </c>
      <c r="F1551" t="s">
        <v>55</v>
      </c>
      <c r="G1551" t="s">
        <v>71</v>
      </c>
      <c r="H1551" t="s">
        <v>73</v>
      </c>
      <c r="I1551">
        <v>6</v>
      </c>
      <c r="J1551">
        <v>5950</v>
      </c>
      <c r="K1551">
        <v>0.15</v>
      </c>
      <c r="L1551">
        <v>30345</v>
      </c>
      <c r="M1551">
        <v>22738.22</v>
      </c>
      <c r="N1551">
        <v>7606.78</v>
      </c>
      <c r="O1551" t="s">
        <v>77</v>
      </c>
      <c r="P1551" t="s">
        <v>84</v>
      </c>
    </row>
    <row r="1552" spans="1:16" x14ac:dyDescent="0.25">
      <c r="A1552">
        <v>1551</v>
      </c>
      <c r="B1552" s="1">
        <v>45814</v>
      </c>
      <c r="C1552" t="s">
        <v>18</v>
      </c>
      <c r="D1552" t="s">
        <v>26</v>
      </c>
      <c r="E1552" t="s">
        <v>28</v>
      </c>
      <c r="F1552" t="s">
        <v>54</v>
      </c>
      <c r="G1552" t="s">
        <v>71</v>
      </c>
      <c r="H1552" t="s">
        <v>75</v>
      </c>
      <c r="I1552">
        <v>8</v>
      </c>
      <c r="J1552">
        <v>884</v>
      </c>
      <c r="K1552">
        <v>0</v>
      </c>
      <c r="L1552">
        <v>7072</v>
      </c>
      <c r="M1552">
        <v>4161.54</v>
      </c>
      <c r="N1552">
        <v>2910.46</v>
      </c>
      <c r="O1552" t="s">
        <v>77</v>
      </c>
      <c r="P1552" t="s">
        <v>82</v>
      </c>
    </row>
    <row r="1553" spans="1:16" x14ac:dyDescent="0.25">
      <c r="A1553">
        <v>1552</v>
      </c>
      <c r="B1553" s="1">
        <v>45980</v>
      </c>
      <c r="C1553" t="s">
        <v>20</v>
      </c>
      <c r="D1553" t="s">
        <v>26</v>
      </c>
      <c r="E1553" t="s">
        <v>32</v>
      </c>
      <c r="F1553" t="s">
        <v>66</v>
      </c>
      <c r="G1553" t="s">
        <v>71</v>
      </c>
      <c r="H1553" t="s">
        <v>73</v>
      </c>
      <c r="I1553">
        <v>2</v>
      </c>
      <c r="J1553">
        <v>19581</v>
      </c>
      <c r="K1553">
        <v>0</v>
      </c>
      <c r="L1553">
        <v>39162</v>
      </c>
      <c r="M1553">
        <v>30115.74</v>
      </c>
      <c r="N1553">
        <v>9046.26</v>
      </c>
      <c r="O1553" t="s">
        <v>77</v>
      </c>
      <c r="P1553" t="s">
        <v>88</v>
      </c>
    </row>
    <row r="1554" spans="1:16" x14ac:dyDescent="0.25">
      <c r="A1554">
        <v>1553</v>
      </c>
      <c r="B1554" s="1">
        <v>45928</v>
      </c>
      <c r="C1554" t="s">
        <v>22</v>
      </c>
      <c r="D1554" t="s">
        <v>24</v>
      </c>
      <c r="E1554" t="s">
        <v>31</v>
      </c>
      <c r="F1554" t="s">
        <v>47</v>
      </c>
      <c r="G1554" t="s">
        <v>70</v>
      </c>
      <c r="H1554" t="s">
        <v>73</v>
      </c>
      <c r="I1554">
        <v>5</v>
      </c>
      <c r="J1554">
        <v>2207</v>
      </c>
      <c r="K1554">
        <v>0.05</v>
      </c>
      <c r="L1554">
        <v>10483.25</v>
      </c>
      <c r="M1554">
        <v>6576.45</v>
      </c>
      <c r="N1554">
        <v>3906.8</v>
      </c>
      <c r="O1554" t="s">
        <v>77</v>
      </c>
      <c r="P1554" t="s">
        <v>82</v>
      </c>
    </row>
    <row r="1555" spans="1:16" x14ac:dyDescent="0.25">
      <c r="A1555">
        <v>1554</v>
      </c>
      <c r="B1555" s="1">
        <v>45923</v>
      </c>
      <c r="C1555" t="s">
        <v>19</v>
      </c>
      <c r="D1555" t="s">
        <v>26</v>
      </c>
      <c r="E1555" t="s">
        <v>32</v>
      </c>
      <c r="F1555" t="s">
        <v>49</v>
      </c>
      <c r="G1555" t="s">
        <v>70</v>
      </c>
      <c r="H1555" t="s">
        <v>75</v>
      </c>
      <c r="I1555">
        <v>4</v>
      </c>
      <c r="J1555">
        <v>18394</v>
      </c>
      <c r="K1555">
        <v>0.05</v>
      </c>
      <c r="L1555">
        <v>69897.2</v>
      </c>
      <c r="M1555">
        <v>49521.84</v>
      </c>
      <c r="N1555">
        <v>20375.36</v>
      </c>
      <c r="O1555" t="s">
        <v>78</v>
      </c>
      <c r="P1555" t="s">
        <v>82</v>
      </c>
    </row>
    <row r="1556" spans="1:16" x14ac:dyDescent="0.25">
      <c r="A1556">
        <v>1555</v>
      </c>
      <c r="B1556" s="1">
        <v>45789</v>
      </c>
      <c r="C1556" t="s">
        <v>20</v>
      </c>
      <c r="D1556" t="s">
        <v>26</v>
      </c>
      <c r="E1556" t="s">
        <v>29</v>
      </c>
      <c r="F1556" t="s">
        <v>36</v>
      </c>
      <c r="G1556" t="s">
        <v>70</v>
      </c>
      <c r="H1556" t="s">
        <v>75</v>
      </c>
      <c r="I1556">
        <v>3</v>
      </c>
      <c r="J1556">
        <v>5922</v>
      </c>
      <c r="K1556">
        <v>0.05</v>
      </c>
      <c r="L1556">
        <v>16877.7</v>
      </c>
      <c r="M1556">
        <v>13593.07</v>
      </c>
      <c r="N1556">
        <v>3284.63</v>
      </c>
      <c r="O1556" t="s">
        <v>79</v>
      </c>
      <c r="P1556" t="s">
        <v>85</v>
      </c>
    </row>
    <row r="1557" spans="1:16" x14ac:dyDescent="0.25">
      <c r="A1557">
        <v>1556</v>
      </c>
      <c r="B1557" s="1">
        <v>45728</v>
      </c>
      <c r="C1557" t="s">
        <v>18</v>
      </c>
      <c r="D1557" t="s">
        <v>26</v>
      </c>
      <c r="E1557" t="s">
        <v>28</v>
      </c>
      <c r="F1557" t="s">
        <v>54</v>
      </c>
      <c r="G1557" t="s">
        <v>70</v>
      </c>
      <c r="H1557" t="s">
        <v>75</v>
      </c>
      <c r="I1557">
        <v>5</v>
      </c>
      <c r="J1557">
        <v>295</v>
      </c>
      <c r="K1557">
        <v>0</v>
      </c>
      <c r="L1557">
        <v>1475</v>
      </c>
      <c r="M1557">
        <v>1017.17</v>
      </c>
      <c r="N1557">
        <v>457.83</v>
      </c>
      <c r="O1557" t="s">
        <v>76</v>
      </c>
      <c r="P1557" t="s">
        <v>85</v>
      </c>
    </row>
    <row r="1558" spans="1:16" x14ac:dyDescent="0.25">
      <c r="A1558">
        <v>1557</v>
      </c>
      <c r="B1558" s="1">
        <v>45778</v>
      </c>
      <c r="C1558" t="s">
        <v>22</v>
      </c>
      <c r="D1558" t="s">
        <v>24</v>
      </c>
      <c r="E1558" t="s">
        <v>34</v>
      </c>
      <c r="F1558" t="s">
        <v>68</v>
      </c>
      <c r="G1558" t="s">
        <v>72</v>
      </c>
      <c r="H1558" t="s">
        <v>74</v>
      </c>
      <c r="I1558">
        <v>6</v>
      </c>
      <c r="J1558">
        <v>2753</v>
      </c>
      <c r="K1558">
        <v>0.15</v>
      </c>
      <c r="L1558">
        <v>14040.3</v>
      </c>
      <c r="M1558">
        <v>9119.66</v>
      </c>
      <c r="N1558">
        <v>4920.6400000000003</v>
      </c>
      <c r="O1558" t="s">
        <v>80</v>
      </c>
      <c r="P1558" t="s">
        <v>87</v>
      </c>
    </row>
    <row r="1559" spans="1:16" x14ac:dyDescent="0.25">
      <c r="A1559">
        <v>1558</v>
      </c>
      <c r="B1559" s="1">
        <v>45709</v>
      </c>
      <c r="C1559" t="s">
        <v>20</v>
      </c>
      <c r="D1559" t="s">
        <v>26</v>
      </c>
      <c r="E1559" t="s">
        <v>28</v>
      </c>
      <c r="F1559" t="s">
        <v>58</v>
      </c>
      <c r="G1559" t="s">
        <v>71</v>
      </c>
      <c r="H1559" t="s">
        <v>74</v>
      </c>
      <c r="I1559">
        <v>3</v>
      </c>
      <c r="J1559">
        <v>1308</v>
      </c>
      <c r="K1559">
        <v>0.15</v>
      </c>
      <c r="L1559">
        <v>3335.4</v>
      </c>
      <c r="M1559">
        <v>2176.2600000000002</v>
      </c>
      <c r="N1559">
        <v>1159.1400000000001</v>
      </c>
      <c r="O1559" t="s">
        <v>77</v>
      </c>
      <c r="P1559" t="s">
        <v>87</v>
      </c>
    </row>
    <row r="1560" spans="1:16" x14ac:dyDescent="0.25">
      <c r="A1560">
        <v>1559</v>
      </c>
      <c r="B1560" s="1">
        <v>45934</v>
      </c>
      <c r="C1560" t="s">
        <v>16</v>
      </c>
      <c r="D1560" t="s">
        <v>24</v>
      </c>
      <c r="E1560" t="s">
        <v>28</v>
      </c>
      <c r="F1560" t="s">
        <v>61</v>
      </c>
      <c r="G1560" t="s">
        <v>71</v>
      </c>
      <c r="H1560" t="s">
        <v>75</v>
      </c>
      <c r="I1560">
        <v>4</v>
      </c>
      <c r="J1560">
        <v>2212</v>
      </c>
      <c r="K1560">
        <v>0.1</v>
      </c>
      <c r="L1560">
        <v>7963.2</v>
      </c>
      <c r="M1560">
        <v>4940.1099999999997</v>
      </c>
      <c r="N1560">
        <v>3023.09</v>
      </c>
      <c r="O1560" t="s">
        <v>79</v>
      </c>
      <c r="P1560" t="s">
        <v>85</v>
      </c>
    </row>
    <row r="1561" spans="1:16" x14ac:dyDescent="0.25">
      <c r="A1561">
        <v>1560</v>
      </c>
      <c r="B1561" s="1">
        <v>45780</v>
      </c>
      <c r="C1561" t="s">
        <v>20</v>
      </c>
      <c r="D1561" t="s">
        <v>26</v>
      </c>
      <c r="E1561" t="s">
        <v>28</v>
      </c>
      <c r="F1561" t="s">
        <v>58</v>
      </c>
      <c r="G1561" t="s">
        <v>70</v>
      </c>
      <c r="H1561" t="s">
        <v>73</v>
      </c>
      <c r="I1561">
        <v>6</v>
      </c>
      <c r="J1561">
        <v>1854</v>
      </c>
      <c r="K1561">
        <v>0.2</v>
      </c>
      <c r="L1561">
        <v>8899.2000000000007</v>
      </c>
      <c r="M1561">
        <v>7554.02</v>
      </c>
      <c r="N1561">
        <v>1345.18</v>
      </c>
      <c r="O1561" t="s">
        <v>80</v>
      </c>
      <c r="P1561" t="s">
        <v>81</v>
      </c>
    </row>
    <row r="1562" spans="1:16" x14ac:dyDescent="0.25">
      <c r="A1562">
        <v>1561</v>
      </c>
      <c r="B1562" s="1">
        <v>45989</v>
      </c>
      <c r="C1562" t="s">
        <v>20</v>
      </c>
      <c r="D1562" t="s">
        <v>26</v>
      </c>
      <c r="E1562" t="s">
        <v>30</v>
      </c>
      <c r="F1562" t="s">
        <v>56</v>
      </c>
      <c r="G1562" t="s">
        <v>70</v>
      </c>
      <c r="H1562" t="s">
        <v>73</v>
      </c>
      <c r="I1562">
        <v>5</v>
      </c>
      <c r="J1562">
        <v>62937</v>
      </c>
      <c r="K1562">
        <v>0</v>
      </c>
      <c r="L1562">
        <v>314685</v>
      </c>
      <c r="M1562">
        <v>249960.69</v>
      </c>
      <c r="N1562">
        <v>64724.31</v>
      </c>
      <c r="O1562" t="s">
        <v>78</v>
      </c>
      <c r="P1562" t="s">
        <v>81</v>
      </c>
    </row>
    <row r="1563" spans="1:16" x14ac:dyDescent="0.25">
      <c r="A1563">
        <v>1562</v>
      </c>
      <c r="B1563" s="1">
        <v>45931</v>
      </c>
      <c r="C1563" t="s">
        <v>22</v>
      </c>
      <c r="D1563" t="s">
        <v>24</v>
      </c>
      <c r="E1563" t="s">
        <v>33</v>
      </c>
      <c r="F1563" t="s">
        <v>52</v>
      </c>
      <c r="G1563" t="s">
        <v>70</v>
      </c>
      <c r="H1563" t="s">
        <v>74</v>
      </c>
      <c r="I1563">
        <v>6</v>
      </c>
      <c r="J1563">
        <v>15909</v>
      </c>
      <c r="K1563">
        <v>0.05</v>
      </c>
      <c r="L1563">
        <v>90681.3</v>
      </c>
      <c r="M1563">
        <v>64804.93</v>
      </c>
      <c r="N1563">
        <v>25876.37</v>
      </c>
      <c r="O1563" t="s">
        <v>77</v>
      </c>
      <c r="P1563" t="s">
        <v>87</v>
      </c>
    </row>
    <row r="1564" spans="1:16" x14ac:dyDescent="0.25">
      <c r="A1564">
        <v>1563</v>
      </c>
      <c r="B1564" s="1">
        <v>45867</v>
      </c>
      <c r="C1564" t="s">
        <v>23</v>
      </c>
      <c r="D1564" t="s">
        <v>27</v>
      </c>
      <c r="E1564" t="s">
        <v>32</v>
      </c>
      <c r="F1564" t="s">
        <v>66</v>
      </c>
      <c r="G1564" t="s">
        <v>71</v>
      </c>
      <c r="H1564" t="s">
        <v>73</v>
      </c>
      <c r="I1564">
        <v>6</v>
      </c>
      <c r="J1564">
        <v>11717</v>
      </c>
      <c r="K1564">
        <v>0.05</v>
      </c>
      <c r="L1564">
        <v>66786.899999999994</v>
      </c>
      <c r="M1564">
        <v>42776.24</v>
      </c>
      <c r="N1564">
        <v>24010.66</v>
      </c>
      <c r="O1564" t="s">
        <v>80</v>
      </c>
      <c r="P1564" t="s">
        <v>82</v>
      </c>
    </row>
    <row r="1565" spans="1:16" x14ac:dyDescent="0.25">
      <c r="A1565">
        <v>1564</v>
      </c>
      <c r="B1565" s="1">
        <v>45782</v>
      </c>
      <c r="C1565" t="s">
        <v>21</v>
      </c>
      <c r="D1565" t="s">
        <v>24</v>
      </c>
      <c r="E1565" t="s">
        <v>34</v>
      </c>
      <c r="F1565" t="s">
        <v>68</v>
      </c>
      <c r="G1565" t="s">
        <v>72</v>
      </c>
      <c r="H1565" t="s">
        <v>75</v>
      </c>
      <c r="I1565">
        <v>3</v>
      </c>
      <c r="J1565">
        <v>2856</v>
      </c>
      <c r="K1565">
        <v>0.1</v>
      </c>
      <c r="L1565">
        <v>7711.2</v>
      </c>
      <c r="M1565">
        <v>6029.48</v>
      </c>
      <c r="N1565">
        <v>1681.72</v>
      </c>
      <c r="O1565" t="s">
        <v>76</v>
      </c>
      <c r="P1565" t="s">
        <v>88</v>
      </c>
    </row>
    <row r="1566" spans="1:16" x14ac:dyDescent="0.25">
      <c r="A1566">
        <v>1565</v>
      </c>
      <c r="B1566" s="1">
        <v>45877</v>
      </c>
      <c r="C1566" t="s">
        <v>20</v>
      </c>
      <c r="D1566" t="s">
        <v>26</v>
      </c>
      <c r="E1566" t="s">
        <v>34</v>
      </c>
      <c r="F1566" t="s">
        <v>68</v>
      </c>
      <c r="G1566" t="s">
        <v>72</v>
      </c>
      <c r="H1566" t="s">
        <v>74</v>
      </c>
      <c r="I1566">
        <v>2</v>
      </c>
      <c r="J1566">
        <v>314</v>
      </c>
      <c r="K1566">
        <v>0.1</v>
      </c>
      <c r="L1566">
        <v>565.20000000000005</v>
      </c>
      <c r="M1566">
        <v>455.69</v>
      </c>
      <c r="N1566">
        <v>109.51</v>
      </c>
      <c r="O1566" t="s">
        <v>80</v>
      </c>
      <c r="P1566" t="s">
        <v>86</v>
      </c>
    </row>
    <row r="1567" spans="1:16" x14ac:dyDescent="0.25">
      <c r="A1567">
        <v>1566</v>
      </c>
      <c r="B1567" s="1">
        <v>45740</v>
      </c>
      <c r="C1567" t="s">
        <v>20</v>
      </c>
      <c r="D1567" t="s">
        <v>26</v>
      </c>
      <c r="E1567" t="s">
        <v>29</v>
      </c>
      <c r="F1567" t="s">
        <v>42</v>
      </c>
      <c r="G1567" t="s">
        <v>72</v>
      </c>
      <c r="H1567" t="s">
        <v>74</v>
      </c>
      <c r="I1567">
        <v>1</v>
      </c>
      <c r="J1567">
        <v>4783</v>
      </c>
      <c r="K1567">
        <v>0.05</v>
      </c>
      <c r="L1567">
        <v>4543.8500000000004</v>
      </c>
      <c r="M1567">
        <v>3254.47</v>
      </c>
      <c r="N1567">
        <v>1289.3800000000001</v>
      </c>
      <c r="O1567" t="s">
        <v>80</v>
      </c>
      <c r="P1567" t="s">
        <v>86</v>
      </c>
    </row>
    <row r="1568" spans="1:16" x14ac:dyDescent="0.25">
      <c r="A1568">
        <v>1567</v>
      </c>
      <c r="B1568" s="1">
        <v>45988</v>
      </c>
      <c r="C1568" t="s">
        <v>20</v>
      </c>
      <c r="D1568" t="s">
        <v>26</v>
      </c>
      <c r="E1568" t="s">
        <v>31</v>
      </c>
      <c r="F1568" t="s">
        <v>50</v>
      </c>
      <c r="G1568" t="s">
        <v>71</v>
      </c>
      <c r="H1568" t="s">
        <v>73</v>
      </c>
      <c r="I1568">
        <v>4</v>
      </c>
      <c r="J1568">
        <v>1571</v>
      </c>
      <c r="K1568">
        <v>0.05</v>
      </c>
      <c r="L1568">
        <v>5969.8</v>
      </c>
      <c r="M1568">
        <v>4868.3599999999997</v>
      </c>
      <c r="N1568">
        <v>1101.44</v>
      </c>
      <c r="O1568" t="s">
        <v>78</v>
      </c>
      <c r="P1568" t="s">
        <v>83</v>
      </c>
    </row>
    <row r="1569" spans="1:16" x14ac:dyDescent="0.25">
      <c r="A1569">
        <v>1568</v>
      </c>
      <c r="B1569" s="1">
        <v>45698</v>
      </c>
      <c r="C1569" t="s">
        <v>18</v>
      </c>
      <c r="D1569" t="s">
        <v>26</v>
      </c>
      <c r="E1569" t="s">
        <v>33</v>
      </c>
      <c r="F1569" t="s">
        <v>41</v>
      </c>
      <c r="G1569" t="s">
        <v>72</v>
      </c>
      <c r="H1569" t="s">
        <v>74</v>
      </c>
      <c r="I1569">
        <v>8</v>
      </c>
      <c r="J1569">
        <v>15578</v>
      </c>
      <c r="K1569">
        <v>0.15</v>
      </c>
      <c r="L1569">
        <v>105930.4</v>
      </c>
      <c r="M1569">
        <v>72395.009999999995</v>
      </c>
      <c r="N1569">
        <v>33535.39</v>
      </c>
      <c r="O1569" t="s">
        <v>76</v>
      </c>
      <c r="P1569" t="s">
        <v>87</v>
      </c>
    </row>
    <row r="1570" spans="1:16" x14ac:dyDescent="0.25">
      <c r="A1570">
        <v>1569</v>
      </c>
      <c r="B1570" s="1">
        <v>45694</v>
      </c>
      <c r="C1570" t="s">
        <v>22</v>
      </c>
      <c r="D1570" t="s">
        <v>24</v>
      </c>
      <c r="E1570" t="s">
        <v>29</v>
      </c>
      <c r="F1570" t="s">
        <v>45</v>
      </c>
      <c r="G1570" t="s">
        <v>72</v>
      </c>
      <c r="H1570" t="s">
        <v>73</v>
      </c>
      <c r="I1570">
        <v>1</v>
      </c>
      <c r="J1570">
        <v>3318</v>
      </c>
      <c r="K1570">
        <v>0.1</v>
      </c>
      <c r="L1570">
        <v>2986.2</v>
      </c>
      <c r="M1570">
        <v>1940.46</v>
      </c>
      <c r="N1570">
        <v>1045.74</v>
      </c>
      <c r="O1570" t="s">
        <v>80</v>
      </c>
      <c r="P1570" t="s">
        <v>81</v>
      </c>
    </row>
    <row r="1571" spans="1:16" x14ac:dyDescent="0.25">
      <c r="A1571">
        <v>1570</v>
      </c>
      <c r="B1571" s="1">
        <v>45920</v>
      </c>
      <c r="C1571" t="s">
        <v>17</v>
      </c>
      <c r="D1571" t="s">
        <v>25</v>
      </c>
      <c r="E1571" t="s">
        <v>31</v>
      </c>
      <c r="F1571" t="s">
        <v>38</v>
      </c>
      <c r="G1571" t="s">
        <v>70</v>
      </c>
      <c r="H1571" t="s">
        <v>73</v>
      </c>
      <c r="I1571">
        <v>6</v>
      </c>
      <c r="J1571">
        <v>701</v>
      </c>
      <c r="K1571">
        <v>0</v>
      </c>
      <c r="L1571">
        <v>4206</v>
      </c>
      <c r="M1571">
        <v>3182.25</v>
      </c>
      <c r="N1571">
        <v>1023.75</v>
      </c>
      <c r="O1571" t="s">
        <v>78</v>
      </c>
      <c r="P1571" t="s">
        <v>82</v>
      </c>
    </row>
    <row r="1572" spans="1:16" x14ac:dyDescent="0.25">
      <c r="A1572">
        <v>1571</v>
      </c>
      <c r="B1572" s="1">
        <v>45954</v>
      </c>
      <c r="C1572" t="s">
        <v>22</v>
      </c>
      <c r="D1572" t="s">
        <v>24</v>
      </c>
      <c r="E1572" t="s">
        <v>31</v>
      </c>
      <c r="F1572" t="s">
        <v>47</v>
      </c>
      <c r="G1572" t="s">
        <v>70</v>
      </c>
      <c r="H1572" t="s">
        <v>74</v>
      </c>
      <c r="I1572">
        <v>1</v>
      </c>
      <c r="J1572">
        <v>652</v>
      </c>
      <c r="K1572">
        <v>0.15</v>
      </c>
      <c r="L1572">
        <v>554.20000000000005</v>
      </c>
      <c r="M1572">
        <v>356.67</v>
      </c>
      <c r="N1572">
        <v>197.53</v>
      </c>
      <c r="O1572" t="s">
        <v>79</v>
      </c>
      <c r="P1572" t="s">
        <v>83</v>
      </c>
    </row>
    <row r="1573" spans="1:16" x14ac:dyDescent="0.25">
      <c r="A1573">
        <v>1572</v>
      </c>
      <c r="B1573" s="1">
        <v>45928</v>
      </c>
      <c r="C1573" t="s">
        <v>19</v>
      </c>
      <c r="D1573" t="s">
        <v>26</v>
      </c>
      <c r="E1573" t="s">
        <v>29</v>
      </c>
      <c r="F1573" t="s">
        <v>53</v>
      </c>
      <c r="G1573" t="s">
        <v>72</v>
      </c>
      <c r="H1573" t="s">
        <v>75</v>
      </c>
      <c r="I1573">
        <v>2</v>
      </c>
      <c r="J1573">
        <v>9411</v>
      </c>
      <c r="K1573">
        <v>0.15</v>
      </c>
      <c r="L1573">
        <v>15998.7</v>
      </c>
      <c r="M1573">
        <v>12589.06</v>
      </c>
      <c r="N1573">
        <v>3409.64</v>
      </c>
      <c r="O1573" t="s">
        <v>76</v>
      </c>
      <c r="P1573" t="s">
        <v>81</v>
      </c>
    </row>
    <row r="1574" spans="1:16" x14ac:dyDescent="0.25">
      <c r="A1574">
        <v>1573</v>
      </c>
      <c r="B1574" s="1">
        <v>45884</v>
      </c>
      <c r="C1574" t="s">
        <v>21</v>
      </c>
      <c r="D1574" t="s">
        <v>24</v>
      </c>
      <c r="E1574" t="s">
        <v>29</v>
      </c>
      <c r="F1574" t="s">
        <v>42</v>
      </c>
      <c r="G1574" t="s">
        <v>70</v>
      </c>
      <c r="H1574" t="s">
        <v>75</v>
      </c>
      <c r="I1574">
        <v>2</v>
      </c>
      <c r="J1574">
        <v>10484</v>
      </c>
      <c r="K1574">
        <v>0.1</v>
      </c>
      <c r="L1574">
        <v>18871.2</v>
      </c>
      <c r="M1574">
        <v>12290.72</v>
      </c>
      <c r="N1574">
        <v>6580.48</v>
      </c>
      <c r="O1574" t="s">
        <v>76</v>
      </c>
      <c r="P1574" t="s">
        <v>86</v>
      </c>
    </row>
    <row r="1575" spans="1:16" x14ac:dyDescent="0.25">
      <c r="A1575">
        <v>1574</v>
      </c>
      <c r="B1575" s="1">
        <v>45859</v>
      </c>
      <c r="C1575" t="s">
        <v>20</v>
      </c>
      <c r="D1575" t="s">
        <v>26</v>
      </c>
      <c r="E1575" t="s">
        <v>31</v>
      </c>
      <c r="F1575" t="s">
        <v>50</v>
      </c>
      <c r="G1575" t="s">
        <v>72</v>
      </c>
      <c r="H1575" t="s">
        <v>74</v>
      </c>
      <c r="I1575">
        <v>5</v>
      </c>
      <c r="J1575">
        <v>976</v>
      </c>
      <c r="K1575">
        <v>0.05</v>
      </c>
      <c r="L1575">
        <v>4636</v>
      </c>
      <c r="M1575">
        <v>3670.89</v>
      </c>
      <c r="N1575">
        <v>965.11</v>
      </c>
      <c r="O1575" t="s">
        <v>80</v>
      </c>
      <c r="P1575" t="s">
        <v>87</v>
      </c>
    </row>
    <row r="1576" spans="1:16" x14ac:dyDescent="0.25">
      <c r="A1576">
        <v>1575</v>
      </c>
      <c r="B1576" s="1">
        <v>45786</v>
      </c>
      <c r="C1576" t="s">
        <v>23</v>
      </c>
      <c r="D1576" t="s">
        <v>27</v>
      </c>
      <c r="E1576" t="s">
        <v>28</v>
      </c>
      <c r="F1576" t="s">
        <v>54</v>
      </c>
      <c r="G1576" t="s">
        <v>71</v>
      </c>
      <c r="H1576" t="s">
        <v>73</v>
      </c>
      <c r="I1576">
        <v>1</v>
      </c>
      <c r="J1576">
        <v>2496</v>
      </c>
      <c r="K1576">
        <v>0</v>
      </c>
      <c r="L1576">
        <v>2496</v>
      </c>
      <c r="M1576">
        <v>1547.99</v>
      </c>
      <c r="N1576">
        <v>948.01</v>
      </c>
      <c r="O1576" t="s">
        <v>80</v>
      </c>
      <c r="P1576" t="s">
        <v>85</v>
      </c>
    </row>
    <row r="1577" spans="1:16" x14ac:dyDescent="0.25">
      <c r="A1577">
        <v>1576</v>
      </c>
      <c r="B1577" s="1">
        <v>45974</v>
      </c>
      <c r="C1577" t="s">
        <v>20</v>
      </c>
      <c r="D1577" t="s">
        <v>26</v>
      </c>
      <c r="E1577" t="s">
        <v>30</v>
      </c>
      <c r="F1577" t="s">
        <v>40</v>
      </c>
      <c r="G1577" t="s">
        <v>72</v>
      </c>
      <c r="H1577" t="s">
        <v>73</v>
      </c>
      <c r="I1577">
        <v>5</v>
      </c>
      <c r="J1577">
        <v>22950</v>
      </c>
      <c r="K1577">
        <v>0.1</v>
      </c>
      <c r="L1577">
        <v>103275</v>
      </c>
      <c r="M1577">
        <v>84235.520000000004</v>
      </c>
      <c r="N1577">
        <v>19039.48</v>
      </c>
      <c r="O1577" t="s">
        <v>79</v>
      </c>
      <c r="P1577" t="s">
        <v>87</v>
      </c>
    </row>
    <row r="1578" spans="1:16" x14ac:dyDescent="0.25">
      <c r="A1578">
        <v>1577</v>
      </c>
      <c r="B1578" s="1">
        <v>45990</v>
      </c>
      <c r="C1578" t="s">
        <v>17</v>
      </c>
      <c r="D1578" t="s">
        <v>25</v>
      </c>
      <c r="E1578" t="s">
        <v>30</v>
      </c>
      <c r="F1578" t="s">
        <v>44</v>
      </c>
      <c r="G1578" t="s">
        <v>70</v>
      </c>
      <c r="H1578" t="s">
        <v>73</v>
      </c>
      <c r="I1578">
        <v>6</v>
      </c>
      <c r="J1578">
        <v>39974</v>
      </c>
      <c r="K1578">
        <v>0.15</v>
      </c>
      <c r="L1578">
        <v>203867.4</v>
      </c>
      <c r="M1578">
        <v>161155.4</v>
      </c>
      <c r="N1578">
        <v>42712</v>
      </c>
      <c r="O1578" t="s">
        <v>79</v>
      </c>
      <c r="P1578" t="s">
        <v>85</v>
      </c>
    </row>
    <row r="1579" spans="1:16" x14ac:dyDescent="0.25">
      <c r="A1579">
        <v>1578</v>
      </c>
      <c r="B1579" s="1">
        <v>45689</v>
      </c>
      <c r="C1579" t="s">
        <v>22</v>
      </c>
      <c r="D1579" t="s">
        <v>24</v>
      </c>
      <c r="E1579" t="s">
        <v>29</v>
      </c>
      <c r="F1579" t="s">
        <v>42</v>
      </c>
      <c r="G1579" t="s">
        <v>71</v>
      </c>
      <c r="H1579" t="s">
        <v>73</v>
      </c>
      <c r="I1579">
        <v>3</v>
      </c>
      <c r="J1579">
        <v>3654</v>
      </c>
      <c r="K1579">
        <v>0.1</v>
      </c>
      <c r="L1579">
        <v>9865.7999999999993</v>
      </c>
      <c r="M1579">
        <v>7298.5</v>
      </c>
      <c r="N1579">
        <v>2567.3000000000002</v>
      </c>
      <c r="O1579" t="s">
        <v>80</v>
      </c>
      <c r="P1579" t="s">
        <v>83</v>
      </c>
    </row>
    <row r="1580" spans="1:16" x14ac:dyDescent="0.25">
      <c r="A1580">
        <v>1579</v>
      </c>
      <c r="B1580" s="1">
        <v>45849</v>
      </c>
      <c r="C1580" t="s">
        <v>17</v>
      </c>
      <c r="D1580" t="s">
        <v>25</v>
      </c>
      <c r="E1580" t="s">
        <v>32</v>
      </c>
      <c r="F1580" t="s">
        <v>66</v>
      </c>
      <c r="G1580" t="s">
        <v>70</v>
      </c>
      <c r="H1580" t="s">
        <v>73</v>
      </c>
      <c r="I1580">
        <v>4</v>
      </c>
      <c r="J1580">
        <v>10611</v>
      </c>
      <c r="K1580">
        <v>0.1</v>
      </c>
      <c r="L1580">
        <v>38199.599999999999</v>
      </c>
      <c r="M1580">
        <v>27397.9</v>
      </c>
      <c r="N1580">
        <v>10801.7</v>
      </c>
      <c r="O1580" t="s">
        <v>78</v>
      </c>
      <c r="P1580" t="s">
        <v>81</v>
      </c>
    </row>
    <row r="1581" spans="1:16" x14ac:dyDescent="0.25">
      <c r="A1581">
        <v>1580</v>
      </c>
      <c r="B1581" s="1">
        <v>45745</v>
      </c>
      <c r="C1581" t="s">
        <v>19</v>
      </c>
      <c r="D1581" t="s">
        <v>26</v>
      </c>
      <c r="E1581" t="s">
        <v>30</v>
      </c>
      <c r="F1581" t="s">
        <v>56</v>
      </c>
      <c r="G1581" t="s">
        <v>72</v>
      </c>
      <c r="H1581" t="s">
        <v>73</v>
      </c>
      <c r="I1581">
        <v>4</v>
      </c>
      <c r="J1581">
        <v>30192</v>
      </c>
      <c r="K1581">
        <v>0</v>
      </c>
      <c r="L1581">
        <v>120768</v>
      </c>
      <c r="M1581">
        <v>95948.32</v>
      </c>
      <c r="N1581">
        <v>24819.68</v>
      </c>
      <c r="O1581" t="s">
        <v>77</v>
      </c>
      <c r="P1581" t="s">
        <v>85</v>
      </c>
    </row>
    <row r="1582" spans="1:16" x14ac:dyDescent="0.25">
      <c r="A1582">
        <v>1581</v>
      </c>
      <c r="B1582" s="1">
        <v>45701</v>
      </c>
      <c r="C1582" t="s">
        <v>22</v>
      </c>
      <c r="D1582" t="s">
        <v>24</v>
      </c>
      <c r="E1582" t="s">
        <v>30</v>
      </c>
      <c r="F1582" t="s">
        <v>40</v>
      </c>
      <c r="G1582" t="s">
        <v>71</v>
      </c>
      <c r="H1582" t="s">
        <v>74</v>
      </c>
      <c r="I1582">
        <v>8</v>
      </c>
      <c r="J1582">
        <v>26064</v>
      </c>
      <c r="K1582">
        <v>0</v>
      </c>
      <c r="L1582">
        <v>208512</v>
      </c>
      <c r="M1582">
        <v>172383.1</v>
      </c>
      <c r="N1582">
        <v>36128.9</v>
      </c>
      <c r="O1582" t="s">
        <v>78</v>
      </c>
      <c r="P1582" t="s">
        <v>87</v>
      </c>
    </row>
    <row r="1583" spans="1:16" x14ac:dyDescent="0.25">
      <c r="A1583">
        <v>1582</v>
      </c>
      <c r="B1583" s="1">
        <v>45681</v>
      </c>
      <c r="C1583" t="s">
        <v>19</v>
      </c>
      <c r="D1583" t="s">
        <v>26</v>
      </c>
      <c r="E1583" t="s">
        <v>28</v>
      </c>
      <c r="F1583" t="s">
        <v>54</v>
      </c>
      <c r="G1583" t="s">
        <v>71</v>
      </c>
      <c r="H1583" t="s">
        <v>73</v>
      </c>
      <c r="I1583">
        <v>1</v>
      </c>
      <c r="J1583">
        <v>2002</v>
      </c>
      <c r="K1583">
        <v>0</v>
      </c>
      <c r="L1583">
        <v>2002</v>
      </c>
      <c r="M1583">
        <v>1347.04</v>
      </c>
      <c r="N1583">
        <v>654.96</v>
      </c>
      <c r="O1583" t="s">
        <v>76</v>
      </c>
      <c r="P1583" t="s">
        <v>85</v>
      </c>
    </row>
    <row r="1584" spans="1:16" x14ac:dyDescent="0.25">
      <c r="A1584">
        <v>1583</v>
      </c>
      <c r="B1584" s="1">
        <v>45778</v>
      </c>
      <c r="C1584" t="s">
        <v>20</v>
      </c>
      <c r="D1584" t="s">
        <v>26</v>
      </c>
      <c r="E1584" t="s">
        <v>28</v>
      </c>
      <c r="F1584" t="s">
        <v>54</v>
      </c>
      <c r="G1584" t="s">
        <v>72</v>
      </c>
      <c r="H1584" t="s">
        <v>73</v>
      </c>
      <c r="I1584">
        <v>8</v>
      </c>
      <c r="J1584">
        <v>1313</v>
      </c>
      <c r="K1584">
        <v>0.1</v>
      </c>
      <c r="L1584">
        <v>9453.6</v>
      </c>
      <c r="M1584">
        <v>5449.01</v>
      </c>
      <c r="N1584">
        <v>4004.59</v>
      </c>
      <c r="O1584" t="s">
        <v>77</v>
      </c>
      <c r="P1584" t="s">
        <v>83</v>
      </c>
    </row>
    <row r="1585" spans="1:16" x14ac:dyDescent="0.25">
      <c r="A1585">
        <v>1584</v>
      </c>
      <c r="B1585" s="1">
        <v>45744</v>
      </c>
      <c r="C1585" t="s">
        <v>16</v>
      </c>
      <c r="D1585" t="s">
        <v>24</v>
      </c>
      <c r="E1585" t="s">
        <v>31</v>
      </c>
      <c r="F1585" t="s">
        <v>38</v>
      </c>
      <c r="G1585" t="s">
        <v>72</v>
      </c>
      <c r="H1585" t="s">
        <v>75</v>
      </c>
      <c r="I1585">
        <v>2</v>
      </c>
      <c r="J1585">
        <v>2308</v>
      </c>
      <c r="K1585">
        <v>0.05</v>
      </c>
      <c r="L1585">
        <v>4385.2</v>
      </c>
      <c r="M1585">
        <v>3594.8</v>
      </c>
      <c r="N1585">
        <v>790.4</v>
      </c>
      <c r="O1585" t="s">
        <v>80</v>
      </c>
      <c r="P1585" t="s">
        <v>83</v>
      </c>
    </row>
    <row r="1586" spans="1:16" x14ac:dyDescent="0.25">
      <c r="A1586">
        <v>1585</v>
      </c>
      <c r="B1586" s="1">
        <v>45848</v>
      </c>
      <c r="C1586" t="s">
        <v>17</v>
      </c>
      <c r="D1586" t="s">
        <v>25</v>
      </c>
      <c r="E1586" t="s">
        <v>34</v>
      </c>
      <c r="F1586" t="s">
        <v>51</v>
      </c>
      <c r="G1586" t="s">
        <v>71</v>
      </c>
      <c r="H1586" t="s">
        <v>75</v>
      </c>
      <c r="I1586">
        <v>3</v>
      </c>
      <c r="J1586">
        <v>5611</v>
      </c>
      <c r="K1586">
        <v>0.2</v>
      </c>
      <c r="L1586">
        <v>13466.4</v>
      </c>
      <c r="M1586">
        <v>8476.3700000000008</v>
      </c>
      <c r="N1586">
        <v>4990.03</v>
      </c>
      <c r="O1586" t="s">
        <v>76</v>
      </c>
      <c r="P1586" t="s">
        <v>84</v>
      </c>
    </row>
    <row r="1587" spans="1:16" x14ac:dyDescent="0.25">
      <c r="A1587">
        <v>1586</v>
      </c>
      <c r="B1587" s="1">
        <v>45768</v>
      </c>
      <c r="C1587" t="s">
        <v>19</v>
      </c>
      <c r="D1587" t="s">
        <v>26</v>
      </c>
      <c r="E1587" t="s">
        <v>32</v>
      </c>
      <c r="F1587" t="s">
        <v>66</v>
      </c>
      <c r="G1587" t="s">
        <v>71</v>
      </c>
      <c r="H1587" t="s">
        <v>73</v>
      </c>
      <c r="I1587">
        <v>5</v>
      </c>
      <c r="J1587">
        <v>14799</v>
      </c>
      <c r="K1587">
        <v>0.05</v>
      </c>
      <c r="L1587">
        <v>70295.25</v>
      </c>
      <c r="M1587">
        <v>58688.87</v>
      </c>
      <c r="N1587">
        <v>11606.38</v>
      </c>
      <c r="O1587" t="s">
        <v>78</v>
      </c>
      <c r="P1587" t="s">
        <v>84</v>
      </c>
    </row>
    <row r="1588" spans="1:16" x14ac:dyDescent="0.25">
      <c r="A1588">
        <v>1587</v>
      </c>
      <c r="B1588" s="1">
        <v>45932</v>
      </c>
      <c r="C1588" t="s">
        <v>23</v>
      </c>
      <c r="D1588" t="s">
        <v>27</v>
      </c>
      <c r="E1588" t="s">
        <v>34</v>
      </c>
      <c r="F1588" t="s">
        <v>55</v>
      </c>
      <c r="G1588" t="s">
        <v>72</v>
      </c>
      <c r="H1588" t="s">
        <v>74</v>
      </c>
      <c r="I1588">
        <v>7</v>
      </c>
      <c r="J1588">
        <v>5171</v>
      </c>
      <c r="K1588">
        <v>0</v>
      </c>
      <c r="L1588">
        <v>36197</v>
      </c>
      <c r="M1588">
        <v>20118.02</v>
      </c>
      <c r="N1588">
        <v>16078.98</v>
      </c>
      <c r="O1588" t="s">
        <v>80</v>
      </c>
      <c r="P1588" t="s">
        <v>84</v>
      </c>
    </row>
    <row r="1589" spans="1:16" x14ac:dyDescent="0.25">
      <c r="A1589">
        <v>1588</v>
      </c>
      <c r="B1589" s="1">
        <v>45925</v>
      </c>
      <c r="C1589" t="s">
        <v>21</v>
      </c>
      <c r="D1589" t="s">
        <v>24</v>
      </c>
      <c r="E1589" t="s">
        <v>32</v>
      </c>
      <c r="F1589" t="s">
        <v>48</v>
      </c>
      <c r="G1589" t="s">
        <v>70</v>
      </c>
      <c r="H1589" t="s">
        <v>73</v>
      </c>
      <c r="I1589">
        <v>2</v>
      </c>
      <c r="J1589">
        <v>8626</v>
      </c>
      <c r="K1589">
        <v>0.2</v>
      </c>
      <c r="L1589">
        <v>13801.6</v>
      </c>
      <c r="M1589">
        <v>11540.95</v>
      </c>
      <c r="N1589">
        <v>2260.65</v>
      </c>
      <c r="O1589" t="s">
        <v>79</v>
      </c>
      <c r="P1589" t="s">
        <v>88</v>
      </c>
    </row>
    <row r="1590" spans="1:16" x14ac:dyDescent="0.25">
      <c r="A1590">
        <v>1589</v>
      </c>
      <c r="B1590" s="1">
        <v>45811</v>
      </c>
      <c r="C1590" t="s">
        <v>21</v>
      </c>
      <c r="D1590" t="s">
        <v>24</v>
      </c>
      <c r="E1590" t="s">
        <v>29</v>
      </c>
      <c r="F1590" t="s">
        <v>53</v>
      </c>
      <c r="G1590" t="s">
        <v>71</v>
      </c>
      <c r="H1590" t="s">
        <v>74</v>
      </c>
      <c r="I1590">
        <v>2</v>
      </c>
      <c r="J1590">
        <v>3878</v>
      </c>
      <c r="K1590">
        <v>0.15</v>
      </c>
      <c r="L1590">
        <v>6592.6</v>
      </c>
      <c r="M1590">
        <v>3816.86</v>
      </c>
      <c r="N1590">
        <v>2775.74</v>
      </c>
      <c r="O1590" t="s">
        <v>76</v>
      </c>
      <c r="P1590" t="s">
        <v>85</v>
      </c>
    </row>
    <row r="1591" spans="1:16" x14ac:dyDescent="0.25">
      <c r="A1591">
        <v>1590</v>
      </c>
      <c r="B1591" s="1">
        <v>45813</v>
      </c>
      <c r="C1591" t="s">
        <v>20</v>
      </c>
      <c r="D1591" t="s">
        <v>26</v>
      </c>
      <c r="E1591" t="s">
        <v>31</v>
      </c>
      <c r="F1591" t="s">
        <v>47</v>
      </c>
      <c r="G1591" t="s">
        <v>72</v>
      </c>
      <c r="H1591" t="s">
        <v>75</v>
      </c>
      <c r="I1591">
        <v>4</v>
      </c>
      <c r="J1591">
        <v>1071</v>
      </c>
      <c r="K1591">
        <v>0.1</v>
      </c>
      <c r="L1591">
        <v>3855.6</v>
      </c>
      <c r="M1591">
        <v>3281.67</v>
      </c>
      <c r="N1591">
        <v>573.92999999999995</v>
      </c>
      <c r="O1591" t="s">
        <v>76</v>
      </c>
      <c r="P1591" t="s">
        <v>87</v>
      </c>
    </row>
    <row r="1592" spans="1:16" x14ac:dyDescent="0.25">
      <c r="A1592">
        <v>1591</v>
      </c>
      <c r="B1592" s="1">
        <v>45854</v>
      </c>
      <c r="C1592" t="s">
        <v>20</v>
      </c>
      <c r="D1592" t="s">
        <v>26</v>
      </c>
      <c r="E1592" t="s">
        <v>29</v>
      </c>
      <c r="F1592" t="s">
        <v>57</v>
      </c>
      <c r="G1592" t="s">
        <v>71</v>
      </c>
      <c r="H1592" t="s">
        <v>74</v>
      </c>
      <c r="I1592">
        <v>4</v>
      </c>
      <c r="J1592">
        <v>1045</v>
      </c>
      <c r="K1592">
        <v>0.15</v>
      </c>
      <c r="L1592">
        <v>3553</v>
      </c>
      <c r="M1592">
        <v>2140.63</v>
      </c>
      <c r="N1592">
        <v>1412.37</v>
      </c>
      <c r="O1592" t="s">
        <v>76</v>
      </c>
      <c r="P1592" t="s">
        <v>81</v>
      </c>
    </row>
    <row r="1593" spans="1:16" x14ac:dyDescent="0.25">
      <c r="A1593">
        <v>1592</v>
      </c>
      <c r="B1593" s="1">
        <v>45758</v>
      </c>
      <c r="C1593" t="s">
        <v>20</v>
      </c>
      <c r="D1593" t="s">
        <v>26</v>
      </c>
      <c r="E1593" t="s">
        <v>31</v>
      </c>
      <c r="F1593" t="s">
        <v>50</v>
      </c>
      <c r="G1593" t="s">
        <v>72</v>
      </c>
      <c r="H1593" t="s">
        <v>75</v>
      </c>
      <c r="I1593">
        <v>3</v>
      </c>
      <c r="J1593">
        <v>2003</v>
      </c>
      <c r="K1593">
        <v>0</v>
      </c>
      <c r="L1593">
        <v>6009</v>
      </c>
      <c r="M1593">
        <v>4275.51</v>
      </c>
      <c r="N1593">
        <v>1733.49</v>
      </c>
      <c r="O1593" t="s">
        <v>79</v>
      </c>
      <c r="P1593" t="s">
        <v>85</v>
      </c>
    </row>
    <row r="1594" spans="1:16" x14ac:dyDescent="0.25">
      <c r="A1594">
        <v>1593</v>
      </c>
      <c r="B1594" s="1">
        <v>45904</v>
      </c>
      <c r="C1594" t="s">
        <v>20</v>
      </c>
      <c r="D1594" t="s">
        <v>26</v>
      </c>
      <c r="E1594" t="s">
        <v>32</v>
      </c>
      <c r="F1594" t="s">
        <v>62</v>
      </c>
      <c r="G1594" t="s">
        <v>71</v>
      </c>
      <c r="H1594" t="s">
        <v>74</v>
      </c>
      <c r="I1594">
        <v>1</v>
      </c>
      <c r="J1594">
        <v>11482</v>
      </c>
      <c r="K1594">
        <v>0.1</v>
      </c>
      <c r="L1594">
        <v>10333.799999999999</v>
      </c>
      <c r="M1594">
        <v>6409.83</v>
      </c>
      <c r="N1594">
        <v>3923.97</v>
      </c>
      <c r="O1594" t="s">
        <v>77</v>
      </c>
      <c r="P1594" t="s">
        <v>82</v>
      </c>
    </row>
    <row r="1595" spans="1:16" x14ac:dyDescent="0.25">
      <c r="A1595">
        <v>1594</v>
      </c>
      <c r="B1595" s="1">
        <v>45771</v>
      </c>
      <c r="C1595" t="s">
        <v>20</v>
      </c>
      <c r="D1595" t="s">
        <v>26</v>
      </c>
      <c r="E1595" t="s">
        <v>28</v>
      </c>
      <c r="F1595" t="s">
        <v>54</v>
      </c>
      <c r="G1595" t="s">
        <v>71</v>
      </c>
      <c r="H1595" t="s">
        <v>73</v>
      </c>
      <c r="I1595">
        <v>4</v>
      </c>
      <c r="J1595">
        <v>493</v>
      </c>
      <c r="K1595">
        <v>0.1</v>
      </c>
      <c r="L1595">
        <v>1774.8</v>
      </c>
      <c r="M1595">
        <v>983.72</v>
      </c>
      <c r="N1595">
        <v>791.08</v>
      </c>
      <c r="O1595" t="s">
        <v>79</v>
      </c>
      <c r="P1595" t="s">
        <v>85</v>
      </c>
    </row>
    <row r="1596" spans="1:16" x14ac:dyDescent="0.25">
      <c r="A1596">
        <v>1595</v>
      </c>
      <c r="B1596" s="1">
        <v>45874</v>
      </c>
      <c r="C1596" t="s">
        <v>18</v>
      </c>
      <c r="D1596" t="s">
        <v>26</v>
      </c>
      <c r="E1596" t="s">
        <v>28</v>
      </c>
      <c r="F1596" t="s">
        <v>63</v>
      </c>
      <c r="G1596" t="s">
        <v>71</v>
      </c>
      <c r="H1596" t="s">
        <v>75</v>
      </c>
      <c r="I1596">
        <v>1</v>
      </c>
      <c r="J1596">
        <v>587</v>
      </c>
      <c r="K1596">
        <v>0.05</v>
      </c>
      <c r="L1596">
        <v>557.65</v>
      </c>
      <c r="M1596">
        <v>354.4</v>
      </c>
      <c r="N1596">
        <v>203.25</v>
      </c>
      <c r="O1596" t="s">
        <v>78</v>
      </c>
      <c r="P1596" t="s">
        <v>83</v>
      </c>
    </row>
    <row r="1597" spans="1:16" x14ac:dyDescent="0.25">
      <c r="A1597">
        <v>1596</v>
      </c>
      <c r="B1597" s="1">
        <v>45879</v>
      </c>
      <c r="C1597" t="s">
        <v>17</v>
      </c>
      <c r="D1597" t="s">
        <v>25</v>
      </c>
      <c r="E1597" t="s">
        <v>32</v>
      </c>
      <c r="F1597" t="s">
        <v>49</v>
      </c>
      <c r="G1597" t="s">
        <v>70</v>
      </c>
      <c r="H1597" t="s">
        <v>73</v>
      </c>
      <c r="I1597">
        <v>2</v>
      </c>
      <c r="J1597">
        <v>22963</v>
      </c>
      <c r="K1597">
        <v>0.05</v>
      </c>
      <c r="L1597">
        <v>43629.7</v>
      </c>
      <c r="M1597">
        <v>30501.45</v>
      </c>
      <c r="N1597">
        <v>13128.25</v>
      </c>
      <c r="O1597" t="s">
        <v>79</v>
      </c>
      <c r="P1597" t="s">
        <v>87</v>
      </c>
    </row>
    <row r="1598" spans="1:16" x14ac:dyDescent="0.25">
      <c r="A1598">
        <v>1597</v>
      </c>
      <c r="B1598" s="1">
        <v>45662</v>
      </c>
      <c r="C1598" t="s">
        <v>23</v>
      </c>
      <c r="D1598" t="s">
        <v>27</v>
      </c>
      <c r="E1598" t="s">
        <v>34</v>
      </c>
      <c r="F1598" t="s">
        <v>65</v>
      </c>
      <c r="G1598" t="s">
        <v>71</v>
      </c>
      <c r="H1598" t="s">
        <v>73</v>
      </c>
      <c r="I1598">
        <v>4</v>
      </c>
      <c r="J1598">
        <v>490</v>
      </c>
      <c r="K1598">
        <v>0.2</v>
      </c>
      <c r="L1598">
        <v>1568</v>
      </c>
      <c r="M1598">
        <v>1011.84</v>
      </c>
      <c r="N1598">
        <v>556.16</v>
      </c>
      <c r="O1598" t="s">
        <v>77</v>
      </c>
      <c r="P1598" t="s">
        <v>88</v>
      </c>
    </row>
    <row r="1599" spans="1:16" x14ac:dyDescent="0.25">
      <c r="A1599">
        <v>1598</v>
      </c>
      <c r="B1599" s="1">
        <v>46012</v>
      </c>
      <c r="C1599" t="s">
        <v>23</v>
      </c>
      <c r="D1599" t="s">
        <v>27</v>
      </c>
      <c r="E1599" t="s">
        <v>29</v>
      </c>
      <c r="F1599" t="s">
        <v>57</v>
      </c>
      <c r="G1599" t="s">
        <v>72</v>
      </c>
      <c r="H1599" t="s">
        <v>74</v>
      </c>
      <c r="I1599">
        <v>3</v>
      </c>
      <c r="J1599">
        <v>10377</v>
      </c>
      <c r="K1599">
        <v>0</v>
      </c>
      <c r="L1599">
        <v>31131</v>
      </c>
      <c r="M1599">
        <v>21652.82</v>
      </c>
      <c r="N1599">
        <v>9478.18</v>
      </c>
      <c r="O1599" t="s">
        <v>79</v>
      </c>
      <c r="P1599" t="s">
        <v>82</v>
      </c>
    </row>
    <row r="1600" spans="1:16" x14ac:dyDescent="0.25">
      <c r="A1600">
        <v>1599</v>
      </c>
      <c r="B1600" s="1">
        <v>45787</v>
      </c>
      <c r="C1600" t="s">
        <v>23</v>
      </c>
      <c r="D1600" t="s">
        <v>27</v>
      </c>
      <c r="E1600" t="s">
        <v>33</v>
      </c>
      <c r="F1600" t="s">
        <v>46</v>
      </c>
      <c r="G1600" t="s">
        <v>70</v>
      </c>
      <c r="H1600" t="s">
        <v>75</v>
      </c>
      <c r="I1600">
        <v>1</v>
      </c>
      <c r="J1600">
        <v>5448</v>
      </c>
      <c r="K1600">
        <v>0</v>
      </c>
      <c r="L1600">
        <v>5448</v>
      </c>
      <c r="M1600">
        <v>3555.15</v>
      </c>
      <c r="N1600">
        <v>1892.85</v>
      </c>
      <c r="O1600" t="s">
        <v>77</v>
      </c>
      <c r="P1600" t="s">
        <v>81</v>
      </c>
    </row>
    <row r="1601" spans="1:16" x14ac:dyDescent="0.25">
      <c r="A1601">
        <v>1600</v>
      </c>
      <c r="B1601" s="1">
        <v>45866</v>
      </c>
      <c r="C1601" t="s">
        <v>21</v>
      </c>
      <c r="D1601" t="s">
        <v>24</v>
      </c>
      <c r="E1601" t="s">
        <v>34</v>
      </c>
      <c r="F1601" t="s">
        <v>55</v>
      </c>
      <c r="G1601" t="s">
        <v>71</v>
      </c>
      <c r="H1601" t="s">
        <v>74</v>
      </c>
      <c r="I1601">
        <v>8</v>
      </c>
      <c r="J1601">
        <v>4001</v>
      </c>
      <c r="K1601">
        <v>0</v>
      </c>
      <c r="L1601">
        <v>32008</v>
      </c>
      <c r="M1601">
        <v>24299.439999999999</v>
      </c>
      <c r="N1601">
        <v>7708.56</v>
      </c>
      <c r="O1601" t="s">
        <v>76</v>
      </c>
      <c r="P1601" t="s">
        <v>88</v>
      </c>
    </row>
    <row r="1602" spans="1:16" x14ac:dyDescent="0.25">
      <c r="A1602">
        <v>1601</v>
      </c>
      <c r="B1602" s="1">
        <v>45762</v>
      </c>
      <c r="C1602" t="s">
        <v>21</v>
      </c>
      <c r="D1602" t="s">
        <v>24</v>
      </c>
      <c r="E1602" t="s">
        <v>31</v>
      </c>
      <c r="F1602" t="s">
        <v>67</v>
      </c>
      <c r="G1602" t="s">
        <v>72</v>
      </c>
      <c r="H1602" t="s">
        <v>75</v>
      </c>
      <c r="I1602">
        <v>6</v>
      </c>
      <c r="J1602">
        <v>1481</v>
      </c>
      <c r="K1602">
        <v>0.05</v>
      </c>
      <c r="L1602">
        <v>8441.7000000000007</v>
      </c>
      <c r="M1602">
        <v>7180.83</v>
      </c>
      <c r="N1602">
        <v>1260.8699999999999</v>
      </c>
      <c r="O1602" t="s">
        <v>77</v>
      </c>
      <c r="P1602" t="s">
        <v>81</v>
      </c>
    </row>
    <row r="1603" spans="1:16" x14ac:dyDescent="0.25">
      <c r="A1603">
        <v>1602</v>
      </c>
      <c r="B1603" s="1">
        <v>45807</v>
      </c>
      <c r="C1603" t="s">
        <v>16</v>
      </c>
      <c r="D1603" t="s">
        <v>24</v>
      </c>
      <c r="E1603" t="s">
        <v>30</v>
      </c>
      <c r="F1603" t="s">
        <v>37</v>
      </c>
      <c r="G1603" t="s">
        <v>71</v>
      </c>
      <c r="H1603" t="s">
        <v>74</v>
      </c>
      <c r="I1603">
        <v>4</v>
      </c>
      <c r="J1603">
        <v>41326</v>
      </c>
      <c r="K1603">
        <v>0.1</v>
      </c>
      <c r="L1603">
        <v>148773.6</v>
      </c>
      <c r="M1603">
        <v>110679.67999999999</v>
      </c>
      <c r="N1603">
        <v>38093.919999999998</v>
      </c>
      <c r="O1603" t="s">
        <v>77</v>
      </c>
      <c r="P1603" t="s">
        <v>84</v>
      </c>
    </row>
    <row r="1604" spans="1:16" x14ac:dyDescent="0.25">
      <c r="A1604">
        <v>1603</v>
      </c>
      <c r="B1604" s="1">
        <v>45976</v>
      </c>
      <c r="C1604" t="s">
        <v>17</v>
      </c>
      <c r="D1604" t="s">
        <v>25</v>
      </c>
      <c r="E1604" t="s">
        <v>31</v>
      </c>
      <c r="F1604" t="s">
        <v>47</v>
      </c>
      <c r="G1604" t="s">
        <v>72</v>
      </c>
      <c r="H1604" t="s">
        <v>75</v>
      </c>
      <c r="I1604">
        <v>1</v>
      </c>
      <c r="J1604">
        <v>1016</v>
      </c>
      <c r="K1604">
        <v>0</v>
      </c>
      <c r="L1604">
        <v>1016</v>
      </c>
      <c r="M1604">
        <v>831.54</v>
      </c>
      <c r="N1604">
        <v>184.46</v>
      </c>
      <c r="O1604" t="s">
        <v>77</v>
      </c>
      <c r="P1604" t="s">
        <v>81</v>
      </c>
    </row>
    <row r="1605" spans="1:16" x14ac:dyDescent="0.25">
      <c r="A1605">
        <v>1604</v>
      </c>
      <c r="B1605" s="1">
        <v>45846</v>
      </c>
      <c r="C1605" t="s">
        <v>22</v>
      </c>
      <c r="D1605" t="s">
        <v>24</v>
      </c>
      <c r="E1605" t="s">
        <v>31</v>
      </c>
      <c r="F1605" t="s">
        <v>69</v>
      </c>
      <c r="G1605" t="s">
        <v>70</v>
      </c>
      <c r="H1605" t="s">
        <v>75</v>
      </c>
      <c r="I1605">
        <v>4</v>
      </c>
      <c r="J1605">
        <v>2055</v>
      </c>
      <c r="K1605">
        <v>0.1</v>
      </c>
      <c r="L1605">
        <v>7398</v>
      </c>
      <c r="M1605">
        <v>4826.6899999999996</v>
      </c>
      <c r="N1605">
        <v>2571.31</v>
      </c>
      <c r="O1605" t="s">
        <v>79</v>
      </c>
      <c r="P1605" t="s">
        <v>82</v>
      </c>
    </row>
    <row r="1606" spans="1:16" x14ac:dyDescent="0.25">
      <c r="A1606">
        <v>1605</v>
      </c>
      <c r="B1606" s="1">
        <v>45837</v>
      </c>
      <c r="C1606" t="s">
        <v>19</v>
      </c>
      <c r="D1606" t="s">
        <v>26</v>
      </c>
      <c r="E1606" t="s">
        <v>30</v>
      </c>
      <c r="F1606" t="s">
        <v>37</v>
      </c>
      <c r="G1606" t="s">
        <v>71</v>
      </c>
      <c r="H1606" t="s">
        <v>74</v>
      </c>
      <c r="I1606">
        <v>6</v>
      </c>
      <c r="J1606">
        <v>22685</v>
      </c>
      <c r="K1606">
        <v>0.15</v>
      </c>
      <c r="L1606">
        <v>115693.5</v>
      </c>
      <c r="M1606">
        <v>72114.350000000006</v>
      </c>
      <c r="N1606">
        <v>43579.15</v>
      </c>
      <c r="O1606" t="s">
        <v>80</v>
      </c>
      <c r="P1606" t="s">
        <v>82</v>
      </c>
    </row>
    <row r="1607" spans="1:16" x14ac:dyDescent="0.25">
      <c r="A1607">
        <v>1606</v>
      </c>
      <c r="B1607" s="1">
        <v>45759</v>
      </c>
      <c r="C1607" t="s">
        <v>19</v>
      </c>
      <c r="D1607" t="s">
        <v>26</v>
      </c>
      <c r="E1607" t="s">
        <v>34</v>
      </c>
      <c r="F1607" t="s">
        <v>43</v>
      </c>
      <c r="G1607" t="s">
        <v>71</v>
      </c>
      <c r="H1607" t="s">
        <v>73</v>
      </c>
      <c r="I1607">
        <v>7</v>
      </c>
      <c r="J1607">
        <v>755</v>
      </c>
      <c r="K1607">
        <v>0.1</v>
      </c>
      <c r="L1607">
        <v>4756.5</v>
      </c>
      <c r="M1607">
        <v>3092.2</v>
      </c>
      <c r="N1607">
        <v>1664.3</v>
      </c>
      <c r="O1607" t="s">
        <v>80</v>
      </c>
      <c r="P1607" t="s">
        <v>84</v>
      </c>
    </row>
    <row r="1608" spans="1:16" x14ac:dyDescent="0.25">
      <c r="A1608">
        <v>1607</v>
      </c>
      <c r="B1608" s="1">
        <v>45709</v>
      </c>
      <c r="C1608" t="s">
        <v>19</v>
      </c>
      <c r="D1608" t="s">
        <v>26</v>
      </c>
      <c r="E1608" t="s">
        <v>29</v>
      </c>
      <c r="F1608" t="s">
        <v>45</v>
      </c>
      <c r="G1608" t="s">
        <v>71</v>
      </c>
      <c r="H1608" t="s">
        <v>75</v>
      </c>
      <c r="I1608">
        <v>5</v>
      </c>
      <c r="J1608">
        <v>10141</v>
      </c>
      <c r="K1608">
        <v>0.05</v>
      </c>
      <c r="L1608">
        <v>48169.75</v>
      </c>
      <c r="M1608">
        <v>32295.07</v>
      </c>
      <c r="N1608">
        <v>15874.68</v>
      </c>
      <c r="O1608" t="s">
        <v>78</v>
      </c>
      <c r="P1608" t="s">
        <v>86</v>
      </c>
    </row>
    <row r="1609" spans="1:16" x14ac:dyDescent="0.25">
      <c r="A1609">
        <v>1608</v>
      </c>
      <c r="B1609" s="1">
        <v>45694</v>
      </c>
      <c r="C1609" t="s">
        <v>16</v>
      </c>
      <c r="D1609" t="s">
        <v>24</v>
      </c>
      <c r="E1609" t="s">
        <v>31</v>
      </c>
      <c r="F1609" t="s">
        <v>50</v>
      </c>
      <c r="G1609" t="s">
        <v>72</v>
      </c>
      <c r="H1609" t="s">
        <v>75</v>
      </c>
      <c r="I1609">
        <v>3</v>
      </c>
      <c r="J1609">
        <v>408</v>
      </c>
      <c r="K1609">
        <v>0.2</v>
      </c>
      <c r="L1609">
        <v>979.2</v>
      </c>
      <c r="M1609">
        <v>586.64</v>
      </c>
      <c r="N1609">
        <v>392.56</v>
      </c>
      <c r="O1609" t="s">
        <v>80</v>
      </c>
      <c r="P1609" t="s">
        <v>85</v>
      </c>
    </row>
    <row r="1610" spans="1:16" x14ac:dyDescent="0.25">
      <c r="A1610">
        <v>1609</v>
      </c>
      <c r="B1610" s="1">
        <v>45689</v>
      </c>
      <c r="C1610" t="s">
        <v>21</v>
      </c>
      <c r="D1610" t="s">
        <v>24</v>
      </c>
      <c r="E1610" t="s">
        <v>33</v>
      </c>
      <c r="F1610" t="s">
        <v>59</v>
      </c>
      <c r="G1610" t="s">
        <v>72</v>
      </c>
      <c r="H1610" t="s">
        <v>75</v>
      </c>
      <c r="I1610">
        <v>1</v>
      </c>
      <c r="J1610">
        <v>36384</v>
      </c>
      <c r="K1610">
        <v>0</v>
      </c>
      <c r="L1610">
        <v>36384</v>
      </c>
      <c r="M1610">
        <v>31436.1</v>
      </c>
      <c r="N1610">
        <v>4947.8999999999996</v>
      </c>
      <c r="O1610" t="s">
        <v>79</v>
      </c>
      <c r="P1610" t="s">
        <v>86</v>
      </c>
    </row>
    <row r="1611" spans="1:16" x14ac:dyDescent="0.25">
      <c r="A1611">
        <v>1610</v>
      </c>
      <c r="B1611" s="1">
        <v>45933</v>
      </c>
      <c r="C1611" t="s">
        <v>16</v>
      </c>
      <c r="D1611" t="s">
        <v>24</v>
      </c>
      <c r="E1611" t="s">
        <v>34</v>
      </c>
      <c r="F1611" t="s">
        <v>68</v>
      </c>
      <c r="G1611" t="s">
        <v>70</v>
      </c>
      <c r="H1611" t="s">
        <v>73</v>
      </c>
      <c r="I1611">
        <v>4</v>
      </c>
      <c r="J1611">
        <v>5886</v>
      </c>
      <c r="K1611">
        <v>0.05</v>
      </c>
      <c r="L1611">
        <v>22366.799999999999</v>
      </c>
      <c r="M1611">
        <v>14063.44</v>
      </c>
      <c r="N1611">
        <v>8303.36</v>
      </c>
      <c r="O1611" t="s">
        <v>77</v>
      </c>
      <c r="P1611" t="s">
        <v>86</v>
      </c>
    </row>
    <row r="1612" spans="1:16" x14ac:dyDescent="0.25">
      <c r="A1612">
        <v>1611</v>
      </c>
      <c r="B1612" s="1">
        <v>45906</v>
      </c>
      <c r="C1612" t="s">
        <v>19</v>
      </c>
      <c r="D1612" t="s">
        <v>26</v>
      </c>
      <c r="E1612" t="s">
        <v>31</v>
      </c>
      <c r="F1612" t="s">
        <v>67</v>
      </c>
      <c r="G1612" t="s">
        <v>71</v>
      </c>
      <c r="H1612" t="s">
        <v>73</v>
      </c>
      <c r="I1612">
        <v>1</v>
      </c>
      <c r="J1612">
        <v>2414</v>
      </c>
      <c r="K1612">
        <v>0.15</v>
      </c>
      <c r="L1612">
        <v>2051.9</v>
      </c>
      <c r="M1612">
        <v>1636.41</v>
      </c>
      <c r="N1612">
        <v>415.49</v>
      </c>
      <c r="O1612" t="s">
        <v>76</v>
      </c>
      <c r="P1612" t="s">
        <v>88</v>
      </c>
    </row>
    <row r="1613" spans="1:16" x14ac:dyDescent="0.25">
      <c r="A1613">
        <v>1612</v>
      </c>
      <c r="B1613" s="1">
        <v>45721</v>
      </c>
      <c r="C1613" t="s">
        <v>20</v>
      </c>
      <c r="D1613" t="s">
        <v>26</v>
      </c>
      <c r="E1613" t="s">
        <v>30</v>
      </c>
      <c r="F1613" t="s">
        <v>56</v>
      </c>
      <c r="G1613" t="s">
        <v>70</v>
      </c>
      <c r="H1613" t="s">
        <v>75</v>
      </c>
      <c r="I1613">
        <v>3</v>
      </c>
      <c r="J1613">
        <v>40942</v>
      </c>
      <c r="K1613">
        <v>0.15</v>
      </c>
      <c r="L1613">
        <v>104402.1</v>
      </c>
      <c r="M1613">
        <v>57431.73</v>
      </c>
      <c r="N1613">
        <v>46970.37</v>
      </c>
      <c r="O1613" t="s">
        <v>76</v>
      </c>
      <c r="P1613" t="s">
        <v>83</v>
      </c>
    </row>
    <row r="1614" spans="1:16" x14ac:dyDescent="0.25">
      <c r="A1614">
        <v>1613</v>
      </c>
      <c r="B1614" s="1">
        <v>45662</v>
      </c>
      <c r="C1614" t="s">
        <v>20</v>
      </c>
      <c r="D1614" t="s">
        <v>26</v>
      </c>
      <c r="E1614" t="s">
        <v>34</v>
      </c>
      <c r="F1614" t="s">
        <v>55</v>
      </c>
      <c r="G1614" t="s">
        <v>72</v>
      </c>
      <c r="H1614" t="s">
        <v>73</v>
      </c>
      <c r="I1614">
        <v>5</v>
      </c>
      <c r="J1614">
        <v>4164</v>
      </c>
      <c r="K1614">
        <v>0</v>
      </c>
      <c r="L1614">
        <v>20820</v>
      </c>
      <c r="M1614">
        <v>17853.009999999998</v>
      </c>
      <c r="N1614">
        <v>2966.99</v>
      </c>
      <c r="O1614" t="s">
        <v>79</v>
      </c>
      <c r="P1614" t="s">
        <v>86</v>
      </c>
    </row>
    <row r="1615" spans="1:16" x14ac:dyDescent="0.25">
      <c r="A1615">
        <v>1614</v>
      </c>
      <c r="B1615" s="1">
        <v>46001</v>
      </c>
      <c r="C1615" t="s">
        <v>20</v>
      </c>
      <c r="D1615" t="s">
        <v>26</v>
      </c>
      <c r="E1615" t="s">
        <v>33</v>
      </c>
      <c r="F1615" t="s">
        <v>60</v>
      </c>
      <c r="G1615" t="s">
        <v>72</v>
      </c>
      <c r="H1615" t="s">
        <v>75</v>
      </c>
      <c r="I1615">
        <v>8</v>
      </c>
      <c r="J1615">
        <v>17941</v>
      </c>
      <c r="K1615">
        <v>0</v>
      </c>
      <c r="L1615">
        <v>143528</v>
      </c>
      <c r="M1615">
        <v>104857.31</v>
      </c>
      <c r="N1615">
        <v>38670.69</v>
      </c>
      <c r="O1615" t="s">
        <v>78</v>
      </c>
      <c r="P1615" t="s">
        <v>85</v>
      </c>
    </row>
    <row r="1616" spans="1:16" x14ac:dyDescent="0.25">
      <c r="A1616">
        <v>1615</v>
      </c>
      <c r="B1616" s="1">
        <v>45856</v>
      </c>
      <c r="C1616" t="s">
        <v>16</v>
      </c>
      <c r="D1616" t="s">
        <v>24</v>
      </c>
      <c r="E1616" t="s">
        <v>33</v>
      </c>
      <c r="F1616" t="s">
        <v>46</v>
      </c>
      <c r="G1616" t="s">
        <v>71</v>
      </c>
      <c r="H1616" t="s">
        <v>73</v>
      </c>
      <c r="I1616">
        <v>6</v>
      </c>
      <c r="J1616">
        <v>29756</v>
      </c>
      <c r="K1616">
        <v>0.2</v>
      </c>
      <c r="L1616">
        <v>142828.79999999999</v>
      </c>
      <c r="M1616">
        <v>125102.71</v>
      </c>
      <c r="N1616">
        <v>17726.09</v>
      </c>
      <c r="O1616" t="s">
        <v>79</v>
      </c>
      <c r="P1616" t="s">
        <v>88</v>
      </c>
    </row>
    <row r="1617" spans="1:16" x14ac:dyDescent="0.25">
      <c r="A1617">
        <v>1616</v>
      </c>
      <c r="B1617" s="1">
        <v>45980</v>
      </c>
      <c r="C1617" t="s">
        <v>23</v>
      </c>
      <c r="D1617" t="s">
        <v>27</v>
      </c>
      <c r="E1617" t="s">
        <v>33</v>
      </c>
      <c r="F1617" t="s">
        <v>46</v>
      </c>
      <c r="G1617" t="s">
        <v>70</v>
      </c>
      <c r="H1617" t="s">
        <v>73</v>
      </c>
      <c r="I1617">
        <v>1</v>
      </c>
      <c r="J1617">
        <v>25599</v>
      </c>
      <c r="K1617">
        <v>0.05</v>
      </c>
      <c r="L1617">
        <v>24319.05</v>
      </c>
      <c r="M1617">
        <v>19013.22</v>
      </c>
      <c r="N1617">
        <v>5305.83</v>
      </c>
      <c r="O1617" t="s">
        <v>77</v>
      </c>
      <c r="P1617" t="s">
        <v>85</v>
      </c>
    </row>
    <row r="1618" spans="1:16" x14ac:dyDescent="0.25">
      <c r="A1618">
        <v>1617</v>
      </c>
      <c r="B1618" s="1">
        <v>45824</v>
      </c>
      <c r="C1618" t="s">
        <v>23</v>
      </c>
      <c r="D1618" t="s">
        <v>27</v>
      </c>
      <c r="E1618" t="s">
        <v>33</v>
      </c>
      <c r="F1618" t="s">
        <v>46</v>
      </c>
      <c r="G1618" t="s">
        <v>71</v>
      </c>
      <c r="H1618" t="s">
        <v>75</v>
      </c>
      <c r="I1618">
        <v>2</v>
      </c>
      <c r="J1618">
        <v>11234</v>
      </c>
      <c r="K1618">
        <v>0.05</v>
      </c>
      <c r="L1618">
        <v>21344.6</v>
      </c>
      <c r="M1618">
        <v>16280.21</v>
      </c>
      <c r="N1618">
        <v>5064.3900000000003</v>
      </c>
      <c r="O1618" t="s">
        <v>80</v>
      </c>
      <c r="P1618" t="s">
        <v>84</v>
      </c>
    </row>
    <row r="1619" spans="1:16" x14ac:dyDescent="0.25">
      <c r="A1619">
        <v>1618</v>
      </c>
      <c r="B1619" s="1">
        <v>45776</v>
      </c>
      <c r="C1619" t="s">
        <v>22</v>
      </c>
      <c r="D1619" t="s">
        <v>24</v>
      </c>
      <c r="E1619" t="s">
        <v>34</v>
      </c>
      <c r="F1619" t="s">
        <v>55</v>
      </c>
      <c r="G1619" t="s">
        <v>70</v>
      </c>
      <c r="H1619" t="s">
        <v>74</v>
      </c>
      <c r="I1619">
        <v>8</v>
      </c>
      <c r="J1619">
        <v>5014</v>
      </c>
      <c r="K1619">
        <v>0.05</v>
      </c>
      <c r="L1619">
        <v>38106.400000000001</v>
      </c>
      <c r="M1619">
        <v>30321.54</v>
      </c>
      <c r="N1619">
        <v>7784.86</v>
      </c>
      <c r="O1619" t="s">
        <v>78</v>
      </c>
      <c r="P1619" t="s">
        <v>87</v>
      </c>
    </row>
    <row r="1620" spans="1:16" x14ac:dyDescent="0.25">
      <c r="A1620">
        <v>1619</v>
      </c>
      <c r="B1620" s="1">
        <v>45960</v>
      </c>
      <c r="C1620" t="s">
        <v>19</v>
      </c>
      <c r="D1620" t="s">
        <v>26</v>
      </c>
      <c r="E1620" t="s">
        <v>29</v>
      </c>
      <c r="F1620" t="s">
        <v>57</v>
      </c>
      <c r="G1620" t="s">
        <v>71</v>
      </c>
      <c r="H1620" t="s">
        <v>73</v>
      </c>
      <c r="I1620">
        <v>3</v>
      </c>
      <c r="J1620">
        <v>6899</v>
      </c>
      <c r="K1620">
        <v>0.15</v>
      </c>
      <c r="L1620">
        <v>17592.45</v>
      </c>
      <c r="M1620">
        <v>12427.84</v>
      </c>
      <c r="N1620">
        <v>5164.6099999999997</v>
      </c>
      <c r="O1620" t="s">
        <v>79</v>
      </c>
      <c r="P1620" t="s">
        <v>87</v>
      </c>
    </row>
    <row r="1621" spans="1:16" x14ac:dyDescent="0.25">
      <c r="A1621">
        <v>1620</v>
      </c>
      <c r="B1621" s="1">
        <v>45928</v>
      </c>
      <c r="C1621" t="s">
        <v>23</v>
      </c>
      <c r="D1621" t="s">
        <v>27</v>
      </c>
      <c r="E1621" t="s">
        <v>32</v>
      </c>
      <c r="F1621" t="s">
        <v>62</v>
      </c>
      <c r="G1621" t="s">
        <v>70</v>
      </c>
      <c r="H1621" t="s">
        <v>73</v>
      </c>
      <c r="I1621">
        <v>6</v>
      </c>
      <c r="J1621">
        <v>17702</v>
      </c>
      <c r="K1621">
        <v>0</v>
      </c>
      <c r="L1621">
        <v>106212</v>
      </c>
      <c r="M1621">
        <v>64115.24</v>
      </c>
      <c r="N1621">
        <v>42096.76</v>
      </c>
      <c r="O1621" t="s">
        <v>79</v>
      </c>
      <c r="P1621" t="s">
        <v>83</v>
      </c>
    </row>
    <row r="1622" spans="1:16" x14ac:dyDescent="0.25">
      <c r="A1622">
        <v>1621</v>
      </c>
      <c r="B1622" s="1">
        <v>45941</v>
      </c>
      <c r="C1622" t="s">
        <v>16</v>
      </c>
      <c r="D1622" t="s">
        <v>24</v>
      </c>
      <c r="E1622" t="s">
        <v>33</v>
      </c>
      <c r="F1622" t="s">
        <v>46</v>
      </c>
      <c r="G1622" t="s">
        <v>71</v>
      </c>
      <c r="H1622" t="s">
        <v>73</v>
      </c>
      <c r="I1622">
        <v>3</v>
      </c>
      <c r="J1622">
        <v>10780</v>
      </c>
      <c r="K1622">
        <v>0.05</v>
      </c>
      <c r="L1622">
        <v>30723</v>
      </c>
      <c r="M1622">
        <v>19161.39</v>
      </c>
      <c r="N1622">
        <v>11561.61</v>
      </c>
      <c r="O1622" t="s">
        <v>78</v>
      </c>
      <c r="P1622" t="s">
        <v>84</v>
      </c>
    </row>
    <row r="1623" spans="1:16" x14ac:dyDescent="0.25">
      <c r="A1623">
        <v>1622</v>
      </c>
      <c r="B1623" s="1">
        <v>45806</v>
      </c>
      <c r="C1623" t="s">
        <v>16</v>
      </c>
      <c r="D1623" t="s">
        <v>24</v>
      </c>
      <c r="E1623" t="s">
        <v>34</v>
      </c>
      <c r="F1623" t="s">
        <v>55</v>
      </c>
      <c r="G1623" t="s">
        <v>71</v>
      </c>
      <c r="H1623" t="s">
        <v>75</v>
      </c>
      <c r="I1623">
        <v>3</v>
      </c>
      <c r="J1623">
        <v>2081</v>
      </c>
      <c r="K1623">
        <v>0.15</v>
      </c>
      <c r="L1623">
        <v>5306.55</v>
      </c>
      <c r="M1623">
        <v>4178.25</v>
      </c>
      <c r="N1623">
        <v>1128.3</v>
      </c>
      <c r="O1623" t="s">
        <v>76</v>
      </c>
      <c r="P1623" t="s">
        <v>87</v>
      </c>
    </row>
    <row r="1624" spans="1:16" x14ac:dyDescent="0.25">
      <c r="A1624">
        <v>1623</v>
      </c>
      <c r="B1624" s="1">
        <v>45992</v>
      </c>
      <c r="C1624" t="s">
        <v>17</v>
      </c>
      <c r="D1624" t="s">
        <v>25</v>
      </c>
      <c r="E1624" t="s">
        <v>30</v>
      </c>
      <c r="F1624" t="s">
        <v>64</v>
      </c>
      <c r="G1624" t="s">
        <v>71</v>
      </c>
      <c r="H1624" t="s">
        <v>73</v>
      </c>
      <c r="I1624">
        <v>4</v>
      </c>
      <c r="J1624">
        <v>50706</v>
      </c>
      <c r="K1624">
        <v>0.05</v>
      </c>
      <c r="L1624">
        <v>192682.8</v>
      </c>
      <c r="M1624">
        <v>163871</v>
      </c>
      <c r="N1624">
        <v>28811.8</v>
      </c>
      <c r="O1624" t="s">
        <v>76</v>
      </c>
      <c r="P1624" t="s">
        <v>86</v>
      </c>
    </row>
    <row r="1625" spans="1:16" x14ac:dyDescent="0.25">
      <c r="A1625">
        <v>1624</v>
      </c>
      <c r="B1625" s="1">
        <v>45760</v>
      </c>
      <c r="C1625" t="s">
        <v>18</v>
      </c>
      <c r="D1625" t="s">
        <v>26</v>
      </c>
      <c r="E1625" t="s">
        <v>30</v>
      </c>
      <c r="F1625" t="s">
        <v>56</v>
      </c>
      <c r="G1625" t="s">
        <v>72</v>
      </c>
      <c r="H1625" t="s">
        <v>74</v>
      </c>
      <c r="I1625">
        <v>6</v>
      </c>
      <c r="J1625">
        <v>5130</v>
      </c>
      <c r="K1625">
        <v>0.15</v>
      </c>
      <c r="L1625">
        <v>26163</v>
      </c>
      <c r="M1625">
        <v>16419.12</v>
      </c>
      <c r="N1625">
        <v>9743.8799999999992</v>
      </c>
      <c r="O1625" t="s">
        <v>77</v>
      </c>
      <c r="P1625" t="s">
        <v>85</v>
      </c>
    </row>
    <row r="1626" spans="1:16" x14ac:dyDescent="0.25">
      <c r="A1626">
        <v>1625</v>
      </c>
      <c r="B1626" s="1">
        <v>45700</v>
      </c>
      <c r="C1626" t="s">
        <v>20</v>
      </c>
      <c r="D1626" t="s">
        <v>26</v>
      </c>
      <c r="E1626" t="s">
        <v>30</v>
      </c>
      <c r="F1626" t="s">
        <v>37</v>
      </c>
      <c r="G1626" t="s">
        <v>71</v>
      </c>
      <c r="H1626" t="s">
        <v>73</v>
      </c>
      <c r="I1626">
        <v>3</v>
      </c>
      <c r="J1626">
        <v>66547</v>
      </c>
      <c r="K1626">
        <v>0.15</v>
      </c>
      <c r="L1626">
        <v>169694.85</v>
      </c>
      <c r="M1626">
        <v>147894.85</v>
      </c>
      <c r="N1626">
        <v>21800</v>
      </c>
      <c r="O1626" t="s">
        <v>78</v>
      </c>
      <c r="P1626" t="s">
        <v>87</v>
      </c>
    </row>
    <row r="1627" spans="1:16" x14ac:dyDescent="0.25">
      <c r="A1627">
        <v>1626</v>
      </c>
      <c r="B1627" s="1">
        <v>45957</v>
      </c>
      <c r="C1627" t="s">
        <v>16</v>
      </c>
      <c r="D1627" t="s">
        <v>24</v>
      </c>
      <c r="E1627" t="s">
        <v>30</v>
      </c>
      <c r="F1627" t="s">
        <v>64</v>
      </c>
      <c r="G1627" t="s">
        <v>70</v>
      </c>
      <c r="H1627" t="s">
        <v>74</v>
      </c>
      <c r="I1627">
        <v>8</v>
      </c>
      <c r="J1627">
        <v>26185</v>
      </c>
      <c r="K1627">
        <v>0</v>
      </c>
      <c r="L1627">
        <v>209480</v>
      </c>
      <c r="M1627">
        <v>181733.61</v>
      </c>
      <c r="N1627">
        <v>27746.39</v>
      </c>
      <c r="O1627" t="s">
        <v>78</v>
      </c>
      <c r="P1627" t="s">
        <v>87</v>
      </c>
    </row>
    <row r="1628" spans="1:16" x14ac:dyDescent="0.25">
      <c r="A1628">
        <v>1627</v>
      </c>
      <c r="B1628" s="1">
        <v>45767</v>
      </c>
      <c r="C1628" t="s">
        <v>23</v>
      </c>
      <c r="D1628" t="s">
        <v>27</v>
      </c>
      <c r="E1628" t="s">
        <v>33</v>
      </c>
      <c r="F1628" t="s">
        <v>59</v>
      </c>
      <c r="G1628" t="s">
        <v>71</v>
      </c>
      <c r="H1628" t="s">
        <v>73</v>
      </c>
      <c r="I1628">
        <v>2</v>
      </c>
      <c r="J1628">
        <v>33445</v>
      </c>
      <c r="K1628">
        <v>0.15</v>
      </c>
      <c r="L1628">
        <v>56856.5</v>
      </c>
      <c r="M1628">
        <v>40818.480000000003</v>
      </c>
      <c r="N1628">
        <v>16038.02</v>
      </c>
      <c r="O1628" t="s">
        <v>77</v>
      </c>
      <c r="P1628" t="s">
        <v>84</v>
      </c>
    </row>
    <row r="1629" spans="1:16" x14ac:dyDescent="0.25">
      <c r="A1629">
        <v>1628</v>
      </c>
      <c r="B1629" s="1">
        <v>45824</v>
      </c>
      <c r="C1629" t="s">
        <v>18</v>
      </c>
      <c r="D1629" t="s">
        <v>26</v>
      </c>
      <c r="E1629" t="s">
        <v>28</v>
      </c>
      <c r="F1629" t="s">
        <v>61</v>
      </c>
      <c r="G1629" t="s">
        <v>71</v>
      </c>
      <c r="H1629" t="s">
        <v>75</v>
      </c>
      <c r="I1629">
        <v>2</v>
      </c>
      <c r="J1629">
        <v>844</v>
      </c>
      <c r="K1629">
        <v>0.2</v>
      </c>
      <c r="L1629">
        <v>1350.4</v>
      </c>
      <c r="M1629">
        <v>816.27</v>
      </c>
      <c r="N1629">
        <v>534.13</v>
      </c>
      <c r="O1629" t="s">
        <v>80</v>
      </c>
      <c r="P1629" t="s">
        <v>88</v>
      </c>
    </row>
    <row r="1630" spans="1:16" x14ac:dyDescent="0.25">
      <c r="A1630">
        <v>1629</v>
      </c>
      <c r="B1630" s="1">
        <v>45766</v>
      </c>
      <c r="C1630" t="s">
        <v>21</v>
      </c>
      <c r="D1630" t="s">
        <v>24</v>
      </c>
      <c r="E1630" t="s">
        <v>33</v>
      </c>
      <c r="F1630" t="s">
        <v>52</v>
      </c>
      <c r="G1630" t="s">
        <v>72</v>
      </c>
      <c r="H1630" t="s">
        <v>74</v>
      </c>
      <c r="I1630">
        <v>7</v>
      </c>
      <c r="J1630">
        <v>25849</v>
      </c>
      <c r="K1630">
        <v>0.1</v>
      </c>
      <c r="L1630">
        <v>162848.70000000001</v>
      </c>
      <c r="M1630">
        <v>117577.8</v>
      </c>
      <c r="N1630">
        <v>45270.9</v>
      </c>
      <c r="O1630" t="s">
        <v>77</v>
      </c>
      <c r="P1630" t="s">
        <v>83</v>
      </c>
    </row>
    <row r="1631" spans="1:16" x14ac:dyDescent="0.25">
      <c r="A1631">
        <v>1630</v>
      </c>
      <c r="B1631" s="1">
        <v>45667</v>
      </c>
      <c r="C1631" t="s">
        <v>20</v>
      </c>
      <c r="D1631" t="s">
        <v>26</v>
      </c>
      <c r="E1631" t="s">
        <v>33</v>
      </c>
      <c r="F1631" t="s">
        <v>52</v>
      </c>
      <c r="G1631" t="s">
        <v>71</v>
      </c>
      <c r="H1631" t="s">
        <v>74</v>
      </c>
      <c r="I1631">
        <v>4</v>
      </c>
      <c r="J1631">
        <v>21571</v>
      </c>
      <c r="K1631">
        <v>0.15</v>
      </c>
      <c r="L1631">
        <v>73341.399999999994</v>
      </c>
      <c r="M1631">
        <v>51921.05</v>
      </c>
      <c r="N1631">
        <v>21420.35</v>
      </c>
      <c r="O1631" t="s">
        <v>77</v>
      </c>
      <c r="P1631" t="s">
        <v>81</v>
      </c>
    </row>
    <row r="1632" spans="1:16" x14ac:dyDescent="0.25">
      <c r="A1632">
        <v>1631</v>
      </c>
      <c r="B1632" s="1">
        <v>45678</v>
      </c>
      <c r="C1632" t="s">
        <v>17</v>
      </c>
      <c r="D1632" t="s">
        <v>25</v>
      </c>
      <c r="E1632" t="s">
        <v>28</v>
      </c>
      <c r="F1632" t="s">
        <v>63</v>
      </c>
      <c r="G1632" t="s">
        <v>71</v>
      </c>
      <c r="H1632" t="s">
        <v>74</v>
      </c>
      <c r="I1632">
        <v>2</v>
      </c>
      <c r="J1632">
        <v>794</v>
      </c>
      <c r="K1632">
        <v>0.05</v>
      </c>
      <c r="L1632">
        <v>1508.6</v>
      </c>
      <c r="M1632">
        <v>944.32</v>
      </c>
      <c r="N1632">
        <v>564.28</v>
      </c>
      <c r="O1632" t="s">
        <v>77</v>
      </c>
      <c r="P1632" t="s">
        <v>85</v>
      </c>
    </row>
    <row r="1633" spans="1:16" x14ac:dyDescent="0.25">
      <c r="A1633">
        <v>1632</v>
      </c>
      <c r="B1633" s="1">
        <v>45929</v>
      </c>
      <c r="C1633" t="s">
        <v>23</v>
      </c>
      <c r="D1633" t="s">
        <v>27</v>
      </c>
      <c r="E1633" t="s">
        <v>30</v>
      </c>
      <c r="F1633" t="s">
        <v>56</v>
      </c>
      <c r="G1633" t="s">
        <v>72</v>
      </c>
      <c r="H1633" t="s">
        <v>73</v>
      </c>
      <c r="I1633">
        <v>3</v>
      </c>
      <c r="J1633">
        <v>28544</v>
      </c>
      <c r="K1633">
        <v>0.05</v>
      </c>
      <c r="L1633">
        <v>81350.399999999994</v>
      </c>
      <c r="M1633">
        <v>52221.52</v>
      </c>
      <c r="N1633">
        <v>29128.880000000001</v>
      </c>
      <c r="O1633" t="s">
        <v>76</v>
      </c>
      <c r="P1633" t="s">
        <v>86</v>
      </c>
    </row>
    <row r="1634" spans="1:16" x14ac:dyDescent="0.25">
      <c r="A1634">
        <v>1633</v>
      </c>
      <c r="B1634" s="1">
        <v>45662</v>
      </c>
      <c r="C1634" t="s">
        <v>20</v>
      </c>
      <c r="D1634" t="s">
        <v>26</v>
      </c>
      <c r="E1634" t="s">
        <v>33</v>
      </c>
      <c r="F1634" t="s">
        <v>46</v>
      </c>
      <c r="G1634" t="s">
        <v>71</v>
      </c>
      <c r="H1634" t="s">
        <v>74</v>
      </c>
      <c r="I1634">
        <v>1</v>
      </c>
      <c r="J1634">
        <v>11116</v>
      </c>
      <c r="K1634">
        <v>0.1</v>
      </c>
      <c r="L1634">
        <v>10004.4</v>
      </c>
      <c r="M1634">
        <v>6332.84</v>
      </c>
      <c r="N1634">
        <v>3671.56</v>
      </c>
      <c r="O1634" t="s">
        <v>77</v>
      </c>
      <c r="P1634" t="s">
        <v>88</v>
      </c>
    </row>
    <row r="1635" spans="1:16" x14ac:dyDescent="0.25">
      <c r="A1635">
        <v>1634</v>
      </c>
      <c r="B1635" s="1">
        <v>45783</v>
      </c>
      <c r="C1635" t="s">
        <v>17</v>
      </c>
      <c r="D1635" t="s">
        <v>25</v>
      </c>
      <c r="E1635" t="s">
        <v>31</v>
      </c>
      <c r="F1635" t="s">
        <v>50</v>
      </c>
      <c r="G1635" t="s">
        <v>71</v>
      </c>
      <c r="H1635" t="s">
        <v>74</v>
      </c>
      <c r="I1635">
        <v>2</v>
      </c>
      <c r="J1635">
        <v>811</v>
      </c>
      <c r="K1635">
        <v>0</v>
      </c>
      <c r="L1635">
        <v>1622</v>
      </c>
      <c r="M1635">
        <v>981.96</v>
      </c>
      <c r="N1635">
        <v>640.04</v>
      </c>
      <c r="O1635" t="s">
        <v>79</v>
      </c>
      <c r="P1635" t="s">
        <v>82</v>
      </c>
    </row>
    <row r="1636" spans="1:16" x14ac:dyDescent="0.25">
      <c r="A1636">
        <v>1635</v>
      </c>
      <c r="B1636" s="1">
        <v>45658</v>
      </c>
      <c r="C1636" t="s">
        <v>20</v>
      </c>
      <c r="D1636" t="s">
        <v>26</v>
      </c>
      <c r="E1636" t="s">
        <v>32</v>
      </c>
      <c r="F1636" t="s">
        <v>39</v>
      </c>
      <c r="G1636" t="s">
        <v>71</v>
      </c>
      <c r="H1636" t="s">
        <v>74</v>
      </c>
      <c r="I1636">
        <v>7</v>
      </c>
      <c r="J1636">
        <v>2281</v>
      </c>
      <c r="K1636">
        <v>0.05</v>
      </c>
      <c r="L1636">
        <v>15168.65</v>
      </c>
      <c r="M1636">
        <v>11533.5</v>
      </c>
      <c r="N1636">
        <v>3635.15</v>
      </c>
      <c r="O1636" t="s">
        <v>77</v>
      </c>
      <c r="P1636" t="s">
        <v>88</v>
      </c>
    </row>
    <row r="1637" spans="1:16" x14ac:dyDescent="0.25">
      <c r="A1637">
        <v>1636</v>
      </c>
      <c r="B1637" s="1">
        <v>45978</v>
      </c>
      <c r="C1637" t="s">
        <v>19</v>
      </c>
      <c r="D1637" t="s">
        <v>26</v>
      </c>
      <c r="E1637" t="s">
        <v>30</v>
      </c>
      <c r="F1637" t="s">
        <v>44</v>
      </c>
      <c r="G1637" t="s">
        <v>70</v>
      </c>
      <c r="H1637" t="s">
        <v>73</v>
      </c>
      <c r="I1637">
        <v>8</v>
      </c>
      <c r="J1637">
        <v>62944</v>
      </c>
      <c r="K1637">
        <v>0.1</v>
      </c>
      <c r="L1637">
        <v>453196.79999999999</v>
      </c>
      <c r="M1637">
        <v>376254.78</v>
      </c>
      <c r="N1637">
        <v>76942.02</v>
      </c>
      <c r="O1637" t="s">
        <v>76</v>
      </c>
      <c r="P1637" t="s">
        <v>84</v>
      </c>
    </row>
    <row r="1638" spans="1:16" x14ac:dyDescent="0.25">
      <c r="A1638">
        <v>1637</v>
      </c>
      <c r="B1638" s="1">
        <v>45687</v>
      </c>
      <c r="C1638" t="s">
        <v>22</v>
      </c>
      <c r="D1638" t="s">
        <v>24</v>
      </c>
      <c r="E1638" t="s">
        <v>28</v>
      </c>
      <c r="F1638" t="s">
        <v>61</v>
      </c>
      <c r="G1638" t="s">
        <v>71</v>
      </c>
      <c r="H1638" t="s">
        <v>74</v>
      </c>
      <c r="I1638">
        <v>1</v>
      </c>
      <c r="J1638">
        <v>1097</v>
      </c>
      <c r="K1638">
        <v>0.15</v>
      </c>
      <c r="L1638">
        <v>932.45</v>
      </c>
      <c r="M1638">
        <v>799.5</v>
      </c>
      <c r="N1638">
        <v>132.94999999999999</v>
      </c>
      <c r="O1638" t="s">
        <v>79</v>
      </c>
      <c r="P1638" t="s">
        <v>83</v>
      </c>
    </row>
    <row r="1639" spans="1:16" x14ac:dyDescent="0.25">
      <c r="A1639">
        <v>1638</v>
      </c>
      <c r="B1639" s="1">
        <v>45853</v>
      </c>
      <c r="C1639" t="s">
        <v>22</v>
      </c>
      <c r="D1639" t="s">
        <v>24</v>
      </c>
      <c r="E1639" t="s">
        <v>34</v>
      </c>
      <c r="F1639" t="s">
        <v>51</v>
      </c>
      <c r="G1639" t="s">
        <v>70</v>
      </c>
      <c r="H1639" t="s">
        <v>73</v>
      </c>
      <c r="I1639">
        <v>3</v>
      </c>
      <c r="J1639">
        <v>3561</v>
      </c>
      <c r="K1639">
        <v>0.15</v>
      </c>
      <c r="L1639">
        <v>9080.5499999999993</v>
      </c>
      <c r="M1639">
        <v>6167.13</v>
      </c>
      <c r="N1639">
        <v>2913.42</v>
      </c>
      <c r="O1639" t="s">
        <v>79</v>
      </c>
      <c r="P1639" t="s">
        <v>83</v>
      </c>
    </row>
    <row r="1640" spans="1:16" x14ac:dyDescent="0.25">
      <c r="A1640">
        <v>1639</v>
      </c>
      <c r="B1640" s="1">
        <v>45924</v>
      </c>
      <c r="C1640" t="s">
        <v>20</v>
      </c>
      <c r="D1640" t="s">
        <v>26</v>
      </c>
      <c r="E1640" t="s">
        <v>33</v>
      </c>
      <c r="F1640" t="s">
        <v>59</v>
      </c>
      <c r="G1640" t="s">
        <v>72</v>
      </c>
      <c r="H1640" t="s">
        <v>75</v>
      </c>
      <c r="I1640">
        <v>4</v>
      </c>
      <c r="J1640">
        <v>32725</v>
      </c>
      <c r="K1640">
        <v>0.05</v>
      </c>
      <c r="L1640">
        <v>124355</v>
      </c>
      <c r="M1640">
        <v>98415.92</v>
      </c>
      <c r="N1640">
        <v>25939.08</v>
      </c>
      <c r="O1640" t="s">
        <v>77</v>
      </c>
      <c r="P1640" t="s">
        <v>81</v>
      </c>
    </row>
    <row r="1641" spans="1:16" x14ac:dyDescent="0.25">
      <c r="A1641">
        <v>1640</v>
      </c>
      <c r="B1641" s="1">
        <v>45978</v>
      </c>
      <c r="C1641" t="s">
        <v>18</v>
      </c>
      <c r="D1641" t="s">
        <v>26</v>
      </c>
      <c r="E1641" t="s">
        <v>30</v>
      </c>
      <c r="F1641" t="s">
        <v>44</v>
      </c>
      <c r="G1641" t="s">
        <v>71</v>
      </c>
      <c r="H1641" t="s">
        <v>75</v>
      </c>
      <c r="I1641">
        <v>1</v>
      </c>
      <c r="J1641">
        <v>13408</v>
      </c>
      <c r="K1641">
        <v>0.1</v>
      </c>
      <c r="L1641">
        <v>12067.2</v>
      </c>
      <c r="M1641">
        <v>8369.09</v>
      </c>
      <c r="N1641">
        <v>3698.11</v>
      </c>
      <c r="O1641" t="s">
        <v>77</v>
      </c>
      <c r="P1641" t="s">
        <v>81</v>
      </c>
    </row>
    <row r="1642" spans="1:16" x14ac:dyDescent="0.25">
      <c r="A1642">
        <v>1641</v>
      </c>
      <c r="B1642" s="1">
        <v>45848</v>
      </c>
      <c r="C1642" t="s">
        <v>20</v>
      </c>
      <c r="D1642" t="s">
        <v>26</v>
      </c>
      <c r="E1642" t="s">
        <v>30</v>
      </c>
      <c r="F1642" t="s">
        <v>40</v>
      </c>
      <c r="G1642" t="s">
        <v>71</v>
      </c>
      <c r="H1642" t="s">
        <v>75</v>
      </c>
      <c r="I1642">
        <v>3</v>
      </c>
      <c r="J1642">
        <v>5525</v>
      </c>
      <c r="K1642">
        <v>0.15</v>
      </c>
      <c r="L1642">
        <v>14088.75</v>
      </c>
      <c r="M1642">
        <v>7816.8</v>
      </c>
      <c r="N1642">
        <v>6271.95</v>
      </c>
      <c r="O1642" t="s">
        <v>76</v>
      </c>
      <c r="P1642" t="s">
        <v>88</v>
      </c>
    </row>
    <row r="1643" spans="1:16" x14ac:dyDescent="0.25">
      <c r="A1643">
        <v>1642</v>
      </c>
      <c r="B1643" s="1">
        <v>45818</v>
      </c>
      <c r="C1643" t="s">
        <v>21</v>
      </c>
      <c r="D1643" t="s">
        <v>24</v>
      </c>
      <c r="E1643" t="s">
        <v>34</v>
      </c>
      <c r="F1643" t="s">
        <v>68</v>
      </c>
      <c r="G1643" t="s">
        <v>70</v>
      </c>
      <c r="H1643" t="s">
        <v>73</v>
      </c>
      <c r="I1643">
        <v>8</v>
      </c>
      <c r="J1643">
        <v>2741</v>
      </c>
      <c r="K1643">
        <v>0.1</v>
      </c>
      <c r="L1643">
        <v>19735.2</v>
      </c>
      <c r="M1643">
        <v>13181.18</v>
      </c>
      <c r="N1643">
        <v>6554.02</v>
      </c>
      <c r="O1643" t="s">
        <v>80</v>
      </c>
      <c r="P1643" t="s">
        <v>83</v>
      </c>
    </row>
    <row r="1644" spans="1:16" x14ac:dyDescent="0.25">
      <c r="A1644">
        <v>1643</v>
      </c>
      <c r="B1644" s="1">
        <v>45764</v>
      </c>
      <c r="C1644" t="s">
        <v>23</v>
      </c>
      <c r="D1644" t="s">
        <v>27</v>
      </c>
      <c r="E1644" t="s">
        <v>29</v>
      </c>
      <c r="F1644" t="s">
        <v>36</v>
      </c>
      <c r="G1644" t="s">
        <v>72</v>
      </c>
      <c r="H1644" t="s">
        <v>73</v>
      </c>
      <c r="I1644">
        <v>8</v>
      </c>
      <c r="J1644">
        <v>3904</v>
      </c>
      <c r="K1644">
        <v>0.1</v>
      </c>
      <c r="L1644">
        <v>28108.799999999999</v>
      </c>
      <c r="M1644">
        <v>16452.36</v>
      </c>
      <c r="N1644">
        <v>11656.44</v>
      </c>
      <c r="O1644" t="s">
        <v>78</v>
      </c>
      <c r="P1644" t="s">
        <v>88</v>
      </c>
    </row>
    <row r="1645" spans="1:16" x14ac:dyDescent="0.25">
      <c r="A1645">
        <v>1644</v>
      </c>
      <c r="B1645" s="1">
        <v>45836</v>
      </c>
      <c r="C1645" t="s">
        <v>21</v>
      </c>
      <c r="D1645" t="s">
        <v>24</v>
      </c>
      <c r="E1645" t="s">
        <v>32</v>
      </c>
      <c r="F1645" t="s">
        <v>48</v>
      </c>
      <c r="G1645" t="s">
        <v>70</v>
      </c>
      <c r="H1645" t="s">
        <v>74</v>
      </c>
      <c r="I1645">
        <v>1</v>
      </c>
      <c r="J1645">
        <v>11200</v>
      </c>
      <c r="K1645">
        <v>0.1</v>
      </c>
      <c r="L1645">
        <v>10080</v>
      </c>
      <c r="M1645">
        <v>5857.23</v>
      </c>
      <c r="N1645">
        <v>4222.7700000000004</v>
      </c>
      <c r="O1645" t="s">
        <v>79</v>
      </c>
      <c r="P1645" t="s">
        <v>83</v>
      </c>
    </row>
    <row r="1646" spans="1:16" x14ac:dyDescent="0.25">
      <c r="A1646">
        <v>1645</v>
      </c>
      <c r="B1646" s="1">
        <v>45699</v>
      </c>
      <c r="C1646" t="s">
        <v>18</v>
      </c>
      <c r="D1646" t="s">
        <v>26</v>
      </c>
      <c r="E1646" t="s">
        <v>34</v>
      </c>
      <c r="F1646" t="s">
        <v>68</v>
      </c>
      <c r="G1646" t="s">
        <v>70</v>
      </c>
      <c r="H1646" t="s">
        <v>75</v>
      </c>
      <c r="I1646">
        <v>7</v>
      </c>
      <c r="J1646">
        <v>825</v>
      </c>
      <c r="K1646">
        <v>0.15</v>
      </c>
      <c r="L1646">
        <v>4908.75</v>
      </c>
      <c r="M1646">
        <v>4156.08</v>
      </c>
      <c r="N1646">
        <v>752.67</v>
      </c>
      <c r="O1646" t="s">
        <v>79</v>
      </c>
      <c r="P1646" t="s">
        <v>84</v>
      </c>
    </row>
    <row r="1647" spans="1:16" x14ac:dyDescent="0.25">
      <c r="A1647">
        <v>1646</v>
      </c>
      <c r="B1647" s="1">
        <v>45911</v>
      </c>
      <c r="C1647" t="s">
        <v>16</v>
      </c>
      <c r="D1647" t="s">
        <v>24</v>
      </c>
      <c r="E1647" t="s">
        <v>34</v>
      </c>
      <c r="F1647" t="s">
        <v>68</v>
      </c>
      <c r="G1647" t="s">
        <v>70</v>
      </c>
      <c r="H1647" t="s">
        <v>75</v>
      </c>
      <c r="I1647">
        <v>2</v>
      </c>
      <c r="J1647">
        <v>3478</v>
      </c>
      <c r="K1647">
        <v>0.05</v>
      </c>
      <c r="L1647">
        <v>6608.2</v>
      </c>
      <c r="M1647">
        <v>5502.25</v>
      </c>
      <c r="N1647">
        <v>1105.95</v>
      </c>
      <c r="O1647" t="s">
        <v>79</v>
      </c>
      <c r="P1647" t="s">
        <v>88</v>
      </c>
    </row>
    <row r="1648" spans="1:16" x14ac:dyDescent="0.25">
      <c r="A1648">
        <v>1647</v>
      </c>
      <c r="B1648" s="1">
        <v>45978</v>
      </c>
      <c r="C1648" t="s">
        <v>20</v>
      </c>
      <c r="D1648" t="s">
        <v>26</v>
      </c>
      <c r="E1648" t="s">
        <v>33</v>
      </c>
      <c r="F1648" t="s">
        <v>41</v>
      </c>
      <c r="G1648" t="s">
        <v>72</v>
      </c>
      <c r="H1648" t="s">
        <v>74</v>
      </c>
      <c r="I1648">
        <v>6</v>
      </c>
      <c r="J1648">
        <v>21643</v>
      </c>
      <c r="K1648">
        <v>0.1</v>
      </c>
      <c r="L1648">
        <v>116872.2</v>
      </c>
      <c r="M1648">
        <v>90406.54</v>
      </c>
      <c r="N1648">
        <v>26465.66</v>
      </c>
      <c r="O1648" t="s">
        <v>79</v>
      </c>
      <c r="P1648" t="s">
        <v>88</v>
      </c>
    </row>
    <row r="1649" spans="1:16" x14ac:dyDescent="0.25">
      <c r="A1649">
        <v>1648</v>
      </c>
      <c r="B1649" s="1">
        <v>45771</v>
      </c>
      <c r="C1649" t="s">
        <v>17</v>
      </c>
      <c r="D1649" t="s">
        <v>25</v>
      </c>
      <c r="E1649" t="s">
        <v>28</v>
      </c>
      <c r="F1649" t="s">
        <v>54</v>
      </c>
      <c r="G1649" t="s">
        <v>70</v>
      </c>
      <c r="H1649" t="s">
        <v>75</v>
      </c>
      <c r="I1649">
        <v>2</v>
      </c>
      <c r="J1649">
        <v>910</v>
      </c>
      <c r="K1649">
        <v>0.1</v>
      </c>
      <c r="L1649">
        <v>1638</v>
      </c>
      <c r="M1649">
        <v>1179.43</v>
      </c>
      <c r="N1649">
        <v>458.57</v>
      </c>
      <c r="O1649" t="s">
        <v>78</v>
      </c>
      <c r="P1649" t="s">
        <v>82</v>
      </c>
    </row>
    <row r="1650" spans="1:16" x14ac:dyDescent="0.25">
      <c r="A1650">
        <v>1649</v>
      </c>
      <c r="B1650" s="1">
        <v>45730</v>
      </c>
      <c r="C1650" t="s">
        <v>18</v>
      </c>
      <c r="D1650" t="s">
        <v>26</v>
      </c>
      <c r="E1650" t="s">
        <v>29</v>
      </c>
      <c r="F1650" t="s">
        <v>45</v>
      </c>
      <c r="G1650" t="s">
        <v>71</v>
      </c>
      <c r="H1650" t="s">
        <v>74</v>
      </c>
      <c r="I1650">
        <v>1</v>
      </c>
      <c r="J1650">
        <v>6201</v>
      </c>
      <c r="K1650">
        <v>0.05</v>
      </c>
      <c r="L1650">
        <v>5890.95</v>
      </c>
      <c r="M1650">
        <v>3343.42</v>
      </c>
      <c r="N1650">
        <v>2547.5300000000002</v>
      </c>
      <c r="O1650" t="s">
        <v>78</v>
      </c>
      <c r="P1650" t="s">
        <v>82</v>
      </c>
    </row>
    <row r="1651" spans="1:16" x14ac:dyDescent="0.25">
      <c r="A1651">
        <v>1650</v>
      </c>
      <c r="B1651" s="1">
        <v>45994</v>
      </c>
      <c r="C1651" t="s">
        <v>17</v>
      </c>
      <c r="D1651" t="s">
        <v>25</v>
      </c>
      <c r="E1651" t="s">
        <v>32</v>
      </c>
      <c r="F1651" t="s">
        <v>48</v>
      </c>
      <c r="G1651" t="s">
        <v>72</v>
      </c>
      <c r="H1651" t="s">
        <v>75</v>
      </c>
      <c r="I1651">
        <v>4</v>
      </c>
      <c r="J1651">
        <v>7016</v>
      </c>
      <c r="K1651">
        <v>0</v>
      </c>
      <c r="L1651">
        <v>28064</v>
      </c>
      <c r="M1651">
        <v>21882.99</v>
      </c>
      <c r="N1651">
        <v>6181.01</v>
      </c>
      <c r="O1651" t="s">
        <v>77</v>
      </c>
      <c r="P1651" t="s">
        <v>82</v>
      </c>
    </row>
    <row r="1652" spans="1:16" x14ac:dyDescent="0.25">
      <c r="A1652">
        <v>1651</v>
      </c>
      <c r="B1652" s="1">
        <v>45715</v>
      </c>
      <c r="C1652" t="s">
        <v>23</v>
      </c>
      <c r="D1652" t="s">
        <v>27</v>
      </c>
      <c r="E1652" t="s">
        <v>32</v>
      </c>
      <c r="F1652" t="s">
        <v>49</v>
      </c>
      <c r="G1652" t="s">
        <v>70</v>
      </c>
      <c r="H1652" t="s">
        <v>75</v>
      </c>
      <c r="I1652">
        <v>7</v>
      </c>
      <c r="J1652">
        <v>8966</v>
      </c>
      <c r="K1652">
        <v>0.2</v>
      </c>
      <c r="L1652">
        <v>50209.599999999999</v>
      </c>
      <c r="M1652">
        <v>37227.339999999997</v>
      </c>
      <c r="N1652">
        <v>12982.26</v>
      </c>
      <c r="O1652" t="s">
        <v>77</v>
      </c>
      <c r="P1652" t="s">
        <v>82</v>
      </c>
    </row>
    <row r="1653" spans="1:16" x14ac:dyDescent="0.25">
      <c r="A1653">
        <v>1652</v>
      </c>
      <c r="B1653" s="1">
        <v>45790</v>
      </c>
      <c r="C1653" t="s">
        <v>20</v>
      </c>
      <c r="D1653" t="s">
        <v>26</v>
      </c>
      <c r="E1653" t="s">
        <v>34</v>
      </c>
      <c r="F1653" t="s">
        <v>43</v>
      </c>
      <c r="G1653" t="s">
        <v>71</v>
      </c>
      <c r="H1653" t="s">
        <v>75</v>
      </c>
      <c r="I1653">
        <v>7</v>
      </c>
      <c r="J1653">
        <v>3092</v>
      </c>
      <c r="K1653">
        <v>0.1</v>
      </c>
      <c r="L1653">
        <v>19479.599999999999</v>
      </c>
      <c r="M1653">
        <v>16281.8</v>
      </c>
      <c r="N1653">
        <v>3197.8</v>
      </c>
      <c r="O1653" t="s">
        <v>79</v>
      </c>
      <c r="P1653" t="s">
        <v>84</v>
      </c>
    </row>
    <row r="1654" spans="1:16" x14ac:dyDescent="0.25">
      <c r="A1654">
        <v>1653</v>
      </c>
      <c r="B1654" s="1">
        <v>45810</v>
      </c>
      <c r="C1654" t="s">
        <v>21</v>
      </c>
      <c r="D1654" t="s">
        <v>24</v>
      </c>
      <c r="E1654" t="s">
        <v>32</v>
      </c>
      <c r="F1654" t="s">
        <v>49</v>
      </c>
      <c r="G1654" t="s">
        <v>70</v>
      </c>
      <c r="H1654" t="s">
        <v>75</v>
      </c>
      <c r="I1654">
        <v>3</v>
      </c>
      <c r="J1654">
        <v>14215</v>
      </c>
      <c r="K1654">
        <v>0.15</v>
      </c>
      <c r="L1654">
        <v>36248.25</v>
      </c>
      <c r="M1654">
        <v>23145.78</v>
      </c>
      <c r="N1654">
        <v>13102.47</v>
      </c>
      <c r="O1654" t="s">
        <v>80</v>
      </c>
      <c r="P1654" t="s">
        <v>87</v>
      </c>
    </row>
    <row r="1655" spans="1:16" x14ac:dyDescent="0.25">
      <c r="A1655">
        <v>1654</v>
      </c>
      <c r="B1655" s="1">
        <v>45695</v>
      </c>
      <c r="C1655" t="s">
        <v>22</v>
      </c>
      <c r="D1655" t="s">
        <v>24</v>
      </c>
      <c r="E1655" t="s">
        <v>31</v>
      </c>
      <c r="F1655" t="s">
        <v>47</v>
      </c>
      <c r="G1655" t="s">
        <v>70</v>
      </c>
      <c r="H1655" t="s">
        <v>73</v>
      </c>
      <c r="I1655">
        <v>4</v>
      </c>
      <c r="J1655">
        <v>1792</v>
      </c>
      <c r="K1655">
        <v>0.05</v>
      </c>
      <c r="L1655">
        <v>6809.6</v>
      </c>
      <c r="M1655">
        <v>3991.43</v>
      </c>
      <c r="N1655">
        <v>2818.17</v>
      </c>
      <c r="O1655" t="s">
        <v>76</v>
      </c>
      <c r="P1655" t="s">
        <v>86</v>
      </c>
    </row>
    <row r="1656" spans="1:16" x14ac:dyDescent="0.25">
      <c r="A1656">
        <v>1655</v>
      </c>
      <c r="B1656" s="1">
        <v>45977</v>
      </c>
      <c r="C1656" t="s">
        <v>19</v>
      </c>
      <c r="D1656" t="s">
        <v>26</v>
      </c>
      <c r="E1656" t="s">
        <v>30</v>
      </c>
      <c r="F1656" t="s">
        <v>56</v>
      </c>
      <c r="G1656" t="s">
        <v>70</v>
      </c>
      <c r="H1656" t="s">
        <v>73</v>
      </c>
      <c r="I1656">
        <v>7</v>
      </c>
      <c r="J1656">
        <v>3172</v>
      </c>
      <c r="K1656">
        <v>0.05</v>
      </c>
      <c r="L1656">
        <v>21093.8</v>
      </c>
      <c r="M1656">
        <v>12950.19</v>
      </c>
      <c r="N1656">
        <v>8143.61</v>
      </c>
      <c r="O1656" t="s">
        <v>78</v>
      </c>
      <c r="P1656" t="s">
        <v>86</v>
      </c>
    </row>
    <row r="1657" spans="1:16" x14ac:dyDescent="0.25">
      <c r="A1657">
        <v>1656</v>
      </c>
      <c r="B1657" s="1">
        <v>45812</v>
      </c>
      <c r="C1657" t="s">
        <v>19</v>
      </c>
      <c r="D1657" t="s">
        <v>26</v>
      </c>
      <c r="E1657" t="s">
        <v>33</v>
      </c>
      <c r="F1657" t="s">
        <v>52</v>
      </c>
      <c r="G1657" t="s">
        <v>72</v>
      </c>
      <c r="H1657" t="s">
        <v>75</v>
      </c>
      <c r="I1657">
        <v>3</v>
      </c>
      <c r="J1657">
        <v>33306</v>
      </c>
      <c r="K1657">
        <v>0.1</v>
      </c>
      <c r="L1657">
        <v>89926.2</v>
      </c>
      <c r="M1657">
        <v>72032.77</v>
      </c>
      <c r="N1657">
        <v>17893.43</v>
      </c>
      <c r="O1657" t="s">
        <v>78</v>
      </c>
      <c r="P1657" t="s">
        <v>86</v>
      </c>
    </row>
    <row r="1658" spans="1:16" x14ac:dyDescent="0.25">
      <c r="A1658">
        <v>1657</v>
      </c>
      <c r="B1658" s="1">
        <v>45687</v>
      </c>
      <c r="C1658" t="s">
        <v>21</v>
      </c>
      <c r="D1658" t="s">
        <v>24</v>
      </c>
      <c r="E1658" t="s">
        <v>32</v>
      </c>
      <c r="F1658" t="s">
        <v>62</v>
      </c>
      <c r="G1658" t="s">
        <v>71</v>
      </c>
      <c r="H1658" t="s">
        <v>74</v>
      </c>
      <c r="I1658">
        <v>7</v>
      </c>
      <c r="J1658">
        <v>18418</v>
      </c>
      <c r="K1658">
        <v>0.15</v>
      </c>
      <c r="L1658">
        <v>109587.1</v>
      </c>
      <c r="M1658">
        <v>71471.34</v>
      </c>
      <c r="N1658">
        <v>38115.760000000002</v>
      </c>
      <c r="O1658" t="s">
        <v>76</v>
      </c>
      <c r="P1658" t="s">
        <v>83</v>
      </c>
    </row>
    <row r="1659" spans="1:16" x14ac:dyDescent="0.25">
      <c r="A1659">
        <v>1658</v>
      </c>
      <c r="B1659" s="1">
        <v>45901</v>
      </c>
      <c r="C1659" t="s">
        <v>23</v>
      </c>
      <c r="D1659" t="s">
        <v>27</v>
      </c>
      <c r="E1659" t="s">
        <v>28</v>
      </c>
      <c r="F1659" t="s">
        <v>54</v>
      </c>
      <c r="G1659" t="s">
        <v>72</v>
      </c>
      <c r="H1659" t="s">
        <v>74</v>
      </c>
      <c r="I1659">
        <v>8</v>
      </c>
      <c r="J1659">
        <v>1224</v>
      </c>
      <c r="K1659">
        <v>0.15</v>
      </c>
      <c r="L1659">
        <v>8323.2000000000007</v>
      </c>
      <c r="M1659">
        <v>6624.62</v>
      </c>
      <c r="N1659">
        <v>1698.58</v>
      </c>
      <c r="O1659" t="s">
        <v>76</v>
      </c>
      <c r="P1659" t="s">
        <v>87</v>
      </c>
    </row>
    <row r="1660" spans="1:16" x14ac:dyDescent="0.25">
      <c r="A1660">
        <v>1659</v>
      </c>
      <c r="B1660" s="1">
        <v>45677</v>
      </c>
      <c r="C1660" t="s">
        <v>19</v>
      </c>
      <c r="D1660" t="s">
        <v>26</v>
      </c>
      <c r="E1660" t="s">
        <v>34</v>
      </c>
      <c r="F1660" t="s">
        <v>55</v>
      </c>
      <c r="G1660" t="s">
        <v>70</v>
      </c>
      <c r="H1660" t="s">
        <v>75</v>
      </c>
      <c r="I1660">
        <v>6</v>
      </c>
      <c r="J1660">
        <v>5353</v>
      </c>
      <c r="K1660">
        <v>0.05</v>
      </c>
      <c r="L1660">
        <v>30512.1</v>
      </c>
      <c r="M1660">
        <v>24764.66</v>
      </c>
      <c r="N1660">
        <v>5747.44</v>
      </c>
      <c r="O1660" t="s">
        <v>76</v>
      </c>
      <c r="P1660" t="s">
        <v>88</v>
      </c>
    </row>
    <row r="1661" spans="1:16" x14ac:dyDescent="0.25">
      <c r="A1661">
        <v>1660</v>
      </c>
      <c r="B1661" s="1">
        <v>45973</v>
      </c>
      <c r="C1661" t="s">
        <v>23</v>
      </c>
      <c r="D1661" t="s">
        <v>27</v>
      </c>
      <c r="E1661" t="s">
        <v>32</v>
      </c>
      <c r="F1661" t="s">
        <v>62</v>
      </c>
      <c r="G1661" t="s">
        <v>71</v>
      </c>
      <c r="H1661" t="s">
        <v>75</v>
      </c>
      <c r="I1661">
        <v>3</v>
      </c>
      <c r="J1661">
        <v>21494</v>
      </c>
      <c r="K1661">
        <v>0.1</v>
      </c>
      <c r="L1661">
        <v>58033.8</v>
      </c>
      <c r="M1661">
        <v>38148</v>
      </c>
      <c r="N1661">
        <v>19885.8</v>
      </c>
      <c r="O1661" t="s">
        <v>79</v>
      </c>
      <c r="P1661" t="s">
        <v>87</v>
      </c>
    </row>
    <row r="1662" spans="1:16" x14ac:dyDescent="0.25">
      <c r="A1662">
        <v>1661</v>
      </c>
      <c r="B1662" s="1">
        <v>45777</v>
      </c>
      <c r="C1662" t="s">
        <v>23</v>
      </c>
      <c r="D1662" t="s">
        <v>27</v>
      </c>
      <c r="E1662" t="s">
        <v>29</v>
      </c>
      <c r="F1662" t="s">
        <v>42</v>
      </c>
      <c r="G1662" t="s">
        <v>71</v>
      </c>
      <c r="H1662" t="s">
        <v>73</v>
      </c>
      <c r="I1662">
        <v>6</v>
      </c>
      <c r="J1662">
        <v>11573</v>
      </c>
      <c r="K1662">
        <v>0</v>
      </c>
      <c r="L1662">
        <v>69438</v>
      </c>
      <c r="M1662">
        <v>49818.94</v>
      </c>
      <c r="N1662">
        <v>19619.060000000001</v>
      </c>
      <c r="O1662" t="s">
        <v>77</v>
      </c>
      <c r="P1662" t="s">
        <v>81</v>
      </c>
    </row>
    <row r="1663" spans="1:16" x14ac:dyDescent="0.25">
      <c r="A1663">
        <v>1662</v>
      </c>
      <c r="B1663" s="1">
        <v>45683</v>
      </c>
      <c r="C1663" t="s">
        <v>21</v>
      </c>
      <c r="D1663" t="s">
        <v>24</v>
      </c>
      <c r="E1663" t="s">
        <v>31</v>
      </c>
      <c r="F1663" t="s">
        <v>47</v>
      </c>
      <c r="G1663" t="s">
        <v>72</v>
      </c>
      <c r="H1663" t="s">
        <v>74</v>
      </c>
      <c r="I1663">
        <v>5</v>
      </c>
      <c r="J1663">
        <v>1384</v>
      </c>
      <c r="K1663">
        <v>0.15</v>
      </c>
      <c r="L1663">
        <v>5882</v>
      </c>
      <c r="M1663">
        <v>5173.3</v>
      </c>
      <c r="N1663">
        <v>708.7</v>
      </c>
      <c r="O1663" t="s">
        <v>78</v>
      </c>
      <c r="P1663" t="s">
        <v>82</v>
      </c>
    </row>
    <row r="1664" spans="1:16" x14ac:dyDescent="0.25">
      <c r="A1664">
        <v>1663</v>
      </c>
      <c r="B1664" s="1">
        <v>45932</v>
      </c>
      <c r="C1664" t="s">
        <v>16</v>
      </c>
      <c r="D1664" t="s">
        <v>24</v>
      </c>
      <c r="E1664" t="s">
        <v>29</v>
      </c>
      <c r="F1664" t="s">
        <v>45</v>
      </c>
      <c r="G1664" t="s">
        <v>71</v>
      </c>
      <c r="H1664" t="s">
        <v>74</v>
      </c>
      <c r="I1664">
        <v>3</v>
      </c>
      <c r="J1664">
        <v>5767</v>
      </c>
      <c r="K1664">
        <v>0.1</v>
      </c>
      <c r="L1664">
        <v>15570.9</v>
      </c>
      <c r="M1664">
        <v>12120.36</v>
      </c>
      <c r="N1664">
        <v>3450.54</v>
      </c>
      <c r="O1664" t="s">
        <v>77</v>
      </c>
      <c r="P1664" t="s">
        <v>86</v>
      </c>
    </row>
    <row r="1665" spans="1:16" x14ac:dyDescent="0.25">
      <c r="A1665">
        <v>1664</v>
      </c>
      <c r="B1665" s="1">
        <v>45718</v>
      </c>
      <c r="C1665" t="s">
        <v>20</v>
      </c>
      <c r="D1665" t="s">
        <v>26</v>
      </c>
      <c r="E1665" t="s">
        <v>31</v>
      </c>
      <c r="F1665" t="s">
        <v>67</v>
      </c>
      <c r="G1665" t="s">
        <v>71</v>
      </c>
      <c r="H1665" t="s">
        <v>73</v>
      </c>
      <c r="I1665">
        <v>1</v>
      </c>
      <c r="J1665">
        <v>695</v>
      </c>
      <c r="K1665">
        <v>0.1</v>
      </c>
      <c r="L1665">
        <v>625.5</v>
      </c>
      <c r="M1665">
        <v>371.7</v>
      </c>
      <c r="N1665">
        <v>253.8</v>
      </c>
      <c r="O1665" t="s">
        <v>76</v>
      </c>
      <c r="P1665" t="s">
        <v>82</v>
      </c>
    </row>
    <row r="1666" spans="1:16" x14ac:dyDescent="0.25">
      <c r="A1666">
        <v>1665</v>
      </c>
      <c r="B1666" s="1">
        <v>45706</v>
      </c>
      <c r="C1666" t="s">
        <v>22</v>
      </c>
      <c r="D1666" t="s">
        <v>24</v>
      </c>
      <c r="E1666" t="s">
        <v>33</v>
      </c>
      <c r="F1666" t="s">
        <v>41</v>
      </c>
      <c r="G1666" t="s">
        <v>70</v>
      </c>
      <c r="H1666" t="s">
        <v>73</v>
      </c>
      <c r="I1666">
        <v>5</v>
      </c>
      <c r="J1666">
        <v>29298</v>
      </c>
      <c r="K1666">
        <v>0.1</v>
      </c>
      <c r="L1666">
        <v>131841</v>
      </c>
      <c r="M1666">
        <v>115273.46</v>
      </c>
      <c r="N1666">
        <v>16567.54</v>
      </c>
      <c r="O1666" t="s">
        <v>79</v>
      </c>
      <c r="P1666" t="s">
        <v>81</v>
      </c>
    </row>
    <row r="1667" spans="1:16" x14ac:dyDescent="0.25">
      <c r="A1667">
        <v>1666</v>
      </c>
      <c r="B1667" s="1">
        <v>45771</v>
      </c>
      <c r="C1667" t="s">
        <v>21</v>
      </c>
      <c r="D1667" t="s">
        <v>24</v>
      </c>
      <c r="E1667" t="s">
        <v>31</v>
      </c>
      <c r="F1667" t="s">
        <v>69</v>
      </c>
      <c r="G1667" t="s">
        <v>70</v>
      </c>
      <c r="H1667" t="s">
        <v>73</v>
      </c>
      <c r="I1667">
        <v>3</v>
      </c>
      <c r="J1667">
        <v>1368</v>
      </c>
      <c r="K1667">
        <v>0.2</v>
      </c>
      <c r="L1667">
        <v>3283.2</v>
      </c>
      <c r="M1667">
        <v>2363.3200000000002</v>
      </c>
      <c r="N1667">
        <v>919.88</v>
      </c>
      <c r="O1667" t="s">
        <v>76</v>
      </c>
      <c r="P1667" t="s">
        <v>82</v>
      </c>
    </row>
    <row r="1668" spans="1:16" x14ac:dyDescent="0.25">
      <c r="A1668">
        <v>1667</v>
      </c>
      <c r="B1668" s="1">
        <v>45721</v>
      </c>
      <c r="C1668" t="s">
        <v>20</v>
      </c>
      <c r="D1668" t="s">
        <v>26</v>
      </c>
      <c r="E1668" t="s">
        <v>32</v>
      </c>
      <c r="F1668" t="s">
        <v>39</v>
      </c>
      <c r="G1668" t="s">
        <v>71</v>
      </c>
      <c r="H1668" t="s">
        <v>73</v>
      </c>
      <c r="I1668">
        <v>8</v>
      </c>
      <c r="J1668">
        <v>10596</v>
      </c>
      <c r="K1668">
        <v>0.1</v>
      </c>
      <c r="L1668">
        <v>76291.199999999997</v>
      </c>
      <c r="M1668">
        <v>54468.05</v>
      </c>
      <c r="N1668">
        <v>21823.15</v>
      </c>
      <c r="O1668" t="s">
        <v>77</v>
      </c>
      <c r="P1668" t="s">
        <v>84</v>
      </c>
    </row>
    <row r="1669" spans="1:16" x14ac:dyDescent="0.25">
      <c r="A1669">
        <v>1668</v>
      </c>
      <c r="B1669" s="1">
        <v>45790</v>
      </c>
      <c r="C1669" t="s">
        <v>19</v>
      </c>
      <c r="D1669" t="s">
        <v>26</v>
      </c>
      <c r="E1669" t="s">
        <v>33</v>
      </c>
      <c r="F1669" t="s">
        <v>60</v>
      </c>
      <c r="G1669" t="s">
        <v>71</v>
      </c>
      <c r="H1669" t="s">
        <v>73</v>
      </c>
      <c r="I1669">
        <v>8</v>
      </c>
      <c r="J1669">
        <v>48683</v>
      </c>
      <c r="K1669">
        <v>0.05</v>
      </c>
      <c r="L1669">
        <v>369990.8</v>
      </c>
      <c r="M1669">
        <v>287949.83</v>
      </c>
      <c r="N1669">
        <v>82040.97</v>
      </c>
      <c r="O1669" t="s">
        <v>78</v>
      </c>
      <c r="P1669" t="s">
        <v>88</v>
      </c>
    </row>
    <row r="1670" spans="1:16" x14ac:dyDescent="0.25">
      <c r="A1670">
        <v>1669</v>
      </c>
      <c r="B1670" s="1">
        <v>45971</v>
      </c>
      <c r="C1670" t="s">
        <v>18</v>
      </c>
      <c r="D1670" t="s">
        <v>26</v>
      </c>
      <c r="E1670" t="s">
        <v>28</v>
      </c>
      <c r="F1670" t="s">
        <v>58</v>
      </c>
      <c r="G1670" t="s">
        <v>71</v>
      </c>
      <c r="H1670" t="s">
        <v>75</v>
      </c>
      <c r="I1670">
        <v>2</v>
      </c>
      <c r="J1670">
        <v>2360</v>
      </c>
      <c r="K1670">
        <v>0</v>
      </c>
      <c r="L1670">
        <v>4720</v>
      </c>
      <c r="M1670">
        <v>3186.03</v>
      </c>
      <c r="N1670">
        <v>1533.97</v>
      </c>
      <c r="O1670" t="s">
        <v>76</v>
      </c>
      <c r="P1670" t="s">
        <v>87</v>
      </c>
    </row>
    <row r="1671" spans="1:16" x14ac:dyDescent="0.25">
      <c r="A1671">
        <v>1670</v>
      </c>
      <c r="B1671" s="1">
        <v>45889</v>
      </c>
      <c r="C1671" t="s">
        <v>21</v>
      </c>
      <c r="D1671" t="s">
        <v>24</v>
      </c>
      <c r="E1671" t="s">
        <v>29</v>
      </c>
      <c r="F1671" t="s">
        <v>36</v>
      </c>
      <c r="G1671" t="s">
        <v>70</v>
      </c>
      <c r="H1671" t="s">
        <v>74</v>
      </c>
      <c r="I1671">
        <v>4</v>
      </c>
      <c r="J1671">
        <v>11354</v>
      </c>
      <c r="K1671">
        <v>0.1</v>
      </c>
      <c r="L1671">
        <v>40874.400000000001</v>
      </c>
      <c r="M1671">
        <v>23002.799999999999</v>
      </c>
      <c r="N1671">
        <v>17871.599999999999</v>
      </c>
      <c r="O1671" t="s">
        <v>78</v>
      </c>
      <c r="P1671" t="s">
        <v>82</v>
      </c>
    </row>
    <row r="1672" spans="1:16" x14ac:dyDescent="0.25">
      <c r="A1672">
        <v>1671</v>
      </c>
      <c r="B1672" s="1">
        <v>45949</v>
      </c>
      <c r="C1672" t="s">
        <v>20</v>
      </c>
      <c r="D1672" t="s">
        <v>26</v>
      </c>
      <c r="E1672" t="s">
        <v>31</v>
      </c>
      <c r="F1672" t="s">
        <v>50</v>
      </c>
      <c r="G1672" t="s">
        <v>72</v>
      </c>
      <c r="H1672" t="s">
        <v>75</v>
      </c>
      <c r="I1672">
        <v>6</v>
      </c>
      <c r="J1672">
        <v>2061</v>
      </c>
      <c r="K1672">
        <v>0</v>
      </c>
      <c r="L1672">
        <v>12366</v>
      </c>
      <c r="M1672">
        <v>8010.56</v>
      </c>
      <c r="N1672">
        <v>4355.4399999999996</v>
      </c>
      <c r="O1672" t="s">
        <v>77</v>
      </c>
      <c r="P1672" t="s">
        <v>84</v>
      </c>
    </row>
    <row r="1673" spans="1:16" x14ac:dyDescent="0.25">
      <c r="A1673">
        <v>1672</v>
      </c>
      <c r="B1673" s="1">
        <v>45935</v>
      </c>
      <c r="C1673" t="s">
        <v>19</v>
      </c>
      <c r="D1673" t="s">
        <v>26</v>
      </c>
      <c r="E1673" t="s">
        <v>34</v>
      </c>
      <c r="F1673" t="s">
        <v>43</v>
      </c>
      <c r="G1673" t="s">
        <v>71</v>
      </c>
      <c r="H1673" t="s">
        <v>73</v>
      </c>
      <c r="I1673">
        <v>8</v>
      </c>
      <c r="J1673">
        <v>652</v>
      </c>
      <c r="K1673">
        <v>0.15</v>
      </c>
      <c r="L1673">
        <v>4433.6000000000004</v>
      </c>
      <c r="M1673">
        <v>3420.98</v>
      </c>
      <c r="N1673">
        <v>1012.62</v>
      </c>
      <c r="O1673" t="s">
        <v>78</v>
      </c>
      <c r="P1673" t="s">
        <v>83</v>
      </c>
    </row>
    <row r="1674" spans="1:16" x14ac:dyDescent="0.25">
      <c r="A1674">
        <v>1673</v>
      </c>
      <c r="B1674" s="1">
        <v>46021</v>
      </c>
      <c r="C1674" t="s">
        <v>23</v>
      </c>
      <c r="D1674" t="s">
        <v>27</v>
      </c>
      <c r="E1674" t="s">
        <v>29</v>
      </c>
      <c r="F1674" t="s">
        <v>45</v>
      </c>
      <c r="G1674" t="s">
        <v>70</v>
      </c>
      <c r="H1674" t="s">
        <v>75</v>
      </c>
      <c r="I1674">
        <v>7</v>
      </c>
      <c r="J1674">
        <v>10732</v>
      </c>
      <c r="K1674">
        <v>0.15</v>
      </c>
      <c r="L1674">
        <v>63855.4</v>
      </c>
      <c r="M1674">
        <v>53027.31</v>
      </c>
      <c r="N1674">
        <v>10828.09</v>
      </c>
      <c r="O1674" t="s">
        <v>78</v>
      </c>
      <c r="P1674" t="s">
        <v>86</v>
      </c>
    </row>
    <row r="1675" spans="1:16" x14ac:dyDescent="0.25">
      <c r="A1675">
        <v>1674</v>
      </c>
      <c r="B1675" s="1">
        <v>45802</v>
      </c>
      <c r="C1675" t="s">
        <v>18</v>
      </c>
      <c r="D1675" t="s">
        <v>26</v>
      </c>
      <c r="E1675" t="s">
        <v>31</v>
      </c>
      <c r="F1675" t="s">
        <v>67</v>
      </c>
      <c r="G1675" t="s">
        <v>70</v>
      </c>
      <c r="H1675" t="s">
        <v>73</v>
      </c>
      <c r="I1675">
        <v>8</v>
      </c>
      <c r="J1675">
        <v>1823</v>
      </c>
      <c r="K1675">
        <v>0.15</v>
      </c>
      <c r="L1675">
        <v>12396.4</v>
      </c>
      <c r="M1675">
        <v>9016.34</v>
      </c>
      <c r="N1675">
        <v>3380.06</v>
      </c>
      <c r="O1675" t="s">
        <v>78</v>
      </c>
      <c r="P1675" t="s">
        <v>84</v>
      </c>
    </row>
    <row r="1676" spans="1:16" x14ac:dyDescent="0.25">
      <c r="A1676">
        <v>1675</v>
      </c>
      <c r="B1676" s="1">
        <v>45742</v>
      </c>
      <c r="C1676" t="s">
        <v>18</v>
      </c>
      <c r="D1676" t="s">
        <v>26</v>
      </c>
      <c r="E1676" t="s">
        <v>29</v>
      </c>
      <c r="F1676" t="s">
        <v>45</v>
      </c>
      <c r="G1676" t="s">
        <v>70</v>
      </c>
      <c r="H1676" t="s">
        <v>75</v>
      </c>
      <c r="I1676">
        <v>3</v>
      </c>
      <c r="J1676">
        <v>11404</v>
      </c>
      <c r="K1676">
        <v>0.1</v>
      </c>
      <c r="L1676">
        <v>30790.799999999999</v>
      </c>
      <c r="M1676">
        <v>26404.16</v>
      </c>
      <c r="N1676">
        <v>4386.6400000000003</v>
      </c>
      <c r="O1676" t="s">
        <v>79</v>
      </c>
      <c r="P1676" t="s">
        <v>88</v>
      </c>
    </row>
    <row r="1677" spans="1:16" x14ac:dyDescent="0.25">
      <c r="A1677">
        <v>1676</v>
      </c>
      <c r="B1677" s="1">
        <v>45667</v>
      </c>
      <c r="C1677" t="s">
        <v>23</v>
      </c>
      <c r="D1677" t="s">
        <v>27</v>
      </c>
      <c r="E1677" t="s">
        <v>29</v>
      </c>
      <c r="F1677" t="s">
        <v>53</v>
      </c>
      <c r="G1677" t="s">
        <v>71</v>
      </c>
      <c r="H1677" t="s">
        <v>73</v>
      </c>
      <c r="I1677">
        <v>7</v>
      </c>
      <c r="J1677">
        <v>2892</v>
      </c>
      <c r="K1677">
        <v>0</v>
      </c>
      <c r="L1677">
        <v>20244</v>
      </c>
      <c r="M1677">
        <v>12483.22</v>
      </c>
      <c r="N1677">
        <v>7760.78</v>
      </c>
      <c r="O1677" t="s">
        <v>77</v>
      </c>
      <c r="P1677" t="s">
        <v>83</v>
      </c>
    </row>
    <row r="1678" spans="1:16" x14ac:dyDescent="0.25">
      <c r="A1678">
        <v>1677</v>
      </c>
      <c r="B1678" s="1">
        <v>45678</v>
      </c>
      <c r="C1678" t="s">
        <v>20</v>
      </c>
      <c r="D1678" t="s">
        <v>26</v>
      </c>
      <c r="E1678" t="s">
        <v>31</v>
      </c>
      <c r="F1678" t="s">
        <v>69</v>
      </c>
      <c r="G1678" t="s">
        <v>70</v>
      </c>
      <c r="H1678" t="s">
        <v>74</v>
      </c>
      <c r="I1678">
        <v>6</v>
      </c>
      <c r="J1678">
        <v>508</v>
      </c>
      <c r="K1678">
        <v>0.1</v>
      </c>
      <c r="L1678">
        <v>2743.2</v>
      </c>
      <c r="M1678">
        <v>1561.39</v>
      </c>
      <c r="N1678">
        <v>1181.81</v>
      </c>
      <c r="O1678" t="s">
        <v>80</v>
      </c>
      <c r="P1678" t="s">
        <v>85</v>
      </c>
    </row>
    <row r="1679" spans="1:16" x14ac:dyDescent="0.25">
      <c r="A1679">
        <v>1678</v>
      </c>
      <c r="B1679" s="1">
        <v>45812</v>
      </c>
      <c r="C1679" t="s">
        <v>20</v>
      </c>
      <c r="D1679" t="s">
        <v>26</v>
      </c>
      <c r="E1679" t="s">
        <v>34</v>
      </c>
      <c r="F1679" t="s">
        <v>43</v>
      </c>
      <c r="G1679" t="s">
        <v>70</v>
      </c>
      <c r="H1679" t="s">
        <v>74</v>
      </c>
      <c r="I1679">
        <v>3</v>
      </c>
      <c r="J1679">
        <v>3296</v>
      </c>
      <c r="K1679">
        <v>0</v>
      </c>
      <c r="L1679">
        <v>9888</v>
      </c>
      <c r="M1679">
        <v>7689.1</v>
      </c>
      <c r="N1679">
        <v>2198.9</v>
      </c>
      <c r="O1679" t="s">
        <v>79</v>
      </c>
      <c r="P1679" t="s">
        <v>83</v>
      </c>
    </row>
    <row r="1680" spans="1:16" x14ac:dyDescent="0.25">
      <c r="A1680">
        <v>1679</v>
      </c>
      <c r="B1680" s="1">
        <v>45674</v>
      </c>
      <c r="C1680" t="s">
        <v>18</v>
      </c>
      <c r="D1680" t="s">
        <v>26</v>
      </c>
      <c r="E1680" t="s">
        <v>30</v>
      </c>
      <c r="F1680" t="s">
        <v>56</v>
      </c>
      <c r="G1680" t="s">
        <v>71</v>
      </c>
      <c r="H1680" t="s">
        <v>74</v>
      </c>
      <c r="I1680">
        <v>7</v>
      </c>
      <c r="J1680">
        <v>68196</v>
      </c>
      <c r="K1680">
        <v>0</v>
      </c>
      <c r="L1680">
        <v>477372</v>
      </c>
      <c r="M1680">
        <v>290696.56</v>
      </c>
      <c r="N1680">
        <v>186675.44</v>
      </c>
      <c r="O1680" t="s">
        <v>79</v>
      </c>
      <c r="P1680" t="s">
        <v>88</v>
      </c>
    </row>
    <row r="1681" spans="1:16" x14ac:dyDescent="0.25">
      <c r="A1681">
        <v>1680</v>
      </c>
      <c r="B1681" s="1">
        <v>45981</v>
      </c>
      <c r="C1681" t="s">
        <v>22</v>
      </c>
      <c r="D1681" t="s">
        <v>24</v>
      </c>
      <c r="E1681" t="s">
        <v>34</v>
      </c>
      <c r="F1681" t="s">
        <v>51</v>
      </c>
      <c r="G1681" t="s">
        <v>72</v>
      </c>
      <c r="H1681" t="s">
        <v>73</v>
      </c>
      <c r="I1681">
        <v>3</v>
      </c>
      <c r="J1681">
        <v>4128</v>
      </c>
      <c r="K1681">
        <v>0</v>
      </c>
      <c r="L1681">
        <v>12384</v>
      </c>
      <c r="M1681">
        <v>8500.41</v>
      </c>
      <c r="N1681">
        <v>3883.59</v>
      </c>
      <c r="O1681" t="s">
        <v>76</v>
      </c>
      <c r="P1681" t="s">
        <v>82</v>
      </c>
    </row>
    <row r="1682" spans="1:16" x14ac:dyDescent="0.25">
      <c r="A1682">
        <v>1681</v>
      </c>
      <c r="B1682" s="1">
        <v>46011</v>
      </c>
      <c r="C1682" t="s">
        <v>20</v>
      </c>
      <c r="D1682" t="s">
        <v>26</v>
      </c>
      <c r="E1682" t="s">
        <v>32</v>
      </c>
      <c r="F1682" t="s">
        <v>62</v>
      </c>
      <c r="G1682" t="s">
        <v>71</v>
      </c>
      <c r="H1682" t="s">
        <v>73</v>
      </c>
      <c r="I1682">
        <v>1</v>
      </c>
      <c r="J1682">
        <v>12740</v>
      </c>
      <c r="K1682">
        <v>0</v>
      </c>
      <c r="L1682">
        <v>12740</v>
      </c>
      <c r="M1682">
        <v>8379.14</v>
      </c>
      <c r="N1682">
        <v>4360.8599999999997</v>
      </c>
      <c r="O1682" t="s">
        <v>77</v>
      </c>
      <c r="P1682" t="s">
        <v>82</v>
      </c>
    </row>
    <row r="1683" spans="1:16" x14ac:dyDescent="0.25">
      <c r="A1683">
        <v>1682</v>
      </c>
      <c r="B1683" s="1">
        <v>45749</v>
      </c>
      <c r="C1683" t="s">
        <v>16</v>
      </c>
      <c r="D1683" t="s">
        <v>24</v>
      </c>
      <c r="E1683" t="s">
        <v>29</v>
      </c>
      <c r="F1683" t="s">
        <v>42</v>
      </c>
      <c r="G1683" t="s">
        <v>70</v>
      </c>
      <c r="H1683" t="s">
        <v>73</v>
      </c>
      <c r="I1683">
        <v>3</v>
      </c>
      <c r="J1683">
        <v>5499</v>
      </c>
      <c r="K1683">
        <v>0</v>
      </c>
      <c r="L1683">
        <v>16497</v>
      </c>
      <c r="M1683">
        <v>12858.6</v>
      </c>
      <c r="N1683">
        <v>3638.4</v>
      </c>
      <c r="O1683" t="s">
        <v>79</v>
      </c>
      <c r="P1683" t="s">
        <v>81</v>
      </c>
    </row>
    <row r="1684" spans="1:16" x14ac:dyDescent="0.25">
      <c r="A1684">
        <v>1683</v>
      </c>
      <c r="B1684" s="1">
        <v>45951</v>
      </c>
      <c r="C1684" t="s">
        <v>21</v>
      </c>
      <c r="D1684" t="s">
        <v>24</v>
      </c>
      <c r="E1684" t="s">
        <v>33</v>
      </c>
      <c r="F1684" t="s">
        <v>41</v>
      </c>
      <c r="G1684" t="s">
        <v>72</v>
      </c>
      <c r="H1684" t="s">
        <v>75</v>
      </c>
      <c r="I1684">
        <v>1</v>
      </c>
      <c r="J1684">
        <v>27630</v>
      </c>
      <c r="K1684">
        <v>0.1</v>
      </c>
      <c r="L1684">
        <v>24867</v>
      </c>
      <c r="M1684">
        <v>14698.97</v>
      </c>
      <c r="N1684">
        <v>10168.030000000001</v>
      </c>
      <c r="O1684" t="s">
        <v>76</v>
      </c>
      <c r="P1684" t="s">
        <v>81</v>
      </c>
    </row>
    <row r="1685" spans="1:16" x14ac:dyDescent="0.25">
      <c r="A1685">
        <v>1684</v>
      </c>
      <c r="B1685" s="1">
        <v>45911</v>
      </c>
      <c r="C1685" t="s">
        <v>19</v>
      </c>
      <c r="D1685" t="s">
        <v>26</v>
      </c>
      <c r="E1685" t="s">
        <v>33</v>
      </c>
      <c r="F1685" t="s">
        <v>52</v>
      </c>
      <c r="G1685" t="s">
        <v>72</v>
      </c>
      <c r="H1685" t="s">
        <v>75</v>
      </c>
      <c r="I1685">
        <v>6</v>
      </c>
      <c r="J1685">
        <v>8740</v>
      </c>
      <c r="K1685">
        <v>0</v>
      </c>
      <c r="L1685">
        <v>52440</v>
      </c>
      <c r="M1685">
        <v>42060.71</v>
      </c>
      <c r="N1685">
        <v>10379.290000000001</v>
      </c>
      <c r="O1685" t="s">
        <v>76</v>
      </c>
      <c r="P1685" t="s">
        <v>82</v>
      </c>
    </row>
    <row r="1686" spans="1:16" x14ac:dyDescent="0.25">
      <c r="A1686">
        <v>1685</v>
      </c>
      <c r="B1686" s="1">
        <v>45815</v>
      </c>
      <c r="C1686" t="s">
        <v>17</v>
      </c>
      <c r="D1686" t="s">
        <v>25</v>
      </c>
      <c r="E1686" t="s">
        <v>34</v>
      </c>
      <c r="F1686" t="s">
        <v>68</v>
      </c>
      <c r="G1686" t="s">
        <v>71</v>
      </c>
      <c r="H1686" t="s">
        <v>75</v>
      </c>
      <c r="I1686">
        <v>4</v>
      </c>
      <c r="J1686">
        <v>1666</v>
      </c>
      <c r="K1686">
        <v>0.05</v>
      </c>
      <c r="L1686">
        <v>6330.8</v>
      </c>
      <c r="M1686">
        <v>4993.6099999999997</v>
      </c>
      <c r="N1686">
        <v>1337.19</v>
      </c>
      <c r="O1686" t="s">
        <v>77</v>
      </c>
      <c r="P1686" t="s">
        <v>87</v>
      </c>
    </row>
    <row r="1687" spans="1:16" x14ac:dyDescent="0.25">
      <c r="A1687">
        <v>1686</v>
      </c>
      <c r="B1687" s="1">
        <v>45981</v>
      </c>
      <c r="C1687" t="s">
        <v>20</v>
      </c>
      <c r="D1687" t="s">
        <v>26</v>
      </c>
      <c r="E1687" t="s">
        <v>28</v>
      </c>
      <c r="F1687" t="s">
        <v>54</v>
      </c>
      <c r="G1687" t="s">
        <v>70</v>
      </c>
      <c r="H1687" t="s">
        <v>75</v>
      </c>
      <c r="I1687">
        <v>8</v>
      </c>
      <c r="J1687">
        <v>1097</v>
      </c>
      <c r="K1687">
        <v>0</v>
      </c>
      <c r="L1687">
        <v>8776</v>
      </c>
      <c r="M1687">
        <v>7363.73</v>
      </c>
      <c r="N1687">
        <v>1412.27</v>
      </c>
      <c r="O1687" t="s">
        <v>78</v>
      </c>
      <c r="P1687" t="s">
        <v>84</v>
      </c>
    </row>
    <row r="1688" spans="1:16" x14ac:dyDescent="0.25">
      <c r="A1688">
        <v>1687</v>
      </c>
      <c r="B1688" s="1">
        <v>45973</v>
      </c>
      <c r="C1688" t="s">
        <v>19</v>
      </c>
      <c r="D1688" t="s">
        <v>26</v>
      </c>
      <c r="E1688" t="s">
        <v>32</v>
      </c>
      <c r="F1688" t="s">
        <v>62</v>
      </c>
      <c r="G1688" t="s">
        <v>72</v>
      </c>
      <c r="H1688" t="s">
        <v>74</v>
      </c>
      <c r="I1688">
        <v>8</v>
      </c>
      <c r="J1688">
        <v>18983</v>
      </c>
      <c r="K1688">
        <v>0</v>
      </c>
      <c r="L1688">
        <v>151864</v>
      </c>
      <c r="M1688">
        <v>94859.4</v>
      </c>
      <c r="N1688">
        <v>57004.6</v>
      </c>
      <c r="O1688" t="s">
        <v>76</v>
      </c>
      <c r="P1688" t="s">
        <v>84</v>
      </c>
    </row>
    <row r="1689" spans="1:16" x14ac:dyDescent="0.25">
      <c r="A1689">
        <v>1688</v>
      </c>
      <c r="B1689" s="1">
        <v>45995</v>
      </c>
      <c r="C1689" t="s">
        <v>20</v>
      </c>
      <c r="D1689" t="s">
        <v>26</v>
      </c>
      <c r="E1689" t="s">
        <v>34</v>
      </c>
      <c r="F1689" t="s">
        <v>51</v>
      </c>
      <c r="G1689" t="s">
        <v>70</v>
      </c>
      <c r="H1689" t="s">
        <v>73</v>
      </c>
      <c r="I1689">
        <v>1</v>
      </c>
      <c r="J1689">
        <v>2120</v>
      </c>
      <c r="K1689">
        <v>0</v>
      </c>
      <c r="L1689">
        <v>2120</v>
      </c>
      <c r="M1689">
        <v>1739.92</v>
      </c>
      <c r="N1689">
        <v>380.08</v>
      </c>
      <c r="O1689" t="s">
        <v>79</v>
      </c>
      <c r="P1689" t="s">
        <v>85</v>
      </c>
    </row>
    <row r="1690" spans="1:16" x14ac:dyDescent="0.25">
      <c r="A1690">
        <v>1689</v>
      </c>
      <c r="B1690" s="1">
        <v>45972</v>
      </c>
      <c r="C1690" t="s">
        <v>16</v>
      </c>
      <c r="D1690" t="s">
        <v>24</v>
      </c>
      <c r="E1690" t="s">
        <v>29</v>
      </c>
      <c r="F1690" t="s">
        <v>36</v>
      </c>
      <c r="G1690" t="s">
        <v>71</v>
      </c>
      <c r="H1690" t="s">
        <v>74</v>
      </c>
      <c r="I1690">
        <v>6</v>
      </c>
      <c r="J1690">
        <v>4571</v>
      </c>
      <c r="K1690">
        <v>0.05</v>
      </c>
      <c r="L1690">
        <v>26054.7</v>
      </c>
      <c r="M1690">
        <v>22290.560000000001</v>
      </c>
      <c r="N1690">
        <v>3764.14</v>
      </c>
      <c r="O1690" t="s">
        <v>79</v>
      </c>
      <c r="P1690" t="s">
        <v>88</v>
      </c>
    </row>
    <row r="1691" spans="1:16" x14ac:dyDescent="0.25">
      <c r="A1691">
        <v>1690</v>
      </c>
      <c r="B1691" s="1">
        <v>45987</v>
      </c>
      <c r="C1691" t="s">
        <v>22</v>
      </c>
      <c r="D1691" t="s">
        <v>24</v>
      </c>
      <c r="E1691" t="s">
        <v>28</v>
      </c>
      <c r="F1691" t="s">
        <v>54</v>
      </c>
      <c r="G1691" t="s">
        <v>72</v>
      </c>
      <c r="H1691" t="s">
        <v>74</v>
      </c>
      <c r="I1691">
        <v>2</v>
      </c>
      <c r="J1691">
        <v>241</v>
      </c>
      <c r="K1691">
        <v>0.15</v>
      </c>
      <c r="L1691">
        <v>409.7</v>
      </c>
      <c r="M1691">
        <v>229.48</v>
      </c>
      <c r="N1691">
        <v>180.22</v>
      </c>
      <c r="O1691" t="s">
        <v>76</v>
      </c>
      <c r="P1691" t="s">
        <v>86</v>
      </c>
    </row>
    <row r="1692" spans="1:16" x14ac:dyDescent="0.25">
      <c r="A1692">
        <v>1691</v>
      </c>
      <c r="B1692" s="1">
        <v>45882</v>
      </c>
      <c r="C1692" t="s">
        <v>20</v>
      </c>
      <c r="D1692" t="s">
        <v>26</v>
      </c>
      <c r="E1692" t="s">
        <v>33</v>
      </c>
      <c r="F1692" t="s">
        <v>52</v>
      </c>
      <c r="G1692" t="s">
        <v>71</v>
      </c>
      <c r="H1692" t="s">
        <v>75</v>
      </c>
      <c r="I1692">
        <v>6</v>
      </c>
      <c r="J1692">
        <v>38633</v>
      </c>
      <c r="K1692">
        <v>0.15</v>
      </c>
      <c r="L1692">
        <v>197028.3</v>
      </c>
      <c r="M1692">
        <v>136266.88</v>
      </c>
      <c r="N1692">
        <v>60761.42</v>
      </c>
      <c r="O1692" t="s">
        <v>76</v>
      </c>
      <c r="P1692" t="s">
        <v>83</v>
      </c>
    </row>
    <row r="1693" spans="1:16" x14ac:dyDescent="0.25">
      <c r="A1693">
        <v>1692</v>
      </c>
      <c r="B1693" s="1">
        <v>45794</v>
      </c>
      <c r="C1693" t="s">
        <v>21</v>
      </c>
      <c r="D1693" t="s">
        <v>24</v>
      </c>
      <c r="E1693" t="s">
        <v>30</v>
      </c>
      <c r="F1693" t="s">
        <v>37</v>
      </c>
      <c r="G1693" t="s">
        <v>71</v>
      </c>
      <c r="H1693" t="s">
        <v>74</v>
      </c>
      <c r="I1693">
        <v>5</v>
      </c>
      <c r="J1693">
        <v>10845</v>
      </c>
      <c r="K1693">
        <v>0</v>
      </c>
      <c r="L1693">
        <v>54225</v>
      </c>
      <c r="M1693">
        <v>36620.959999999999</v>
      </c>
      <c r="N1693">
        <v>17604.04</v>
      </c>
      <c r="O1693" t="s">
        <v>79</v>
      </c>
      <c r="P1693" t="s">
        <v>86</v>
      </c>
    </row>
    <row r="1694" spans="1:16" x14ac:dyDescent="0.25">
      <c r="A1694">
        <v>1693</v>
      </c>
      <c r="B1694" s="1">
        <v>45800</v>
      </c>
      <c r="C1694" t="s">
        <v>20</v>
      </c>
      <c r="D1694" t="s">
        <v>26</v>
      </c>
      <c r="E1694" t="s">
        <v>31</v>
      </c>
      <c r="F1694" t="s">
        <v>47</v>
      </c>
      <c r="G1694" t="s">
        <v>70</v>
      </c>
      <c r="H1694" t="s">
        <v>75</v>
      </c>
      <c r="I1694">
        <v>4</v>
      </c>
      <c r="J1694">
        <v>2316</v>
      </c>
      <c r="K1694">
        <v>0.05</v>
      </c>
      <c r="L1694">
        <v>8800.7999999999993</v>
      </c>
      <c r="M1694">
        <v>5912.85</v>
      </c>
      <c r="N1694">
        <v>2887.95</v>
      </c>
      <c r="O1694" t="s">
        <v>76</v>
      </c>
      <c r="P1694" t="s">
        <v>85</v>
      </c>
    </row>
    <row r="1695" spans="1:16" x14ac:dyDescent="0.25">
      <c r="A1695">
        <v>1694</v>
      </c>
      <c r="B1695" s="1">
        <v>45889</v>
      </c>
      <c r="C1695" t="s">
        <v>18</v>
      </c>
      <c r="D1695" t="s">
        <v>26</v>
      </c>
      <c r="E1695" t="s">
        <v>28</v>
      </c>
      <c r="F1695" t="s">
        <v>61</v>
      </c>
      <c r="G1695" t="s">
        <v>72</v>
      </c>
      <c r="H1695" t="s">
        <v>73</v>
      </c>
      <c r="I1695">
        <v>3</v>
      </c>
      <c r="J1695">
        <v>1070</v>
      </c>
      <c r="K1695">
        <v>0.05</v>
      </c>
      <c r="L1695">
        <v>3049.5</v>
      </c>
      <c r="M1695">
        <v>2612.96</v>
      </c>
      <c r="N1695">
        <v>436.54</v>
      </c>
      <c r="O1695" t="s">
        <v>78</v>
      </c>
      <c r="P1695" t="s">
        <v>86</v>
      </c>
    </row>
    <row r="1696" spans="1:16" x14ac:dyDescent="0.25">
      <c r="A1696">
        <v>1695</v>
      </c>
      <c r="B1696" s="1">
        <v>45843</v>
      </c>
      <c r="C1696" t="s">
        <v>20</v>
      </c>
      <c r="D1696" t="s">
        <v>26</v>
      </c>
      <c r="E1696" t="s">
        <v>32</v>
      </c>
      <c r="F1696" t="s">
        <v>49</v>
      </c>
      <c r="G1696" t="s">
        <v>72</v>
      </c>
      <c r="H1696" t="s">
        <v>74</v>
      </c>
      <c r="I1696">
        <v>7</v>
      </c>
      <c r="J1696">
        <v>22475</v>
      </c>
      <c r="K1696">
        <v>0.05</v>
      </c>
      <c r="L1696">
        <v>149458.75</v>
      </c>
      <c r="M1696">
        <v>113295.31</v>
      </c>
      <c r="N1696">
        <v>36163.440000000002</v>
      </c>
      <c r="O1696" t="s">
        <v>76</v>
      </c>
      <c r="P1696" t="s">
        <v>85</v>
      </c>
    </row>
    <row r="1697" spans="1:16" x14ac:dyDescent="0.25">
      <c r="A1697">
        <v>1696</v>
      </c>
      <c r="B1697" s="1">
        <v>45687</v>
      </c>
      <c r="C1697" t="s">
        <v>20</v>
      </c>
      <c r="D1697" t="s">
        <v>26</v>
      </c>
      <c r="E1697" t="s">
        <v>33</v>
      </c>
      <c r="F1697" t="s">
        <v>59</v>
      </c>
      <c r="G1697" t="s">
        <v>71</v>
      </c>
      <c r="H1697" t="s">
        <v>75</v>
      </c>
      <c r="I1697">
        <v>3</v>
      </c>
      <c r="J1697">
        <v>3145</v>
      </c>
      <c r="K1697">
        <v>0.15</v>
      </c>
      <c r="L1697">
        <v>8019.75</v>
      </c>
      <c r="M1697">
        <v>6640.5</v>
      </c>
      <c r="N1697">
        <v>1379.25</v>
      </c>
      <c r="O1697" t="s">
        <v>76</v>
      </c>
      <c r="P1697" t="s">
        <v>88</v>
      </c>
    </row>
    <row r="1698" spans="1:16" x14ac:dyDescent="0.25">
      <c r="A1698">
        <v>1697</v>
      </c>
      <c r="B1698" s="1">
        <v>45877</v>
      </c>
      <c r="C1698" t="s">
        <v>18</v>
      </c>
      <c r="D1698" t="s">
        <v>26</v>
      </c>
      <c r="E1698" t="s">
        <v>31</v>
      </c>
      <c r="F1698" t="s">
        <v>69</v>
      </c>
      <c r="G1698" t="s">
        <v>70</v>
      </c>
      <c r="H1698" t="s">
        <v>74</v>
      </c>
      <c r="I1698">
        <v>8</v>
      </c>
      <c r="J1698">
        <v>1263</v>
      </c>
      <c r="K1698">
        <v>0.15</v>
      </c>
      <c r="L1698">
        <v>8588.4</v>
      </c>
      <c r="M1698">
        <v>5359.36</v>
      </c>
      <c r="N1698">
        <v>3229.04</v>
      </c>
      <c r="O1698" t="s">
        <v>78</v>
      </c>
      <c r="P1698" t="s">
        <v>84</v>
      </c>
    </row>
    <row r="1699" spans="1:16" x14ac:dyDescent="0.25">
      <c r="A1699">
        <v>1698</v>
      </c>
      <c r="B1699" s="1">
        <v>45758</v>
      </c>
      <c r="C1699" t="s">
        <v>23</v>
      </c>
      <c r="D1699" t="s">
        <v>27</v>
      </c>
      <c r="E1699" t="s">
        <v>28</v>
      </c>
      <c r="F1699" t="s">
        <v>35</v>
      </c>
      <c r="G1699" t="s">
        <v>71</v>
      </c>
      <c r="H1699" t="s">
        <v>75</v>
      </c>
      <c r="I1699">
        <v>3</v>
      </c>
      <c r="J1699">
        <v>1534</v>
      </c>
      <c r="K1699">
        <v>0.15</v>
      </c>
      <c r="L1699">
        <v>3911.7</v>
      </c>
      <c r="M1699">
        <v>2275.4299999999998</v>
      </c>
      <c r="N1699">
        <v>1636.27</v>
      </c>
      <c r="O1699" t="s">
        <v>80</v>
      </c>
      <c r="P1699" t="s">
        <v>83</v>
      </c>
    </row>
    <row r="1700" spans="1:16" x14ac:dyDescent="0.25">
      <c r="A1700">
        <v>1699</v>
      </c>
      <c r="B1700" s="1">
        <v>45954</v>
      </c>
      <c r="C1700" t="s">
        <v>20</v>
      </c>
      <c r="D1700" t="s">
        <v>26</v>
      </c>
      <c r="E1700" t="s">
        <v>33</v>
      </c>
      <c r="F1700" t="s">
        <v>41</v>
      </c>
      <c r="G1700" t="s">
        <v>72</v>
      </c>
      <c r="H1700" t="s">
        <v>75</v>
      </c>
      <c r="I1700">
        <v>5</v>
      </c>
      <c r="J1700">
        <v>44560</v>
      </c>
      <c r="K1700">
        <v>0.05</v>
      </c>
      <c r="L1700">
        <v>211660</v>
      </c>
      <c r="M1700">
        <v>116745.9</v>
      </c>
      <c r="N1700">
        <v>94914.1</v>
      </c>
      <c r="O1700" t="s">
        <v>77</v>
      </c>
      <c r="P1700" t="s">
        <v>86</v>
      </c>
    </row>
    <row r="1701" spans="1:16" x14ac:dyDescent="0.25">
      <c r="A1701">
        <v>1700</v>
      </c>
      <c r="B1701" s="1">
        <v>45901</v>
      </c>
      <c r="C1701" t="s">
        <v>23</v>
      </c>
      <c r="D1701" t="s">
        <v>27</v>
      </c>
      <c r="E1701" t="s">
        <v>28</v>
      </c>
      <c r="F1701" t="s">
        <v>63</v>
      </c>
      <c r="G1701" t="s">
        <v>71</v>
      </c>
      <c r="H1701" t="s">
        <v>74</v>
      </c>
      <c r="I1701">
        <v>4</v>
      </c>
      <c r="J1701">
        <v>1314</v>
      </c>
      <c r="K1701">
        <v>0.05</v>
      </c>
      <c r="L1701">
        <v>4993.2</v>
      </c>
      <c r="M1701">
        <v>3170.34</v>
      </c>
      <c r="N1701">
        <v>1822.86</v>
      </c>
      <c r="O1701" t="s">
        <v>80</v>
      </c>
      <c r="P1701" t="s">
        <v>88</v>
      </c>
    </row>
    <row r="1702" spans="1:16" x14ac:dyDescent="0.25">
      <c r="A1702">
        <v>1701</v>
      </c>
      <c r="B1702" s="1">
        <v>45732</v>
      </c>
      <c r="C1702" t="s">
        <v>20</v>
      </c>
      <c r="D1702" t="s">
        <v>26</v>
      </c>
      <c r="E1702" t="s">
        <v>28</v>
      </c>
      <c r="F1702" t="s">
        <v>58</v>
      </c>
      <c r="G1702" t="s">
        <v>72</v>
      </c>
      <c r="H1702" t="s">
        <v>73</v>
      </c>
      <c r="I1702">
        <v>7</v>
      </c>
      <c r="J1702">
        <v>1804</v>
      </c>
      <c r="K1702">
        <v>0</v>
      </c>
      <c r="L1702">
        <v>12628</v>
      </c>
      <c r="M1702">
        <v>7106.55</v>
      </c>
      <c r="N1702">
        <v>5521.45</v>
      </c>
      <c r="O1702" t="s">
        <v>76</v>
      </c>
      <c r="P1702" t="s">
        <v>86</v>
      </c>
    </row>
    <row r="1703" spans="1:16" x14ac:dyDescent="0.25">
      <c r="A1703">
        <v>1702</v>
      </c>
      <c r="B1703" s="1">
        <v>45699</v>
      </c>
      <c r="C1703" t="s">
        <v>17</v>
      </c>
      <c r="D1703" t="s">
        <v>25</v>
      </c>
      <c r="E1703" t="s">
        <v>31</v>
      </c>
      <c r="F1703" t="s">
        <v>69</v>
      </c>
      <c r="G1703" t="s">
        <v>71</v>
      </c>
      <c r="H1703" t="s">
        <v>73</v>
      </c>
      <c r="I1703">
        <v>4</v>
      </c>
      <c r="J1703">
        <v>1492</v>
      </c>
      <c r="K1703">
        <v>0.15</v>
      </c>
      <c r="L1703">
        <v>5072.8</v>
      </c>
      <c r="M1703">
        <v>3987.55</v>
      </c>
      <c r="N1703">
        <v>1085.25</v>
      </c>
      <c r="O1703" t="s">
        <v>80</v>
      </c>
      <c r="P1703" t="s">
        <v>84</v>
      </c>
    </row>
    <row r="1704" spans="1:16" x14ac:dyDescent="0.25">
      <c r="A1704">
        <v>1703</v>
      </c>
      <c r="B1704" s="1">
        <v>45875</v>
      </c>
      <c r="C1704" t="s">
        <v>18</v>
      </c>
      <c r="D1704" t="s">
        <v>26</v>
      </c>
      <c r="E1704" t="s">
        <v>31</v>
      </c>
      <c r="F1704" t="s">
        <v>67</v>
      </c>
      <c r="G1704" t="s">
        <v>71</v>
      </c>
      <c r="H1704" t="s">
        <v>73</v>
      </c>
      <c r="I1704">
        <v>7</v>
      </c>
      <c r="J1704">
        <v>608</v>
      </c>
      <c r="K1704">
        <v>0.1</v>
      </c>
      <c r="L1704">
        <v>3830.4</v>
      </c>
      <c r="M1704">
        <v>3272.43</v>
      </c>
      <c r="N1704">
        <v>557.97</v>
      </c>
      <c r="O1704" t="s">
        <v>80</v>
      </c>
      <c r="P1704" t="s">
        <v>82</v>
      </c>
    </row>
    <row r="1705" spans="1:16" x14ac:dyDescent="0.25">
      <c r="A1705">
        <v>1704</v>
      </c>
      <c r="B1705" s="1">
        <v>45669</v>
      </c>
      <c r="C1705" t="s">
        <v>23</v>
      </c>
      <c r="D1705" t="s">
        <v>27</v>
      </c>
      <c r="E1705" t="s">
        <v>33</v>
      </c>
      <c r="F1705" t="s">
        <v>41</v>
      </c>
      <c r="G1705" t="s">
        <v>72</v>
      </c>
      <c r="H1705" t="s">
        <v>74</v>
      </c>
      <c r="I1705">
        <v>6</v>
      </c>
      <c r="J1705">
        <v>3235</v>
      </c>
      <c r="K1705">
        <v>0</v>
      </c>
      <c r="L1705">
        <v>19410</v>
      </c>
      <c r="M1705">
        <v>15552.94</v>
      </c>
      <c r="N1705">
        <v>3857.06</v>
      </c>
      <c r="O1705" t="s">
        <v>79</v>
      </c>
      <c r="P1705" t="s">
        <v>83</v>
      </c>
    </row>
    <row r="1706" spans="1:16" x14ac:dyDescent="0.25">
      <c r="A1706">
        <v>1705</v>
      </c>
      <c r="B1706" s="1">
        <v>45706</v>
      </c>
      <c r="C1706" t="s">
        <v>19</v>
      </c>
      <c r="D1706" t="s">
        <v>26</v>
      </c>
      <c r="E1706" t="s">
        <v>32</v>
      </c>
      <c r="F1706" t="s">
        <v>48</v>
      </c>
      <c r="G1706" t="s">
        <v>71</v>
      </c>
      <c r="H1706" t="s">
        <v>73</v>
      </c>
      <c r="I1706">
        <v>2</v>
      </c>
      <c r="J1706">
        <v>22449</v>
      </c>
      <c r="K1706">
        <v>0</v>
      </c>
      <c r="L1706">
        <v>44898</v>
      </c>
      <c r="M1706">
        <v>33247.06</v>
      </c>
      <c r="N1706">
        <v>11650.94</v>
      </c>
      <c r="O1706" t="s">
        <v>77</v>
      </c>
      <c r="P1706" t="s">
        <v>85</v>
      </c>
    </row>
    <row r="1707" spans="1:16" x14ac:dyDescent="0.25">
      <c r="A1707">
        <v>1706</v>
      </c>
      <c r="B1707" s="1">
        <v>45707</v>
      </c>
      <c r="C1707" t="s">
        <v>22</v>
      </c>
      <c r="D1707" t="s">
        <v>24</v>
      </c>
      <c r="E1707" t="s">
        <v>31</v>
      </c>
      <c r="F1707" t="s">
        <v>67</v>
      </c>
      <c r="G1707" t="s">
        <v>70</v>
      </c>
      <c r="H1707" t="s">
        <v>75</v>
      </c>
      <c r="I1707">
        <v>8</v>
      </c>
      <c r="J1707">
        <v>665</v>
      </c>
      <c r="K1707">
        <v>0.05</v>
      </c>
      <c r="L1707">
        <v>5054</v>
      </c>
      <c r="M1707">
        <v>4317.38</v>
      </c>
      <c r="N1707">
        <v>736.62</v>
      </c>
      <c r="O1707" t="s">
        <v>76</v>
      </c>
      <c r="P1707" t="s">
        <v>86</v>
      </c>
    </row>
    <row r="1708" spans="1:16" x14ac:dyDescent="0.25">
      <c r="A1708">
        <v>1707</v>
      </c>
      <c r="B1708" s="1">
        <v>45690</v>
      </c>
      <c r="C1708" t="s">
        <v>20</v>
      </c>
      <c r="D1708" t="s">
        <v>26</v>
      </c>
      <c r="E1708" t="s">
        <v>28</v>
      </c>
      <c r="F1708" t="s">
        <v>58</v>
      </c>
      <c r="G1708" t="s">
        <v>71</v>
      </c>
      <c r="H1708" t="s">
        <v>73</v>
      </c>
      <c r="I1708">
        <v>4</v>
      </c>
      <c r="J1708">
        <v>2416</v>
      </c>
      <c r="K1708">
        <v>0.1</v>
      </c>
      <c r="L1708">
        <v>8697.6</v>
      </c>
      <c r="M1708">
        <v>5637.28</v>
      </c>
      <c r="N1708">
        <v>3060.32</v>
      </c>
      <c r="O1708" t="s">
        <v>80</v>
      </c>
      <c r="P1708" t="s">
        <v>84</v>
      </c>
    </row>
    <row r="1709" spans="1:16" x14ac:dyDescent="0.25">
      <c r="A1709">
        <v>1708</v>
      </c>
      <c r="B1709" s="1">
        <v>45676</v>
      </c>
      <c r="C1709" t="s">
        <v>23</v>
      </c>
      <c r="D1709" t="s">
        <v>27</v>
      </c>
      <c r="E1709" t="s">
        <v>31</v>
      </c>
      <c r="F1709" t="s">
        <v>38</v>
      </c>
      <c r="G1709" t="s">
        <v>72</v>
      </c>
      <c r="H1709" t="s">
        <v>73</v>
      </c>
      <c r="I1709">
        <v>2</v>
      </c>
      <c r="J1709">
        <v>142</v>
      </c>
      <c r="K1709">
        <v>0.15</v>
      </c>
      <c r="L1709">
        <v>241.4</v>
      </c>
      <c r="M1709">
        <v>158.47</v>
      </c>
      <c r="N1709">
        <v>82.93</v>
      </c>
      <c r="O1709" t="s">
        <v>76</v>
      </c>
      <c r="P1709" t="s">
        <v>83</v>
      </c>
    </row>
    <row r="1710" spans="1:16" x14ac:dyDescent="0.25">
      <c r="A1710">
        <v>1709</v>
      </c>
      <c r="B1710" s="1">
        <v>45952</v>
      </c>
      <c r="C1710" t="s">
        <v>21</v>
      </c>
      <c r="D1710" t="s">
        <v>24</v>
      </c>
      <c r="E1710" t="s">
        <v>28</v>
      </c>
      <c r="F1710" t="s">
        <v>63</v>
      </c>
      <c r="G1710" t="s">
        <v>71</v>
      </c>
      <c r="H1710" t="s">
        <v>73</v>
      </c>
      <c r="I1710">
        <v>2</v>
      </c>
      <c r="J1710">
        <v>380</v>
      </c>
      <c r="K1710">
        <v>0</v>
      </c>
      <c r="L1710">
        <v>760</v>
      </c>
      <c r="M1710">
        <v>455.39</v>
      </c>
      <c r="N1710">
        <v>304.61</v>
      </c>
      <c r="O1710" t="s">
        <v>78</v>
      </c>
      <c r="P1710" t="s">
        <v>82</v>
      </c>
    </row>
    <row r="1711" spans="1:16" x14ac:dyDescent="0.25">
      <c r="A1711">
        <v>1710</v>
      </c>
      <c r="B1711" s="1">
        <v>45955</v>
      </c>
      <c r="C1711" t="s">
        <v>20</v>
      </c>
      <c r="D1711" t="s">
        <v>26</v>
      </c>
      <c r="E1711" t="s">
        <v>33</v>
      </c>
      <c r="F1711" t="s">
        <v>59</v>
      </c>
      <c r="G1711" t="s">
        <v>71</v>
      </c>
      <c r="H1711" t="s">
        <v>74</v>
      </c>
      <c r="I1711">
        <v>3</v>
      </c>
      <c r="J1711">
        <v>45828</v>
      </c>
      <c r="K1711">
        <v>0.1</v>
      </c>
      <c r="L1711">
        <v>123735.6</v>
      </c>
      <c r="M1711">
        <v>100619.55</v>
      </c>
      <c r="N1711">
        <v>23116.05</v>
      </c>
      <c r="O1711" t="s">
        <v>80</v>
      </c>
      <c r="P1711" t="s">
        <v>85</v>
      </c>
    </row>
    <row r="1712" spans="1:16" x14ac:dyDescent="0.25">
      <c r="A1712">
        <v>1711</v>
      </c>
      <c r="B1712" s="1">
        <v>45800</v>
      </c>
      <c r="C1712" t="s">
        <v>16</v>
      </c>
      <c r="D1712" t="s">
        <v>24</v>
      </c>
      <c r="E1712" t="s">
        <v>30</v>
      </c>
      <c r="F1712" t="s">
        <v>64</v>
      </c>
      <c r="G1712" t="s">
        <v>70</v>
      </c>
      <c r="H1712" t="s">
        <v>73</v>
      </c>
      <c r="I1712">
        <v>7</v>
      </c>
      <c r="J1712">
        <v>69962</v>
      </c>
      <c r="K1712">
        <v>0.05</v>
      </c>
      <c r="L1712">
        <v>465247.3</v>
      </c>
      <c r="M1712">
        <v>401518.23</v>
      </c>
      <c r="N1712">
        <v>63729.07</v>
      </c>
      <c r="O1712" t="s">
        <v>80</v>
      </c>
      <c r="P1712" t="s">
        <v>85</v>
      </c>
    </row>
    <row r="1713" spans="1:16" x14ac:dyDescent="0.25">
      <c r="A1713">
        <v>1712</v>
      </c>
      <c r="B1713" s="1">
        <v>45901</v>
      </c>
      <c r="C1713" t="s">
        <v>21</v>
      </c>
      <c r="D1713" t="s">
        <v>24</v>
      </c>
      <c r="E1713" t="s">
        <v>33</v>
      </c>
      <c r="F1713" t="s">
        <v>52</v>
      </c>
      <c r="G1713" t="s">
        <v>70</v>
      </c>
      <c r="H1713" t="s">
        <v>75</v>
      </c>
      <c r="I1713">
        <v>4</v>
      </c>
      <c r="J1713">
        <v>41778</v>
      </c>
      <c r="K1713">
        <v>0.1</v>
      </c>
      <c r="L1713">
        <v>150400.79999999999</v>
      </c>
      <c r="M1713">
        <v>93922.59</v>
      </c>
      <c r="N1713">
        <v>56478.21</v>
      </c>
      <c r="O1713" t="s">
        <v>80</v>
      </c>
      <c r="P1713" t="s">
        <v>84</v>
      </c>
    </row>
    <row r="1714" spans="1:16" x14ac:dyDescent="0.25">
      <c r="A1714">
        <v>1713</v>
      </c>
      <c r="B1714" s="1">
        <v>45963</v>
      </c>
      <c r="C1714" t="s">
        <v>17</v>
      </c>
      <c r="D1714" t="s">
        <v>25</v>
      </c>
      <c r="E1714" t="s">
        <v>31</v>
      </c>
      <c r="F1714" t="s">
        <v>67</v>
      </c>
      <c r="G1714" t="s">
        <v>71</v>
      </c>
      <c r="H1714" t="s">
        <v>73</v>
      </c>
      <c r="I1714">
        <v>8</v>
      </c>
      <c r="J1714">
        <v>2212</v>
      </c>
      <c r="K1714">
        <v>0</v>
      </c>
      <c r="L1714">
        <v>17696</v>
      </c>
      <c r="M1714">
        <v>14047.41</v>
      </c>
      <c r="N1714">
        <v>3648.59</v>
      </c>
      <c r="O1714" t="s">
        <v>77</v>
      </c>
      <c r="P1714" t="s">
        <v>83</v>
      </c>
    </row>
    <row r="1715" spans="1:16" x14ac:dyDescent="0.25">
      <c r="A1715">
        <v>1714</v>
      </c>
      <c r="B1715" s="1">
        <v>45857</v>
      </c>
      <c r="C1715" t="s">
        <v>20</v>
      </c>
      <c r="D1715" t="s">
        <v>26</v>
      </c>
      <c r="E1715" t="s">
        <v>31</v>
      </c>
      <c r="F1715" t="s">
        <v>67</v>
      </c>
      <c r="G1715" t="s">
        <v>70</v>
      </c>
      <c r="H1715" t="s">
        <v>74</v>
      </c>
      <c r="I1715">
        <v>4</v>
      </c>
      <c r="J1715">
        <v>463</v>
      </c>
      <c r="K1715">
        <v>0.15</v>
      </c>
      <c r="L1715">
        <v>1574.2</v>
      </c>
      <c r="M1715">
        <v>1208.73</v>
      </c>
      <c r="N1715">
        <v>365.47</v>
      </c>
      <c r="O1715" t="s">
        <v>79</v>
      </c>
      <c r="P1715" t="s">
        <v>82</v>
      </c>
    </row>
    <row r="1716" spans="1:16" x14ac:dyDescent="0.25">
      <c r="A1716">
        <v>1715</v>
      </c>
      <c r="B1716" s="1">
        <v>45883</v>
      </c>
      <c r="C1716" t="s">
        <v>20</v>
      </c>
      <c r="D1716" t="s">
        <v>26</v>
      </c>
      <c r="E1716" t="s">
        <v>34</v>
      </c>
      <c r="F1716" t="s">
        <v>68</v>
      </c>
      <c r="G1716" t="s">
        <v>70</v>
      </c>
      <c r="H1716" t="s">
        <v>75</v>
      </c>
      <c r="I1716">
        <v>4</v>
      </c>
      <c r="J1716">
        <v>3439</v>
      </c>
      <c r="K1716">
        <v>0.1</v>
      </c>
      <c r="L1716">
        <v>12380.4</v>
      </c>
      <c r="M1716">
        <v>7033.78</v>
      </c>
      <c r="N1716">
        <v>5346.62</v>
      </c>
      <c r="O1716" t="s">
        <v>80</v>
      </c>
      <c r="P1716" t="s">
        <v>82</v>
      </c>
    </row>
    <row r="1717" spans="1:16" x14ac:dyDescent="0.25">
      <c r="A1717">
        <v>1716</v>
      </c>
      <c r="B1717" s="1">
        <v>45796</v>
      </c>
      <c r="C1717" t="s">
        <v>22</v>
      </c>
      <c r="D1717" t="s">
        <v>24</v>
      </c>
      <c r="E1717" t="s">
        <v>30</v>
      </c>
      <c r="F1717" t="s">
        <v>40</v>
      </c>
      <c r="G1717" t="s">
        <v>72</v>
      </c>
      <c r="H1717" t="s">
        <v>74</v>
      </c>
      <c r="I1717">
        <v>4</v>
      </c>
      <c r="J1717">
        <v>59777</v>
      </c>
      <c r="K1717">
        <v>0.05</v>
      </c>
      <c r="L1717">
        <v>227152.6</v>
      </c>
      <c r="M1717">
        <v>132085.41</v>
      </c>
      <c r="N1717">
        <v>95067.19</v>
      </c>
      <c r="O1717" t="s">
        <v>80</v>
      </c>
      <c r="P1717" t="s">
        <v>85</v>
      </c>
    </row>
    <row r="1718" spans="1:16" x14ac:dyDescent="0.25">
      <c r="A1718">
        <v>1717</v>
      </c>
      <c r="B1718" s="1">
        <v>45727</v>
      </c>
      <c r="C1718" t="s">
        <v>20</v>
      </c>
      <c r="D1718" t="s">
        <v>26</v>
      </c>
      <c r="E1718" t="s">
        <v>31</v>
      </c>
      <c r="F1718" t="s">
        <v>67</v>
      </c>
      <c r="G1718" t="s">
        <v>70</v>
      </c>
      <c r="H1718" t="s">
        <v>73</v>
      </c>
      <c r="I1718">
        <v>7</v>
      </c>
      <c r="J1718">
        <v>2454</v>
      </c>
      <c r="K1718">
        <v>0</v>
      </c>
      <c r="L1718">
        <v>17178</v>
      </c>
      <c r="M1718">
        <v>9529.36</v>
      </c>
      <c r="N1718">
        <v>7648.64</v>
      </c>
      <c r="O1718" t="s">
        <v>77</v>
      </c>
      <c r="P1718" t="s">
        <v>83</v>
      </c>
    </row>
    <row r="1719" spans="1:16" x14ac:dyDescent="0.25">
      <c r="A1719">
        <v>1718</v>
      </c>
      <c r="B1719" s="1">
        <v>45856</v>
      </c>
      <c r="C1719" t="s">
        <v>20</v>
      </c>
      <c r="D1719" t="s">
        <v>26</v>
      </c>
      <c r="E1719" t="s">
        <v>33</v>
      </c>
      <c r="F1719" t="s">
        <v>60</v>
      </c>
      <c r="G1719" t="s">
        <v>72</v>
      </c>
      <c r="H1719" t="s">
        <v>73</v>
      </c>
      <c r="I1719">
        <v>2</v>
      </c>
      <c r="J1719">
        <v>35561</v>
      </c>
      <c r="K1719">
        <v>0.05</v>
      </c>
      <c r="L1719">
        <v>67565.899999999994</v>
      </c>
      <c r="M1719">
        <v>51632.639999999999</v>
      </c>
      <c r="N1719">
        <v>15933.26</v>
      </c>
      <c r="O1719" t="s">
        <v>80</v>
      </c>
      <c r="P1719" t="s">
        <v>87</v>
      </c>
    </row>
    <row r="1720" spans="1:16" x14ac:dyDescent="0.25">
      <c r="A1720">
        <v>1719</v>
      </c>
      <c r="B1720" s="1">
        <v>45923</v>
      </c>
      <c r="C1720" t="s">
        <v>17</v>
      </c>
      <c r="D1720" t="s">
        <v>25</v>
      </c>
      <c r="E1720" t="s">
        <v>29</v>
      </c>
      <c r="F1720" t="s">
        <v>45</v>
      </c>
      <c r="G1720" t="s">
        <v>72</v>
      </c>
      <c r="H1720" t="s">
        <v>74</v>
      </c>
      <c r="I1720">
        <v>8</v>
      </c>
      <c r="J1720">
        <v>4390</v>
      </c>
      <c r="K1720">
        <v>0.15</v>
      </c>
      <c r="L1720">
        <v>29852</v>
      </c>
      <c r="M1720">
        <v>24144.5</v>
      </c>
      <c r="N1720">
        <v>5707.5</v>
      </c>
      <c r="O1720" t="s">
        <v>77</v>
      </c>
      <c r="P1720" t="s">
        <v>84</v>
      </c>
    </row>
    <row r="1721" spans="1:16" x14ac:dyDescent="0.25">
      <c r="A1721">
        <v>1720</v>
      </c>
      <c r="B1721" s="1">
        <v>45761</v>
      </c>
      <c r="C1721" t="s">
        <v>17</v>
      </c>
      <c r="D1721" t="s">
        <v>25</v>
      </c>
      <c r="E1721" t="s">
        <v>29</v>
      </c>
      <c r="F1721" t="s">
        <v>57</v>
      </c>
      <c r="G1721" t="s">
        <v>72</v>
      </c>
      <c r="H1721" t="s">
        <v>73</v>
      </c>
      <c r="I1721">
        <v>2</v>
      </c>
      <c r="J1721">
        <v>5651</v>
      </c>
      <c r="K1721">
        <v>0.15</v>
      </c>
      <c r="L1721">
        <v>9606.7000000000007</v>
      </c>
      <c r="M1721">
        <v>6732.21</v>
      </c>
      <c r="N1721">
        <v>2874.49</v>
      </c>
      <c r="O1721" t="s">
        <v>76</v>
      </c>
      <c r="P1721" t="s">
        <v>83</v>
      </c>
    </row>
    <row r="1722" spans="1:16" x14ac:dyDescent="0.25">
      <c r="A1722">
        <v>1721</v>
      </c>
      <c r="B1722" s="1">
        <v>45671</v>
      </c>
      <c r="C1722" t="s">
        <v>17</v>
      </c>
      <c r="D1722" t="s">
        <v>25</v>
      </c>
      <c r="E1722" t="s">
        <v>32</v>
      </c>
      <c r="F1722" t="s">
        <v>39</v>
      </c>
      <c r="G1722" t="s">
        <v>71</v>
      </c>
      <c r="H1722" t="s">
        <v>73</v>
      </c>
      <c r="I1722">
        <v>3</v>
      </c>
      <c r="J1722">
        <v>4406</v>
      </c>
      <c r="K1722">
        <v>0</v>
      </c>
      <c r="L1722">
        <v>13218</v>
      </c>
      <c r="M1722">
        <v>9114.14</v>
      </c>
      <c r="N1722">
        <v>4103.8599999999997</v>
      </c>
      <c r="O1722" t="s">
        <v>77</v>
      </c>
      <c r="P1722" t="s">
        <v>85</v>
      </c>
    </row>
    <row r="1723" spans="1:16" x14ac:dyDescent="0.25">
      <c r="A1723">
        <v>1722</v>
      </c>
      <c r="B1723" s="1">
        <v>45666</v>
      </c>
      <c r="C1723" t="s">
        <v>19</v>
      </c>
      <c r="D1723" t="s">
        <v>26</v>
      </c>
      <c r="E1723" t="s">
        <v>32</v>
      </c>
      <c r="F1723" t="s">
        <v>62</v>
      </c>
      <c r="G1723" t="s">
        <v>71</v>
      </c>
      <c r="H1723" t="s">
        <v>73</v>
      </c>
      <c r="I1723">
        <v>5</v>
      </c>
      <c r="J1723">
        <v>6999</v>
      </c>
      <c r="K1723">
        <v>0.05</v>
      </c>
      <c r="L1723">
        <v>33245.25</v>
      </c>
      <c r="M1723">
        <v>24832.89</v>
      </c>
      <c r="N1723">
        <v>8412.36</v>
      </c>
      <c r="O1723" t="s">
        <v>79</v>
      </c>
      <c r="P1723" t="s">
        <v>84</v>
      </c>
    </row>
    <row r="1724" spans="1:16" x14ac:dyDescent="0.25">
      <c r="A1724">
        <v>1723</v>
      </c>
      <c r="B1724" s="1">
        <v>45673</v>
      </c>
      <c r="C1724" t="s">
        <v>18</v>
      </c>
      <c r="D1724" t="s">
        <v>26</v>
      </c>
      <c r="E1724" t="s">
        <v>32</v>
      </c>
      <c r="F1724" t="s">
        <v>62</v>
      </c>
      <c r="G1724" t="s">
        <v>70</v>
      </c>
      <c r="H1724" t="s">
        <v>73</v>
      </c>
      <c r="I1724">
        <v>1</v>
      </c>
      <c r="J1724">
        <v>8570</v>
      </c>
      <c r="K1724">
        <v>0.05</v>
      </c>
      <c r="L1724">
        <v>8141.5</v>
      </c>
      <c r="M1724">
        <v>5192.41</v>
      </c>
      <c r="N1724">
        <v>2949.09</v>
      </c>
      <c r="O1724" t="s">
        <v>79</v>
      </c>
      <c r="P1724" t="s">
        <v>81</v>
      </c>
    </row>
    <row r="1725" spans="1:16" x14ac:dyDescent="0.25">
      <c r="A1725">
        <v>1724</v>
      </c>
      <c r="B1725" s="1">
        <v>45719</v>
      </c>
      <c r="C1725" t="s">
        <v>17</v>
      </c>
      <c r="D1725" t="s">
        <v>25</v>
      </c>
      <c r="E1725" t="s">
        <v>32</v>
      </c>
      <c r="F1725" t="s">
        <v>62</v>
      </c>
      <c r="G1725" t="s">
        <v>71</v>
      </c>
      <c r="H1725" t="s">
        <v>75</v>
      </c>
      <c r="I1725">
        <v>6</v>
      </c>
      <c r="J1725">
        <v>13362</v>
      </c>
      <c r="K1725">
        <v>0.1</v>
      </c>
      <c r="L1725">
        <v>72154.8</v>
      </c>
      <c r="M1725">
        <v>55868.160000000003</v>
      </c>
      <c r="N1725">
        <v>16286.64</v>
      </c>
      <c r="O1725" t="s">
        <v>77</v>
      </c>
      <c r="P1725" t="s">
        <v>81</v>
      </c>
    </row>
    <row r="1726" spans="1:16" x14ac:dyDescent="0.25">
      <c r="A1726">
        <v>1725</v>
      </c>
      <c r="B1726" s="1">
        <v>46021</v>
      </c>
      <c r="C1726" t="s">
        <v>23</v>
      </c>
      <c r="D1726" t="s">
        <v>27</v>
      </c>
      <c r="E1726" t="s">
        <v>31</v>
      </c>
      <c r="F1726" t="s">
        <v>50</v>
      </c>
      <c r="G1726" t="s">
        <v>72</v>
      </c>
      <c r="H1726" t="s">
        <v>75</v>
      </c>
      <c r="I1726">
        <v>1</v>
      </c>
      <c r="J1726">
        <v>2031</v>
      </c>
      <c r="K1726">
        <v>0</v>
      </c>
      <c r="L1726">
        <v>2031</v>
      </c>
      <c r="M1726">
        <v>1509.73</v>
      </c>
      <c r="N1726">
        <v>521.27</v>
      </c>
      <c r="O1726" t="s">
        <v>79</v>
      </c>
      <c r="P1726" t="s">
        <v>88</v>
      </c>
    </row>
    <row r="1727" spans="1:16" x14ac:dyDescent="0.25">
      <c r="A1727">
        <v>1726</v>
      </c>
      <c r="B1727" s="1">
        <v>45888</v>
      </c>
      <c r="C1727" t="s">
        <v>19</v>
      </c>
      <c r="D1727" t="s">
        <v>26</v>
      </c>
      <c r="E1727" t="s">
        <v>33</v>
      </c>
      <c r="F1727" t="s">
        <v>41</v>
      </c>
      <c r="G1727" t="s">
        <v>71</v>
      </c>
      <c r="H1727" t="s">
        <v>75</v>
      </c>
      <c r="I1727">
        <v>4</v>
      </c>
      <c r="J1727">
        <v>13152</v>
      </c>
      <c r="K1727">
        <v>0</v>
      </c>
      <c r="L1727">
        <v>52608</v>
      </c>
      <c r="M1727">
        <v>41336.239999999998</v>
      </c>
      <c r="N1727">
        <v>11271.76</v>
      </c>
      <c r="O1727" t="s">
        <v>78</v>
      </c>
      <c r="P1727" t="s">
        <v>88</v>
      </c>
    </row>
    <row r="1728" spans="1:16" x14ac:dyDescent="0.25">
      <c r="A1728">
        <v>1727</v>
      </c>
      <c r="B1728" s="1">
        <v>45669</v>
      </c>
      <c r="C1728" t="s">
        <v>20</v>
      </c>
      <c r="D1728" t="s">
        <v>26</v>
      </c>
      <c r="E1728" t="s">
        <v>28</v>
      </c>
      <c r="F1728" t="s">
        <v>54</v>
      </c>
      <c r="G1728" t="s">
        <v>72</v>
      </c>
      <c r="H1728" t="s">
        <v>75</v>
      </c>
      <c r="I1728">
        <v>8</v>
      </c>
      <c r="J1728">
        <v>1108</v>
      </c>
      <c r="K1728">
        <v>0.1</v>
      </c>
      <c r="L1728">
        <v>7977.6</v>
      </c>
      <c r="M1728">
        <v>5681.12</v>
      </c>
      <c r="N1728">
        <v>2296.48</v>
      </c>
      <c r="O1728" t="s">
        <v>78</v>
      </c>
      <c r="P1728" t="s">
        <v>83</v>
      </c>
    </row>
    <row r="1729" spans="1:16" x14ac:dyDescent="0.25">
      <c r="A1729">
        <v>1728</v>
      </c>
      <c r="B1729" s="1">
        <v>45682</v>
      </c>
      <c r="C1729" t="s">
        <v>21</v>
      </c>
      <c r="D1729" t="s">
        <v>24</v>
      </c>
      <c r="E1729" t="s">
        <v>34</v>
      </c>
      <c r="F1729" t="s">
        <v>55</v>
      </c>
      <c r="G1729" t="s">
        <v>70</v>
      </c>
      <c r="H1729" t="s">
        <v>75</v>
      </c>
      <c r="I1729">
        <v>3</v>
      </c>
      <c r="J1729">
        <v>5204</v>
      </c>
      <c r="K1729">
        <v>0.15</v>
      </c>
      <c r="L1729">
        <v>13270.2</v>
      </c>
      <c r="M1729">
        <v>9370.7099999999991</v>
      </c>
      <c r="N1729">
        <v>3899.49</v>
      </c>
      <c r="O1729" t="s">
        <v>79</v>
      </c>
      <c r="P1729" t="s">
        <v>85</v>
      </c>
    </row>
    <row r="1730" spans="1:16" x14ac:dyDescent="0.25">
      <c r="A1730">
        <v>1729</v>
      </c>
      <c r="B1730" s="1">
        <v>45885</v>
      </c>
      <c r="C1730" t="s">
        <v>23</v>
      </c>
      <c r="D1730" t="s">
        <v>27</v>
      </c>
      <c r="E1730" t="s">
        <v>30</v>
      </c>
      <c r="F1730" t="s">
        <v>40</v>
      </c>
      <c r="G1730" t="s">
        <v>70</v>
      </c>
      <c r="H1730" t="s">
        <v>75</v>
      </c>
      <c r="I1730">
        <v>6</v>
      </c>
      <c r="J1730">
        <v>19705</v>
      </c>
      <c r="K1730">
        <v>0.15</v>
      </c>
      <c r="L1730">
        <v>100495.5</v>
      </c>
      <c r="M1730">
        <v>57620.800000000003</v>
      </c>
      <c r="N1730">
        <v>42874.7</v>
      </c>
      <c r="O1730" t="s">
        <v>80</v>
      </c>
      <c r="P1730" t="s">
        <v>85</v>
      </c>
    </row>
    <row r="1731" spans="1:16" x14ac:dyDescent="0.25">
      <c r="A1731">
        <v>1730</v>
      </c>
      <c r="B1731" s="1">
        <v>45746</v>
      </c>
      <c r="C1731" t="s">
        <v>16</v>
      </c>
      <c r="D1731" t="s">
        <v>24</v>
      </c>
      <c r="E1731" t="s">
        <v>32</v>
      </c>
      <c r="F1731" t="s">
        <v>48</v>
      </c>
      <c r="G1731" t="s">
        <v>70</v>
      </c>
      <c r="H1731" t="s">
        <v>73</v>
      </c>
      <c r="I1731">
        <v>7</v>
      </c>
      <c r="J1731">
        <v>12308</v>
      </c>
      <c r="K1731">
        <v>0.2</v>
      </c>
      <c r="L1731">
        <v>68924.800000000003</v>
      </c>
      <c r="M1731">
        <v>48139.95</v>
      </c>
      <c r="N1731">
        <v>20784.849999999999</v>
      </c>
      <c r="O1731" t="s">
        <v>78</v>
      </c>
      <c r="P1731" t="s">
        <v>86</v>
      </c>
    </row>
    <row r="1732" spans="1:16" x14ac:dyDescent="0.25">
      <c r="A1732">
        <v>1731</v>
      </c>
      <c r="B1732" s="1">
        <v>45745</v>
      </c>
      <c r="C1732" t="s">
        <v>22</v>
      </c>
      <c r="D1732" t="s">
        <v>24</v>
      </c>
      <c r="E1732" t="s">
        <v>31</v>
      </c>
      <c r="F1732" t="s">
        <v>47</v>
      </c>
      <c r="G1732" t="s">
        <v>70</v>
      </c>
      <c r="H1732" t="s">
        <v>73</v>
      </c>
      <c r="I1732">
        <v>7</v>
      </c>
      <c r="J1732">
        <v>1018</v>
      </c>
      <c r="K1732">
        <v>0.05</v>
      </c>
      <c r="L1732">
        <v>6769.7</v>
      </c>
      <c r="M1732">
        <v>5765.03</v>
      </c>
      <c r="N1732">
        <v>1004.67</v>
      </c>
      <c r="O1732" t="s">
        <v>78</v>
      </c>
      <c r="P1732" t="s">
        <v>88</v>
      </c>
    </row>
    <row r="1733" spans="1:16" x14ac:dyDescent="0.25">
      <c r="A1733">
        <v>1732</v>
      </c>
      <c r="B1733" s="1">
        <v>45872</v>
      </c>
      <c r="C1733" t="s">
        <v>23</v>
      </c>
      <c r="D1733" t="s">
        <v>27</v>
      </c>
      <c r="E1733" t="s">
        <v>33</v>
      </c>
      <c r="F1733" t="s">
        <v>46</v>
      </c>
      <c r="G1733" t="s">
        <v>71</v>
      </c>
      <c r="H1733" t="s">
        <v>74</v>
      </c>
      <c r="I1733">
        <v>5</v>
      </c>
      <c r="J1733">
        <v>8056</v>
      </c>
      <c r="K1733">
        <v>0.05</v>
      </c>
      <c r="L1733">
        <v>38266</v>
      </c>
      <c r="M1733">
        <v>32223.98</v>
      </c>
      <c r="N1733">
        <v>6042.02</v>
      </c>
      <c r="O1733" t="s">
        <v>78</v>
      </c>
      <c r="P1733" t="s">
        <v>88</v>
      </c>
    </row>
    <row r="1734" spans="1:16" x14ac:dyDescent="0.25">
      <c r="A1734">
        <v>1733</v>
      </c>
      <c r="B1734" s="1">
        <v>45874</v>
      </c>
      <c r="C1734" t="s">
        <v>20</v>
      </c>
      <c r="D1734" t="s">
        <v>26</v>
      </c>
      <c r="E1734" t="s">
        <v>31</v>
      </c>
      <c r="F1734" t="s">
        <v>47</v>
      </c>
      <c r="G1734" t="s">
        <v>72</v>
      </c>
      <c r="H1734" t="s">
        <v>73</v>
      </c>
      <c r="I1734">
        <v>5</v>
      </c>
      <c r="J1734">
        <v>2244</v>
      </c>
      <c r="K1734">
        <v>0.1</v>
      </c>
      <c r="L1734">
        <v>10098</v>
      </c>
      <c r="M1734">
        <v>6934.53</v>
      </c>
      <c r="N1734">
        <v>3163.47</v>
      </c>
      <c r="O1734" t="s">
        <v>77</v>
      </c>
      <c r="P1734" t="s">
        <v>87</v>
      </c>
    </row>
    <row r="1735" spans="1:16" x14ac:dyDescent="0.25">
      <c r="A1735">
        <v>1734</v>
      </c>
      <c r="B1735" s="1">
        <v>45997</v>
      </c>
      <c r="C1735" t="s">
        <v>21</v>
      </c>
      <c r="D1735" t="s">
        <v>24</v>
      </c>
      <c r="E1735" t="s">
        <v>29</v>
      </c>
      <c r="F1735" t="s">
        <v>53</v>
      </c>
      <c r="G1735" t="s">
        <v>70</v>
      </c>
      <c r="H1735" t="s">
        <v>73</v>
      </c>
      <c r="I1735">
        <v>7</v>
      </c>
      <c r="J1735">
        <v>2967</v>
      </c>
      <c r="K1735">
        <v>0.15</v>
      </c>
      <c r="L1735">
        <v>17653.650000000001</v>
      </c>
      <c r="M1735">
        <v>10554.53</v>
      </c>
      <c r="N1735">
        <v>7099.12</v>
      </c>
      <c r="O1735" t="s">
        <v>76</v>
      </c>
      <c r="P1735" t="s">
        <v>84</v>
      </c>
    </row>
    <row r="1736" spans="1:16" x14ac:dyDescent="0.25">
      <c r="A1736">
        <v>1735</v>
      </c>
      <c r="B1736" s="1">
        <v>46006</v>
      </c>
      <c r="C1736" t="s">
        <v>20</v>
      </c>
      <c r="D1736" t="s">
        <v>26</v>
      </c>
      <c r="E1736" t="s">
        <v>28</v>
      </c>
      <c r="F1736" t="s">
        <v>35</v>
      </c>
      <c r="G1736" t="s">
        <v>70</v>
      </c>
      <c r="H1736" t="s">
        <v>74</v>
      </c>
      <c r="I1736">
        <v>7</v>
      </c>
      <c r="J1736">
        <v>436</v>
      </c>
      <c r="K1736">
        <v>0</v>
      </c>
      <c r="L1736">
        <v>3052</v>
      </c>
      <c r="M1736">
        <v>2576.16</v>
      </c>
      <c r="N1736">
        <v>475.84</v>
      </c>
      <c r="O1736" t="s">
        <v>78</v>
      </c>
      <c r="P1736" t="s">
        <v>88</v>
      </c>
    </row>
    <row r="1737" spans="1:16" x14ac:dyDescent="0.25">
      <c r="A1737">
        <v>1736</v>
      </c>
      <c r="B1737" s="1">
        <v>45775</v>
      </c>
      <c r="C1737" t="s">
        <v>23</v>
      </c>
      <c r="D1737" t="s">
        <v>27</v>
      </c>
      <c r="E1737" t="s">
        <v>28</v>
      </c>
      <c r="F1737" t="s">
        <v>54</v>
      </c>
      <c r="G1737" t="s">
        <v>71</v>
      </c>
      <c r="H1737" t="s">
        <v>75</v>
      </c>
      <c r="I1737">
        <v>3</v>
      </c>
      <c r="J1737">
        <v>1332</v>
      </c>
      <c r="K1737">
        <v>0.05</v>
      </c>
      <c r="L1737">
        <v>3796.2</v>
      </c>
      <c r="M1737">
        <v>2148.8000000000002</v>
      </c>
      <c r="N1737">
        <v>1647.4</v>
      </c>
      <c r="O1737" t="s">
        <v>79</v>
      </c>
      <c r="P1737" t="s">
        <v>84</v>
      </c>
    </row>
    <row r="1738" spans="1:16" x14ac:dyDescent="0.25">
      <c r="A1738">
        <v>1737</v>
      </c>
      <c r="B1738" s="1">
        <v>45924</v>
      </c>
      <c r="C1738" t="s">
        <v>21</v>
      </c>
      <c r="D1738" t="s">
        <v>24</v>
      </c>
      <c r="E1738" t="s">
        <v>29</v>
      </c>
      <c r="F1738" t="s">
        <v>36</v>
      </c>
      <c r="G1738" t="s">
        <v>70</v>
      </c>
      <c r="H1738" t="s">
        <v>74</v>
      </c>
      <c r="I1738">
        <v>3</v>
      </c>
      <c r="J1738">
        <v>11356</v>
      </c>
      <c r="K1738">
        <v>0</v>
      </c>
      <c r="L1738">
        <v>34068</v>
      </c>
      <c r="M1738">
        <v>23829.47</v>
      </c>
      <c r="N1738">
        <v>10238.530000000001</v>
      </c>
      <c r="O1738" t="s">
        <v>76</v>
      </c>
      <c r="P1738" t="s">
        <v>87</v>
      </c>
    </row>
    <row r="1739" spans="1:16" x14ac:dyDescent="0.25">
      <c r="A1739">
        <v>1738</v>
      </c>
      <c r="B1739" s="1">
        <v>45833</v>
      </c>
      <c r="C1739" t="s">
        <v>16</v>
      </c>
      <c r="D1739" t="s">
        <v>24</v>
      </c>
      <c r="E1739" t="s">
        <v>29</v>
      </c>
      <c r="F1739" t="s">
        <v>42</v>
      </c>
      <c r="G1739" t="s">
        <v>71</v>
      </c>
      <c r="H1739" t="s">
        <v>74</v>
      </c>
      <c r="I1739">
        <v>2</v>
      </c>
      <c r="J1739">
        <v>10194</v>
      </c>
      <c r="K1739">
        <v>0.05</v>
      </c>
      <c r="L1739">
        <v>19368.599999999999</v>
      </c>
      <c r="M1739">
        <v>10722.35</v>
      </c>
      <c r="N1739">
        <v>8646.25</v>
      </c>
      <c r="O1739" t="s">
        <v>79</v>
      </c>
      <c r="P1739" t="s">
        <v>83</v>
      </c>
    </row>
    <row r="1740" spans="1:16" x14ac:dyDescent="0.25">
      <c r="A1740">
        <v>1739</v>
      </c>
      <c r="B1740" s="1">
        <v>45690</v>
      </c>
      <c r="C1740" t="s">
        <v>20</v>
      </c>
      <c r="D1740" t="s">
        <v>26</v>
      </c>
      <c r="E1740" t="s">
        <v>28</v>
      </c>
      <c r="F1740" t="s">
        <v>35</v>
      </c>
      <c r="G1740" t="s">
        <v>72</v>
      </c>
      <c r="H1740" t="s">
        <v>73</v>
      </c>
      <c r="I1740">
        <v>7</v>
      </c>
      <c r="J1740">
        <v>1001</v>
      </c>
      <c r="K1740">
        <v>0.1</v>
      </c>
      <c r="L1740">
        <v>6306.3</v>
      </c>
      <c r="M1740">
        <v>4494.66</v>
      </c>
      <c r="N1740">
        <v>1811.64</v>
      </c>
      <c r="O1740" t="s">
        <v>79</v>
      </c>
      <c r="P1740" t="s">
        <v>85</v>
      </c>
    </row>
    <row r="1741" spans="1:16" x14ac:dyDescent="0.25">
      <c r="A1741">
        <v>1740</v>
      </c>
      <c r="B1741" s="1">
        <v>45723</v>
      </c>
      <c r="C1741" t="s">
        <v>19</v>
      </c>
      <c r="D1741" t="s">
        <v>26</v>
      </c>
      <c r="E1741" t="s">
        <v>31</v>
      </c>
      <c r="F1741" t="s">
        <v>38</v>
      </c>
      <c r="G1741" t="s">
        <v>72</v>
      </c>
      <c r="H1741" t="s">
        <v>74</v>
      </c>
      <c r="I1741">
        <v>5</v>
      </c>
      <c r="J1741">
        <v>1242</v>
      </c>
      <c r="K1741">
        <v>0.15</v>
      </c>
      <c r="L1741">
        <v>5278.5</v>
      </c>
      <c r="M1741">
        <v>3223.5</v>
      </c>
      <c r="N1741">
        <v>2055</v>
      </c>
      <c r="O1741" t="s">
        <v>77</v>
      </c>
      <c r="P1741" t="s">
        <v>88</v>
      </c>
    </row>
    <row r="1742" spans="1:16" x14ac:dyDescent="0.25">
      <c r="A1742">
        <v>1741</v>
      </c>
      <c r="B1742" s="1">
        <v>45826</v>
      </c>
      <c r="C1742" t="s">
        <v>20</v>
      </c>
      <c r="D1742" t="s">
        <v>26</v>
      </c>
      <c r="E1742" t="s">
        <v>31</v>
      </c>
      <c r="F1742" t="s">
        <v>50</v>
      </c>
      <c r="G1742" t="s">
        <v>72</v>
      </c>
      <c r="H1742" t="s">
        <v>74</v>
      </c>
      <c r="I1742">
        <v>2</v>
      </c>
      <c r="J1742">
        <v>399</v>
      </c>
      <c r="K1742">
        <v>0.1</v>
      </c>
      <c r="L1742">
        <v>718.2</v>
      </c>
      <c r="M1742">
        <v>569.79999999999995</v>
      </c>
      <c r="N1742">
        <v>148.4</v>
      </c>
      <c r="O1742" t="s">
        <v>79</v>
      </c>
      <c r="P1742" t="s">
        <v>82</v>
      </c>
    </row>
    <row r="1743" spans="1:16" x14ac:dyDescent="0.25">
      <c r="A1743">
        <v>1742</v>
      </c>
      <c r="B1743" s="1">
        <v>45715</v>
      </c>
      <c r="C1743" t="s">
        <v>19</v>
      </c>
      <c r="D1743" t="s">
        <v>26</v>
      </c>
      <c r="E1743" t="s">
        <v>29</v>
      </c>
      <c r="F1743" t="s">
        <v>45</v>
      </c>
      <c r="G1743" t="s">
        <v>70</v>
      </c>
      <c r="H1743" t="s">
        <v>73</v>
      </c>
      <c r="I1743">
        <v>2</v>
      </c>
      <c r="J1743">
        <v>1522</v>
      </c>
      <c r="K1743">
        <v>0.2</v>
      </c>
      <c r="L1743">
        <v>2435.1999999999998</v>
      </c>
      <c r="M1743">
        <v>1731.98</v>
      </c>
      <c r="N1743">
        <v>703.22</v>
      </c>
      <c r="O1743" t="s">
        <v>77</v>
      </c>
      <c r="P1743" t="s">
        <v>85</v>
      </c>
    </row>
    <row r="1744" spans="1:16" x14ac:dyDescent="0.25">
      <c r="A1744">
        <v>1743</v>
      </c>
      <c r="B1744" s="1">
        <v>45699</v>
      </c>
      <c r="C1744" t="s">
        <v>20</v>
      </c>
      <c r="D1744" t="s">
        <v>26</v>
      </c>
      <c r="E1744" t="s">
        <v>29</v>
      </c>
      <c r="F1744" t="s">
        <v>45</v>
      </c>
      <c r="G1744" t="s">
        <v>71</v>
      </c>
      <c r="H1744" t="s">
        <v>75</v>
      </c>
      <c r="I1744">
        <v>4</v>
      </c>
      <c r="J1744">
        <v>3854</v>
      </c>
      <c r="K1744">
        <v>0</v>
      </c>
      <c r="L1744">
        <v>15416</v>
      </c>
      <c r="M1744">
        <v>10664.86</v>
      </c>
      <c r="N1744">
        <v>4751.1400000000003</v>
      </c>
      <c r="O1744" t="s">
        <v>77</v>
      </c>
      <c r="P1744" t="s">
        <v>85</v>
      </c>
    </row>
    <row r="1745" spans="1:16" x14ac:dyDescent="0.25">
      <c r="A1745">
        <v>1744</v>
      </c>
      <c r="B1745" s="1">
        <v>45664</v>
      </c>
      <c r="C1745" t="s">
        <v>23</v>
      </c>
      <c r="D1745" t="s">
        <v>27</v>
      </c>
      <c r="E1745" t="s">
        <v>31</v>
      </c>
      <c r="F1745" t="s">
        <v>67</v>
      </c>
      <c r="G1745" t="s">
        <v>70</v>
      </c>
      <c r="H1745" t="s">
        <v>73</v>
      </c>
      <c r="I1745">
        <v>2</v>
      </c>
      <c r="J1745">
        <v>876</v>
      </c>
      <c r="K1745">
        <v>0.2</v>
      </c>
      <c r="L1745">
        <v>1401.6</v>
      </c>
      <c r="M1745">
        <v>1081.0999999999999</v>
      </c>
      <c r="N1745">
        <v>320.5</v>
      </c>
      <c r="O1745" t="s">
        <v>76</v>
      </c>
      <c r="P1745" t="s">
        <v>85</v>
      </c>
    </row>
    <row r="1746" spans="1:16" x14ac:dyDescent="0.25">
      <c r="A1746">
        <v>1745</v>
      </c>
      <c r="B1746" s="1">
        <v>46012</v>
      </c>
      <c r="C1746" t="s">
        <v>19</v>
      </c>
      <c r="D1746" t="s">
        <v>26</v>
      </c>
      <c r="E1746" t="s">
        <v>33</v>
      </c>
      <c r="F1746" t="s">
        <v>41</v>
      </c>
      <c r="G1746" t="s">
        <v>71</v>
      </c>
      <c r="H1746" t="s">
        <v>74</v>
      </c>
      <c r="I1746">
        <v>4</v>
      </c>
      <c r="J1746">
        <v>40781</v>
      </c>
      <c r="K1746">
        <v>0</v>
      </c>
      <c r="L1746">
        <v>163124</v>
      </c>
      <c r="M1746">
        <v>94032.39</v>
      </c>
      <c r="N1746">
        <v>69091.61</v>
      </c>
      <c r="O1746" t="s">
        <v>80</v>
      </c>
      <c r="P1746" t="s">
        <v>81</v>
      </c>
    </row>
    <row r="1747" spans="1:16" x14ac:dyDescent="0.25">
      <c r="A1747">
        <v>1746</v>
      </c>
      <c r="B1747" s="1">
        <v>45836</v>
      </c>
      <c r="C1747" t="s">
        <v>20</v>
      </c>
      <c r="D1747" t="s">
        <v>26</v>
      </c>
      <c r="E1747" t="s">
        <v>31</v>
      </c>
      <c r="F1747" t="s">
        <v>47</v>
      </c>
      <c r="G1747" t="s">
        <v>72</v>
      </c>
      <c r="H1747" t="s">
        <v>73</v>
      </c>
      <c r="I1747">
        <v>7</v>
      </c>
      <c r="J1747">
        <v>1850</v>
      </c>
      <c r="K1747">
        <v>0</v>
      </c>
      <c r="L1747">
        <v>12950</v>
      </c>
      <c r="M1747">
        <v>8071.61</v>
      </c>
      <c r="N1747">
        <v>4878.3900000000003</v>
      </c>
      <c r="O1747" t="s">
        <v>76</v>
      </c>
      <c r="P1747" t="s">
        <v>86</v>
      </c>
    </row>
    <row r="1748" spans="1:16" x14ac:dyDescent="0.25">
      <c r="A1748">
        <v>1747</v>
      </c>
      <c r="B1748" s="1">
        <v>45688</v>
      </c>
      <c r="C1748" t="s">
        <v>22</v>
      </c>
      <c r="D1748" t="s">
        <v>24</v>
      </c>
      <c r="E1748" t="s">
        <v>29</v>
      </c>
      <c r="F1748" t="s">
        <v>42</v>
      </c>
      <c r="G1748" t="s">
        <v>71</v>
      </c>
      <c r="H1748" t="s">
        <v>74</v>
      </c>
      <c r="I1748">
        <v>4</v>
      </c>
      <c r="J1748">
        <v>2129</v>
      </c>
      <c r="K1748">
        <v>0.1</v>
      </c>
      <c r="L1748">
        <v>7664.4</v>
      </c>
      <c r="M1748">
        <v>4807.51</v>
      </c>
      <c r="N1748">
        <v>2856.89</v>
      </c>
      <c r="O1748" t="s">
        <v>77</v>
      </c>
      <c r="P1748" t="s">
        <v>84</v>
      </c>
    </row>
    <row r="1749" spans="1:16" x14ac:dyDescent="0.25">
      <c r="A1749">
        <v>1748</v>
      </c>
      <c r="B1749" s="1">
        <v>45848</v>
      </c>
      <c r="C1749" t="s">
        <v>20</v>
      </c>
      <c r="D1749" t="s">
        <v>26</v>
      </c>
      <c r="E1749" t="s">
        <v>29</v>
      </c>
      <c r="F1749" t="s">
        <v>45</v>
      </c>
      <c r="G1749" t="s">
        <v>70</v>
      </c>
      <c r="H1749" t="s">
        <v>73</v>
      </c>
      <c r="I1749">
        <v>3</v>
      </c>
      <c r="J1749">
        <v>3780</v>
      </c>
      <c r="K1749">
        <v>0.2</v>
      </c>
      <c r="L1749">
        <v>9072</v>
      </c>
      <c r="M1749">
        <v>7862</v>
      </c>
      <c r="N1749">
        <v>1210</v>
      </c>
      <c r="O1749" t="s">
        <v>77</v>
      </c>
      <c r="P1749" t="s">
        <v>86</v>
      </c>
    </row>
    <row r="1750" spans="1:16" x14ac:dyDescent="0.25">
      <c r="A1750">
        <v>1749</v>
      </c>
      <c r="B1750" s="1">
        <v>45857</v>
      </c>
      <c r="C1750" t="s">
        <v>19</v>
      </c>
      <c r="D1750" t="s">
        <v>26</v>
      </c>
      <c r="E1750" t="s">
        <v>32</v>
      </c>
      <c r="F1750" t="s">
        <v>66</v>
      </c>
      <c r="G1750" t="s">
        <v>72</v>
      </c>
      <c r="H1750" t="s">
        <v>75</v>
      </c>
      <c r="I1750">
        <v>6</v>
      </c>
      <c r="J1750">
        <v>8836</v>
      </c>
      <c r="K1750">
        <v>0.1</v>
      </c>
      <c r="L1750">
        <v>47714.400000000001</v>
      </c>
      <c r="M1750">
        <v>37818.83</v>
      </c>
      <c r="N1750">
        <v>9895.57</v>
      </c>
      <c r="O1750" t="s">
        <v>80</v>
      </c>
      <c r="P1750" t="s">
        <v>83</v>
      </c>
    </row>
    <row r="1751" spans="1:16" x14ac:dyDescent="0.25">
      <c r="A1751">
        <v>1750</v>
      </c>
      <c r="B1751" s="1">
        <v>45776</v>
      </c>
      <c r="C1751" t="s">
        <v>18</v>
      </c>
      <c r="D1751" t="s">
        <v>26</v>
      </c>
      <c r="E1751" t="s">
        <v>34</v>
      </c>
      <c r="F1751" t="s">
        <v>43</v>
      </c>
      <c r="G1751" t="s">
        <v>72</v>
      </c>
      <c r="H1751" t="s">
        <v>75</v>
      </c>
      <c r="I1751">
        <v>1</v>
      </c>
      <c r="J1751">
        <v>1437</v>
      </c>
      <c r="K1751">
        <v>0</v>
      </c>
      <c r="L1751">
        <v>1437</v>
      </c>
      <c r="M1751">
        <v>1182.7</v>
      </c>
      <c r="N1751">
        <v>254.3</v>
      </c>
      <c r="O1751" t="s">
        <v>80</v>
      </c>
      <c r="P1751" t="s">
        <v>84</v>
      </c>
    </row>
    <row r="1752" spans="1:16" x14ac:dyDescent="0.25">
      <c r="A1752">
        <v>1751</v>
      </c>
      <c r="B1752" s="1">
        <v>45725</v>
      </c>
      <c r="C1752" t="s">
        <v>19</v>
      </c>
      <c r="D1752" t="s">
        <v>26</v>
      </c>
      <c r="E1752" t="s">
        <v>28</v>
      </c>
      <c r="F1752" t="s">
        <v>54</v>
      </c>
      <c r="G1752" t="s">
        <v>71</v>
      </c>
      <c r="H1752" t="s">
        <v>75</v>
      </c>
      <c r="I1752">
        <v>8</v>
      </c>
      <c r="J1752">
        <v>643</v>
      </c>
      <c r="K1752">
        <v>0</v>
      </c>
      <c r="L1752">
        <v>5144</v>
      </c>
      <c r="M1752">
        <v>3997.06</v>
      </c>
      <c r="N1752">
        <v>1146.94</v>
      </c>
      <c r="O1752" t="s">
        <v>77</v>
      </c>
      <c r="P1752" t="s">
        <v>87</v>
      </c>
    </row>
    <row r="1753" spans="1:16" x14ac:dyDescent="0.25">
      <c r="A1753">
        <v>1752</v>
      </c>
      <c r="B1753" s="1">
        <v>45911</v>
      </c>
      <c r="C1753" t="s">
        <v>18</v>
      </c>
      <c r="D1753" t="s">
        <v>26</v>
      </c>
      <c r="E1753" t="s">
        <v>33</v>
      </c>
      <c r="F1753" t="s">
        <v>59</v>
      </c>
      <c r="G1753" t="s">
        <v>72</v>
      </c>
      <c r="H1753" t="s">
        <v>74</v>
      </c>
      <c r="I1753">
        <v>8</v>
      </c>
      <c r="J1753">
        <v>27643</v>
      </c>
      <c r="K1753">
        <v>0</v>
      </c>
      <c r="L1753">
        <v>221144</v>
      </c>
      <c r="M1753">
        <v>150761.85999999999</v>
      </c>
      <c r="N1753">
        <v>70382.14</v>
      </c>
      <c r="O1753" t="s">
        <v>78</v>
      </c>
      <c r="P1753" t="s">
        <v>81</v>
      </c>
    </row>
    <row r="1754" spans="1:16" x14ac:dyDescent="0.25">
      <c r="A1754">
        <v>1753</v>
      </c>
      <c r="B1754" s="1">
        <v>45944</v>
      </c>
      <c r="C1754" t="s">
        <v>22</v>
      </c>
      <c r="D1754" t="s">
        <v>24</v>
      </c>
      <c r="E1754" t="s">
        <v>28</v>
      </c>
      <c r="F1754" t="s">
        <v>58</v>
      </c>
      <c r="G1754" t="s">
        <v>72</v>
      </c>
      <c r="H1754" t="s">
        <v>75</v>
      </c>
      <c r="I1754">
        <v>7</v>
      </c>
      <c r="J1754">
        <v>592</v>
      </c>
      <c r="K1754">
        <v>0.1</v>
      </c>
      <c r="L1754">
        <v>3729.6</v>
      </c>
      <c r="M1754">
        <v>2270.44</v>
      </c>
      <c r="N1754">
        <v>1459.16</v>
      </c>
      <c r="O1754" t="s">
        <v>80</v>
      </c>
      <c r="P1754" t="s">
        <v>85</v>
      </c>
    </row>
    <row r="1755" spans="1:16" x14ac:dyDescent="0.25">
      <c r="A1755">
        <v>1754</v>
      </c>
      <c r="B1755" s="1">
        <v>45733</v>
      </c>
      <c r="C1755" t="s">
        <v>23</v>
      </c>
      <c r="D1755" t="s">
        <v>27</v>
      </c>
      <c r="E1755" t="s">
        <v>28</v>
      </c>
      <c r="F1755" t="s">
        <v>35</v>
      </c>
      <c r="G1755" t="s">
        <v>72</v>
      </c>
      <c r="H1755" t="s">
        <v>73</v>
      </c>
      <c r="I1755">
        <v>6</v>
      </c>
      <c r="J1755">
        <v>1034</v>
      </c>
      <c r="K1755">
        <v>0.05</v>
      </c>
      <c r="L1755">
        <v>5893.8</v>
      </c>
      <c r="M1755">
        <v>4653.38</v>
      </c>
      <c r="N1755">
        <v>1240.42</v>
      </c>
      <c r="O1755" t="s">
        <v>79</v>
      </c>
      <c r="P1755" t="s">
        <v>88</v>
      </c>
    </row>
    <row r="1756" spans="1:16" x14ac:dyDescent="0.25">
      <c r="A1756">
        <v>1755</v>
      </c>
      <c r="B1756" s="1">
        <v>45720</v>
      </c>
      <c r="C1756" t="s">
        <v>22</v>
      </c>
      <c r="D1756" t="s">
        <v>24</v>
      </c>
      <c r="E1756" t="s">
        <v>31</v>
      </c>
      <c r="F1756" t="s">
        <v>69</v>
      </c>
      <c r="G1756" t="s">
        <v>70</v>
      </c>
      <c r="H1756" t="s">
        <v>73</v>
      </c>
      <c r="I1756">
        <v>5</v>
      </c>
      <c r="J1756">
        <v>450</v>
      </c>
      <c r="K1756">
        <v>0</v>
      </c>
      <c r="L1756">
        <v>2250</v>
      </c>
      <c r="M1756">
        <v>1683.02</v>
      </c>
      <c r="N1756">
        <v>566.98</v>
      </c>
      <c r="O1756" t="s">
        <v>79</v>
      </c>
      <c r="P1756" t="s">
        <v>81</v>
      </c>
    </row>
    <row r="1757" spans="1:16" x14ac:dyDescent="0.25">
      <c r="A1757">
        <v>1756</v>
      </c>
      <c r="B1757" s="1">
        <v>45851</v>
      </c>
      <c r="C1757" t="s">
        <v>18</v>
      </c>
      <c r="D1757" t="s">
        <v>26</v>
      </c>
      <c r="E1757" t="s">
        <v>30</v>
      </c>
      <c r="F1757" t="s">
        <v>37</v>
      </c>
      <c r="G1757" t="s">
        <v>70</v>
      </c>
      <c r="H1757" t="s">
        <v>73</v>
      </c>
      <c r="I1757">
        <v>1</v>
      </c>
      <c r="J1757">
        <v>5169</v>
      </c>
      <c r="K1757">
        <v>0</v>
      </c>
      <c r="L1757">
        <v>5169</v>
      </c>
      <c r="M1757">
        <v>3373.44</v>
      </c>
      <c r="N1757">
        <v>1795.56</v>
      </c>
      <c r="O1757" t="s">
        <v>77</v>
      </c>
      <c r="P1757" t="s">
        <v>86</v>
      </c>
    </row>
    <row r="1758" spans="1:16" x14ac:dyDescent="0.25">
      <c r="A1758">
        <v>1757</v>
      </c>
      <c r="B1758" s="1">
        <v>45815</v>
      </c>
      <c r="C1758" t="s">
        <v>22</v>
      </c>
      <c r="D1758" t="s">
        <v>24</v>
      </c>
      <c r="E1758" t="s">
        <v>30</v>
      </c>
      <c r="F1758" t="s">
        <v>44</v>
      </c>
      <c r="G1758" t="s">
        <v>72</v>
      </c>
      <c r="H1758" t="s">
        <v>75</v>
      </c>
      <c r="I1758">
        <v>7</v>
      </c>
      <c r="J1758">
        <v>53703</v>
      </c>
      <c r="K1758">
        <v>0.05</v>
      </c>
      <c r="L1758">
        <v>357124.95</v>
      </c>
      <c r="M1758">
        <v>199260.31</v>
      </c>
      <c r="N1758">
        <v>157864.64000000001</v>
      </c>
      <c r="O1758" t="s">
        <v>76</v>
      </c>
      <c r="P1758" t="s">
        <v>87</v>
      </c>
    </row>
    <row r="1759" spans="1:16" x14ac:dyDescent="0.25">
      <c r="A1759">
        <v>1758</v>
      </c>
      <c r="B1759" s="1">
        <v>45830</v>
      </c>
      <c r="C1759" t="s">
        <v>23</v>
      </c>
      <c r="D1759" t="s">
        <v>27</v>
      </c>
      <c r="E1759" t="s">
        <v>28</v>
      </c>
      <c r="F1759" t="s">
        <v>58</v>
      </c>
      <c r="G1759" t="s">
        <v>70</v>
      </c>
      <c r="H1759" t="s">
        <v>73</v>
      </c>
      <c r="I1759">
        <v>2</v>
      </c>
      <c r="J1759">
        <v>557</v>
      </c>
      <c r="K1759">
        <v>0.05</v>
      </c>
      <c r="L1759">
        <v>1058.3</v>
      </c>
      <c r="M1759">
        <v>598.02</v>
      </c>
      <c r="N1759">
        <v>460.28</v>
      </c>
      <c r="O1759" t="s">
        <v>78</v>
      </c>
      <c r="P1759" t="s">
        <v>88</v>
      </c>
    </row>
    <row r="1760" spans="1:16" x14ac:dyDescent="0.25">
      <c r="A1760">
        <v>1759</v>
      </c>
      <c r="B1760" s="1">
        <v>45671</v>
      </c>
      <c r="C1760" t="s">
        <v>21</v>
      </c>
      <c r="D1760" t="s">
        <v>24</v>
      </c>
      <c r="E1760" t="s">
        <v>31</v>
      </c>
      <c r="F1760" t="s">
        <v>50</v>
      </c>
      <c r="G1760" t="s">
        <v>71</v>
      </c>
      <c r="H1760" t="s">
        <v>74</v>
      </c>
      <c r="I1760">
        <v>6</v>
      </c>
      <c r="J1760">
        <v>2182</v>
      </c>
      <c r="K1760">
        <v>0.1</v>
      </c>
      <c r="L1760">
        <v>11782.8</v>
      </c>
      <c r="M1760">
        <v>9527.4</v>
      </c>
      <c r="N1760">
        <v>2255.4</v>
      </c>
      <c r="O1760" t="s">
        <v>80</v>
      </c>
      <c r="P1760" t="s">
        <v>85</v>
      </c>
    </row>
    <row r="1761" spans="1:16" x14ac:dyDescent="0.25">
      <c r="A1761">
        <v>1760</v>
      </c>
      <c r="B1761" s="1">
        <v>45891</v>
      </c>
      <c r="C1761" t="s">
        <v>18</v>
      </c>
      <c r="D1761" t="s">
        <v>26</v>
      </c>
      <c r="E1761" t="s">
        <v>32</v>
      </c>
      <c r="F1761" t="s">
        <v>48</v>
      </c>
      <c r="G1761" t="s">
        <v>71</v>
      </c>
      <c r="H1761" t="s">
        <v>75</v>
      </c>
      <c r="I1761">
        <v>6</v>
      </c>
      <c r="J1761">
        <v>2398</v>
      </c>
      <c r="K1761">
        <v>0.1</v>
      </c>
      <c r="L1761">
        <v>12949.2</v>
      </c>
      <c r="M1761">
        <v>8145.95</v>
      </c>
      <c r="N1761">
        <v>4803.25</v>
      </c>
      <c r="O1761" t="s">
        <v>79</v>
      </c>
      <c r="P1761" t="s">
        <v>88</v>
      </c>
    </row>
    <row r="1762" spans="1:16" x14ac:dyDescent="0.25">
      <c r="A1762">
        <v>1761</v>
      </c>
      <c r="B1762" s="1">
        <v>45971</v>
      </c>
      <c r="C1762" t="s">
        <v>21</v>
      </c>
      <c r="D1762" t="s">
        <v>24</v>
      </c>
      <c r="E1762" t="s">
        <v>31</v>
      </c>
      <c r="F1762" t="s">
        <v>50</v>
      </c>
      <c r="G1762" t="s">
        <v>72</v>
      </c>
      <c r="H1762" t="s">
        <v>75</v>
      </c>
      <c r="I1762">
        <v>2</v>
      </c>
      <c r="J1762">
        <v>468</v>
      </c>
      <c r="K1762">
        <v>0.15</v>
      </c>
      <c r="L1762">
        <v>795.6</v>
      </c>
      <c r="M1762">
        <v>454.74</v>
      </c>
      <c r="N1762">
        <v>340.86</v>
      </c>
      <c r="O1762" t="s">
        <v>78</v>
      </c>
      <c r="P1762" t="s">
        <v>82</v>
      </c>
    </row>
    <row r="1763" spans="1:16" x14ac:dyDescent="0.25">
      <c r="A1763">
        <v>1762</v>
      </c>
      <c r="B1763" s="1">
        <v>45862</v>
      </c>
      <c r="C1763" t="s">
        <v>17</v>
      </c>
      <c r="D1763" t="s">
        <v>25</v>
      </c>
      <c r="E1763" t="s">
        <v>30</v>
      </c>
      <c r="F1763" t="s">
        <v>56</v>
      </c>
      <c r="G1763" t="s">
        <v>72</v>
      </c>
      <c r="H1763" t="s">
        <v>73</v>
      </c>
      <c r="I1763">
        <v>2</v>
      </c>
      <c r="J1763">
        <v>34331</v>
      </c>
      <c r="K1763">
        <v>0.05</v>
      </c>
      <c r="L1763">
        <v>65228.9</v>
      </c>
      <c r="M1763">
        <v>54378.07</v>
      </c>
      <c r="N1763">
        <v>10850.83</v>
      </c>
      <c r="O1763" t="s">
        <v>77</v>
      </c>
      <c r="P1763" t="s">
        <v>88</v>
      </c>
    </row>
    <row r="1764" spans="1:16" x14ac:dyDescent="0.25">
      <c r="A1764">
        <v>1763</v>
      </c>
      <c r="B1764" s="1">
        <v>45756</v>
      </c>
      <c r="C1764" t="s">
        <v>16</v>
      </c>
      <c r="D1764" t="s">
        <v>24</v>
      </c>
      <c r="E1764" t="s">
        <v>29</v>
      </c>
      <c r="F1764" t="s">
        <v>57</v>
      </c>
      <c r="G1764" t="s">
        <v>71</v>
      </c>
      <c r="H1764" t="s">
        <v>75</v>
      </c>
      <c r="I1764">
        <v>2</v>
      </c>
      <c r="J1764">
        <v>7686</v>
      </c>
      <c r="K1764">
        <v>0.1</v>
      </c>
      <c r="L1764">
        <v>13834.8</v>
      </c>
      <c r="M1764">
        <v>9664.9699999999993</v>
      </c>
      <c r="N1764">
        <v>4169.83</v>
      </c>
      <c r="O1764" t="s">
        <v>79</v>
      </c>
      <c r="P1764" t="s">
        <v>82</v>
      </c>
    </row>
    <row r="1765" spans="1:16" x14ac:dyDescent="0.25">
      <c r="A1765">
        <v>1764</v>
      </c>
      <c r="B1765" s="1">
        <v>45860</v>
      </c>
      <c r="C1765" t="s">
        <v>21</v>
      </c>
      <c r="D1765" t="s">
        <v>24</v>
      </c>
      <c r="E1765" t="s">
        <v>29</v>
      </c>
      <c r="F1765" t="s">
        <v>53</v>
      </c>
      <c r="G1765" t="s">
        <v>72</v>
      </c>
      <c r="H1765" t="s">
        <v>73</v>
      </c>
      <c r="I1765">
        <v>2</v>
      </c>
      <c r="J1765">
        <v>8403</v>
      </c>
      <c r="K1765">
        <v>0.1</v>
      </c>
      <c r="L1765">
        <v>15125.4</v>
      </c>
      <c r="M1765">
        <v>9592.2000000000007</v>
      </c>
      <c r="N1765">
        <v>5533.2</v>
      </c>
      <c r="O1765" t="s">
        <v>79</v>
      </c>
      <c r="P1765" t="s">
        <v>87</v>
      </c>
    </row>
    <row r="1766" spans="1:16" x14ac:dyDescent="0.25">
      <c r="A1766">
        <v>1765</v>
      </c>
      <c r="B1766" s="1">
        <v>45739</v>
      </c>
      <c r="C1766" t="s">
        <v>22</v>
      </c>
      <c r="D1766" t="s">
        <v>24</v>
      </c>
      <c r="E1766" t="s">
        <v>29</v>
      </c>
      <c r="F1766" t="s">
        <v>42</v>
      </c>
      <c r="G1766" t="s">
        <v>70</v>
      </c>
      <c r="H1766" t="s">
        <v>73</v>
      </c>
      <c r="I1766">
        <v>4</v>
      </c>
      <c r="J1766">
        <v>7502</v>
      </c>
      <c r="K1766">
        <v>0.05</v>
      </c>
      <c r="L1766">
        <v>28507.599999999999</v>
      </c>
      <c r="M1766">
        <v>16146.91</v>
      </c>
      <c r="N1766">
        <v>12360.69</v>
      </c>
      <c r="O1766" t="s">
        <v>79</v>
      </c>
      <c r="P1766" t="s">
        <v>86</v>
      </c>
    </row>
    <row r="1767" spans="1:16" x14ac:dyDescent="0.25">
      <c r="A1767">
        <v>1766</v>
      </c>
      <c r="B1767" s="1">
        <v>45661</v>
      </c>
      <c r="C1767" t="s">
        <v>19</v>
      </c>
      <c r="D1767" t="s">
        <v>26</v>
      </c>
      <c r="E1767" t="s">
        <v>32</v>
      </c>
      <c r="F1767" t="s">
        <v>39</v>
      </c>
      <c r="G1767" t="s">
        <v>72</v>
      </c>
      <c r="H1767" t="s">
        <v>73</v>
      </c>
      <c r="I1767">
        <v>2</v>
      </c>
      <c r="J1767">
        <v>14084</v>
      </c>
      <c r="K1767">
        <v>0.05</v>
      </c>
      <c r="L1767">
        <v>26759.599999999999</v>
      </c>
      <c r="M1767">
        <v>16439.400000000001</v>
      </c>
      <c r="N1767">
        <v>10320.200000000001</v>
      </c>
      <c r="O1767" t="s">
        <v>78</v>
      </c>
      <c r="P1767" t="s">
        <v>88</v>
      </c>
    </row>
    <row r="1768" spans="1:16" x14ac:dyDescent="0.25">
      <c r="A1768">
        <v>1767</v>
      </c>
      <c r="B1768" s="1">
        <v>45961</v>
      </c>
      <c r="C1768" t="s">
        <v>20</v>
      </c>
      <c r="D1768" t="s">
        <v>26</v>
      </c>
      <c r="E1768" t="s">
        <v>34</v>
      </c>
      <c r="F1768" t="s">
        <v>65</v>
      </c>
      <c r="G1768" t="s">
        <v>71</v>
      </c>
      <c r="H1768" t="s">
        <v>74</v>
      </c>
      <c r="I1768">
        <v>5</v>
      </c>
      <c r="J1768">
        <v>4618</v>
      </c>
      <c r="K1768">
        <v>0.05</v>
      </c>
      <c r="L1768">
        <v>21935.5</v>
      </c>
      <c r="M1768">
        <v>14139.61</v>
      </c>
      <c r="N1768">
        <v>7795.89</v>
      </c>
      <c r="O1768" t="s">
        <v>80</v>
      </c>
      <c r="P1768" t="s">
        <v>87</v>
      </c>
    </row>
    <row r="1769" spans="1:16" x14ac:dyDescent="0.25">
      <c r="A1769">
        <v>1768</v>
      </c>
      <c r="B1769" s="1">
        <v>45792</v>
      </c>
      <c r="C1769" t="s">
        <v>17</v>
      </c>
      <c r="D1769" t="s">
        <v>25</v>
      </c>
      <c r="E1769" t="s">
        <v>28</v>
      </c>
      <c r="F1769" t="s">
        <v>35</v>
      </c>
      <c r="G1769" t="s">
        <v>72</v>
      </c>
      <c r="H1769" t="s">
        <v>73</v>
      </c>
      <c r="I1769">
        <v>7</v>
      </c>
      <c r="J1769">
        <v>346</v>
      </c>
      <c r="K1769">
        <v>0.1</v>
      </c>
      <c r="L1769">
        <v>2179.8000000000002</v>
      </c>
      <c r="M1769">
        <v>1894.79</v>
      </c>
      <c r="N1769">
        <v>285.01</v>
      </c>
      <c r="O1769" t="s">
        <v>80</v>
      </c>
      <c r="P1769" t="s">
        <v>88</v>
      </c>
    </row>
    <row r="1770" spans="1:16" x14ac:dyDescent="0.25">
      <c r="A1770">
        <v>1769</v>
      </c>
      <c r="B1770" s="1">
        <v>45965</v>
      </c>
      <c r="C1770" t="s">
        <v>22</v>
      </c>
      <c r="D1770" t="s">
        <v>24</v>
      </c>
      <c r="E1770" t="s">
        <v>33</v>
      </c>
      <c r="F1770" t="s">
        <v>52</v>
      </c>
      <c r="G1770" t="s">
        <v>71</v>
      </c>
      <c r="H1770" t="s">
        <v>74</v>
      </c>
      <c r="I1770">
        <v>7</v>
      </c>
      <c r="J1770">
        <v>46863</v>
      </c>
      <c r="K1770">
        <v>0.15</v>
      </c>
      <c r="L1770">
        <v>278834.84999999998</v>
      </c>
      <c r="M1770">
        <v>207732.68</v>
      </c>
      <c r="N1770">
        <v>71102.17</v>
      </c>
      <c r="O1770" t="s">
        <v>77</v>
      </c>
      <c r="P1770" t="s">
        <v>86</v>
      </c>
    </row>
    <row r="1771" spans="1:16" x14ac:dyDescent="0.25">
      <c r="A1771">
        <v>1770</v>
      </c>
      <c r="B1771" s="1">
        <v>45699</v>
      </c>
      <c r="C1771" t="s">
        <v>23</v>
      </c>
      <c r="D1771" t="s">
        <v>27</v>
      </c>
      <c r="E1771" t="s">
        <v>34</v>
      </c>
      <c r="F1771" t="s">
        <v>65</v>
      </c>
      <c r="G1771" t="s">
        <v>70</v>
      </c>
      <c r="H1771" t="s">
        <v>74</v>
      </c>
      <c r="I1771">
        <v>6</v>
      </c>
      <c r="J1771">
        <v>3248</v>
      </c>
      <c r="K1771">
        <v>0.15</v>
      </c>
      <c r="L1771">
        <v>16564.8</v>
      </c>
      <c r="M1771">
        <v>12483.01</v>
      </c>
      <c r="N1771">
        <v>4081.79</v>
      </c>
      <c r="O1771" t="s">
        <v>80</v>
      </c>
      <c r="P1771" t="s">
        <v>85</v>
      </c>
    </row>
    <row r="1772" spans="1:16" x14ac:dyDescent="0.25">
      <c r="A1772">
        <v>1771</v>
      </c>
      <c r="B1772" s="1">
        <v>45799</v>
      </c>
      <c r="C1772" t="s">
        <v>21</v>
      </c>
      <c r="D1772" t="s">
        <v>24</v>
      </c>
      <c r="E1772" t="s">
        <v>34</v>
      </c>
      <c r="F1772" t="s">
        <v>65</v>
      </c>
      <c r="G1772" t="s">
        <v>70</v>
      </c>
      <c r="H1772" t="s">
        <v>73</v>
      </c>
      <c r="I1772">
        <v>8</v>
      </c>
      <c r="J1772">
        <v>4001</v>
      </c>
      <c r="K1772">
        <v>0</v>
      </c>
      <c r="L1772">
        <v>32008</v>
      </c>
      <c r="M1772">
        <v>22512.29</v>
      </c>
      <c r="N1772">
        <v>9495.7099999999991</v>
      </c>
      <c r="O1772" t="s">
        <v>79</v>
      </c>
      <c r="P1772" t="s">
        <v>84</v>
      </c>
    </row>
    <row r="1773" spans="1:16" x14ac:dyDescent="0.25">
      <c r="A1773">
        <v>1772</v>
      </c>
      <c r="B1773" s="1">
        <v>45729</v>
      </c>
      <c r="C1773" t="s">
        <v>18</v>
      </c>
      <c r="D1773" t="s">
        <v>26</v>
      </c>
      <c r="E1773" t="s">
        <v>34</v>
      </c>
      <c r="F1773" t="s">
        <v>65</v>
      </c>
      <c r="G1773" t="s">
        <v>72</v>
      </c>
      <c r="H1773" t="s">
        <v>74</v>
      </c>
      <c r="I1773">
        <v>6</v>
      </c>
      <c r="J1773">
        <v>5773</v>
      </c>
      <c r="K1773">
        <v>0.05</v>
      </c>
      <c r="L1773">
        <v>32906.1</v>
      </c>
      <c r="M1773">
        <v>18883.650000000001</v>
      </c>
      <c r="N1773">
        <v>14022.45</v>
      </c>
      <c r="O1773" t="s">
        <v>76</v>
      </c>
      <c r="P1773" t="s">
        <v>81</v>
      </c>
    </row>
    <row r="1774" spans="1:16" x14ac:dyDescent="0.25">
      <c r="A1774">
        <v>1773</v>
      </c>
      <c r="B1774" s="1">
        <v>45811</v>
      </c>
      <c r="C1774" t="s">
        <v>23</v>
      </c>
      <c r="D1774" t="s">
        <v>27</v>
      </c>
      <c r="E1774" t="s">
        <v>29</v>
      </c>
      <c r="F1774" t="s">
        <v>42</v>
      </c>
      <c r="G1774" t="s">
        <v>72</v>
      </c>
      <c r="H1774" t="s">
        <v>75</v>
      </c>
      <c r="I1774">
        <v>3</v>
      </c>
      <c r="J1774">
        <v>11343</v>
      </c>
      <c r="K1774">
        <v>0.1</v>
      </c>
      <c r="L1774">
        <v>30626.1</v>
      </c>
      <c r="M1774">
        <v>26065.15</v>
      </c>
      <c r="N1774">
        <v>4560.95</v>
      </c>
      <c r="O1774" t="s">
        <v>76</v>
      </c>
      <c r="P1774" t="s">
        <v>84</v>
      </c>
    </row>
    <row r="1775" spans="1:16" x14ac:dyDescent="0.25">
      <c r="A1775">
        <v>1774</v>
      </c>
      <c r="B1775" s="1">
        <v>45796</v>
      </c>
      <c r="C1775" t="s">
        <v>23</v>
      </c>
      <c r="D1775" t="s">
        <v>27</v>
      </c>
      <c r="E1775" t="s">
        <v>34</v>
      </c>
      <c r="F1775" t="s">
        <v>51</v>
      </c>
      <c r="G1775" t="s">
        <v>72</v>
      </c>
      <c r="H1775" t="s">
        <v>74</v>
      </c>
      <c r="I1775">
        <v>2</v>
      </c>
      <c r="J1775">
        <v>5324</v>
      </c>
      <c r="K1775">
        <v>0.1</v>
      </c>
      <c r="L1775">
        <v>9583.2000000000007</v>
      </c>
      <c r="M1775">
        <v>7564.15</v>
      </c>
      <c r="N1775">
        <v>2019.05</v>
      </c>
      <c r="O1775" t="s">
        <v>79</v>
      </c>
      <c r="P1775" t="s">
        <v>84</v>
      </c>
    </row>
    <row r="1776" spans="1:16" x14ac:dyDescent="0.25">
      <c r="A1776">
        <v>1775</v>
      </c>
      <c r="B1776" s="1">
        <v>45771</v>
      </c>
      <c r="C1776" t="s">
        <v>16</v>
      </c>
      <c r="D1776" t="s">
        <v>24</v>
      </c>
      <c r="E1776" t="s">
        <v>30</v>
      </c>
      <c r="F1776" t="s">
        <v>64</v>
      </c>
      <c r="G1776" t="s">
        <v>70</v>
      </c>
      <c r="H1776" t="s">
        <v>74</v>
      </c>
      <c r="I1776">
        <v>7</v>
      </c>
      <c r="J1776">
        <v>36436</v>
      </c>
      <c r="K1776">
        <v>0.1</v>
      </c>
      <c r="L1776">
        <v>229546.8</v>
      </c>
      <c r="M1776">
        <v>132828.64000000001</v>
      </c>
      <c r="N1776">
        <v>96718.16</v>
      </c>
      <c r="O1776" t="s">
        <v>79</v>
      </c>
      <c r="P1776" t="s">
        <v>82</v>
      </c>
    </row>
    <row r="1777" spans="1:16" x14ac:dyDescent="0.25">
      <c r="A1777">
        <v>1776</v>
      </c>
      <c r="B1777" s="1">
        <v>45793</v>
      </c>
      <c r="C1777" t="s">
        <v>20</v>
      </c>
      <c r="D1777" t="s">
        <v>26</v>
      </c>
      <c r="E1777" t="s">
        <v>33</v>
      </c>
      <c r="F1777" t="s">
        <v>46</v>
      </c>
      <c r="G1777" t="s">
        <v>70</v>
      </c>
      <c r="H1777" t="s">
        <v>73</v>
      </c>
      <c r="I1777">
        <v>1</v>
      </c>
      <c r="J1777">
        <v>34460</v>
      </c>
      <c r="K1777">
        <v>0.15</v>
      </c>
      <c r="L1777">
        <v>29291</v>
      </c>
      <c r="M1777">
        <v>21869.89</v>
      </c>
      <c r="N1777">
        <v>7421.11</v>
      </c>
      <c r="O1777" t="s">
        <v>77</v>
      </c>
      <c r="P1777" t="s">
        <v>86</v>
      </c>
    </row>
    <row r="1778" spans="1:16" x14ac:dyDescent="0.25">
      <c r="A1778">
        <v>1777</v>
      </c>
      <c r="B1778" s="1">
        <v>45961</v>
      </c>
      <c r="C1778" t="s">
        <v>17</v>
      </c>
      <c r="D1778" t="s">
        <v>25</v>
      </c>
      <c r="E1778" t="s">
        <v>28</v>
      </c>
      <c r="F1778" t="s">
        <v>61</v>
      </c>
      <c r="G1778" t="s">
        <v>71</v>
      </c>
      <c r="H1778" t="s">
        <v>73</v>
      </c>
      <c r="I1778">
        <v>8</v>
      </c>
      <c r="J1778">
        <v>436</v>
      </c>
      <c r="K1778">
        <v>0.1</v>
      </c>
      <c r="L1778">
        <v>3139.2</v>
      </c>
      <c r="M1778">
        <v>2316.7800000000002</v>
      </c>
      <c r="N1778">
        <v>822.42</v>
      </c>
      <c r="O1778" t="s">
        <v>78</v>
      </c>
      <c r="P1778" t="s">
        <v>85</v>
      </c>
    </row>
    <row r="1779" spans="1:16" x14ac:dyDescent="0.25">
      <c r="A1779">
        <v>1778</v>
      </c>
      <c r="B1779" s="1">
        <v>45726</v>
      </c>
      <c r="C1779" t="s">
        <v>23</v>
      </c>
      <c r="D1779" t="s">
        <v>27</v>
      </c>
      <c r="E1779" t="s">
        <v>30</v>
      </c>
      <c r="F1779" t="s">
        <v>64</v>
      </c>
      <c r="G1779" t="s">
        <v>70</v>
      </c>
      <c r="H1779" t="s">
        <v>73</v>
      </c>
      <c r="I1779">
        <v>3</v>
      </c>
      <c r="J1779">
        <v>15557</v>
      </c>
      <c r="K1779">
        <v>0.2</v>
      </c>
      <c r="L1779">
        <v>37336.800000000003</v>
      </c>
      <c r="M1779">
        <v>29614.71</v>
      </c>
      <c r="N1779">
        <v>7722.09</v>
      </c>
      <c r="O1779" t="s">
        <v>80</v>
      </c>
      <c r="P1779" t="s">
        <v>87</v>
      </c>
    </row>
    <row r="1780" spans="1:16" x14ac:dyDescent="0.25">
      <c r="A1780">
        <v>1779</v>
      </c>
      <c r="B1780" s="1">
        <v>45884</v>
      </c>
      <c r="C1780" t="s">
        <v>21</v>
      </c>
      <c r="D1780" t="s">
        <v>24</v>
      </c>
      <c r="E1780" t="s">
        <v>33</v>
      </c>
      <c r="F1780" t="s">
        <v>46</v>
      </c>
      <c r="G1780" t="s">
        <v>72</v>
      </c>
      <c r="H1780" t="s">
        <v>73</v>
      </c>
      <c r="I1780">
        <v>1</v>
      </c>
      <c r="J1780">
        <v>46131</v>
      </c>
      <c r="K1780">
        <v>0.1</v>
      </c>
      <c r="L1780">
        <v>41517.9</v>
      </c>
      <c r="M1780">
        <v>25150.04</v>
      </c>
      <c r="N1780">
        <v>16367.86</v>
      </c>
      <c r="O1780" t="s">
        <v>80</v>
      </c>
      <c r="P1780" t="s">
        <v>88</v>
      </c>
    </row>
    <row r="1781" spans="1:16" x14ac:dyDescent="0.25">
      <c r="A1781">
        <v>1780</v>
      </c>
      <c r="B1781" s="1">
        <v>45926</v>
      </c>
      <c r="C1781" t="s">
        <v>16</v>
      </c>
      <c r="D1781" t="s">
        <v>24</v>
      </c>
      <c r="E1781" t="s">
        <v>29</v>
      </c>
      <c r="F1781" t="s">
        <v>42</v>
      </c>
      <c r="G1781" t="s">
        <v>71</v>
      </c>
      <c r="H1781" t="s">
        <v>75</v>
      </c>
      <c r="I1781">
        <v>4</v>
      </c>
      <c r="J1781">
        <v>9253</v>
      </c>
      <c r="K1781">
        <v>0</v>
      </c>
      <c r="L1781">
        <v>37012</v>
      </c>
      <c r="M1781">
        <v>22797.53</v>
      </c>
      <c r="N1781">
        <v>14214.47</v>
      </c>
      <c r="O1781" t="s">
        <v>80</v>
      </c>
      <c r="P1781" t="s">
        <v>82</v>
      </c>
    </row>
    <row r="1782" spans="1:16" x14ac:dyDescent="0.25">
      <c r="A1782">
        <v>1781</v>
      </c>
      <c r="B1782" s="1">
        <v>45961</v>
      </c>
      <c r="C1782" t="s">
        <v>23</v>
      </c>
      <c r="D1782" t="s">
        <v>27</v>
      </c>
      <c r="E1782" t="s">
        <v>34</v>
      </c>
      <c r="F1782" t="s">
        <v>43</v>
      </c>
      <c r="G1782" t="s">
        <v>70</v>
      </c>
      <c r="H1782" t="s">
        <v>75</v>
      </c>
      <c r="I1782">
        <v>6</v>
      </c>
      <c r="J1782">
        <v>3956</v>
      </c>
      <c r="K1782">
        <v>0.05</v>
      </c>
      <c r="L1782">
        <v>22549.200000000001</v>
      </c>
      <c r="M1782">
        <v>15886.79</v>
      </c>
      <c r="N1782">
        <v>6662.41</v>
      </c>
      <c r="O1782" t="s">
        <v>77</v>
      </c>
      <c r="P1782" t="s">
        <v>86</v>
      </c>
    </row>
    <row r="1783" spans="1:16" x14ac:dyDescent="0.25">
      <c r="A1783">
        <v>1782</v>
      </c>
      <c r="B1783" s="1">
        <v>45885</v>
      </c>
      <c r="C1783" t="s">
        <v>23</v>
      </c>
      <c r="D1783" t="s">
        <v>27</v>
      </c>
      <c r="E1783" t="s">
        <v>32</v>
      </c>
      <c r="F1783" t="s">
        <v>48</v>
      </c>
      <c r="G1783" t="s">
        <v>70</v>
      </c>
      <c r="H1783" t="s">
        <v>73</v>
      </c>
      <c r="I1783">
        <v>1</v>
      </c>
      <c r="J1783">
        <v>22631</v>
      </c>
      <c r="K1783">
        <v>0.15</v>
      </c>
      <c r="L1783">
        <v>19236.349999999999</v>
      </c>
      <c r="M1783">
        <v>15789.43</v>
      </c>
      <c r="N1783">
        <v>3446.92</v>
      </c>
      <c r="O1783" t="s">
        <v>76</v>
      </c>
      <c r="P1783" t="s">
        <v>88</v>
      </c>
    </row>
    <row r="1784" spans="1:16" x14ac:dyDescent="0.25">
      <c r="A1784">
        <v>1783</v>
      </c>
      <c r="B1784" s="1">
        <v>45701</v>
      </c>
      <c r="C1784" t="s">
        <v>17</v>
      </c>
      <c r="D1784" t="s">
        <v>25</v>
      </c>
      <c r="E1784" t="s">
        <v>33</v>
      </c>
      <c r="F1784" t="s">
        <v>60</v>
      </c>
      <c r="G1784" t="s">
        <v>72</v>
      </c>
      <c r="H1784" t="s">
        <v>73</v>
      </c>
      <c r="I1784">
        <v>2</v>
      </c>
      <c r="J1784">
        <v>41506</v>
      </c>
      <c r="K1784">
        <v>0.05</v>
      </c>
      <c r="L1784">
        <v>78861.399999999994</v>
      </c>
      <c r="M1784">
        <v>65523.87</v>
      </c>
      <c r="N1784">
        <v>13337.53</v>
      </c>
      <c r="O1784" t="s">
        <v>80</v>
      </c>
      <c r="P1784" t="s">
        <v>85</v>
      </c>
    </row>
    <row r="1785" spans="1:16" x14ac:dyDescent="0.25">
      <c r="A1785">
        <v>1784</v>
      </c>
      <c r="B1785" s="1">
        <v>45866</v>
      </c>
      <c r="C1785" t="s">
        <v>20</v>
      </c>
      <c r="D1785" t="s">
        <v>26</v>
      </c>
      <c r="E1785" t="s">
        <v>33</v>
      </c>
      <c r="F1785" t="s">
        <v>59</v>
      </c>
      <c r="G1785" t="s">
        <v>72</v>
      </c>
      <c r="H1785" t="s">
        <v>73</v>
      </c>
      <c r="I1785">
        <v>3</v>
      </c>
      <c r="J1785">
        <v>7395</v>
      </c>
      <c r="K1785">
        <v>0.15</v>
      </c>
      <c r="L1785">
        <v>18857.25</v>
      </c>
      <c r="M1785">
        <v>11296</v>
      </c>
      <c r="N1785">
        <v>7561.25</v>
      </c>
      <c r="O1785" t="s">
        <v>79</v>
      </c>
      <c r="P1785" t="s">
        <v>85</v>
      </c>
    </row>
    <row r="1786" spans="1:16" x14ac:dyDescent="0.25">
      <c r="A1786">
        <v>1785</v>
      </c>
      <c r="B1786" s="1">
        <v>45915</v>
      </c>
      <c r="C1786" t="s">
        <v>20</v>
      </c>
      <c r="D1786" t="s">
        <v>26</v>
      </c>
      <c r="E1786" t="s">
        <v>34</v>
      </c>
      <c r="F1786" t="s">
        <v>65</v>
      </c>
      <c r="G1786" t="s">
        <v>70</v>
      </c>
      <c r="H1786" t="s">
        <v>75</v>
      </c>
      <c r="I1786">
        <v>5</v>
      </c>
      <c r="J1786">
        <v>1827</v>
      </c>
      <c r="K1786">
        <v>0.1</v>
      </c>
      <c r="L1786">
        <v>8221.5</v>
      </c>
      <c r="M1786">
        <v>5383.67</v>
      </c>
      <c r="N1786">
        <v>2837.83</v>
      </c>
      <c r="O1786" t="s">
        <v>76</v>
      </c>
      <c r="P1786" t="s">
        <v>88</v>
      </c>
    </row>
    <row r="1787" spans="1:16" x14ac:dyDescent="0.25">
      <c r="A1787">
        <v>1786</v>
      </c>
      <c r="B1787" s="1">
        <v>45784</v>
      </c>
      <c r="C1787" t="s">
        <v>20</v>
      </c>
      <c r="D1787" t="s">
        <v>26</v>
      </c>
      <c r="E1787" t="s">
        <v>29</v>
      </c>
      <c r="F1787" t="s">
        <v>45</v>
      </c>
      <c r="G1787" t="s">
        <v>72</v>
      </c>
      <c r="H1787" t="s">
        <v>74</v>
      </c>
      <c r="I1787">
        <v>5</v>
      </c>
      <c r="J1787">
        <v>11003</v>
      </c>
      <c r="K1787">
        <v>0.05</v>
      </c>
      <c r="L1787">
        <v>52264.25</v>
      </c>
      <c r="M1787">
        <v>35344.01</v>
      </c>
      <c r="N1787">
        <v>16920.240000000002</v>
      </c>
      <c r="O1787" t="s">
        <v>78</v>
      </c>
      <c r="P1787" t="s">
        <v>84</v>
      </c>
    </row>
    <row r="1788" spans="1:16" x14ac:dyDescent="0.25">
      <c r="A1788">
        <v>1787</v>
      </c>
      <c r="B1788" s="1">
        <v>45751</v>
      </c>
      <c r="C1788" t="s">
        <v>18</v>
      </c>
      <c r="D1788" t="s">
        <v>26</v>
      </c>
      <c r="E1788" t="s">
        <v>34</v>
      </c>
      <c r="F1788" t="s">
        <v>55</v>
      </c>
      <c r="G1788" t="s">
        <v>72</v>
      </c>
      <c r="H1788" t="s">
        <v>74</v>
      </c>
      <c r="I1788">
        <v>2</v>
      </c>
      <c r="J1788">
        <v>3390</v>
      </c>
      <c r="K1788">
        <v>0</v>
      </c>
      <c r="L1788">
        <v>6780</v>
      </c>
      <c r="M1788">
        <v>3828.32</v>
      </c>
      <c r="N1788">
        <v>2951.68</v>
      </c>
      <c r="O1788" t="s">
        <v>76</v>
      </c>
      <c r="P1788" t="s">
        <v>87</v>
      </c>
    </row>
    <row r="1789" spans="1:16" x14ac:dyDescent="0.25">
      <c r="A1789">
        <v>1788</v>
      </c>
      <c r="B1789" s="1">
        <v>45917</v>
      </c>
      <c r="C1789" t="s">
        <v>22</v>
      </c>
      <c r="D1789" t="s">
        <v>24</v>
      </c>
      <c r="E1789" t="s">
        <v>29</v>
      </c>
      <c r="F1789" t="s">
        <v>57</v>
      </c>
      <c r="G1789" t="s">
        <v>71</v>
      </c>
      <c r="H1789" t="s">
        <v>75</v>
      </c>
      <c r="I1789">
        <v>8</v>
      </c>
      <c r="J1789">
        <v>4372</v>
      </c>
      <c r="K1789">
        <v>0</v>
      </c>
      <c r="L1789">
        <v>34976</v>
      </c>
      <c r="M1789">
        <v>19819.43</v>
      </c>
      <c r="N1789">
        <v>15156.57</v>
      </c>
      <c r="O1789" t="s">
        <v>77</v>
      </c>
      <c r="P1789" t="s">
        <v>88</v>
      </c>
    </row>
    <row r="1790" spans="1:16" x14ac:dyDescent="0.25">
      <c r="A1790">
        <v>1789</v>
      </c>
      <c r="B1790" s="1">
        <v>45705</v>
      </c>
      <c r="C1790" t="s">
        <v>22</v>
      </c>
      <c r="D1790" t="s">
        <v>24</v>
      </c>
      <c r="E1790" t="s">
        <v>33</v>
      </c>
      <c r="F1790" t="s">
        <v>46</v>
      </c>
      <c r="G1790" t="s">
        <v>72</v>
      </c>
      <c r="H1790" t="s">
        <v>74</v>
      </c>
      <c r="I1790">
        <v>3</v>
      </c>
      <c r="J1790">
        <v>19358</v>
      </c>
      <c r="K1790">
        <v>0.15</v>
      </c>
      <c r="L1790">
        <v>49362.9</v>
      </c>
      <c r="M1790">
        <v>39751.550000000003</v>
      </c>
      <c r="N1790">
        <v>9611.35</v>
      </c>
      <c r="O1790" t="s">
        <v>76</v>
      </c>
      <c r="P1790" t="s">
        <v>85</v>
      </c>
    </row>
    <row r="1791" spans="1:16" x14ac:dyDescent="0.25">
      <c r="A1791">
        <v>1790</v>
      </c>
      <c r="B1791" s="1">
        <v>46000</v>
      </c>
      <c r="C1791" t="s">
        <v>17</v>
      </c>
      <c r="D1791" t="s">
        <v>25</v>
      </c>
      <c r="E1791" t="s">
        <v>32</v>
      </c>
      <c r="F1791" t="s">
        <v>48</v>
      </c>
      <c r="G1791" t="s">
        <v>71</v>
      </c>
      <c r="H1791" t="s">
        <v>74</v>
      </c>
      <c r="I1791">
        <v>4</v>
      </c>
      <c r="J1791">
        <v>15922</v>
      </c>
      <c r="K1791">
        <v>0.1</v>
      </c>
      <c r="L1791">
        <v>57319.199999999997</v>
      </c>
      <c r="M1791">
        <v>47422.1</v>
      </c>
      <c r="N1791">
        <v>9897.1</v>
      </c>
      <c r="O1791" t="s">
        <v>78</v>
      </c>
      <c r="P1791" t="s">
        <v>83</v>
      </c>
    </row>
    <row r="1792" spans="1:16" x14ac:dyDescent="0.25">
      <c r="A1792">
        <v>1791</v>
      </c>
      <c r="B1792" s="1">
        <v>45858</v>
      </c>
      <c r="C1792" t="s">
        <v>16</v>
      </c>
      <c r="D1792" t="s">
        <v>24</v>
      </c>
      <c r="E1792" t="s">
        <v>34</v>
      </c>
      <c r="F1792" t="s">
        <v>68</v>
      </c>
      <c r="G1792" t="s">
        <v>72</v>
      </c>
      <c r="H1792" t="s">
        <v>75</v>
      </c>
      <c r="I1792">
        <v>4</v>
      </c>
      <c r="J1792">
        <v>2224</v>
      </c>
      <c r="K1792">
        <v>0.05</v>
      </c>
      <c r="L1792">
        <v>8451.2000000000007</v>
      </c>
      <c r="M1792">
        <v>6839.71</v>
      </c>
      <c r="N1792">
        <v>1611.49</v>
      </c>
      <c r="O1792" t="s">
        <v>79</v>
      </c>
      <c r="P1792" t="s">
        <v>84</v>
      </c>
    </row>
    <row r="1793" spans="1:16" x14ac:dyDescent="0.25">
      <c r="A1793">
        <v>1792</v>
      </c>
      <c r="B1793" s="1">
        <v>45885</v>
      </c>
      <c r="C1793" t="s">
        <v>18</v>
      </c>
      <c r="D1793" t="s">
        <v>26</v>
      </c>
      <c r="E1793" t="s">
        <v>30</v>
      </c>
      <c r="F1793" t="s">
        <v>44</v>
      </c>
      <c r="G1793" t="s">
        <v>72</v>
      </c>
      <c r="H1793" t="s">
        <v>75</v>
      </c>
      <c r="I1793">
        <v>6</v>
      </c>
      <c r="J1793">
        <v>62836</v>
      </c>
      <c r="K1793">
        <v>0.05</v>
      </c>
      <c r="L1793">
        <v>358165.2</v>
      </c>
      <c r="M1793">
        <v>266439.74</v>
      </c>
      <c r="N1793">
        <v>91725.46</v>
      </c>
      <c r="O1793" t="s">
        <v>77</v>
      </c>
      <c r="P1793" t="s">
        <v>86</v>
      </c>
    </row>
    <row r="1794" spans="1:16" x14ac:dyDescent="0.25">
      <c r="A1794">
        <v>1793</v>
      </c>
      <c r="B1794" s="1">
        <v>45704</v>
      </c>
      <c r="C1794" t="s">
        <v>16</v>
      </c>
      <c r="D1794" t="s">
        <v>24</v>
      </c>
      <c r="E1794" t="s">
        <v>28</v>
      </c>
      <c r="F1794" t="s">
        <v>35</v>
      </c>
      <c r="G1794" t="s">
        <v>71</v>
      </c>
      <c r="H1794" t="s">
        <v>73</v>
      </c>
      <c r="I1794">
        <v>8</v>
      </c>
      <c r="J1794">
        <v>1535</v>
      </c>
      <c r="K1794">
        <v>0.15</v>
      </c>
      <c r="L1794">
        <v>10438</v>
      </c>
      <c r="M1794">
        <v>7842.17</v>
      </c>
      <c r="N1794">
        <v>2595.83</v>
      </c>
      <c r="O1794" t="s">
        <v>77</v>
      </c>
      <c r="P1794" t="s">
        <v>84</v>
      </c>
    </row>
    <row r="1795" spans="1:16" x14ac:dyDescent="0.25">
      <c r="A1795">
        <v>1794</v>
      </c>
      <c r="B1795" s="1">
        <v>45986</v>
      </c>
      <c r="C1795" t="s">
        <v>21</v>
      </c>
      <c r="D1795" t="s">
        <v>24</v>
      </c>
      <c r="E1795" t="s">
        <v>28</v>
      </c>
      <c r="F1795" t="s">
        <v>35</v>
      </c>
      <c r="G1795" t="s">
        <v>70</v>
      </c>
      <c r="H1795" t="s">
        <v>73</v>
      </c>
      <c r="I1795">
        <v>2</v>
      </c>
      <c r="J1795">
        <v>576</v>
      </c>
      <c r="K1795">
        <v>0.1</v>
      </c>
      <c r="L1795">
        <v>1036.8</v>
      </c>
      <c r="M1795">
        <v>839.46</v>
      </c>
      <c r="N1795">
        <v>197.34</v>
      </c>
      <c r="O1795" t="s">
        <v>79</v>
      </c>
      <c r="P1795" t="s">
        <v>85</v>
      </c>
    </row>
    <row r="1796" spans="1:16" x14ac:dyDescent="0.25">
      <c r="A1796">
        <v>1795</v>
      </c>
      <c r="B1796" s="1">
        <v>45749</v>
      </c>
      <c r="C1796" t="s">
        <v>17</v>
      </c>
      <c r="D1796" t="s">
        <v>25</v>
      </c>
      <c r="E1796" t="s">
        <v>33</v>
      </c>
      <c r="F1796" t="s">
        <v>60</v>
      </c>
      <c r="G1796" t="s">
        <v>72</v>
      </c>
      <c r="H1796" t="s">
        <v>73</v>
      </c>
      <c r="I1796">
        <v>8</v>
      </c>
      <c r="J1796">
        <v>19311</v>
      </c>
      <c r="K1796">
        <v>0.1</v>
      </c>
      <c r="L1796">
        <v>139039.20000000001</v>
      </c>
      <c r="M1796">
        <v>89388.479999999996</v>
      </c>
      <c r="N1796">
        <v>49650.720000000001</v>
      </c>
      <c r="O1796" t="s">
        <v>77</v>
      </c>
      <c r="P1796" t="s">
        <v>85</v>
      </c>
    </row>
    <row r="1797" spans="1:16" x14ac:dyDescent="0.25">
      <c r="A1797">
        <v>1796</v>
      </c>
      <c r="B1797" s="1">
        <v>45842</v>
      </c>
      <c r="C1797" t="s">
        <v>20</v>
      </c>
      <c r="D1797" t="s">
        <v>26</v>
      </c>
      <c r="E1797" t="s">
        <v>30</v>
      </c>
      <c r="F1797" t="s">
        <v>37</v>
      </c>
      <c r="G1797" t="s">
        <v>72</v>
      </c>
      <c r="H1797" t="s">
        <v>73</v>
      </c>
      <c r="I1797">
        <v>8</v>
      </c>
      <c r="J1797">
        <v>10137</v>
      </c>
      <c r="K1797">
        <v>0</v>
      </c>
      <c r="L1797">
        <v>81096</v>
      </c>
      <c r="M1797">
        <v>66102.53</v>
      </c>
      <c r="N1797">
        <v>14993.47</v>
      </c>
      <c r="O1797" t="s">
        <v>79</v>
      </c>
      <c r="P1797" t="s">
        <v>87</v>
      </c>
    </row>
    <row r="1798" spans="1:16" x14ac:dyDescent="0.25">
      <c r="A1798">
        <v>1797</v>
      </c>
      <c r="B1798" s="1">
        <v>45825</v>
      </c>
      <c r="C1798" t="s">
        <v>19</v>
      </c>
      <c r="D1798" t="s">
        <v>26</v>
      </c>
      <c r="E1798" t="s">
        <v>32</v>
      </c>
      <c r="F1798" t="s">
        <v>39</v>
      </c>
      <c r="G1798" t="s">
        <v>70</v>
      </c>
      <c r="H1798" t="s">
        <v>73</v>
      </c>
      <c r="I1798">
        <v>4</v>
      </c>
      <c r="J1798">
        <v>3384</v>
      </c>
      <c r="K1798">
        <v>0.15</v>
      </c>
      <c r="L1798">
        <v>11505.6</v>
      </c>
      <c r="M1798">
        <v>8557.31</v>
      </c>
      <c r="N1798">
        <v>2948.29</v>
      </c>
      <c r="O1798" t="s">
        <v>76</v>
      </c>
      <c r="P1798" t="s">
        <v>87</v>
      </c>
    </row>
    <row r="1799" spans="1:16" x14ac:dyDescent="0.25">
      <c r="A1799">
        <v>1798</v>
      </c>
      <c r="B1799" s="1">
        <v>45891</v>
      </c>
      <c r="C1799" t="s">
        <v>22</v>
      </c>
      <c r="D1799" t="s">
        <v>24</v>
      </c>
      <c r="E1799" t="s">
        <v>32</v>
      </c>
      <c r="F1799" t="s">
        <v>39</v>
      </c>
      <c r="G1799" t="s">
        <v>70</v>
      </c>
      <c r="H1799" t="s">
        <v>73</v>
      </c>
      <c r="I1799">
        <v>1</v>
      </c>
      <c r="J1799">
        <v>1905</v>
      </c>
      <c r="K1799">
        <v>0.05</v>
      </c>
      <c r="L1799">
        <v>1809.75</v>
      </c>
      <c r="M1799">
        <v>1518.4</v>
      </c>
      <c r="N1799">
        <v>291.35000000000002</v>
      </c>
      <c r="O1799" t="s">
        <v>76</v>
      </c>
      <c r="P1799" t="s">
        <v>88</v>
      </c>
    </row>
    <row r="1800" spans="1:16" x14ac:dyDescent="0.25">
      <c r="A1800">
        <v>1799</v>
      </c>
      <c r="B1800" s="1">
        <v>45923</v>
      </c>
      <c r="C1800" t="s">
        <v>20</v>
      </c>
      <c r="D1800" t="s">
        <v>26</v>
      </c>
      <c r="E1800" t="s">
        <v>34</v>
      </c>
      <c r="F1800" t="s">
        <v>43</v>
      </c>
      <c r="G1800" t="s">
        <v>70</v>
      </c>
      <c r="H1800" t="s">
        <v>74</v>
      </c>
      <c r="I1800">
        <v>8</v>
      </c>
      <c r="J1800">
        <v>2824</v>
      </c>
      <c r="K1800">
        <v>0.15</v>
      </c>
      <c r="L1800">
        <v>19203.2</v>
      </c>
      <c r="M1800">
        <v>10643.9</v>
      </c>
      <c r="N1800">
        <v>8559.2999999999993</v>
      </c>
      <c r="O1800" t="s">
        <v>78</v>
      </c>
      <c r="P1800" t="s">
        <v>87</v>
      </c>
    </row>
    <row r="1801" spans="1:16" x14ac:dyDescent="0.25">
      <c r="A1801">
        <v>1800</v>
      </c>
      <c r="B1801" s="1">
        <v>45858</v>
      </c>
      <c r="C1801" t="s">
        <v>21</v>
      </c>
      <c r="D1801" t="s">
        <v>24</v>
      </c>
      <c r="E1801" t="s">
        <v>29</v>
      </c>
      <c r="F1801" t="s">
        <v>36</v>
      </c>
      <c r="G1801" t="s">
        <v>72</v>
      </c>
      <c r="H1801" t="s">
        <v>75</v>
      </c>
      <c r="I1801">
        <v>7</v>
      </c>
      <c r="J1801">
        <v>11218</v>
      </c>
      <c r="K1801">
        <v>0.1</v>
      </c>
      <c r="L1801">
        <v>70673.399999999994</v>
      </c>
      <c r="M1801">
        <v>43950.34</v>
      </c>
      <c r="N1801">
        <v>26723.06</v>
      </c>
      <c r="O1801" t="s">
        <v>78</v>
      </c>
      <c r="P1801" t="s">
        <v>84</v>
      </c>
    </row>
    <row r="1802" spans="1:16" x14ac:dyDescent="0.25">
      <c r="A1802">
        <v>1801</v>
      </c>
      <c r="B1802" s="1">
        <v>45811</v>
      </c>
      <c r="C1802" t="s">
        <v>20</v>
      </c>
      <c r="D1802" t="s">
        <v>26</v>
      </c>
      <c r="E1802" t="s">
        <v>32</v>
      </c>
      <c r="F1802" t="s">
        <v>62</v>
      </c>
      <c r="G1802" t="s">
        <v>71</v>
      </c>
      <c r="H1802" t="s">
        <v>74</v>
      </c>
      <c r="I1802">
        <v>4</v>
      </c>
      <c r="J1802">
        <v>17326</v>
      </c>
      <c r="K1802">
        <v>0.05</v>
      </c>
      <c r="L1802">
        <v>65838.8</v>
      </c>
      <c r="M1802">
        <v>57689.279999999999</v>
      </c>
      <c r="N1802">
        <v>8149.52</v>
      </c>
      <c r="O1802" t="s">
        <v>77</v>
      </c>
      <c r="P1802" t="s">
        <v>87</v>
      </c>
    </row>
    <row r="1803" spans="1:16" x14ac:dyDescent="0.25">
      <c r="A1803">
        <v>1802</v>
      </c>
      <c r="B1803" s="1">
        <v>45848</v>
      </c>
      <c r="C1803" t="s">
        <v>18</v>
      </c>
      <c r="D1803" t="s">
        <v>26</v>
      </c>
      <c r="E1803" t="s">
        <v>28</v>
      </c>
      <c r="F1803" t="s">
        <v>54</v>
      </c>
      <c r="G1803" t="s">
        <v>72</v>
      </c>
      <c r="H1803" t="s">
        <v>75</v>
      </c>
      <c r="I1803">
        <v>4</v>
      </c>
      <c r="J1803">
        <v>1162</v>
      </c>
      <c r="K1803">
        <v>0</v>
      </c>
      <c r="L1803">
        <v>4648</v>
      </c>
      <c r="M1803">
        <v>2782.18</v>
      </c>
      <c r="N1803">
        <v>1865.82</v>
      </c>
      <c r="O1803" t="s">
        <v>78</v>
      </c>
      <c r="P1803" t="s">
        <v>87</v>
      </c>
    </row>
    <row r="1804" spans="1:16" x14ac:dyDescent="0.25">
      <c r="A1804">
        <v>1803</v>
      </c>
      <c r="B1804" s="1">
        <v>45763</v>
      </c>
      <c r="C1804" t="s">
        <v>20</v>
      </c>
      <c r="D1804" t="s">
        <v>26</v>
      </c>
      <c r="E1804" t="s">
        <v>28</v>
      </c>
      <c r="F1804" t="s">
        <v>54</v>
      </c>
      <c r="G1804" t="s">
        <v>71</v>
      </c>
      <c r="H1804" t="s">
        <v>73</v>
      </c>
      <c r="I1804">
        <v>7</v>
      </c>
      <c r="J1804">
        <v>1823</v>
      </c>
      <c r="K1804">
        <v>0.15</v>
      </c>
      <c r="L1804">
        <v>10846.85</v>
      </c>
      <c r="M1804">
        <v>6316.44</v>
      </c>
      <c r="N1804">
        <v>4530.41</v>
      </c>
      <c r="O1804" t="s">
        <v>77</v>
      </c>
      <c r="P1804" t="s">
        <v>81</v>
      </c>
    </row>
    <row r="1805" spans="1:16" x14ac:dyDescent="0.25">
      <c r="A1805">
        <v>1804</v>
      </c>
      <c r="B1805" s="1">
        <v>45775</v>
      </c>
      <c r="C1805" t="s">
        <v>23</v>
      </c>
      <c r="D1805" t="s">
        <v>27</v>
      </c>
      <c r="E1805" t="s">
        <v>33</v>
      </c>
      <c r="F1805" t="s">
        <v>60</v>
      </c>
      <c r="G1805" t="s">
        <v>71</v>
      </c>
      <c r="H1805" t="s">
        <v>75</v>
      </c>
      <c r="I1805">
        <v>6</v>
      </c>
      <c r="J1805">
        <v>3887</v>
      </c>
      <c r="K1805">
        <v>0</v>
      </c>
      <c r="L1805">
        <v>23322</v>
      </c>
      <c r="M1805">
        <v>14308.21</v>
      </c>
      <c r="N1805">
        <v>9013.7900000000009</v>
      </c>
      <c r="O1805" t="s">
        <v>80</v>
      </c>
      <c r="P1805" t="s">
        <v>86</v>
      </c>
    </row>
    <row r="1806" spans="1:16" x14ac:dyDescent="0.25">
      <c r="A1806">
        <v>1805</v>
      </c>
      <c r="B1806" s="1">
        <v>45779</v>
      </c>
      <c r="C1806" t="s">
        <v>20</v>
      </c>
      <c r="D1806" t="s">
        <v>26</v>
      </c>
      <c r="E1806" t="s">
        <v>28</v>
      </c>
      <c r="F1806" t="s">
        <v>54</v>
      </c>
      <c r="G1806" t="s">
        <v>71</v>
      </c>
      <c r="H1806" t="s">
        <v>75</v>
      </c>
      <c r="I1806">
        <v>3</v>
      </c>
      <c r="J1806">
        <v>1861</v>
      </c>
      <c r="K1806">
        <v>0.05</v>
      </c>
      <c r="L1806">
        <v>5303.85</v>
      </c>
      <c r="M1806">
        <v>4482.5</v>
      </c>
      <c r="N1806">
        <v>821.35</v>
      </c>
      <c r="O1806" t="s">
        <v>77</v>
      </c>
      <c r="P1806" t="s">
        <v>81</v>
      </c>
    </row>
    <row r="1807" spans="1:16" x14ac:dyDescent="0.25">
      <c r="A1807">
        <v>1806</v>
      </c>
      <c r="B1807" s="1">
        <v>45889</v>
      </c>
      <c r="C1807" t="s">
        <v>22</v>
      </c>
      <c r="D1807" t="s">
        <v>24</v>
      </c>
      <c r="E1807" t="s">
        <v>29</v>
      </c>
      <c r="F1807" t="s">
        <v>36</v>
      </c>
      <c r="G1807" t="s">
        <v>72</v>
      </c>
      <c r="H1807" t="s">
        <v>74</v>
      </c>
      <c r="I1807">
        <v>6</v>
      </c>
      <c r="J1807">
        <v>457</v>
      </c>
      <c r="K1807">
        <v>0.05</v>
      </c>
      <c r="L1807">
        <v>2604.9</v>
      </c>
      <c r="M1807">
        <v>1914.34</v>
      </c>
      <c r="N1807">
        <v>690.56</v>
      </c>
      <c r="O1807" t="s">
        <v>80</v>
      </c>
      <c r="P1807" t="s">
        <v>81</v>
      </c>
    </row>
    <row r="1808" spans="1:16" x14ac:dyDescent="0.25">
      <c r="A1808">
        <v>1807</v>
      </c>
      <c r="B1808" s="1">
        <v>45999</v>
      </c>
      <c r="C1808" t="s">
        <v>22</v>
      </c>
      <c r="D1808" t="s">
        <v>24</v>
      </c>
      <c r="E1808" t="s">
        <v>33</v>
      </c>
      <c r="F1808" t="s">
        <v>46</v>
      </c>
      <c r="G1808" t="s">
        <v>70</v>
      </c>
      <c r="H1808" t="s">
        <v>74</v>
      </c>
      <c r="I1808">
        <v>7</v>
      </c>
      <c r="J1808">
        <v>47138</v>
      </c>
      <c r="K1808">
        <v>0.1</v>
      </c>
      <c r="L1808">
        <v>296969.40000000002</v>
      </c>
      <c r="M1808">
        <v>211562.25</v>
      </c>
      <c r="N1808">
        <v>85407.15</v>
      </c>
      <c r="O1808" t="s">
        <v>76</v>
      </c>
      <c r="P1808" t="s">
        <v>87</v>
      </c>
    </row>
    <row r="1809" spans="1:16" x14ac:dyDescent="0.25">
      <c r="A1809">
        <v>1808</v>
      </c>
      <c r="B1809" s="1">
        <v>45848</v>
      </c>
      <c r="C1809" t="s">
        <v>23</v>
      </c>
      <c r="D1809" t="s">
        <v>27</v>
      </c>
      <c r="E1809" t="s">
        <v>34</v>
      </c>
      <c r="F1809" t="s">
        <v>65</v>
      </c>
      <c r="G1809" t="s">
        <v>70</v>
      </c>
      <c r="H1809" t="s">
        <v>73</v>
      </c>
      <c r="I1809">
        <v>2</v>
      </c>
      <c r="J1809">
        <v>3192</v>
      </c>
      <c r="K1809">
        <v>0.1</v>
      </c>
      <c r="L1809">
        <v>5745.6</v>
      </c>
      <c r="M1809">
        <v>4373.12</v>
      </c>
      <c r="N1809">
        <v>1372.48</v>
      </c>
      <c r="O1809" t="s">
        <v>76</v>
      </c>
      <c r="P1809" t="s">
        <v>84</v>
      </c>
    </row>
    <row r="1810" spans="1:16" x14ac:dyDescent="0.25">
      <c r="A1810">
        <v>1809</v>
      </c>
      <c r="B1810" s="1">
        <v>45767</v>
      </c>
      <c r="C1810" t="s">
        <v>23</v>
      </c>
      <c r="D1810" t="s">
        <v>27</v>
      </c>
      <c r="E1810" t="s">
        <v>33</v>
      </c>
      <c r="F1810" t="s">
        <v>41</v>
      </c>
      <c r="G1810" t="s">
        <v>71</v>
      </c>
      <c r="H1810" t="s">
        <v>75</v>
      </c>
      <c r="I1810">
        <v>7</v>
      </c>
      <c r="J1810">
        <v>32572</v>
      </c>
      <c r="K1810">
        <v>0.05</v>
      </c>
      <c r="L1810">
        <v>216603.8</v>
      </c>
      <c r="M1810">
        <v>132650.91</v>
      </c>
      <c r="N1810">
        <v>83952.89</v>
      </c>
      <c r="O1810" t="s">
        <v>77</v>
      </c>
      <c r="P1810" t="s">
        <v>88</v>
      </c>
    </row>
    <row r="1811" spans="1:16" x14ac:dyDescent="0.25">
      <c r="A1811">
        <v>1810</v>
      </c>
      <c r="B1811" s="1">
        <v>45830</v>
      </c>
      <c r="C1811" t="s">
        <v>18</v>
      </c>
      <c r="D1811" t="s">
        <v>26</v>
      </c>
      <c r="E1811" t="s">
        <v>32</v>
      </c>
      <c r="F1811" t="s">
        <v>49</v>
      </c>
      <c r="G1811" t="s">
        <v>72</v>
      </c>
      <c r="H1811" t="s">
        <v>73</v>
      </c>
      <c r="I1811">
        <v>3</v>
      </c>
      <c r="J1811">
        <v>2725</v>
      </c>
      <c r="K1811">
        <v>0</v>
      </c>
      <c r="L1811">
        <v>8175</v>
      </c>
      <c r="M1811">
        <v>5238.91</v>
      </c>
      <c r="N1811">
        <v>2936.09</v>
      </c>
      <c r="O1811" t="s">
        <v>76</v>
      </c>
      <c r="P1811" t="s">
        <v>83</v>
      </c>
    </row>
    <row r="1812" spans="1:16" x14ac:dyDescent="0.25">
      <c r="A1812">
        <v>1811</v>
      </c>
      <c r="B1812" s="1">
        <v>45823</v>
      </c>
      <c r="C1812" t="s">
        <v>17</v>
      </c>
      <c r="D1812" t="s">
        <v>25</v>
      </c>
      <c r="E1812" t="s">
        <v>33</v>
      </c>
      <c r="F1812" t="s">
        <v>59</v>
      </c>
      <c r="G1812" t="s">
        <v>71</v>
      </c>
      <c r="H1812" t="s">
        <v>74</v>
      </c>
      <c r="I1812">
        <v>1</v>
      </c>
      <c r="J1812">
        <v>29446</v>
      </c>
      <c r="K1812">
        <v>0.15</v>
      </c>
      <c r="L1812">
        <v>25029.1</v>
      </c>
      <c r="M1812">
        <v>15375.27</v>
      </c>
      <c r="N1812">
        <v>9653.83</v>
      </c>
      <c r="O1812" t="s">
        <v>76</v>
      </c>
      <c r="P1812" t="s">
        <v>84</v>
      </c>
    </row>
    <row r="1813" spans="1:16" x14ac:dyDescent="0.25">
      <c r="A1813">
        <v>1812</v>
      </c>
      <c r="B1813" s="1">
        <v>45920</v>
      </c>
      <c r="C1813" t="s">
        <v>22</v>
      </c>
      <c r="D1813" t="s">
        <v>24</v>
      </c>
      <c r="E1813" t="s">
        <v>32</v>
      </c>
      <c r="F1813" t="s">
        <v>66</v>
      </c>
      <c r="G1813" t="s">
        <v>72</v>
      </c>
      <c r="H1813" t="s">
        <v>73</v>
      </c>
      <c r="I1813">
        <v>2</v>
      </c>
      <c r="J1813">
        <v>6437</v>
      </c>
      <c r="K1813">
        <v>0.1</v>
      </c>
      <c r="L1813">
        <v>11586.6</v>
      </c>
      <c r="M1813">
        <v>7778.24</v>
      </c>
      <c r="N1813">
        <v>3808.36</v>
      </c>
      <c r="O1813" t="s">
        <v>79</v>
      </c>
      <c r="P1813" t="s">
        <v>88</v>
      </c>
    </row>
    <row r="1814" spans="1:16" x14ac:dyDescent="0.25">
      <c r="A1814">
        <v>1813</v>
      </c>
      <c r="B1814" s="1">
        <v>45892</v>
      </c>
      <c r="C1814" t="s">
        <v>17</v>
      </c>
      <c r="D1814" t="s">
        <v>25</v>
      </c>
      <c r="E1814" t="s">
        <v>32</v>
      </c>
      <c r="F1814" t="s">
        <v>62</v>
      </c>
      <c r="G1814" t="s">
        <v>70</v>
      </c>
      <c r="H1814" t="s">
        <v>75</v>
      </c>
      <c r="I1814">
        <v>2</v>
      </c>
      <c r="J1814">
        <v>16105</v>
      </c>
      <c r="K1814">
        <v>0.05</v>
      </c>
      <c r="L1814">
        <v>30599.5</v>
      </c>
      <c r="M1814">
        <v>26922.01</v>
      </c>
      <c r="N1814">
        <v>3677.49</v>
      </c>
      <c r="O1814" t="s">
        <v>79</v>
      </c>
      <c r="P1814" t="s">
        <v>85</v>
      </c>
    </row>
    <row r="1815" spans="1:16" x14ac:dyDescent="0.25">
      <c r="A1815">
        <v>1814</v>
      </c>
      <c r="B1815" s="1">
        <v>45695</v>
      </c>
      <c r="C1815" t="s">
        <v>18</v>
      </c>
      <c r="D1815" t="s">
        <v>26</v>
      </c>
      <c r="E1815" t="s">
        <v>30</v>
      </c>
      <c r="F1815" t="s">
        <v>64</v>
      </c>
      <c r="G1815" t="s">
        <v>70</v>
      </c>
      <c r="H1815" t="s">
        <v>74</v>
      </c>
      <c r="I1815">
        <v>4</v>
      </c>
      <c r="J1815">
        <v>5411</v>
      </c>
      <c r="K1815">
        <v>0.15</v>
      </c>
      <c r="L1815">
        <v>18397.400000000001</v>
      </c>
      <c r="M1815">
        <v>13743.04</v>
      </c>
      <c r="N1815">
        <v>4654.3599999999997</v>
      </c>
      <c r="O1815" t="s">
        <v>78</v>
      </c>
      <c r="P1815" t="s">
        <v>83</v>
      </c>
    </row>
    <row r="1816" spans="1:16" x14ac:dyDescent="0.25">
      <c r="A1816">
        <v>1815</v>
      </c>
      <c r="B1816" s="1">
        <v>45938</v>
      </c>
      <c r="C1816" t="s">
        <v>16</v>
      </c>
      <c r="D1816" t="s">
        <v>24</v>
      </c>
      <c r="E1816" t="s">
        <v>32</v>
      </c>
      <c r="F1816" t="s">
        <v>39</v>
      </c>
      <c r="G1816" t="s">
        <v>70</v>
      </c>
      <c r="H1816" t="s">
        <v>74</v>
      </c>
      <c r="I1816">
        <v>2</v>
      </c>
      <c r="J1816">
        <v>23446</v>
      </c>
      <c r="K1816">
        <v>0.1</v>
      </c>
      <c r="L1816">
        <v>42202.8</v>
      </c>
      <c r="M1816">
        <v>29721.51</v>
      </c>
      <c r="N1816">
        <v>12481.29</v>
      </c>
      <c r="O1816" t="s">
        <v>78</v>
      </c>
      <c r="P1816" t="s">
        <v>86</v>
      </c>
    </row>
    <row r="1817" spans="1:16" x14ac:dyDescent="0.25">
      <c r="A1817">
        <v>1816</v>
      </c>
      <c r="B1817" s="1">
        <v>45916</v>
      </c>
      <c r="C1817" t="s">
        <v>16</v>
      </c>
      <c r="D1817" t="s">
        <v>24</v>
      </c>
      <c r="E1817" t="s">
        <v>30</v>
      </c>
      <c r="F1817" t="s">
        <v>44</v>
      </c>
      <c r="G1817" t="s">
        <v>70</v>
      </c>
      <c r="H1817" t="s">
        <v>75</v>
      </c>
      <c r="I1817">
        <v>7</v>
      </c>
      <c r="J1817">
        <v>15084</v>
      </c>
      <c r="K1817">
        <v>0.15</v>
      </c>
      <c r="L1817">
        <v>89749.8</v>
      </c>
      <c r="M1817">
        <v>50109.78</v>
      </c>
      <c r="N1817">
        <v>39640.019999999997</v>
      </c>
      <c r="O1817" t="s">
        <v>76</v>
      </c>
      <c r="P1817" t="s">
        <v>81</v>
      </c>
    </row>
    <row r="1818" spans="1:16" x14ac:dyDescent="0.25">
      <c r="A1818">
        <v>1817</v>
      </c>
      <c r="B1818" s="1">
        <v>45694</v>
      </c>
      <c r="C1818" t="s">
        <v>23</v>
      </c>
      <c r="D1818" t="s">
        <v>27</v>
      </c>
      <c r="E1818" t="s">
        <v>34</v>
      </c>
      <c r="F1818" t="s">
        <v>68</v>
      </c>
      <c r="G1818" t="s">
        <v>72</v>
      </c>
      <c r="H1818" t="s">
        <v>74</v>
      </c>
      <c r="I1818">
        <v>6</v>
      </c>
      <c r="J1818">
        <v>1196</v>
      </c>
      <c r="K1818">
        <v>0</v>
      </c>
      <c r="L1818">
        <v>7176</v>
      </c>
      <c r="M1818">
        <v>5128.91</v>
      </c>
      <c r="N1818">
        <v>2047.09</v>
      </c>
      <c r="O1818" t="s">
        <v>78</v>
      </c>
      <c r="P1818" t="s">
        <v>87</v>
      </c>
    </row>
    <row r="1819" spans="1:16" x14ac:dyDescent="0.25">
      <c r="A1819">
        <v>1818</v>
      </c>
      <c r="B1819" s="1">
        <v>46001</v>
      </c>
      <c r="C1819" t="s">
        <v>21</v>
      </c>
      <c r="D1819" t="s">
        <v>24</v>
      </c>
      <c r="E1819" t="s">
        <v>28</v>
      </c>
      <c r="F1819" t="s">
        <v>35</v>
      </c>
      <c r="G1819" t="s">
        <v>71</v>
      </c>
      <c r="H1819" t="s">
        <v>74</v>
      </c>
      <c r="I1819">
        <v>5</v>
      </c>
      <c r="J1819">
        <v>849</v>
      </c>
      <c r="K1819">
        <v>0.1</v>
      </c>
      <c r="L1819">
        <v>3820.5</v>
      </c>
      <c r="M1819">
        <v>2152.77</v>
      </c>
      <c r="N1819">
        <v>1667.73</v>
      </c>
      <c r="O1819" t="s">
        <v>80</v>
      </c>
      <c r="P1819" t="s">
        <v>81</v>
      </c>
    </row>
    <row r="1820" spans="1:16" x14ac:dyDescent="0.25">
      <c r="A1820">
        <v>1819</v>
      </c>
      <c r="B1820" s="1">
        <v>45765</v>
      </c>
      <c r="C1820" t="s">
        <v>21</v>
      </c>
      <c r="D1820" t="s">
        <v>24</v>
      </c>
      <c r="E1820" t="s">
        <v>34</v>
      </c>
      <c r="F1820" t="s">
        <v>68</v>
      </c>
      <c r="G1820" t="s">
        <v>71</v>
      </c>
      <c r="H1820" t="s">
        <v>74</v>
      </c>
      <c r="I1820">
        <v>3</v>
      </c>
      <c r="J1820">
        <v>2924</v>
      </c>
      <c r="K1820">
        <v>0.1</v>
      </c>
      <c r="L1820">
        <v>7894.8</v>
      </c>
      <c r="M1820">
        <v>5960.27</v>
      </c>
      <c r="N1820">
        <v>1934.53</v>
      </c>
      <c r="O1820" t="s">
        <v>77</v>
      </c>
      <c r="P1820" t="s">
        <v>87</v>
      </c>
    </row>
    <row r="1821" spans="1:16" x14ac:dyDescent="0.25">
      <c r="A1821">
        <v>1820</v>
      </c>
      <c r="B1821" s="1">
        <v>45935</v>
      </c>
      <c r="C1821" t="s">
        <v>17</v>
      </c>
      <c r="D1821" t="s">
        <v>25</v>
      </c>
      <c r="E1821" t="s">
        <v>31</v>
      </c>
      <c r="F1821" t="s">
        <v>50</v>
      </c>
      <c r="G1821" t="s">
        <v>71</v>
      </c>
      <c r="H1821" t="s">
        <v>73</v>
      </c>
      <c r="I1821">
        <v>7</v>
      </c>
      <c r="J1821">
        <v>1894</v>
      </c>
      <c r="K1821">
        <v>0</v>
      </c>
      <c r="L1821">
        <v>13258</v>
      </c>
      <c r="M1821">
        <v>10933.5</v>
      </c>
      <c r="N1821">
        <v>2324.5</v>
      </c>
      <c r="O1821" t="s">
        <v>76</v>
      </c>
      <c r="P1821" t="s">
        <v>87</v>
      </c>
    </row>
    <row r="1822" spans="1:16" x14ac:dyDescent="0.25">
      <c r="A1822">
        <v>1821</v>
      </c>
      <c r="B1822" s="1">
        <v>45752</v>
      </c>
      <c r="C1822" t="s">
        <v>22</v>
      </c>
      <c r="D1822" t="s">
        <v>24</v>
      </c>
      <c r="E1822" t="s">
        <v>29</v>
      </c>
      <c r="F1822" t="s">
        <v>57</v>
      </c>
      <c r="G1822" t="s">
        <v>71</v>
      </c>
      <c r="H1822" t="s">
        <v>74</v>
      </c>
      <c r="I1822">
        <v>5</v>
      </c>
      <c r="J1822">
        <v>5049</v>
      </c>
      <c r="K1822">
        <v>0.05</v>
      </c>
      <c r="L1822">
        <v>23982.75</v>
      </c>
      <c r="M1822">
        <v>18798.830000000002</v>
      </c>
      <c r="N1822">
        <v>5183.92</v>
      </c>
      <c r="O1822" t="s">
        <v>77</v>
      </c>
      <c r="P1822" t="s">
        <v>85</v>
      </c>
    </row>
    <row r="1823" spans="1:16" x14ac:dyDescent="0.25">
      <c r="A1823">
        <v>1822</v>
      </c>
      <c r="B1823" s="1">
        <v>45847</v>
      </c>
      <c r="C1823" t="s">
        <v>20</v>
      </c>
      <c r="D1823" t="s">
        <v>26</v>
      </c>
      <c r="E1823" t="s">
        <v>29</v>
      </c>
      <c r="F1823" t="s">
        <v>36</v>
      </c>
      <c r="G1823" t="s">
        <v>71</v>
      </c>
      <c r="H1823" t="s">
        <v>74</v>
      </c>
      <c r="I1823">
        <v>3</v>
      </c>
      <c r="J1823">
        <v>6490</v>
      </c>
      <c r="K1823">
        <v>0.05</v>
      </c>
      <c r="L1823">
        <v>18496.5</v>
      </c>
      <c r="M1823">
        <v>14289.71</v>
      </c>
      <c r="N1823">
        <v>4206.79</v>
      </c>
      <c r="O1823" t="s">
        <v>80</v>
      </c>
      <c r="P1823" t="s">
        <v>86</v>
      </c>
    </row>
    <row r="1824" spans="1:16" x14ac:dyDescent="0.25">
      <c r="A1824">
        <v>1823</v>
      </c>
      <c r="B1824" s="1">
        <v>45716</v>
      </c>
      <c r="C1824" t="s">
        <v>21</v>
      </c>
      <c r="D1824" t="s">
        <v>24</v>
      </c>
      <c r="E1824" t="s">
        <v>28</v>
      </c>
      <c r="F1824" t="s">
        <v>35</v>
      </c>
      <c r="G1824" t="s">
        <v>70</v>
      </c>
      <c r="H1824" t="s">
        <v>74</v>
      </c>
      <c r="I1824">
        <v>3</v>
      </c>
      <c r="J1824">
        <v>533</v>
      </c>
      <c r="K1824">
        <v>0.1</v>
      </c>
      <c r="L1824">
        <v>1439.1</v>
      </c>
      <c r="M1824">
        <v>1110.54</v>
      </c>
      <c r="N1824">
        <v>328.56</v>
      </c>
      <c r="O1824" t="s">
        <v>77</v>
      </c>
      <c r="P1824" t="s">
        <v>83</v>
      </c>
    </row>
    <row r="1825" spans="1:16" x14ac:dyDescent="0.25">
      <c r="A1825">
        <v>1824</v>
      </c>
      <c r="B1825" s="1">
        <v>45897</v>
      </c>
      <c r="C1825" t="s">
        <v>20</v>
      </c>
      <c r="D1825" t="s">
        <v>26</v>
      </c>
      <c r="E1825" t="s">
        <v>30</v>
      </c>
      <c r="F1825" t="s">
        <v>56</v>
      </c>
      <c r="G1825" t="s">
        <v>71</v>
      </c>
      <c r="H1825" t="s">
        <v>73</v>
      </c>
      <c r="I1825">
        <v>4</v>
      </c>
      <c r="J1825">
        <v>49397</v>
      </c>
      <c r="K1825">
        <v>0.1</v>
      </c>
      <c r="L1825">
        <v>177829.2</v>
      </c>
      <c r="M1825">
        <v>148881.60000000001</v>
      </c>
      <c r="N1825">
        <v>28947.599999999999</v>
      </c>
      <c r="O1825" t="s">
        <v>78</v>
      </c>
      <c r="P1825" t="s">
        <v>81</v>
      </c>
    </row>
    <row r="1826" spans="1:16" x14ac:dyDescent="0.25">
      <c r="A1826">
        <v>1825</v>
      </c>
      <c r="B1826" s="1">
        <v>45769</v>
      </c>
      <c r="C1826" t="s">
        <v>22</v>
      </c>
      <c r="D1826" t="s">
        <v>24</v>
      </c>
      <c r="E1826" t="s">
        <v>30</v>
      </c>
      <c r="F1826" t="s">
        <v>64</v>
      </c>
      <c r="G1826" t="s">
        <v>71</v>
      </c>
      <c r="H1826" t="s">
        <v>73</v>
      </c>
      <c r="I1826">
        <v>8</v>
      </c>
      <c r="J1826">
        <v>40997</v>
      </c>
      <c r="K1826">
        <v>0</v>
      </c>
      <c r="L1826">
        <v>327976</v>
      </c>
      <c r="M1826">
        <v>218606.95</v>
      </c>
      <c r="N1826">
        <v>109369.05</v>
      </c>
      <c r="O1826" t="s">
        <v>76</v>
      </c>
      <c r="P1826" t="s">
        <v>82</v>
      </c>
    </row>
    <row r="1827" spans="1:16" x14ac:dyDescent="0.25">
      <c r="A1827">
        <v>1826</v>
      </c>
      <c r="B1827" s="1">
        <v>45973</v>
      </c>
      <c r="C1827" t="s">
        <v>21</v>
      </c>
      <c r="D1827" t="s">
        <v>24</v>
      </c>
      <c r="E1827" t="s">
        <v>32</v>
      </c>
      <c r="F1827" t="s">
        <v>62</v>
      </c>
      <c r="G1827" t="s">
        <v>71</v>
      </c>
      <c r="H1827" t="s">
        <v>74</v>
      </c>
      <c r="I1827">
        <v>4</v>
      </c>
      <c r="J1827">
        <v>19527</v>
      </c>
      <c r="K1827">
        <v>0.05</v>
      </c>
      <c r="L1827">
        <v>74202.600000000006</v>
      </c>
      <c r="M1827">
        <v>56345.83</v>
      </c>
      <c r="N1827">
        <v>17856.77</v>
      </c>
      <c r="O1827" t="s">
        <v>78</v>
      </c>
      <c r="P1827" t="s">
        <v>83</v>
      </c>
    </row>
    <row r="1828" spans="1:16" x14ac:dyDescent="0.25">
      <c r="A1828">
        <v>1827</v>
      </c>
      <c r="B1828" s="1">
        <v>45696</v>
      </c>
      <c r="C1828" t="s">
        <v>16</v>
      </c>
      <c r="D1828" t="s">
        <v>24</v>
      </c>
      <c r="E1828" t="s">
        <v>28</v>
      </c>
      <c r="F1828" t="s">
        <v>54</v>
      </c>
      <c r="G1828" t="s">
        <v>70</v>
      </c>
      <c r="H1828" t="s">
        <v>74</v>
      </c>
      <c r="I1828">
        <v>6</v>
      </c>
      <c r="J1828">
        <v>1853</v>
      </c>
      <c r="K1828">
        <v>0.15</v>
      </c>
      <c r="L1828">
        <v>9450.2999999999993</v>
      </c>
      <c r="M1828">
        <v>6842.04</v>
      </c>
      <c r="N1828">
        <v>2608.2600000000002</v>
      </c>
      <c r="O1828" t="s">
        <v>79</v>
      </c>
      <c r="P1828" t="s">
        <v>82</v>
      </c>
    </row>
    <row r="1829" spans="1:16" x14ac:dyDescent="0.25">
      <c r="A1829">
        <v>1828</v>
      </c>
      <c r="B1829" s="1">
        <v>45811</v>
      </c>
      <c r="C1829" t="s">
        <v>23</v>
      </c>
      <c r="D1829" t="s">
        <v>27</v>
      </c>
      <c r="E1829" t="s">
        <v>33</v>
      </c>
      <c r="F1829" t="s">
        <v>60</v>
      </c>
      <c r="G1829" t="s">
        <v>71</v>
      </c>
      <c r="H1829" t="s">
        <v>73</v>
      </c>
      <c r="I1829">
        <v>7</v>
      </c>
      <c r="J1829">
        <v>4571</v>
      </c>
      <c r="K1829">
        <v>0.15</v>
      </c>
      <c r="L1829">
        <v>27197.45</v>
      </c>
      <c r="M1829">
        <v>16930.97</v>
      </c>
      <c r="N1829">
        <v>10266.48</v>
      </c>
      <c r="O1829" t="s">
        <v>79</v>
      </c>
      <c r="P1829" t="s">
        <v>82</v>
      </c>
    </row>
    <row r="1830" spans="1:16" x14ac:dyDescent="0.25">
      <c r="A1830">
        <v>1829</v>
      </c>
      <c r="B1830" s="1">
        <v>45925</v>
      </c>
      <c r="C1830" t="s">
        <v>22</v>
      </c>
      <c r="D1830" t="s">
        <v>24</v>
      </c>
      <c r="E1830" t="s">
        <v>32</v>
      </c>
      <c r="F1830" t="s">
        <v>62</v>
      </c>
      <c r="G1830" t="s">
        <v>71</v>
      </c>
      <c r="H1830" t="s">
        <v>73</v>
      </c>
      <c r="I1830">
        <v>4</v>
      </c>
      <c r="J1830">
        <v>4554</v>
      </c>
      <c r="K1830">
        <v>0</v>
      </c>
      <c r="L1830">
        <v>18216</v>
      </c>
      <c r="M1830">
        <v>14817.21</v>
      </c>
      <c r="N1830">
        <v>3398.79</v>
      </c>
      <c r="O1830" t="s">
        <v>78</v>
      </c>
      <c r="P1830" t="s">
        <v>81</v>
      </c>
    </row>
    <row r="1831" spans="1:16" x14ac:dyDescent="0.25">
      <c r="A1831">
        <v>1830</v>
      </c>
      <c r="B1831" s="1">
        <v>45997</v>
      </c>
      <c r="C1831" t="s">
        <v>17</v>
      </c>
      <c r="D1831" t="s">
        <v>25</v>
      </c>
      <c r="E1831" t="s">
        <v>28</v>
      </c>
      <c r="F1831" t="s">
        <v>61</v>
      </c>
      <c r="G1831" t="s">
        <v>70</v>
      </c>
      <c r="H1831" t="s">
        <v>75</v>
      </c>
      <c r="I1831">
        <v>1</v>
      </c>
      <c r="J1831">
        <v>1786</v>
      </c>
      <c r="K1831">
        <v>0</v>
      </c>
      <c r="L1831">
        <v>1786</v>
      </c>
      <c r="M1831">
        <v>1024.67</v>
      </c>
      <c r="N1831">
        <v>761.33</v>
      </c>
      <c r="O1831" t="s">
        <v>76</v>
      </c>
      <c r="P1831" t="s">
        <v>82</v>
      </c>
    </row>
    <row r="1832" spans="1:16" x14ac:dyDescent="0.25">
      <c r="A1832">
        <v>1831</v>
      </c>
      <c r="B1832" s="1">
        <v>45683</v>
      </c>
      <c r="C1832" t="s">
        <v>23</v>
      </c>
      <c r="D1832" t="s">
        <v>27</v>
      </c>
      <c r="E1832" t="s">
        <v>29</v>
      </c>
      <c r="F1832" t="s">
        <v>53</v>
      </c>
      <c r="G1832" t="s">
        <v>70</v>
      </c>
      <c r="H1832" t="s">
        <v>74</v>
      </c>
      <c r="I1832">
        <v>8</v>
      </c>
      <c r="J1832">
        <v>3127</v>
      </c>
      <c r="K1832">
        <v>0</v>
      </c>
      <c r="L1832">
        <v>25016</v>
      </c>
      <c r="M1832">
        <v>19034.03</v>
      </c>
      <c r="N1832">
        <v>5981.97</v>
      </c>
      <c r="O1832" t="s">
        <v>78</v>
      </c>
      <c r="P1832" t="s">
        <v>85</v>
      </c>
    </row>
    <row r="1833" spans="1:16" x14ac:dyDescent="0.25">
      <c r="A1833">
        <v>1832</v>
      </c>
      <c r="B1833" s="1">
        <v>45806</v>
      </c>
      <c r="C1833" t="s">
        <v>22</v>
      </c>
      <c r="D1833" t="s">
        <v>24</v>
      </c>
      <c r="E1833" t="s">
        <v>30</v>
      </c>
      <c r="F1833" t="s">
        <v>56</v>
      </c>
      <c r="G1833" t="s">
        <v>71</v>
      </c>
      <c r="H1833" t="s">
        <v>74</v>
      </c>
      <c r="I1833">
        <v>6</v>
      </c>
      <c r="J1833">
        <v>14761</v>
      </c>
      <c r="K1833">
        <v>0</v>
      </c>
      <c r="L1833">
        <v>88566</v>
      </c>
      <c r="M1833">
        <v>52200.5</v>
      </c>
      <c r="N1833">
        <v>36365.5</v>
      </c>
      <c r="O1833" t="s">
        <v>78</v>
      </c>
      <c r="P1833" t="s">
        <v>83</v>
      </c>
    </row>
    <row r="1834" spans="1:16" x14ac:dyDescent="0.25">
      <c r="A1834">
        <v>1833</v>
      </c>
      <c r="B1834" s="1">
        <v>45752</v>
      </c>
      <c r="C1834" t="s">
        <v>23</v>
      </c>
      <c r="D1834" t="s">
        <v>27</v>
      </c>
      <c r="E1834" t="s">
        <v>28</v>
      </c>
      <c r="F1834" t="s">
        <v>58</v>
      </c>
      <c r="G1834" t="s">
        <v>70</v>
      </c>
      <c r="H1834" t="s">
        <v>74</v>
      </c>
      <c r="I1834">
        <v>3</v>
      </c>
      <c r="J1834">
        <v>700</v>
      </c>
      <c r="K1834">
        <v>0.15</v>
      </c>
      <c r="L1834">
        <v>1785</v>
      </c>
      <c r="M1834">
        <v>1466.67</v>
      </c>
      <c r="N1834">
        <v>318.33</v>
      </c>
      <c r="O1834" t="s">
        <v>79</v>
      </c>
      <c r="P1834" t="s">
        <v>87</v>
      </c>
    </row>
    <row r="1835" spans="1:16" x14ac:dyDescent="0.25">
      <c r="A1835">
        <v>1834</v>
      </c>
      <c r="B1835" s="1">
        <v>45789</v>
      </c>
      <c r="C1835" t="s">
        <v>22</v>
      </c>
      <c r="D1835" t="s">
        <v>24</v>
      </c>
      <c r="E1835" t="s">
        <v>32</v>
      </c>
      <c r="F1835" t="s">
        <v>39</v>
      </c>
      <c r="G1835" t="s">
        <v>70</v>
      </c>
      <c r="H1835" t="s">
        <v>75</v>
      </c>
      <c r="I1835">
        <v>5</v>
      </c>
      <c r="J1835">
        <v>9683</v>
      </c>
      <c r="K1835">
        <v>0.1</v>
      </c>
      <c r="L1835">
        <v>43573.5</v>
      </c>
      <c r="M1835">
        <v>27246.11</v>
      </c>
      <c r="N1835">
        <v>16327.39</v>
      </c>
      <c r="O1835" t="s">
        <v>80</v>
      </c>
      <c r="P1835" t="s">
        <v>82</v>
      </c>
    </row>
    <row r="1836" spans="1:16" x14ac:dyDescent="0.25">
      <c r="A1836">
        <v>1835</v>
      </c>
      <c r="B1836" s="1">
        <v>45762</v>
      </c>
      <c r="C1836" t="s">
        <v>19</v>
      </c>
      <c r="D1836" t="s">
        <v>26</v>
      </c>
      <c r="E1836" t="s">
        <v>30</v>
      </c>
      <c r="F1836" t="s">
        <v>40</v>
      </c>
      <c r="G1836" t="s">
        <v>71</v>
      </c>
      <c r="H1836" t="s">
        <v>74</v>
      </c>
      <c r="I1836">
        <v>3</v>
      </c>
      <c r="J1836">
        <v>5763</v>
      </c>
      <c r="K1836">
        <v>0.05</v>
      </c>
      <c r="L1836">
        <v>16424.55</v>
      </c>
      <c r="M1836">
        <v>13649.4</v>
      </c>
      <c r="N1836">
        <v>2775.15</v>
      </c>
      <c r="O1836" t="s">
        <v>79</v>
      </c>
      <c r="P1836" t="s">
        <v>86</v>
      </c>
    </row>
    <row r="1837" spans="1:16" x14ac:dyDescent="0.25">
      <c r="A1837">
        <v>1836</v>
      </c>
      <c r="B1837" s="1">
        <v>45919</v>
      </c>
      <c r="C1837" t="s">
        <v>21</v>
      </c>
      <c r="D1837" t="s">
        <v>24</v>
      </c>
      <c r="E1837" t="s">
        <v>30</v>
      </c>
      <c r="F1837" t="s">
        <v>44</v>
      </c>
      <c r="G1837" t="s">
        <v>72</v>
      </c>
      <c r="H1837" t="s">
        <v>73</v>
      </c>
      <c r="I1837">
        <v>5</v>
      </c>
      <c r="J1837">
        <v>62539</v>
      </c>
      <c r="K1837">
        <v>0.1</v>
      </c>
      <c r="L1837">
        <v>281425.5</v>
      </c>
      <c r="M1837">
        <v>200113.62</v>
      </c>
      <c r="N1837">
        <v>81311.88</v>
      </c>
      <c r="O1837" t="s">
        <v>80</v>
      </c>
      <c r="P1837" t="s">
        <v>88</v>
      </c>
    </row>
    <row r="1838" spans="1:16" x14ac:dyDescent="0.25">
      <c r="A1838">
        <v>1837</v>
      </c>
      <c r="B1838" s="1">
        <v>45988</v>
      </c>
      <c r="C1838" t="s">
        <v>18</v>
      </c>
      <c r="D1838" t="s">
        <v>26</v>
      </c>
      <c r="E1838" t="s">
        <v>33</v>
      </c>
      <c r="F1838" t="s">
        <v>52</v>
      </c>
      <c r="G1838" t="s">
        <v>71</v>
      </c>
      <c r="H1838" t="s">
        <v>74</v>
      </c>
      <c r="I1838">
        <v>3</v>
      </c>
      <c r="J1838">
        <v>21844</v>
      </c>
      <c r="K1838">
        <v>0.1</v>
      </c>
      <c r="L1838">
        <v>58978.8</v>
      </c>
      <c r="M1838">
        <v>33440.980000000003</v>
      </c>
      <c r="N1838">
        <v>25537.82</v>
      </c>
      <c r="O1838" t="s">
        <v>78</v>
      </c>
      <c r="P1838" t="s">
        <v>81</v>
      </c>
    </row>
    <row r="1839" spans="1:16" x14ac:dyDescent="0.25">
      <c r="A1839">
        <v>1838</v>
      </c>
      <c r="B1839" s="1">
        <v>46011</v>
      </c>
      <c r="C1839" t="s">
        <v>20</v>
      </c>
      <c r="D1839" t="s">
        <v>26</v>
      </c>
      <c r="E1839" t="s">
        <v>32</v>
      </c>
      <c r="F1839" t="s">
        <v>39</v>
      </c>
      <c r="G1839" t="s">
        <v>72</v>
      </c>
      <c r="H1839" t="s">
        <v>73</v>
      </c>
      <c r="I1839">
        <v>1</v>
      </c>
      <c r="J1839">
        <v>16852</v>
      </c>
      <c r="K1839">
        <v>0.1</v>
      </c>
      <c r="L1839">
        <v>15166.8</v>
      </c>
      <c r="M1839">
        <v>10632.47</v>
      </c>
      <c r="N1839">
        <v>4534.33</v>
      </c>
      <c r="O1839" t="s">
        <v>78</v>
      </c>
      <c r="P1839" t="s">
        <v>81</v>
      </c>
    </row>
    <row r="1840" spans="1:16" x14ac:dyDescent="0.25">
      <c r="A1840">
        <v>1839</v>
      </c>
      <c r="B1840" s="1">
        <v>45717</v>
      </c>
      <c r="C1840" t="s">
        <v>23</v>
      </c>
      <c r="D1840" t="s">
        <v>27</v>
      </c>
      <c r="E1840" t="s">
        <v>33</v>
      </c>
      <c r="F1840" t="s">
        <v>60</v>
      </c>
      <c r="G1840" t="s">
        <v>70</v>
      </c>
      <c r="H1840" t="s">
        <v>75</v>
      </c>
      <c r="I1840">
        <v>2</v>
      </c>
      <c r="J1840">
        <v>45630</v>
      </c>
      <c r="K1840">
        <v>0.05</v>
      </c>
      <c r="L1840">
        <v>86697</v>
      </c>
      <c r="M1840">
        <v>63063.08</v>
      </c>
      <c r="N1840">
        <v>23633.919999999998</v>
      </c>
      <c r="O1840" t="s">
        <v>80</v>
      </c>
      <c r="P1840" t="s">
        <v>81</v>
      </c>
    </row>
    <row r="1841" spans="1:16" x14ac:dyDescent="0.25">
      <c r="A1841">
        <v>1840</v>
      </c>
      <c r="B1841" s="1">
        <v>45880</v>
      </c>
      <c r="C1841" t="s">
        <v>19</v>
      </c>
      <c r="D1841" t="s">
        <v>26</v>
      </c>
      <c r="E1841" t="s">
        <v>28</v>
      </c>
      <c r="F1841" t="s">
        <v>58</v>
      </c>
      <c r="G1841" t="s">
        <v>72</v>
      </c>
      <c r="H1841" t="s">
        <v>73</v>
      </c>
      <c r="I1841">
        <v>5</v>
      </c>
      <c r="J1841">
        <v>920</v>
      </c>
      <c r="K1841">
        <v>0.1</v>
      </c>
      <c r="L1841">
        <v>4140</v>
      </c>
      <c r="M1841">
        <v>2996.88</v>
      </c>
      <c r="N1841">
        <v>1143.1199999999999</v>
      </c>
      <c r="O1841" t="s">
        <v>80</v>
      </c>
      <c r="P1841" t="s">
        <v>86</v>
      </c>
    </row>
    <row r="1842" spans="1:16" x14ac:dyDescent="0.25">
      <c r="A1842">
        <v>1841</v>
      </c>
      <c r="B1842" s="1">
        <v>45973</v>
      </c>
      <c r="C1842" t="s">
        <v>20</v>
      </c>
      <c r="D1842" t="s">
        <v>26</v>
      </c>
      <c r="E1842" t="s">
        <v>31</v>
      </c>
      <c r="F1842" t="s">
        <v>38</v>
      </c>
      <c r="G1842" t="s">
        <v>71</v>
      </c>
      <c r="H1842" t="s">
        <v>73</v>
      </c>
      <c r="I1842">
        <v>4</v>
      </c>
      <c r="J1842">
        <v>2405</v>
      </c>
      <c r="K1842">
        <v>0.05</v>
      </c>
      <c r="L1842">
        <v>9139</v>
      </c>
      <c r="M1842">
        <v>5871.36</v>
      </c>
      <c r="N1842">
        <v>3267.64</v>
      </c>
      <c r="O1842" t="s">
        <v>80</v>
      </c>
      <c r="P1842" t="s">
        <v>87</v>
      </c>
    </row>
    <row r="1843" spans="1:16" x14ac:dyDescent="0.25">
      <c r="A1843">
        <v>1842</v>
      </c>
      <c r="B1843" s="1">
        <v>45774</v>
      </c>
      <c r="C1843" t="s">
        <v>19</v>
      </c>
      <c r="D1843" t="s">
        <v>26</v>
      </c>
      <c r="E1843" t="s">
        <v>34</v>
      </c>
      <c r="F1843" t="s">
        <v>68</v>
      </c>
      <c r="G1843" t="s">
        <v>71</v>
      </c>
      <c r="H1843" t="s">
        <v>74</v>
      </c>
      <c r="I1843">
        <v>3</v>
      </c>
      <c r="J1843">
        <v>2235</v>
      </c>
      <c r="K1843">
        <v>0</v>
      </c>
      <c r="L1843">
        <v>6705</v>
      </c>
      <c r="M1843">
        <v>5475.94</v>
      </c>
      <c r="N1843">
        <v>1229.06</v>
      </c>
      <c r="O1843" t="s">
        <v>77</v>
      </c>
      <c r="P1843" t="s">
        <v>86</v>
      </c>
    </row>
    <row r="1844" spans="1:16" x14ac:dyDescent="0.25">
      <c r="A1844">
        <v>1843</v>
      </c>
      <c r="B1844" s="1">
        <v>45885</v>
      </c>
      <c r="C1844" t="s">
        <v>18</v>
      </c>
      <c r="D1844" t="s">
        <v>26</v>
      </c>
      <c r="E1844" t="s">
        <v>28</v>
      </c>
      <c r="F1844" t="s">
        <v>58</v>
      </c>
      <c r="G1844" t="s">
        <v>70</v>
      </c>
      <c r="H1844" t="s">
        <v>75</v>
      </c>
      <c r="I1844">
        <v>6</v>
      </c>
      <c r="J1844">
        <v>858</v>
      </c>
      <c r="K1844">
        <v>0.05</v>
      </c>
      <c r="L1844">
        <v>4890.6000000000004</v>
      </c>
      <c r="M1844">
        <v>3690.22</v>
      </c>
      <c r="N1844">
        <v>1200.3800000000001</v>
      </c>
      <c r="O1844" t="s">
        <v>79</v>
      </c>
      <c r="P1844" t="s">
        <v>81</v>
      </c>
    </row>
    <row r="1845" spans="1:16" x14ac:dyDescent="0.25">
      <c r="A1845">
        <v>1844</v>
      </c>
      <c r="B1845" s="1">
        <v>45665</v>
      </c>
      <c r="C1845" t="s">
        <v>19</v>
      </c>
      <c r="D1845" t="s">
        <v>26</v>
      </c>
      <c r="E1845" t="s">
        <v>32</v>
      </c>
      <c r="F1845" t="s">
        <v>49</v>
      </c>
      <c r="G1845" t="s">
        <v>70</v>
      </c>
      <c r="H1845" t="s">
        <v>75</v>
      </c>
      <c r="I1845">
        <v>4</v>
      </c>
      <c r="J1845">
        <v>12124</v>
      </c>
      <c r="K1845">
        <v>0.1</v>
      </c>
      <c r="L1845">
        <v>43646.400000000001</v>
      </c>
      <c r="M1845">
        <v>36326.589999999997</v>
      </c>
      <c r="N1845">
        <v>7319.81</v>
      </c>
      <c r="O1845" t="s">
        <v>80</v>
      </c>
      <c r="P1845" t="s">
        <v>81</v>
      </c>
    </row>
    <row r="1846" spans="1:16" x14ac:dyDescent="0.25">
      <c r="A1846">
        <v>1845</v>
      </c>
      <c r="B1846" s="1">
        <v>45977</v>
      </c>
      <c r="C1846" t="s">
        <v>20</v>
      </c>
      <c r="D1846" t="s">
        <v>26</v>
      </c>
      <c r="E1846" t="s">
        <v>33</v>
      </c>
      <c r="F1846" t="s">
        <v>60</v>
      </c>
      <c r="G1846" t="s">
        <v>71</v>
      </c>
      <c r="H1846" t="s">
        <v>74</v>
      </c>
      <c r="I1846">
        <v>5</v>
      </c>
      <c r="J1846">
        <v>46794</v>
      </c>
      <c r="K1846">
        <v>0.1</v>
      </c>
      <c r="L1846">
        <v>210573</v>
      </c>
      <c r="M1846">
        <v>159700.62</v>
      </c>
      <c r="N1846">
        <v>50872.38</v>
      </c>
      <c r="O1846" t="s">
        <v>79</v>
      </c>
      <c r="P1846" t="s">
        <v>85</v>
      </c>
    </row>
    <row r="1847" spans="1:16" x14ac:dyDescent="0.25">
      <c r="A1847">
        <v>1846</v>
      </c>
      <c r="B1847" s="1">
        <v>45943</v>
      </c>
      <c r="C1847" t="s">
        <v>20</v>
      </c>
      <c r="D1847" t="s">
        <v>26</v>
      </c>
      <c r="E1847" t="s">
        <v>33</v>
      </c>
      <c r="F1847" t="s">
        <v>59</v>
      </c>
      <c r="G1847" t="s">
        <v>72</v>
      </c>
      <c r="H1847" t="s">
        <v>75</v>
      </c>
      <c r="I1847">
        <v>4</v>
      </c>
      <c r="J1847">
        <v>48616</v>
      </c>
      <c r="K1847">
        <v>0.05</v>
      </c>
      <c r="L1847">
        <v>184740.8</v>
      </c>
      <c r="M1847">
        <v>154867.69</v>
      </c>
      <c r="N1847">
        <v>29873.11</v>
      </c>
      <c r="O1847" t="s">
        <v>78</v>
      </c>
      <c r="P1847" t="s">
        <v>82</v>
      </c>
    </row>
    <row r="1848" spans="1:16" x14ac:dyDescent="0.25">
      <c r="A1848">
        <v>1847</v>
      </c>
      <c r="B1848" s="1">
        <v>45838</v>
      </c>
      <c r="C1848" t="s">
        <v>19</v>
      </c>
      <c r="D1848" t="s">
        <v>26</v>
      </c>
      <c r="E1848" t="s">
        <v>31</v>
      </c>
      <c r="F1848" t="s">
        <v>38</v>
      </c>
      <c r="G1848" t="s">
        <v>72</v>
      </c>
      <c r="H1848" t="s">
        <v>75</v>
      </c>
      <c r="I1848">
        <v>4</v>
      </c>
      <c r="J1848">
        <v>1166</v>
      </c>
      <c r="K1848">
        <v>0.15</v>
      </c>
      <c r="L1848">
        <v>3964.4</v>
      </c>
      <c r="M1848">
        <v>2240.56</v>
      </c>
      <c r="N1848">
        <v>1723.84</v>
      </c>
      <c r="O1848" t="s">
        <v>77</v>
      </c>
      <c r="P1848" t="s">
        <v>81</v>
      </c>
    </row>
    <row r="1849" spans="1:16" x14ac:dyDescent="0.25">
      <c r="A1849">
        <v>1848</v>
      </c>
      <c r="B1849" s="1">
        <v>45885</v>
      </c>
      <c r="C1849" t="s">
        <v>22</v>
      </c>
      <c r="D1849" t="s">
        <v>24</v>
      </c>
      <c r="E1849" t="s">
        <v>29</v>
      </c>
      <c r="F1849" t="s">
        <v>42</v>
      </c>
      <c r="G1849" t="s">
        <v>70</v>
      </c>
      <c r="H1849" t="s">
        <v>75</v>
      </c>
      <c r="I1849">
        <v>4</v>
      </c>
      <c r="J1849">
        <v>7900</v>
      </c>
      <c r="K1849">
        <v>0.1</v>
      </c>
      <c r="L1849">
        <v>28440</v>
      </c>
      <c r="M1849">
        <v>24492.45</v>
      </c>
      <c r="N1849">
        <v>3947.55</v>
      </c>
      <c r="O1849" t="s">
        <v>80</v>
      </c>
      <c r="P1849" t="s">
        <v>87</v>
      </c>
    </row>
    <row r="1850" spans="1:16" x14ac:dyDescent="0.25">
      <c r="A1850">
        <v>1849</v>
      </c>
      <c r="B1850" s="1">
        <v>45813</v>
      </c>
      <c r="C1850" t="s">
        <v>18</v>
      </c>
      <c r="D1850" t="s">
        <v>26</v>
      </c>
      <c r="E1850" t="s">
        <v>31</v>
      </c>
      <c r="F1850" t="s">
        <v>50</v>
      </c>
      <c r="G1850" t="s">
        <v>71</v>
      </c>
      <c r="H1850" t="s">
        <v>73</v>
      </c>
      <c r="I1850">
        <v>2</v>
      </c>
      <c r="J1850">
        <v>346</v>
      </c>
      <c r="K1850">
        <v>0.05</v>
      </c>
      <c r="L1850">
        <v>657.4</v>
      </c>
      <c r="M1850">
        <v>386.34</v>
      </c>
      <c r="N1850">
        <v>271.06</v>
      </c>
      <c r="O1850" t="s">
        <v>77</v>
      </c>
      <c r="P1850" t="s">
        <v>82</v>
      </c>
    </row>
    <row r="1851" spans="1:16" x14ac:dyDescent="0.25">
      <c r="A1851">
        <v>1850</v>
      </c>
      <c r="B1851" s="1">
        <v>45951</v>
      </c>
      <c r="C1851" t="s">
        <v>19</v>
      </c>
      <c r="D1851" t="s">
        <v>26</v>
      </c>
      <c r="E1851" t="s">
        <v>28</v>
      </c>
      <c r="F1851" t="s">
        <v>58</v>
      </c>
      <c r="G1851" t="s">
        <v>70</v>
      </c>
      <c r="H1851" t="s">
        <v>75</v>
      </c>
      <c r="I1851">
        <v>5</v>
      </c>
      <c r="J1851">
        <v>2262</v>
      </c>
      <c r="K1851">
        <v>0.1</v>
      </c>
      <c r="L1851">
        <v>10179</v>
      </c>
      <c r="M1851">
        <v>8563.01</v>
      </c>
      <c r="N1851">
        <v>1615.99</v>
      </c>
      <c r="O1851" t="s">
        <v>77</v>
      </c>
      <c r="P1851" t="s">
        <v>84</v>
      </c>
    </row>
    <row r="1852" spans="1:16" x14ac:dyDescent="0.25">
      <c r="A1852">
        <v>1851</v>
      </c>
      <c r="B1852" s="1">
        <v>45725</v>
      </c>
      <c r="C1852" t="s">
        <v>22</v>
      </c>
      <c r="D1852" t="s">
        <v>24</v>
      </c>
      <c r="E1852" t="s">
        <v>32</v>
      </c>
      <c r="F1852" t="s">
        <v>66</v>
      </c>
      <c r="G1852" t="s">
        <v>70</v>
      </c>
      <c r="H1852" t="s">
        <v>75</v>
      </c>
      <c r="I1852">
        <v>4</v>
      </c>
      <c r="J1852">
        <v>21047</v>
      </c>
      <c r="K1852">
        <v>0.15</v>
      </c>
      <c r="L1852">
        <v>71559.8</v>
      </c>
      <c r="M1852">
        <v>62413.26</v>
      </c>
      <c r="N1852">
        <v>9146.5400000000009</v>
      </c>
      <c r="O1852" t="s">
        <v>79</v>
      </c>
      <c r="P1852" t="s">
        <v>81</v>
      </c>
    </row>
    <row r="1853" spans="1:16" x14ac:dyDescent="0.25">
      <c r="A1853">
        <v>1852</v>
      </c>
      <c r="B1853" s="1">
        <v>45945</v>
      </c>
      <c r="C1853" t="s">
        <v>18</v>
      </c>
      <c r="D1853" t="s">
        <v>26</v>
      </c>
      <c r="E1853" t="s">
        <v>31</v>
      </c>
      <c r="F1853" t="s">
        <v>67</v>
      </c>
      <c r="G1853" t="s">
        <v>70</v>
      </c>
      <c r="H1853" t="s">
        <v>73</v>
      </c>
      <c r="I1853">
        <v>3</v>
      </c>
      <c r="J1853">
        <v>1760</v>
      </c>
      <c r="K1853">
        <v>0.1</v>
      </c>
      <c r="L1853">
        <v>4752</v>
      </c>
      <c r="M1853">
        <v>2630.92</v>
      </c>
      <c r="N1853">
        <v>2121.08</v>
      </c>
      <c r="O1853" t="s">
        <v>79</v>
      </c>
      <c r="P1853" t="s">
        <v>82</v>
      </c>
    </row>
    <row r="1854" spans="1:16" x14ac:dyDescent="0.25">
      <c r="A1854">
        <v>1853</v>
      </c>
      <c r="B1854" s="1">
        <v>45965</v>
      </c>
      <c r="C1854" t="s">
        <v>20</v>
      </c>
      <c r="D1854" t="s">
        <v>26</v>
      </c>
      <c r="E1854" t="s">
        <v>34</v>
      </c>
      <c r="F1854" t="s">
        <v>55</v>
      </c>
      <c r="G1854" t="s">
        <v>71</v>
      </c>
      <c r="H1854" t="s">
        <v>75</v>
      </c>
      <c r="I1854">
        <v>6</v>
      </c>
      <c r="J1854">
        <v>5307</v>
      </c>
      <c r="K1854">
        <v>0</v>
      </c>
      <c r="L1854">
        <v>31842</v>
      </c>
      <c r="M1854">
        <v>24312.05</v>
      </c>
      <c r="N1854">
        <v>7529.95</v>
      </c>
      <c r="O1854" t="s">
        <v>78</v>
      </c>
      <c r="P1854" t="s">
        <v>81</v>
      </c>
    </row>
    <row r="1855" spans="1:16" x14ac:dyDescent="0.25">
      <c r="A1855">
        <v>1854</v>
      </c>
      <c r="B1855" s="1">
        <v>45723</v>
      </c>
      <c r="C1855" t="s">
        <v>18</v>
      </c>
      <c r="D1855" t="s">
        <v>26</v>
      </c>
      <c r="E1855" t="s">
        <v>33</v>
      </c>
      <c r="F1855" t="s">
        <v>60</v>
      </c>
      <c r="G1855" t="s">
        <v>70</v>
      </c>
      <c r="H1855" t="s">
        <v>75</v>
      </c>
      <c r="I1855">
        <v>7</v>
      </c>
      <c r="J1855">
        <v>25485</v>
      </c>
      <c r="K1855">
        <v>0.1</v>
      </c>
      <c r="L1855">
        <v>160555.5</v>
      </c>
      <c r="M1855">
        <v>105755.55</v>
      </c>
      <c r="N1855">
        <v>54799.95</v>
      </c>
      <c r="O1855" t="s">
        <v>76</v>
      </c>
      <c r="P1855" t="s">
        <v>86</v>
      </c>
    </row>
    <row r="1856" spans="1:16" x14ac:dyDescent="0.25">
      <c r="A1856">
        <v>1855</v>
      </c>
      <c r="B1856" s="1">
        <v>46020</v>
      </c>
      <c r="C1856" t="s">
        <v>23</v>
      </c>
      <c r="D1856" t="s">
        <v>27</v>
      </c>
      <c r="E1856" t="s">
        <v>30</v>
      </c>
      <c r="F1856" t="s">
        <v>40</v>
      </c>
      <c r="G1856" t="s">
        <v>72</v>
      </c>
      <c r="H1856" t="s">
        <v>74</v>
      </c>
      <c r="I1856">
        <v>3</v>
      </c>
      <c r="J1856">
        <v>37037</v>
      </c>
      <c r="K1856">
        <v>0.1</v>
      </c>
      <c r="L1856">
        <v>99999.9</v>
      </c>
      <c r="M1856">
        <v>87075.59</v>
      </c>
      <c r="N1856">
        <v>12924.31</v>
      </c>
      <c r="O1856" t="s">
        <v>76</v>
      </c>
      <c r="P1856" t="s">
        <v>87</v>
      </c>
    </row>
    <row r="1857" spans="1:16" x14ac:dyDescent="0.25">
      <c r="A1857">
        <v>1856</v>
      </c>
      <c r="B1857" s="1">
        <v>45763</v>
      </c>
      <c r="C1857" t="s">
        <v>19</v>
      </c>
      <c r="D1857" t="s">
        <v>26</v>
      </c>
      <c r="E1857" t="s">
        <v>32</v>
      </c>
      <c r="F1857" t="s">
        <v>62</v>
      </c>
      <c r="G1857" t="s">
        <v>72</v>
      </c>
      <c r="H1857" t="s">
        <v>75</v>
      </c>
      <c r="I1857">
        <v>1</v>
      </c>
      <c r="J1857">
        <v>4243</v>
      </c>
      <c r="K1857">
        <v>0.15</v>
      </c>
      <c r="L1857">
        <v>3606.55</v>
      </c>
      <c r="M1857">
        <v>2784.46</v>
      </c>
      <c r="N1857">
        <v>822.09</v>
      </c>
      <c r="O1857" t="s">
        <v>79</v>
      </c>
      <c r="P1857" t="s">
        <v>82</v>
      </c>
    </row>
    <row r="1858" spans="1:16" x14ac:dyDescent="0.25">
      <c r="A1858">
        <v>1857</v>
      </c>
      <c r="B1858" s="1">
        <v>45757</v>
      </c>
      <c r="C1858" t="s">
        <v>20</v>
      </c>
      <c r="D1858" t="s">
        <v>26</v>
      </c>
      <c r="E1858" t="s">
        <v>28</v>
      </c>
      <c r="F1858" t="s">
        <v>54</v>
      </c>
      <c r="G1858" t="s">
        <v>72</v>
      </c>
      <c r="H1858" t="s">
        <v>74</v>
      </c>
      <c r="I1858">
        <v>6</v>
      </c>
      <c r="J1858">
        <v>1583</v>
      </c>
      <c r="K1858">
        <v>0.1</v>
      </c>
      <c r="L1858">
        <v>8548.2000000000007</v>
      </c>
      <c r="M1858">
        <v>5578.45</v>
      </c>
      <c r="N1858">
        <v>2969.75</v>
      </c>
      <c r="O1858" t="s">
        <v>80</v>
      </c>
      <c r="P1858" t="s">
        <v>83</v>
      </c>
    </row>
    <row r="1859" spans="1:16" x14ac:dyDescent="0.25">
      <c r="A1859">
        <v>1858</v>
      </c>
      <c r="B1859" s="1">
        <v>45769</v>
      </c>
      <c r="C1859" t="s">
        <v>17</v>
      </c>
      <c r="D1859" t="s">
        <v>25</v>
      </c>
      <c r="E1859" t="s">
        <v>29</v>
      </c>
      <c r="F1859" t="s">
        <v>53</v>
      </c>
      <c r="G1859" t="s">
        <v>70</v>
      </c>
      <c r="H1859" t="s">
        <v>73</v>
      </c>
      <c r="I1859">
        <v>2</v>
      </c>
      <c r="J1859">
        <v>10605</v>
      </c>
      <c r="K1859">
        <v>0.1</v>
      </c>
      <c r="L1859">
        <v>19089</v>
      </c>
      <c r="M1859">
        <v>12264.05</v>
      </c>
      <c r="N1859">
        <v>6824.95</v>
      </c>
      <c r="O1859" t="s">
        <v>80</v>
      </c>
      <c r="P1859" t="s">
        <v>83</v>
      </c>
    </row>
    <row r="1860" spans="1:16" x14ac:dyDescent="0.25">
      <c r="A1860">
        <v>1859</v>
      </c>
      <c r="B1860" s="1">
        <v>45806</v>
      </c>
      <c r="C1860" t="s">
        <v>23</v>
      </c>
      <c r="D1860" t="s">
        <v>27</v>
      </c>
      <c r="E1860" t="s">
        <v>30</v>
      </c>
      <c r="F1860" t="s">
        <v>64</v>
      </c>
      <c r="G1860" t="s">
        <v>71</v>
      </c>
      <c r="H1860" t="s">
        <v>74</v>
      </c>
      <c r="I1860">
        <v>5</v>
      </c>
      <c r="J1860">
        <v>37039</v>
      </c>
      <c r="K1860">
        <v>0.05</v>
      </c>
      <c r="L1860">
        <v>175935.25</v>
      </c>
      <c r="M1860">
        <v>149002.12</v>
      </c>
      <c r="N1860">
        <v>26933.13</v>
      </c>
      <c r="O1860" t="s">
        <v>80</v>
      </c>
      <c r="P1860" t="s">
        <v>84</v>
      </c>
    </row>
    <row r="1861" spans="1:16" x14ac:dyDescent="0.25">
      <c r="A1861">
        <v>1860</v>
      </c>
      <c r="B1861" s="1">
        <v>45776</v>
      </c>
      <c r="C1861" t="s">
        <v>19</v>
      </c>
      <c r="D1861" t="s">
        <v>26</v>
      </c>
      <c r="E1861" t="s">
        <v>34</v>
      </c>
      <c r="F1861" t="s">
        <v>65</v>
      </c>
      <c r="G1861" t="s">
        <v>70</v>
      </c>
      <c r="H1861" t="s">
        <v>75</v>
      </c>
      <c r="I1861">
        <v>5</v>
      </c>
      <c r="J1861">
        <v>2303</v>
      </c>
      <c r="K1861">
        <v>0.15</v>
      </c>
      <c r="L1861">
        <v>9787.75</v>
      </c>
      <c r="M1861">
        <v>7244.92</v>
      </c>
      <c r="N1861">
        <v>2542.83</v>
      </c>
      <c r="O1861" t="s">
        <v>77</v>
      </c>
      <c r="P1861" t="s">
        <v>84</v>
      </c>
    </row>
    <row r="1862" spans="1:16" x14ac:dyDescent="0.25">
      <c r="A1862">
        <v>1861</v>
      </c>
      <c r="B1862" s="1">
        <v>46006</v>
      </c>
      <c r="C1862" t="s">
        <v>20</v>
      </c>
      <c r="D1862" t="s">
        <v>26</v>
      </c>
      <c r="E1862" t="s">
        <v>32</v>
      </c>
      <c r="F1862" t="s">
        <v>49</v>
      </c>
      <c r="G1862" t="s">
        <v>71</v>
      </c>
      <c r="H1862" t="s">
        <v>75</v>
      </c>
      <c r="I1862">
        <v>1</v>
      </c>
      <c r="J1862">
        <v>12198</v>
      </c>
      <c r="K1862">
        <v>0.15</v>
      </c>
      <c r="L1862">
        <v>10368.299999999999</v>
      </c>
      <c r="M1862">
        <v>5988.8</v>
      </c>
      <c r="N1862">
        <v>4379.5</v>
      </c>
      <c r="O1862" t="s">
        <v>76</v>
      </c>
      <c r="P1862" t="s">
        <v>87</v>
      </c>
    </row>
    <row r="1863" spans="1:16" x14ac:dyDescent="0.25">
      <c r="A1863">
        <v>1862</v>
      </c>
      <c r="B1863" s="1">
        <v>45706</v>
      </c>
      <c r="C1863" t="s">
        <v>18</v>
      </c>
      <c r="D1863" t="s">
        <v>26</v>
      </c>
      <c r="E1863" t="s">
        <v>29</v>
      </c>
      <c r="F1863" t="s">
        <v>45</v>
      </c>
      <c r="G1863" t="s">
        <v>70</v>
      </c>
      <c r="H1863" t="s">
        <v>75</v>
      </c>
      <c r="I1863">
        <v>4</v>
      </c>
      <c r="J1863">
        <v>4772</v>
      </c>
      <c r="K1863">
        <v>0.05</v>
      </c>
      <c r="L1863">
        <v>18133.599999999999</v>
      </c>
      <c r="M1863">
        <v>14379.21</v>
      </c>
      <c r="N1863">
        <v>3754.39</v>
      </c>
      <c r="O1863" t="s">
        <v>76</v>
      </c>
      <c r="P1863" t="s">
        <v>83</v>
      </c>
    </row>
    <row r="1864" spans="1:16" x14ac:dyDescent="0.25">
      <c r="A1864">
        <v>1863</v>
      </c>
      <c r="B1864" s="1">
        <v>45807</v>
      </c>
      <c r="C1864" t="s">
        <v>18</v>
      </c>
      <c r="D1864" t="s">
        <v>26</v>
      </c>
      <c r="E1864" t="s">
        <v>31</v>
      </c>
      <c r="F1864" t="s">
        <v>50</v>
      </c>
      <c r="G1864" t="s">
        <v>71</v>
      </c>
      <c r="H1864" t="s">
        <v>74</v>
      </c>
      <c r="I1864">
        <v>6</v>
      </c>
      <c r="J1864">
        <v>1979</v>
      </c>
      <c r="K1864">
        <v>0</v>
      </c>
      <c r="L1864">
        <v>11874</v>
      </c>
      <c r="M1864">
        <v>9324.09</v>
      </c>
      <c r="N1864">
        <v>2549.91</v>
      </c>
      <c r="O1864" t="s">
        <v>79</v>
      </c>
      <c r="P1864" t="s">
        <v>86</v>
      </c>
    </row>
    <row r="1865" spans="1:16" x14ac:dyDescent="0.25">
      <c r="A1865">
        <v>1864</v>
      </c>
      <c r="B1865" s="1">
        <v>45873</v>
      </c>
      <c r="C1865" t="s">
        <v>16</v>
      </c>
      <c r="D1865" t="s">
        <v>24</v>
      </c>
      <c r="E1865" t="s">
        <v>33</v>
      </c>
      <c r="F1865" t="s">
        <v>46</v>
      </c>
      <c r="G1865" t="s">
        <v>71</v>
      </c>
      <c r="H1865" t="s">
        <v>73</v>
      </c>
      <c r="I1865">
        <v>4</v>
      </c>
      <c r="J1865">
        <v>43689</v>
      </c>
      <c r="K1865">
        <v>0.05</v>
      </c>
      <c r="L1865">
        <v>166018.20000000001</v>
      </c>
      <c r="M1865">
        <v>123660.67</v>
      </c>
      <c r="N1865">
        <v>42357.53</v>
      </c>
      <c r="O1865" t="s">
        <v>79</v>
      </c>
      <c r="P1865" t="s">
        <v>82</v>
      </c>
    </row>
    <row r="1866" spans="1:16" x14ac:dyDescent="0.25">
      <c r="A1866">
        <v>1865</v>
      </c>
      <c r="B1866" s="1">
        <v>45948</v>
      </c>
      <c r="C1866" t="s">
        <v>17</v>
      </c>
      <c r="D1866" t="s">
        <v>25</v>
      </c>
      <c r="E1866" t="s">
        <v>28</v>
      </c>
      <c r="F1866" t="s">
        <v>63</v>
      </c>
      <c r="G1866" t="s">
        <v>70</v>
      </c>
      <c r="H1866" t="s">
        <v>75</v>
      </c>
      <c r="I1866">
        <v>6</v>
      </c>
      <c r="J1866">
        <v>2433</v>
      </c>
      <c r="K1866">
        <v>0.05</v>
      </c>
      <c r="L1866">
        <v>13868.1</v>
      </c>
      <c r="M1866">
        <v>10609.79</v>
      </c>
      <c r="N1866">
        <v>3258.31</v>
      </c>
      <c r="O1866" t="s">
        <v>80</v>
      </c>
      <c r="P1866" t="s">
        <v>81</v>
      </c>
    </row>
    <row r="1867" spans="1:16" x14ac:dyDescent="0.25">
      <c r="A1867">
        <v>1866</v>
      </c>
      <c r="B1867" s="1">
        <v>45715</v>
      </c>
      <c r="C1867" t="s">
        <v>22</v>
      </c>
      <c r="D1867" t="s">
        <v>24</v>
      </c>
      <c r="E1867" t="s">
        <v>29</v>
      </c>
      <c r="F1867" t="s">
        <v>36</v>
      </c>
      <c r="G1867" t="s">
        <v>72</v>
      </c>
      <c r="H1867" t="s">
        <v>74</v>
      </c>
      <c r="I1867">
        <v>8</v>
      </c>
      <c r="J1867">
        <v>11685</v>
      </c>
      <c r="K1867">
        <v>0.2</v>
      </c>
      <c r="L1867">
        <v>74784</v>
      </c>
      <c r="M1867">
        <v>60824.58</v>
      </c>
      <c r="N1867">
        <v>13959.42</v>
      </c>
      <c r="O1867" t="s">
        <v>78</v>
      </c>
      <c r="P1867" t="s">
        <v>86</v>
      </c>
    </row>
    <row r="1868" spans="1:16" x14ac:dyDescent="0.25">
      <c r="A1868">
        <v>1867</v>
      </c>
      <c r="B1868" s="1">
        <v>45699</v>
      </c>
      <c r="C1868" t="s">
        <v>23</v>
      </c>
      <c r="D1868" t="s">
        <v>27</v>
      </c>
      <c r="E1868" t="s">
        <v>28</v>
      </c>
      <c r="F1868" t="s">
        <v>54</v>
      </c>
      <c r="G1868" t="s">
        <v>72</v>
      </c>
      <c r="H1868" t="s">
        <v>73</v>
      </c>
      <c r="I1868">
        <v>7</v>
      </c>
      <c r="J1868">
        <v>1378</v>
      </c>
      <c r="K1868">
        <v>0.1</v>
      </c>
      <c r="L1868">
        <v>8681.4</v>
      </c>
      <c r="M1868">
        <v>6919.57</v>
      </c>
      <c r="N1868">
        <v>1761.83</v>
      </c>
      <c r="O1868" t="s">
        <v>76</v>
      </c>
      <c r="P1868" t="s">
        <v>82</v>
      </c>
    </row>
    <row r="1869" spans="1:16" x14ac:dyDescent="0.25">
      <c r="A1869">
        <v>1868</v>
      </c>
      <c r="B1869" s="1">
        <v>45817</v>
      </c>
      <c r="C1869" t="s">
        <v>18</v>
      </c>
      <c r="D1869" t="s">
        <v>26</v>
      </c>
      <c r="E1869" t="s">
        <v>29</v>
      </c>
      <c r="F1869" t="s">
        <v>53</v>
      </c>
      <c r="G1869" t="s">
        <v>72</v>
      </c>
      <c r="H1869" t="s">
        <v>73</v>
      </c>
      <c r="I1869">
        <v>5</v>
      </c>
      <c r="J1869">
        <v>6100</v>
      </c>
      <c r="K1869">
        <v>0.2</v>
      </c>
      <c r="L1869">
        <v>24400</v>
      </c>
      <c r="M1869">
        <v>20327.78</v>
      </c>
      <c r="N1869">
        <v>4072.22</v>
      </c>
      <c r="O1869" t="s">
        <v>80</v>
      </c>
      <c r="P1869" t="s">
        <v>83</v>
      </c>
    </row>
    <row r="1870" spans="1:16" x14ac:dyDescent="0.25">
      <c r="A1870">
        <v>1869</v>
      </c>
      <c r="B1870" s="1">
        <v>45886</v>
      </c>
      <c r="C1870" t="s">
        <v>22</v>
      </c>
      <c r="D1870" t="s">
        <v>24</v>
      </c>
      <c r="E1870" t="s">
        <v>29</v>
      </c>
      <c r="F1870" t="s">
        <v>45</v>
      </c>
      <c r="G1870" t="s">
        <v>72</v>
      </c>
      <c r="H1870" t="s">
        <v>75</v>
      </c>
      <c r="I1870">
        <v>3</v>
      </c>
      <c r="J1870">
        <v>9869</v>
      </c>
      <c r="K1870">
        <v>0.05</v>
      </c>
      <c r="L1870">
        <v>28126.65</v>
      </c>
      <c r="M1870">
        <v>18943.96</v>
      </c>
      <c r="N1870">
        <v>9182.69</v>
      </c>
      <c r="O1870" t="s">
        <v>80</v>
      </c>
      <c r="P1870" t="s">
        <v>88</v>
      </c>
    </row>
    <row r="1871" spans="1:16" x14ac:dyDescent="0.25">
      <c r="A1871">
        <v>1870</v>
      </c>
      <c r="B1871" s="1">
        <v>45843</v>
      </c>
      <c r="C1871" t="s">
        <v>16</v>
      </c>
      <c r="D1871" t="s">
        <v>24</v>
      </c>
      <c r="E1871" t="s">
        <v>28</v>
      </c>
      <c r="F1871" t="s">
        <v>35</v>
      </c>
      <c r="G1871" t="s">
        <v>70</v>
      </c>
      <c r="H1871" t="s">
        <v>75</v>
      </c>
      <c r="I1871">
        <v>4</v>
      </c>
      <c r="J1871">
        <v>2042</v>
      </c>
      <c r="K1871">
        <v>0.1</v>
      </c>
      <c r="L1871">
        <v>7351.2</v>
      </c>
      <c r="M1871">
        <v>4657.57</v>
      </c>
      <c r="N1871">
        <v>2693.63</v>
      </c>
      <c r="O1871" t="s">
        <v>78</v>
      </c>
      <c r="P1871" t="s">
        <v>86</v>
      </c>
    </row>
    <row r="1872" spans="1:16" x14ac:dyDescent="0.25">
      <c r="A1872">
        <v>1871</v>
      </c>
      <c r="B1872" s="1">
        <v>45743</v>
      </c>
      <c r="C1872" t="s">
        <v>20</v>
      </c>
      <c r="D1872" t="s">
        <v>26</v>
      </c>
      <c r="E1872" t="s">
        <v>33</v>
      </c>
      <c r="F1872" t="s">
        <v>41</v>
      </c>
      <c r="G1872" t="s">
        <v>71</v>
      </c>
      <c r="H1872" t="s">
        <v>75</v>
      </c>
      <c r="I1872">
        <v>5</v>
      </c>
      <c r="J1872">
        <v>3768</v>
      </c>
      <c r="K1872">
        <v>0.1</v>
      </c>
      <c r="L1872">
        <v>16956</v>
      </c>
      <c r="M1872">
        <v>12488.42</v>
      </c>
      <c r="N1872">
        <v>4467.58</v>
      </c>
      <c r="O1872" t="s">
        <v>76</v>
      </c>
      <c r="P1872" t="s">
        <v>81</v>
      </c>
    </row>
    <row r="1873" spans="1:16" x14ac:dyDescent="0.25">
      <c r="A1873">
        <v>1872</v>
      </c>
      <c r="B1873" s="1">
        <v>45883</v>
      </c>
      <c r="C1873" t="s">
        <v>19</v>
      </c>
      <c r="D1873" t="s">
        <v>26</v>
      </c>
      <c r="E1873" t="s">
        <v>33</v>
      </c>
      <c r="F1873" t="s">
        <v>52</v>
      </c>
      <c r="G1873" t="s">
        <v>71</v>
      </c>
      <c r="H1873" t="s">
        <v>74</v>
      </c>
      <c r="I1873">
        <v>8</v>
      </c>
      <c r="J1873">
        <v>5664</v>
      </c>
      <c r="K1873">
        <v>0</v>
      </c>
      <c r="L1873">
        <v>45312</v>
      </c>
      <c r="M1873">
        <v>38898.769999999997</v>
      </c>
      <c r="N1873">
        <v>6413.23</v>
      </c>
      <c r="O1873" t="s">
        <v>77</v>
      </c>
      <c r="P1873" t="s">
        <v>85</v>
      </c>
    </row>
    <row r="1874" spans="1:16" x14ac:dyDescent="0.25">
      <c r="A1874">
        <v>1873</v>
      </c>
      <c r="B1874" s="1">
        <v>45770</v>
      </c>
      <c r="C1874" t="s">
        <v>23</v>
      </c>
      <c r="D1874" t="s">
        <v>27</v>
      </c>
      <c r="E1874" t="s">
        <v>30</v>
      </c>
      <c r="F1874" t="s">
        <v>44</v>
      </c>
      <c r="G1874" t="s">
        <v>70</v>
      </c>
      <c r="H1874" t="s">
        <v>74</v>
      </c>
      <c r="I1874">
        <v>4</v>
      </c>
      <c r="J1874">
        <v>36212</v>
      </c>
      <c r="K1874">
        <v>0.1</v>
      </c>
      <c r="L1874">
        <v>130363.2</v>
      </c>
      <c r="M1874">
        <v>89803.59</v>
      </c>
      <c r="N1874">
        <v>40559.61</v>
      </c>
      <c r="O1874" t="s">
        <v>76</v>
      </c>
      <c r="P1874" t="s">
        <v>83</v>
      </c>
    </row>
    <row r="1875" spans="1:16" x14ac:dyDescent="0.25">
      <c r="A1875">
        <v>1874</v>
      </c>
      <c r="B1875" s="1">
        <v>45720</v>
      </c>
      <c r="C1875" t="s">
        <v>16</v>
      </c>
      <c r="D1875" t="s">
        <v>24</v>
      </c>
      <c r="E1875" t="s">
        <v>33</v>
      </c>
      <c r="F1875" t="s">
        <v>46</v>
      </c>
      <c r="G1875" t="s">
        <v>71</v>
      </c>
      <c r="H1875" t="s">
        <v>73</v>
      </c>
      <c r="I1875">
        <v>1</v>
      </c>
      <c r="J1875">
        <v>15473</v>
      </c>
      <c r="K1875">
        <v>0</v>
      </c>
      <c r="L1875">
        <v>15473</v>
      </c>
      <c r="M1875">
        <v>9456.98</v>
      </c>
      <c r="N1875">
        <v>6016.02</v>
      </c>
      <c r="O1875" t="s">
        <v>77</v>
      </c>
      <c r="P1875" t="s">
        <v>87</v>
      </c>
    </row>
    <row r="1876" spans="1:16" x14ac:dyDescent="0.25">
      <c r="A1876">
        <v>1875</v>
      </c>
      <c r="B1876" s="1">
        <v>45760</v>
      </c>
      <c r="C1876" t="s">
        <v>19</v>
      </c>
      <c r="D1876" t="s">
        <v>26</v>
      </c>
      <c r="E1876" t="s">
        <v>29</v>
      </c>
      <c r="F1876" t="s">
        <v>53</v>
      </c>
      <c r="G1876" t="s">
        <v>71</v>
      </c>
      <c r="H1876" t="s">
        <v>75</v>
      </c>
      <c r="I1876">
        <v>5</v>
      </c>
      <c r="J1876">
        <v>3702</v>
      </c>
      <c r="K1876">
        <v>0</v>
      </c>
      <c r="L1876">
        <v>18510</v>
      </c>
      <c r="M1876">
        <v>15636.14</v>
      </c>
      <c r="N1876">
        <v>2873.86</v>
      </c>
      <c r="O1876" t="s">
        <v>77</v>
      </c>
      <c r="P1876" t="s">
        <v>88</v>
      </c>
    </row>
    <row r="1877" spans="1:16" x14ac:dyDescent="0.25">
      <c r="A1877">
        <v>1876</v>
      </c>
      <c r="B1877" s="1">
        <v>45752</v>
      </c>
      <c r="C1877" t="s">
        <v>16</v>
      </c>
      <c r="D1877" t="s">
        <v>24</v>
      </c>
      <c r="E1877" t="s">
        <v>29</v>
      </c>
      <c r="F1877" t="s">
        <v>42</v>
      </c>
      <c r="G1877" t="s">
        <v>70</v>
      </c>
      <c r="H1877" t="s">
        <v>73</v>
      </c>
      <c r="I1877">
        <v>5</v>
      </c>
      <c r="J1877">
        <v>7444</v>
      </c>
      <c r="K1877">
        <v>0.05</v>
      </c>
      <c r="L1877">
        <v>35359</v>
      </c>
      <c r="M1877">
        <v>23695.88</v>
      </c>
      <c r="N1877">
        <v>11663.12</v>
      </c>
      <c r="O1877" t="s">
        <v>77</v>
      </c>
      <c r="P1877" t="s">
        <v>88</v>
      </c>
    </row>
    <row r="1878" spans="1:16" x14ac:dyDescent="0.25">
      <c r="A1878">
        <v>1877</v>
      </c>
      <c r="B1878" s="1">
        <v>45688</v>
      </c>
      <c r="C1878" t="s">
        <v>20</v>
      </c>
      <c r="D1878" t="s">
        <v>26</v>
      </c>
      <c r="E1878" t="s">
        <v>30</v>
      </c>
      <c r="F1878" t="s">
        <v>44</v>
      </c>
      <c r="G1878" t="s">
        <v>71</v>
      </c>
      <c r="H1878" t="s">
        <v>75</v>
      </c>
      <c r="I1878">
        <v>2</v>
      </c>
      <c r="J1878">
        <v>21213</v>
      </c>
      <c r="K1878">
        <v>0.05</v>
      </c>
      <c r="L1878">
        <v>40304.699999999997</v>
      </c>
      <c r="M1878">
        <v>28905.17</v>
      </c>
      <c r="N1878">
        <v>11399.53</v>
      </c>
      <c r="O1878" t="s">
        <v>77</v>
      </c>
      <c r="P1878" t="s">
        <v>85</v>
      </c>
    </row>
    <row r="1879" spans="1:16" x14ac:dyDescent="0.25">
      <c r="A1879">
        <v>1878</v>
      </c>
      <c r="B1879" s="1">
        <v>45776</v>
      </c>
      <c r="C1879" t="s">
        <v>21</v>
      </c>
      <c r="D1879" t="s">
        <v>24</v>
      </c>
      <c r="E1879" t="s">
        <v>30</v>
      </c>
      <c r="F1879" t="s">
        <v>37</v>
      </c>
      <c r="G1879" t="s">
        <v>71</v>
      </c>
      <c r="H1879" t="s">
        <v>73</v>
      </c>
      <c r="I1879">
        <v>2</v>
      </c>
      <c r="J1879">
        <v>4760</v>
      </c>
      <c r="K1879">
        <v>0.05</v>
      </c>
      <c r="L1879">
        <v>9044</v>
      </c>
      <c r="M1879">
        <v>6300.47</v>
      </c>
      <c r="N1879">
        <v>2743.53</v>
      </c>
      <c r="O1879" t="s">
        <v>80</v>
      </c>
      <c r="P1879" t="s">
        <v>81</v>
      </c>
    </row>
    <row r="1880" spans="1:16" x14ac:dyDescent="0.25">
      <c r="A1880">
        <v>1879</v>
      </c>
      <c r="B1880" s="1">
        <v>45976</v>
      </c>
      <c r="C1880" t="s">
        <v>22</v>
      </c>
      <c r="D1880" t="s">
        <v>24</v>
      </c>
      <c r="E1880" t="s">
        <v>33</v>
      </c>
      <c r="F1880" t="s">
        <v>46</v>
      </c>
      <c r="G1880" t="s">
        <v>72</v>
      </c>
      <c r="H1880" t="s">
        <v>73</v>
      </c>
      <c r="I1880">
        <v>2</v>
      </c>
      <c r="J1880">
        <v>33722</v>
      </c>
      <c r="K1880">
        <v>0</v>
      </c>
      <c r="L1880">
        <v>67444</v>
      </c>
      <c r="M1880">
        <v>50506.7</v>
      </c>
      <c r="N1880">
        <v>16937.3</v>
      </c>
      <c r="O1880" t="s">
        <v>80</v>
      </c>
      <c r="P1880" t="s">
        <v>85</v>
      </c>
    </row>
    <row r="1881" spans="1:16" x14ac:dyDescent="0.25">
      <c r="A1881">
        <v>1880</v>
      </c>
      <c r="B1881" s="1">
        <v>45832</v>
      </c>
      <c r="C1881" t="s">
        <v>19</v>
      </c>
      <c r="D1881" t="s">
        <v>26</v>
      </c>
      <c r="E1881" t="s">
        <v>31</v>
      </c>
      <c r="F1881" t="s">
        <v>47</v>
      </c>
      <c r="G1881" t="s">
        <v>70</v>
      </c>
      <c r="H1881" t="s">
        <v>75</v>
      </c>
      <c r="I1881">
        <v>4</v>
      </c>
      <c r="J1881">
        <v>2130</v>
      </c>
      <c r="K1881">
        <v>0.15</v>
      </c>
      <c r="L1881">
        <v>7242</v>
      </c>
      <c r="M1881">
        <v>5850.83</v>
      </c>
      <c r="N1881">
        <v>1391.17</v>
      </c>
      <c r="O1881" t="s">
        <v>77</v>
      </c>
      <c r="P1881" t="s">
        <v>85</v>
      </c>
    </row>
    <row r="1882" spans="1:16" x14ac:dyDescent="0.25">
      <c r="A1882">
        <v>1881</v>
      </c>
      <c r="B1882" s="1">
        <v>45718</v>
      </c>
      <c r="C1882" t="s">
        <v>20</v>
      </c>
      <c r="D1882" t="s">
        <v>26</v>
      </c>
      <c r="E1882" t="s">
        <v>29</v>
      </c>
      <c r="F1882" t="s">
        <v>45</v>
      </c>
      <c r="G1882" t="s">
        <v>70</v>
      </c>
      <c r="H1882" t="s">
        <v>75</v>
      </c>
      <c r="I1882">
        <v>5</v>
      </c>
      <c r="J1882">
        <v>11213</v>
      </c>
      <c r="K1882">
        <v>0.15</v>
      </c>
      <c r="L1882">
        <v>47655.25</v>
      </c>
      <c r="M1882">
        <v>27570.17</v>
      </c>
      <c r="N1882">
        <v>20085.080000000002</v>
      </c>
      <c r="O1882" t="s">
        <v>78</v>
      </c>
      <c r="P1882" t="s">
        <v>84</v>
      </c>
    </row>
    <row r="1883" spans="1:16" x14ac:dyDescent="0.25">
      <c r="A1883">
        <v>1882</v>
      </c>
      <c r="B1883" s="1">
        <v>45954</v>
      </c>
      <c r="C1883" t="s">
        <v>16</v>
      </c>
      <c r="D1883" t="s">
        <v>24</v>
      </c>
      <c r="E1883" t="s">
        <v>31</v>
      </c>
      <c r="F1883" t="s">
        <v>38</v>
      </c>
      <c r="G1883" t="s">
        <v>72</v>
      </c>
      <c r="H1883" t="s">
        <v>73</v>
      </c>
      <c r="I1883">
        <v>2</v>
      </c>
      <c r="J1883">
        <v>440</v>
      </c>
      <c r="K1883">
        <v>0.1</v>
      </c>
      <c r="L1883">
        <v>792</v>
      </c>
      <c r="M1883">
        <v>508.57</v>
      </c>
      <c r="N1883">
        <v>283.43</v>
      </c>
      <c r="O1883" t="s">
        <v>76</v>
      </c>
      <c r="P1883" t="s">
        <v>81</v>
      </c>
    </row>
    <row r="1884" spans="1:16" x14ac:dyDescent="0.25">
      <c r="A1884">
        <v>1883</v>
      </c>
      <c r="B1884" s="1">
        <v>45807</v>
      </c>
      <c r="C1884" t="s">
        <v>23</v>
      </c>
      <c r="D1884" t="s">
        <v>27</v>
      </c>
      <c r="E1884" t="s">
        <v>32</v>
      </c>
      <c r="F1884" t="s">
        <v>62</v>
      </c>
      <c r="G1884" t="s">
        <v>71</v>
      </c>
      <c r="H1884" t="s">
        <v>75</v>
      </c>
      <c r="I1884">
        <v>8</v>
      </c>
      <c r="J1884">
        <v>6931</v>
      </c>
      <c r="K1884">
        <v>0.05</v>
      </c>
      <c r="L1884">
        <v>52675.6</v>
      </c>
      <c r="M1884">
        <v>30658.07</v>
      </c>
      <c r="N1884">
        <v>22017.53</v>
      </c>
      <c r="O1884" t="s">
        <v>80</v>
      </c>
      <c r="P1884" t="s">
        <v>81</v>
      </c>
    </row>
    <row r="1885" spans="1:16" x14ac:dyDescent="0.25">
      <c r="A1885">
        <v>1884</v>
      </c>
      <c r="B1885" s="1">
        <v>45709</v>
      </c>
      <c r="C1885" t="s">
        <v>23</v>
      </c>
      <c r="D1885" t="s">
        <v>27</v>
      </c>
      <c r="E1885" t="s">
        <v>28</v>
      </c>
      <c r="F1885" t="s">
        <v>54</v>
      </c>
      <c r="G1885" t="s">
        <v>72</v>
      </c>
      <c r="H1885" t="s">
        <v>73</v>
      </c>
      <c r="I1885">
        <v>1</v>
      </c>
      <c r="J1885">
        <v>2410</v>
      </c>
      <c r="K1885">
        <v>0.15</v>
      </c>
      <c r="L1885">
        <v>2048.5</v>
      </c>
      <c r="M1885">
        <v>1237.22</v>
      </c>
      <c r="N1885">
        <v>811.28</v>
      </c>
      <c r="O1885" t="s">
        <v>80</v>
      </c>
      <c r="P1885" t="s">
        <v>81</v>
      </c>
    </row>
    <row r="1886" spans="1:16" x14ac:dyDescent="0.25">
      <c r="A1886">
        <v>1885</v>
      </c>
      <c r="B1886" s="1">
        <v>45660</v>
      </c>
      <c r="C1886" t="s">
        <v>16</v>
      </c>
      <c r="D1886" t="s">
        <v>24</v>
      </c>
      <c r="E1886" t="s">
        <v>33</v>
      </c>
      <c r="F1886" t="s">
        <v>46</v>
      </c>
      <c r="G1886" t="s">
        <v>70</v>
      </c>
      <c r="H1886" t="s">
        <v>73</v>
      </c>
      <c r="I1886">
        <v>3</v>
      </c>
      <c r="J1886">
        <v>23815</v>
      </c>
      <c r="K1886">
        <v>0.1</v>
      </c>
      <c r="L1886">
        <v>64300.5</v>
      </c>
      <c r="M1886">
        <v>37344.22</v>
      </c>
      <c r="N1886">
        <v>26956.28</v>
      </c>
      <c r="O1886" t="s">
        <v>76</v>
      </c>
      <c r="P1886" t="s">
        <v>84</v>
      </c>
    </row>
    <row r="1887" spans="1:16" x14ac:dyDescent="0.25">
      <c r="A1887">
        <v>1886</v>
      </c>
      <c r="B1887" s="1">
        <v>45691</v>
      </c>
      <c r="C1887" t="s">
        <v>19</v>
      </c>
      <c r="D1887" t="s">
        <v>26</v>
      </c>
      <c r="E1887" t="s">
        <v>32</v>
      </c>
      <c r="F1887" t="s">
        <v>62</v>
      </c>
      <c r="G1887" t="s">
        <v>72</v>
      </c>
      <c r="H1887" t="s">
        <v>75</v>
      </c>
      <c r="I1887">
        <v>6</v>
      </c>
      <c r="J1887">
        <v>24867</v>
      </c>
      <c r="K1887">
        <v>0.05</v>
      </c>
      <c r="L1887">
        <v>141741.9</v>
      </c>
      <c r="M1887">
        <v>116367.26</v>
      </c>
      <c r="N1887">
        <v>25374.639999999999</v>
      </c>
      <c r="O1887" t="s">
        <v>80</v>
      </c>
      <c r="P1887" t="s">
        <v>82</v>
      </c>
    </row>
    <row r="1888" spans="1:16" x14ac:dyDescent="0.25">
      <c r="A1888">
        <v>1887</v>
      </c>
      <c r="B1888" s="1">
        <v>45694</v>
      </c>
      <c r="C1888" t="s">
        <v>17</v>
      </c>
      <c r="D1888" t="s">
        <v>25</v>
      </c>
      <c r="E1888" t="s">
        <v>33</v>
      </c>
      <c r="F1888" t="s">
        <v>41</v>
      </c>
      <c r="G1888" t="s">
        <v>72</v>
      </c>
      <c r="H1888" t="s">
        <v>75</v>
      </c>
      <c r="I1888">
        <v>1</v>
      </c>
      <c r="J1888">
        <v>5312</v>
      </c>
      <c r="K1888">
        <v>0.2</v>
      </c>
      <c r="L1888">
        <v>4249.6000000000004</v>
      </c>
      <c r="M1888">
        <v>3403.96</v>
      </c>
      <c r="N1888">
        <v>845.64</v>
      </c>
      <c r="O1888" t="s">
        <v>78</v>
      </c>
      <c r="P1888" t="s">
        <v>86</v>
      </c>
    </row>
    <row r="1889" spans="1:16" x14ac:dyDescent="0.25">
      <c r="A1889">
        <v>1888</v>
      </c>
      <c r="B1889" s="1">
        <v>45974</v>
      </c>
      <c r="C1889" t="s">
        <v>21</v>
      </c>
      <c r="D1889" t="s">
        <v>24</v>
      </c>
      <c r="E1889" t="s">
        <v>28</v>
      </c>
      <c r="F1889" t="s">
        <v>61</v>
      </c>
      <c r="G1889" t="s">
        <v>71</v>
      </c>
      <c r="H1889" t="s">
        <v>75</v>
      </c>
      <c r="I1889">
        <v>5</v>
      </c>
      <c r="J1889">
        <v>2285</v>
      </c>
      <c r="K1889">
        <v>0.1</v>
      </c>
      <c r="L1889">
        <v>10282.5</v>
      </c>
      <c r="M1889">
        <v>8118.53</v>
      </c>
      <c r="N1889">
        <v>2163.9699999999998</v>
      </c>
      <c r="O1889" t="s">
        <v>77</v>
      </c>
      <c r="P1889" t="s">
        <v>88</v>
      </c>
    </row>
    <row r="1890" spans="1:16" x14ac:dyDescent="0.25">
      <c r="A1890">
        <v>1889</v>
      </c>
      <c r="B1890" s="1">
        <v>45980</v>
      </c>
      <c r="C1890" t="s">
        <v>23</v>
      </c>
      <c r="D1890" t="s">
        <v>27</v>
      </c>
      <c r="E1890" t="s">
        <v>32</v>
      </c>
      <c r="F1890" t="s">
        <v>49</v>
      </c>
      <c r="G1890" t="s">
        <v>70</v>
      </c>
      <c r="H1890" t="s">
        <v>73</v>
      </c>
      <c r="I1890">
        <v>4</v>
      </c>
      <c r="J1890">
        <v>16602</v>
      </c>
      <c r="K1890">
        <v>0.1</v>
      </c>
      <c r="L1890">
        <v>59767.199999999997</v>
      </c>
      <c r="M1890">
        <v>41332.51</v>
      </c>
      <c r="N1890">
        <v>18434.689999999999</v>
      </c>
      <c r="O1890" t="s">
        <v>77</v>
      </c>
      <c r="P1890" t="s">
        <v>88</v>
      </c>
    </row>
    <row r="1891" spans="1:16" x14ac:dyDescent="0.25">
      <c r="A1891">
        <v>1890</v>
      </c>
      <c r="B1891" s="1">
        <v>45719</v>
      </c>
      <c r="C1891" t="s">
        <v>23</v>
      </c>
      <c r="D1891" t="s">
        <v>27</v>
      </c>
      <c r="E1891" t="s">
        <v>29</v>
      </c>
      <c r="F1891" t="s">
        <v>53</v>
      </c>
      <c r="G1891" t="s">
        <v>71</v>
      </c>
      <c r="H1891" t="s">
        <v>75</v>
      </c>
      <c r="I1891">
        <v>1</v>
      </c>
      <c r="J1891">
        <v>5620</v>
      </c>
      <c r="K1891">
        <v>0.1</v>
      </c>
      <c r="L1891">
        <v>5058</v>
      </c>
      <c r="M1891">
        <v>2844.09</v>
      </c>
      <c r="N1891">
        <v>2213.91</v>
      </c>
      <c r="O1891" t="s">
        <v>76</v>
      </c>
      <c r="P1891" t="s">
        <v>88</v>
      </c>
    </row>
    <row r="1892" spans="1:16" x14ac:dyDescent="0.25">
      <c r="A1892">
        <v>1891</v>
      </c>
      <c r="B1892" s="1">
        <v>45832</v>
      </c>
      <c r="C1892" t="s">
        <v>21</v>
      </c>
      <c r="D1892" t="s">
        <v>24</v>
      </c>
      <c r="E1892" t="s">
        <v>33</v>
      </c>
      <c r="F1892" t="s">
        <v>60</v>
      </c>
      <c r="G1892" t="s">
        <v>72</v>
      </c>
      <c r="H1892" t="s">
        <v>74</v>
      </c>
      <c r="I1892">
        <v>7</v>
      </c>
      <c r="J1892">
        <v>5383</v>
      </c>
      <c r="K1892">
        <v>0</v>
      </c>
      <c r="L1892">
        <v>37681</v>
      </c>
      <c r="M1892">
        <v>28399.54</v>
      </c>
      <c r="N1892">
        <v>9281.4599999999991</v>
      </c>
      <c r="O1892" t="s">
        <v>76</v>
      </c>
      <c r="P1892" t="s">
        <v>86</v>
      </c>
    </row>
    <row r="1893" spans="1:16" x14ac:dyDescent="0.25">
      <c r="A1893">
        <v>1892</v>
      </c>
      <c r="B1893" s="1">
        <v>45908</v>
      </c>
      <c r="C1893" t="s">
        <v>20</v>
      </c>
      <c r="D1893" t="s">
        <v>26</v>
      </c>
      <c r="E1893" t="s">
        <v>32</v>
      </c>
      <c r="F1893" t="s">
        <v>39</v>
      </c>
      <c r="G1893" t="s">
        <v>72</v>
      </c>
      <c r="H1893" t="s">
        <v>73</v>
      </c>
      <c r="I1893">
        <v>4</v>
      </c>
      <c r="J1893">
        <v>6788</v>
      </c>
      <c r="K1893">
        <v>0.1</v>
      </c>
      <c r="L1893">
        <v>24436.799999999999</v>
      </c>
      <c r="M1893">
        <v>20987.74</v>
      </c>
      <c r="N1893">
        <v>3449.06</v>
      </c>
      <c r="O1893" t="s">
        <v>78</v>
      </c>
      <c r="P1893" t="s">
        <v>84</v>
      </c>
    </row>
    <row r="1894" spans="1:16" x14ac:dyDescent="0.25">
      <c r="A1894">
        <v>1893</v>
      </c>
      <c r="B1894" s="1">
        <v>45768</v>
      </c>
      <c r="C1894" t="s">
        <v>19</v>
      </c>
      <c r="D1894" t="s">
        <v>26</v>
      </c>
      <c r="E1894" t="s">
        <v>29</v>
      </c>
      <c r="F1894" t="s">
        <v>45</v>
      </c>
      <c r="G1894" t="s">
        <v>72</v>
      </c>
      <c r="H1894" t="s">
        <v>75</v>
      </c>
      <c r="I1894">
        <v>7</v>
      </c>
      <c r="J1894">
        <v>4315</v>
      </c>
      <c r="K1894">
        <v>0.15</v>
      </c>
      <c r="L1894">
        <v>25674.25</v>
      </c>
      <c r="M1894">
        <v>16992.400000000001</v>
      </c>
      <c r="N1894">
        <v>8681.85</v>
      </c>
      <c r="O1894" t="s">
        <v>78</v>
      </c>
      <c r="P1894" t="s">
        <v>86</v>
      </c>
    </row>
    <row r="1895" spans="1:16" x14ac:dyDescent="0.25">
      <c r="A1895">
        <v>1894</v>
      </c>
      <c r="B1895" s="1">
        <v>45803</v>
      </c>
      <c r="C1895" t="s">
        <v>20</v>
      </c>
      <c r="D1895" t="s">
        <v>26</v>
      </c>
      <c r="E1895" t="s">
        <v>34</v>
      </c>
      <c r="F1895" t="s">
        <v>68</v>
      </c>
      <c r="G1895" t="s">
        <v>72</v>
      </c>
      <c r="H1895" t="s">
        <v>74</v>
      </c>
      <c r="I1895">
        <v>4</v>
      </c>
      <c r="J1895">
        <v>3195</v>
      </c>
      <c r="K1895">
        <v>0.1</v>
      </c>
      <c r="L1895">
        <v>11502</v>
      </c>
      <c r="M1895">
        <v>7739.62</v>
      </c>
      <c r="N1895">
        <v>3762.38</v>
      </c>
      <c r="O1895" t="s">
        <v>79</v>
      </c>
      <c r="P1895" t="s">
        <v>85</v>
      </c>
    </row>
    <row r="1896" spans="1:16" x14ac:dyDescent="0.25">
      <c r="A1896">
        <v>1895</v>
      </c>
      <c r="B1896" s="1">
        <v>45710</v>
      </c>
      <c r="C1896" t="s">
        <v>20</v>
      </c>
      <c r="D1896" t="s">
        <v>26</v>
      </c>
      <c r="E1896" t="s">
        <v>34</v>
      </c>
      <c r="F1896" t="s">
        <v>68</v>
      </c>
      <c r="G1896" t="s">
        <v>70</v>
      </c>
      <c r="H1896" t="s">
        <v>75</v>
      </c>
      <c r="I1896">
        <v>7</v>
      </c>
      <c r="J1896">
        <v>2662</v>
      </c>
      <c r="K1896">
        <v>0.05</v>
      </c>
      <c r="L1896">
        <v>17702.3</v>
      </c>
      <c r="M1896">
        <v>13606.07</v>
      </c>
      <c r="N1896">
        <v>4096.2299999999996</v>
      </c>
      <c r="O1896" t="s">
        <v>76</v>
      </c>
      <c r="P1896" t="s">
        <v>88</v>
      </c>
    </row>
    <row r="1897" spans="1:16" x14ac:dyDescent="0.25">
      <c r="A1897">
        <v>1896</v>
      </c>
      <c r="B1897" s="1">
        <v>45943</v>
      </c>
      <c r="C1897" t="s">
        <v>16</v>
      </c>
      <c r="D1897" t="s">
        <v>24</v>
      </c>
      <c r="E1897" t="s">
        <v>32</v>
      </c>
      <c r="F1897" t="s">
        <v>48</v>
      </c>
      <c r="G1897" t="s">
        <v>70</v>
      </c>
      <c r="H1897" t="s">
        <v>75</v>
      </c>
      <c r="I1897">
        <v>6</v>
      </c>
      <c r="J1897">
        <v>21919</v>
      </c>
      <c r="K1897">
        <v>0</v>
      </c>
      <c r="L1897">
        <v>131514</v>
      </c>
      <c r="M1897">
        <v>98056.87</v>
      </c>
      <c r="N1897">
        <v>33457.129999999997</v>
      </c>
      <c r="O1897" t="s">
        <v>79</v>
      </c>
      <c r="P1897" t="s">
        <v>85</v>
      </c>
    </row>
    <row r="1898" spans="1:16" x14ac:dyDescent="0.25">
      <c r="A1898">
        <v>1897</v>
      </c>
      <c r="B1898" s="1">
        <v>45730</v>
      </c>
      <c r="C1898" t="s">
        <v>20</v>
      </c>
      <c r="D1898" t="s">
        <v>26</v>
      </c>
      <c r="E1898" t="s">
        <v>28</v>
      </c>
      <c r="F1898" t="s">
        <v>58</v>
      </c>
      <c r="G1898" t="s">
        <v>72</v>
      </c>
      <c r="H1898" t="s">
        <v>75</v>
      </c>
      <c r="I1898">
        <v>2</v>
      </c>
      <c r="J1898">
        <v>1580</v>
      </c>
      <c r="K1898">
        <v>0</v>
      </c>
      <c r="L1898">
        <v>3160</v>
      </c>
      <c r="M1898">
        <v>2561.37</v>
      </c>
      <c r="N1898">
        <v>598.63</v>
      </c>
      <c r="O1898" t="s">
        <v>78</v>
      </c>
      <c r="P1898" t="s">
        <v>84</v>
      </c>
    </row>
    <row r="1899" spans="1:16" x14ac:dyDescent="0.25">
      <c r="A1899">
        <v>1898</v>
      </c>
      <c r="B1899" s="1">
        <v>45679</v>
      </c>
      <c r="C1899" t="s">
        <v>18</v>
      </c>
      <c r="D1899" t="s">
        <v>26</v>
      </c>
      <c r="E1899" t="s">
        <v>30</v>
      </c>
      <c r="F1899" t="s">
        <v>56</v>
      </c>
      <c r="G1899" t="s">
        <v>71</v>
      </c>
      <c r="H1899" t="s">
        <v>74</v>
      </c>
      <c r="I1899">
        <v>3</v>
      </c>
      <c r="J1899">
        <v>11007</v>
      </c>
      <c r="K1899">
        <v>0.05</v>
      </c>
      <c r="L1899">
        <v>31369.95</v>
      </c>
      <c r="M1899">
        <v>25993.919999999998</v>
      </c>
      <c r="N1899">
        <v>5376.03</v>
      </c>
      <c r="O1899" t="s">
        <v>80</v>
      </c>
      <c r="P1899" t="s">
        <v>87</v>
      </c>
    </row>
    <row r="1900" spans="1:16" x14ac:dyDescent="0.25">
      <c r="A1900">
        <v>1899</v>
      </c>
      <c r="B1900" s="1">
        <v>45703</v>
      </c>
      <c r="C1900" t="s">
        <v>16</v>
      </c>
      <c r="D1900" t="s">
        <v>24</v>
      </c>
      <c r="E1900" t="s">
        <v>31</v>
      </c>
      <c r="F1900" t="s">
        <v>47</v>
      </c>
      <c r="G1900" t="s">
        <v>72</v>
      </c>
      <c r="H1900" t="s">
        <v>74</v>
      </c>
      <c r="I1900">
        <v>2</v>
      </c>
      <c r="J1900">
        <v>739</v>
      </c>
      <c r="K1900">
        <v>0</v>
      </c>
      <c r="L1900">
        <v>1478</v>
      </c>
      <c r="M1900">
        <v>1012.17</v>
      </c>
      <c r="N1900">
        <v>465.83</v>
      </c>
      <c r="O1900" t="s">
        <v>79</v>
      </c>
      <c r="P1900" t="s">
        <v>81</v>
      </c>
    </row>
    <row r="1901" spans="1:16" x14ac:dyDescent="0.25">
      <c r="A1901">
        <v>1900</v>
      </c>
      <c r="B1901" s="1">
        <v>45952</v>
      </c>
      <c r="C1901" t="s">
        <v>21</v>
      </c>
      <c r="D1901" t="s">
        <v>24</v>
      </c>
      <c r="E1901" t="s">
        <v>31</v>
      </c>
      <c r="F1901" t="s">
        <v>38</v>
      </c>
      <c r="G1901" t="s">
        <v>70</v>
      </c>
      <c r="H1901" t="s">
        <v>74</v>
      </c>
      <c r="I1901">
        <v>4</v>
      </c>
      <c r="J1901">
        <v>1424</v>
      </c>
      <c r="K1901">
        <v>0</v>
      </c>
      <c r="L1901">
        <v>5696</v>
      </c>
      <c r="M1901">
        <v>3592.41</v>
      </c>
      <c r="N1901">
        <v>2103.59</v>
      </c>
      <c r="O1901" t="s">
        <v>77</v>
      </c>
      <c r="P1901" t="s">
        <v>88</v>
      </c>
    </row>
    <row r="1902" spans="1:16" x14ac:dyDescent="0.25">
      <c r="A1902">
        <v>1901</v>
      </c>
      <c r="B1902" s="1">
        <v>45831</v>
      </c>
      <c r="C1902" t="s">
        <v>21</v>
      </c>
      <c r="D1902" t="s">
        <v>24</v>
      </c>
      <c r="E1902" t="s">
        <v>29</v>
      </c>
      <c r="F1902" t="s">
        <v>53</v>
      </c>
      <c r="G1902" t="s">
        <v>70</v>
      </c>
      <c r="H1902" t="s">
        <v>75</v>
      </c>
      <c r="I1902">
        <v>6</v>
      </c>
      <c r="J1902">
        <v>558</v>
      </c>
      <c r="K1902">
        <v>0</v>
      </c>
      <c r="L1902">
        <v>3348</v>
      </c>
      <c r="M1902">
        <v>2881.92</v>
      </c>
      <c r="N1902">
        <v>466.08</v>
      </c>
      <c r="O1902" t="s">
        <v>77</v>
      </c>
      <c r="P1902" t="s">
        <v>85</v>
      </c>
    </row>
    <row r="1903" spans="1:16" x14ac:dyDescent="0.25">
      <c r="A1903">
        <v>1902</v>
      </c>
      <c r="B1903" s="1">
        <v>45895</v>
      </c>
      <c r="C1903" t="s">
        <v>21</v>
      </c>
      <c r="D1903" t="s">
        <v>24</v>
      </c>
      <c r="E1903" t="s">
        <v>31</v>
      </c>
      <c r="F1903" t="s">
        <v>38</v>
      </c>
      <c r="G1903" t="s">
        <v>72</v>
      </c>
      <c r="H1903" t="s">
        <v>75</v>
      </c>
      <c r="I1903">
        <v>5</v>
      </c>
      <c r="J1903">
        <v>988</v>
      </c>
      <c r="K1903">
        <v>0.2</v>
      </c>
      <c r="L1903">
        <v>3952</v>
      </c>
      <c r="M1903">
        <v>2545.6999999999998</v>
      </c>
      <c r="N1903">
        <v>1406.3</v>
      </c>
      <c r="O1903" t="s">
        <v>80</v>
      </c>
      <c r="P1903" t="s">
        <v>81</v>
      </c>
    </row>
    <row r="1904" spans="1:16" x14ac:dyDescent="0.25">
      <c r="A1904">
        <v>1903</v>
      </c>
      <c r="B1904" s="1">
        <v>45882</v>
      </c>
      <c r="C1904" t="s">
        <v>17</v>
      </c>
      <c r="D1904" t="s">
        <v>25</v>
      </c>
      <c r="E1904" t="s">
        <v>29</v>
      </c>
      <c r="F1904" t="s">
        <v>36</v>
      </c>
      <c r="G1904" t="s">
        <v>70</v>
      </c>
      <c r="H1904" t="s">
        <v>74</v>
      </c>
      <c r="I1904">
        <v>1</v>
      </c>
      <c r="J1904">
        <v>5423</v>
      </c>
      <c r="K1904">
        <v>0.1</v>
      </c>
      <c r="L1904">
        <v>4880.7</v>
      </c>
      <c r="M1904">
        <v>2895.88</v>
      </c>
      <c r="N1904">
        <v>1984.82</v>
      </c>
      <c r="O1904" t="s">
        <v>77</v>
      </c>
      <c r="P1904" t="s">
        <v>88</v>
      </c>
    </row>
    <row r="1905" spans="1:16" x14ac:dyDescent="0.25">
      <c r="A1905">
        <v>1904</v>
      </c>
      <c r="B1905" s="1">
        <v>45869</v>
      </c>
      <c r="C1905" t="s">
        <v>20</v>
      </c>
      <c r="D1905" t="s">
        <v>26</v>
      </c>
      <c r="E1905" t="s">
        <v>34</v>
      </c>
      <c r="F1905" t="s">
        <v>55</v>
      </c>
      <c r="G1905" t="s">
        <v>71</v>
      </c>
      <c r="H1905" t="s">
        <v>75</v>
      </c>
      <c r="I1905">
        <v>5</v>
      </c>
      <c r="J1905">
        <v>1904</v>
      </c>
      <c r="K1905">
        <v>0.05</v>
      </c>
      <c r="L1905">
        <v>9044</v>
      </c>
      <c r="M1905">
        <v>5191.05</v>
      </c>
      <c r="N1905">
        <v>3852.95</v>
      </c>
      <c r="O1905" t="s">
        <v>78</v>
      </c>
      <c r="P1905" t="s">
        <v>83</v>
      </c>
    </row>
    <row r="1906" spans="1:16" x14ac:dyDescent="0.25">
      <c r="A1906">
        <v>1905</v>
      </c>
      <c r="B1906" s="1">
        <v>45803</v>
      </c>
      <c r="C1906" t="s">
        <v>23</v>
      </c>
      <c r="D1906" t="s">
        <v>27</v>
      </c>
      <c r="E1906" t="s">
        <v>34</v>
      </c>
      <c r="F1906" t="s">
        <v>51</v>
      </c>
      <c r="G1906" t="s">
        <v>72</v>
      </c>
      <c r="H1906" t="s">
        <v>75</v>
      </c>
      <c r="I1906">
        <v>5</v>
      </c>
      <c r="J1906">
        <v>4074</v>
      </c>
      <c r="K1906">
        <v>0.05</v>
      </c>
      <c r="L1906">
        <v>19351.5</v>
      </c>
      <c r="M1906">
        <v>12213.2</v>
      </c>
      <c r="N1906">
        <v>7138.3</v>
      </c>
      <c r="O1906" t="s">
        <v>77</v>
      </c>
      <c r="P1906" t="s">
        <v>84</v>
      </c>
    </row>
    <row r="1907" spans="1:16" x14ac:dyDescent="0.25">
      <c r="A1907">
        <v>1906</v>
      </c>
      <c r="B1907" s="1">
        <v>45705</v>
      </c>
      <c r="C1907" t="s">
        <v>23</v>
      </c>
      <c r="D1907" t="s">
        <v>27</v>
      </c>
      <c r="E1907" t="s">
        <v>31</v>
      </c>
      <c r="F1907" t="s">
        <v>38</v>
      </c>
      <c r="G1907" t="s">
        <v>70</v>
      </c>
      <c r="H1907" t="s">
        <v>74</v>
      </c>
      <c r="I1907">
        <v>3</v>
      </c>
      <c r="J1907">
        <v>1171</v>
      </c>
      <c r="K1907">
        <v>0.05</v>
      </c>
      <c r="L1907">
        <v>3337.35</v>
      </c>
      <c r="M1907">
        <v>1983.62</v>
      </c>
      <c r="N1907">
        <v>1353.73</v>
      </c>
      <c r="O1907" t="s">
        <v>77</v>
      </c>
      <c r="P1907" t="s">
        <v>81</v>
      </c>
    </row>
    <row r="1908" spans="1:16" x14ac:dyDescent="0.25">
      <c r="A1908">
        <v>1907</v>
      </c>
      <c r="B1908" s="1">
        <v>45990</v>
      </c>
      <c r="C1908" t="s">
        <v>19</v>
      </c>
      <c r="D1908" t="s">
        <v>26</v>
      </c>
      <c r="E1908" t="s">
        <v>30</v>
      </c>
      <c r="F1908" t="s">
        <v>40</v>
      </c>
      <c r="G1908" t="s">
        <v>71</v>
      </c>
      <c r="H1908" t="s">
        <v>73</v>
      </c>
      <c r="I1908">
        <v>4</v>
      </c>
      <c r="J1908">
        <v>47142</v>
      </c>
      <c r="K1908">
        <v>0.05</v>
      </c>
      <c r="L1908">
        <v>179139.6</v>
      </c>
      <c r="M1908">
        <v>122840.63</v>
      </c>
      <c r="N1908">
        <v>56298.97</v>
      </c>
      <c r="O1908" t="s">
        <v>77</v>
      </c>
      <c r="P1908" t="s">
        <v>84</v>
      </c>
    </row>
    <row r="1909" spans="1:16" x14ac:dyDescent="0.25">
      <c r="A1909">
        <v>1908</v>
      </c>
      <c r="B1909" s="1">
        <v>46013</v>
      </c>
      <c r="C1909" t="s">
        <v>16</v>
      </c>
      <c r="D1909" t="s">
        <v>24</v>
      </c>
      <c r="E1909" t="s">
        <v>33</v>
      </c>
      <c r="F1909" t="s">
        <v>41</v>
      </c>
      <c r="G1909" t="s">
        <v>71</v>
      </c>
      <c r="H1909" t="s">
        <v>73</v>
      </c>
      <c r="I1909">
        <v>8</v>
      </c>
      <c r="J1909">
        <v>46319</v>
      </c>
      <c r="K1909">
        <v>0.2</v>
      </c>
      <c r="L1909">
        <v>296441.59999999998</v>
      </c>
      <c r="M1909">
        <v>236125.32</v>
      </c>
      <c r="N1909">
        <v>60316.28</v>
      </c>
      <c r="O1909" t="s">
        <v>79</v>
      </c>
      <c r="P1909" t="s">
        <v>83</v>
      </c>
    </row>
    <row r="1910" spans="1:16" x14ac:dyDescent="0.25">
      <c r="A1910">
        <v>1909</v>
      </c>
      <c r="B1910" s="1">
        <v>45940</v>
      </c>
      <c r="C1910" t="s">
        <v>20</v>
      </c>
      <c r="D1910" t="s">
        <v>26</v>
      </c>
      <c r="E1910" t="s">
        <v>33</v>
      </c>
      <c r="F1910" t="s">
        <v>59</v>
      </c>
      <c r="G1910" t="s">
        <v>71</v>
      </c>
      <c r="H1910" t="s">
        <v>75</v>
      </c>
      <c r="I1910">
        <v>8</v>
      </c>
      <c r="J1910">
        <v>47397</v>
      </c>
      <c r="K1910">
        <v>0.15</v>
      </c>
      <c r="L1910">
        <v>322299.59999999998</v>
      </c>
      <c r="M1910">
        <v>228291.85</v>
      </c>
      <c r="N1910">
        <v>94007.75</v>
      </c>
      <c r="O1910" t="s">
        <v>79</v>
      </c>
      <c r="P1910" t="s">
        <v>86</v>
      </c>
    </row>
    <row r="1911" spans="1:16" x14ac:dyDescent="0.25">
      <c r="A1911">
        <v>1910</v>
      </c>
      <c r="B1911" s="1">
        <v>45971</v>
      </c>
      <c r="C1911" t="s">
        <v>20</v>
      </c>
      <c r="D1911" t="s">
        <v>26</v>
      </c>
      <c r="E1911" t="s">
        <v>29</v>
      </c>
      <c r="F1911" t="s">
        <v>42</v>
      </c>
      <c r="G1911" t="s">
        <v>72</v>
      </c>
      <c r="H1911" t="s">
        <v>73</v>
      </c>
      <c r="I1911">
        <v>4</v>
      </c>
      <c r="J1911">
        <v>933</v>
      </c>
      <c r="K1911">
        <v>0.1</v>
      </c>
      <c r="L1911">
        <v>3358.8</v>
      </c>
      <c r="M1911">
        <v>2101.7600000000002</v>
      </c>
      <c r="N1911">
        <v>1257.04</v>
      </c>
      <c r="O1911" t="s">
        <v>76</v>
      </c>
      <c r="P1911" t="s">
        <v>88</v>
      </c>
    </row>
    <row r="1912" spans="1:16" x14ac:dyDescent="0.25">
      <c r="A1912">
        <v>1911</v>
      </c>
      <c r="B1912" s="1">
        <v>45886</v>
      </c>
      <c r="C1912" t="s">
        <v>18</v>
      </c>
      <c r="D1912" t="s">
        <v>26</v>
      </c>
      <c r="E1912" t="s">
        <v>32</v>
      </c>
      <c r="F1912" t="s">
        <v>49</v>
      </c>
      <c r="G1912" t="s">
        <v>70</v>
      </c>
      <c r="H1912" t="s">
        <v>73</v>
      </c>
      <c r="I1912">
        <v>7</v>
      </c>
      <c r="J1912">
        <v>10041</v>
      </c>
      <c r="K1912">
        <v>0.05</v>
      </c>
      <c r="L1912">
        <v>66772.649999999994</v>
      </c>
      <c r="M1912">
        <v>41538.67</v>
      </c>
      <c r="N1912">
        <v>25233.98</v>
      </c>
      <c r="O1912" t="s">
        <v>78</v>
      </c>
      <c r="P1912" t="s">
        <v>83</v>
      </c>
    </row>
    <row r="1913" spans="1:16" x14ac:dyDescent="0.25">
      <c r="A1913">
        <v>1912</v>
      </c>
      <c r="B1913" s="1">
        <v>45970</v>
      </c>
      <c r="C1913" t="s">
        <v>17</v>
      </c>
      <c r="D1913" t="s">
        <v>25</v>
      </c>
      <c r="E1913" t="s">
        <v>34</v>
      </c>
      <c r="F1913" t="s">
        <v>43</v>
      </c>
      <c r="G1913" t="s">
        <v>72</v>
      </c>
      <c r="H1913" t="s">
        <v>73</v>
      </c>
      <c r="I1913">
        <v>3</v>
      </c>
      <c r="J1913">
        <v>893</v>
      </c>
      <c r="K1913">
        <v>0</v>
      </c>
      <c r="L1913">
        <v>2679</v>
      </c>
      <c r="M1913">
        <v>1696.81</v>
      </c>
      <c r="N1913">
        <v>982.19</v>
      </c>
      <c r="O1913" t="s">
        <v>79</v>
      </c>
      <c r="P1913" t="s">
        <v>82</v>
      </c>
    </row>
    <row r="1914" spans="1:16" x14ac:dyDescent="0.25">
      <c r="A1914">
        <v>1913</v>
      </c>
      <c r="B1914" s="1">
        <v>45962</v>
      </c>
      <c r="C1914" t="s">
        <v>23</v>
      </c>
      <c r="D1914" t="s">
        <v>27</v>
      </c>
      <c r="E1914" t="s">
        <v>31</v>
      </c>
      <c r="F1914" t="s">
        <v>38</v>
      </c>
      <c r="G1914" t="s">
        <v>71</v>
      </c>
      <c r="H1914" t="s">
        <v>75</v>
      </c>
      <c r="I1914">
        <v>4</v>
      </c>
      <c r="J1914">
        <v>641</v>
      </c>
      <c r="K1914">
        <v>0.15</v>
      </c>
      <c r="L1914">
        <v>2179.4</v>
      </c>
      <c r="M1914">
        <v>1779.65</v>
      </c>
      <c r="N1914">
        <v>399.75</v>
      </c>
      <c r="O1914" t="s">
        <v>79</v>
      </c>
      <c r="P1914" t="s">
        <v>88</v>
      </c>
    </row>
    <row r="1915" spans="1:16" x14ac:dyDescent="0.25">
      <c r="A1915">
        <v>1914</v>
      </c>
      <c r="B1915" s="1">
        <v>45658</v>
      </c>
      <c r="C1915" t="s">
        <v>18</v>
      </c>
      <c r="D1915" t="s">
        <v>26</v>
      </c>
      <c r="E1915" t="s">
        <v>29</v>
      </c>
      <c r="F1915" t="s">
        <v>45</v>
      </c>
      <c r="G1915" t="s">
        <v>71</v>
      </c>
      <c r="H1915" t="s">
        <v>73</v>
      </c>
      <c r="I1915">
        <v>2</v>
      </c>
      <c r="J1915">
        <v>7119</v>
      </c>
      <c r="K1915">
        <v>0.2</v>
      </c>
      <c r="L1915">
        <v>11390.4</v>
      </c>
      <c r="M1915">
        <v>7132.13</v>
      </c>
      <c r="N1915">
        <v>4258.2700000000004</v>
      </c>
      <c r="O1915" t="s">
        <v>78</v>
      </c>
      <c r="P1915" t="s">
        <v>85</v>
      </c>
    </row>
    <row r="1916" spans="1:16" x14ac:dyDescent="0.25">
      <c r="A1916">
        <v>1915</v>
      </c>
      <c r="B1916" s="1">
        <v>45959</v>
      </c>
      <c r="C1916" t="s">
        <v>19</v>
      </c>
      <c r="D1916" t="s">
        <v>26</v>
      </c>
      <c r="E1916" t="s">
        <v>33</v>
      </c>
      <c r="F1916" t="s">
        <v>41</v>
      </c>
      <c r="G1916" t="s">
        <v>70</v>
      </c>
      <c r="H1916" t="s">
        <v>73</v>
      </c>
      <c r="I1916">
        <v>2</v>
      </c>
      <c r="J1916">
        <v>48221</v>
      </c>
      <c r="K1916">
        <v>0.1</v>
      </c>
      <c r="L1916">
        <v>86797.8</v>
      </c>
      <c r="M1916">
        <v>59642.7</v>
      </c>
      <c r="N1916">
        <v>27155.1</v>
      </c>
      <c r="O1916" t="s">
        <v>79</v>
      </c>
      <c r="P1916" t="s">
        <v>85</v>
      </c>
    </row>
    <row r="1917" spans="1:16" x14ac:dyDescent="0.25">
      <c r="A1917">
        <v>1916</v>
      </c>
      <c r="B1917" s="1">
        <v>45883</v>
      </c>
      <c r="C1917" t="s">
        <v>21</v>
      </c>
      <c r="D1917" t="s">
        <v>24</v>
      </c>
      <c r="E1917" t="s">
        <v>31</v>
      </c>
      <c r="F1917" t="s">
        <v>47</v>
      </c>
      <c r="G1917" t="s">
        <v>72</v>
      </c>
      <c r="H1917" t="s">
        <v>75</v>
      </c>
      <c r="I1917">
        <v>4</v>
      </c>
      <c r="J1917">
        <v>883</v>
      </c>
      <c r="K1917">
        <v>0.05</v>
      </c>
      <c r="L1917">
        <v>3355.4</v>
      </c>
      <c r="M1917">
        <v>2099.92</v>
      </c>
      <c r="N1917">
        <v>1255.48</v>
      </c>
      <c r="O1917" t="s">
        <v>78</v>
      </c>
      <c r="P1917" t="s">
        <v>86</v>
      </c>
    </row>
    <row r="1918" spans="1:16" x14ac:dyDescent="0.25">
      <c r="A1918">
        <v>1917</v>
      </c>
      <c r="B1918" s="1">
        <v>45809</v>
      </c>
      <c r="C1918" t="s">
        <v>20</v>
      </c>
      <c r="D1918" t="s">
        <v>26</v>
      </c>
      <c r="E1918" t="s">
        <v>29</v>
      </c>
      <c r="F1918" t="s">
        <v>53</v>
      </c>
      <c r="G1918" t="s">
        <v>70</v>
      </c>
      <c r="H1918" t="s">
        <v>75</v>
      </c>
      <c r="I1918">
        <v>5</v>
      </c>
      <c r="J1918">
        <v>9940</v>
      </c>
      <c r="K1918">
        <v>0.1</v>
      </c>
      <c r="L1918">
        <v>44730</v>
      </c>
      <c r="M1918">
        <v>37744</v>
      </c>
      <c r="N1918">
        <v>6986</v>
      </c>
      <c r="O1918" t="s">
        <v>78</v>
      </c>
      <c r="P1918" t="s">
        <v>82</v>
      </c>
    </row>
    <row r="1919" spans="1:16" x14ac:dyDescent="0.25">
      <c r="A1919">
        <v>1918</v>
      </c>
      <c r="B1919" s="1">
        <v>45812</v>
      </c>
      <c r="C1919" t="s">
        <v>20</v>
      </c>
      <c r="D1919" t="s">
        <v>26</v>
      </c>
      <c r="E1919" t="s">
        <v>31</v>
      </c>
      <c r="F1919" t="s">
        <v>47</v>
      </c>
      <c r="G1919" t="s">
        <v>70</v>
      </c>
      <c r="H1919" t="s">
        <v>74</v>
      </c>
      <c r="I1919">
        <v>3</v>
      </c>
      <c r="J1919">
        <v>1610</v>
      </c>
      <c r="K1919">
        <v>0.1</v>
      </c>
      <c r="L1919">
        <v>4347</v>
      </c>
      <c r="M1919">
        <v>3708.77</v>
      </c>
      <c r="N1919">
        <v>638.23</v>
      </c>
      <c r="O1919" t="s">
        <v>79</v>
      </c>
      <c r="P1919" t="s">
        <v>86</v>
      </c>
    </row>
    <row r="1920" spans="1:16" x14ac:dyDescent="0.25">
      <c r="A1920">
        <v>1919</v>
      </c>
      <c r="B1920" s="1">
        <v>45672</v>
      </c>
      <c r="C1920" t="s">
        <v>21</v>
      </c>
      <c r="D1920" t="s">
        <v>24</v>
      </c>
      <c r="E1920" t="s">
        <v>30</v>
      </c>
      <c r="F1920" t="s">
        <v>40</v>
      </c>
      <c r="G1920" t="s">
        <v>70</v>
      </c>
      <c r="H1920" t="s">
        <v>75</v>
      </c>
      <c r="I1920">
        <v>3</v>
      </c>
      <c r="J1920">
        <v>32608</v>
      </c>
      <c r="K1920">
        <v>0</v>
      </c>
      <c r="L1920">
        <v>97824</v>
      </c>
      <c r="M1920">
        <v>67626.37</v>
      </c>
      <c r="N1920">
        <v>30197.63</v>
      </c>
      <c r="O1920" t="s">
        <v>79</v>
      </c>
      <c r="P1920" t="s">
        <v>85</v>
      </c>
    </row>
    <row r="1921" spans="1:16" x14ac:dyDescent="0.25">
      <c r="A1921">
        <v>1920</v>
      </c>
      <c r="B1921" s="1">
        <v>45771</v>
      </c>
      <c r="C1921" t="s">
        <v>18</v>
      </c>
      <c r="D1921" t="s">
        <v>26</v>
      </c>
      <c r="E1921" t="s">
        <v>28</v>
      </c>
      <c r="F1921" t="s">
        <v>63</v>
      </c>
      <c r="G1921" t="s">
        <v>70</v>
      </c>
      <c r="H1921" t="s">
        <v>75</v>
      </c>
      <c r="I1921">
        <v>5</v>
      </c>
      <c r="J1921">
        <v>363</v>
      </c>
      <c r="K1921">
        <v>0</v>
      </c>
      <c r="L1921">
        <v>1815</v>
      </c>
      <c r="M1921">
        <v>1387</v>
      </c>
      <c r="N1921">
        <v>428</v>
      </c>
      <c r="O1921" t="s">
        <v>80</v>
      </c>
      <c r="P1921" t="s">
        <v>85</v>
      </c>
    </row>
    <row r="1922" spans="1:16" x14ac:dyDescent="0.25">
      <c r="A1922">
        <v>1921</v>
      </c>
      <c r="B1922" s="1">
        <v>45778</v>
      </c>
      <c r="C1922" t="s">
        <v>17</v>
      </c>
      <c r="D1922" t="s">
        <v>25</v>
      </c>
      <c r="E1922" t="s">
        <v>28</v>
      </c>
      <c r="F1922" t="s">
        <v>63</v>
      </c>
      <c r="G1922" t="s">
        <v>70</v>
      </c>
      <c r="H1922" t="s">
        <v>73</v>
      </c>
      <c r="I1922">
        <v>7</v>
      </c>
      <c r="J1922">
        <v>2260</v>
      </c>
      <c r="K1922">
        <v>0.05</v>
      </c>
      <c r="L1922">
        <v>15029</v>
      </c>
      <c r="M1922">
        <v>10003.49</v>
      </c>
      <c r="N1922">
        <v>5025.51</v>
      </c>
      <c r="O1922" t="s">
        <v>78</v>
      </c>
      <c r="P1922" t="s">
        <v>86</v>
      </c>
    </row>
    <row r="1923" spans="1:16" x14ac:dyDescent="0.25">
      <c r="A1923">
        <v>1922</v>
      </c>
      <c r="B1923" s="1">
        <v>45951</v>
      </c>
      <c r="C1923" t="s">
        <v>18</v>
      </c>
      <c r="D1923" t="s">
        <v>26</v>
      </c>
      <c r="E1923" t="s">
        <v>33</v>
      </c>
      <c r="F1923" t="s">
        <v>52</v>
      </c>
      <c r="G1923" t="s">
        <v>70</v>
      </c>
      <c r="H1923" t="s">
        <v>74</v>
      </c>
      <c r="I1923">
        <v>7</v>
      </c>
      <c r="J1923">
        <v>17977</v>
      </c>
      <c r="K1923">
        <v>0.15</v>
      </c>
      <c r="L1923">
        <v>106963.15</v>
      </c>
      <c r="M1923">
        <v>87673.08</v>
      </c>
      <c r="N1923">
        <v>19290.07</v>
      </c>
      <c r="O1923" t="s">
        <v>77</v>
      </c>
      <c r="P1923" t="s">
        <v>88</v>
      </c>
    </row>
    <row r="1924" spans="1:16" x14ac:dyDescent="0.25">
      <c r="A1924">
        <v>1923</v>
      </c>
      <c r="B1924" s="1">
        <v>45781</v>
      </c>
      <c r="C1924" t="s">
        <v>19</v>
      </c>
      <c r="D1924" t="s">
        <v>26</v>
      </c>
      <c r="E1924" t="s">
        <v>34</v>
      </c>
      <c r="F1924" t="s">
        <v>68</v>
      </c>
      <c r="G1924" t="s">
        <v>72</v>
      </c>
      <c r="H1924" t="s">
        <v>74</v>
      </c>
      <c r="I1924">
        <v>3</v>
      </c>
      <c r="J1924">
        <v>4887</v>
      </c>
      <c r="K1924">
        <v>0.1</v>
      </c>
      <c r="L1924">
        <v>13194.9</v>
      </c>
      <c r="M1924">
        <v>9910.93</v>
      </c>
      <c r="N1924">
        <v>3283.97</v>
      </c>
      <c r="O1924" t="s">
        <v>80</v>
      </c>
      <c r="P1924" t="s">
        <v>85</v>
      </c>
    </row>
    <row r="1925" spans="1:16" x14ac:dyDescent="0.25">
      <c r="A1925">
        <v>1924</v>
      </c>
      <c r="B1925" s="1">
        <v>45936</v>
      </c>
      <c r="C1925" t="s">
        <v>18</v>
      </c>
      <c r="D1925" t="s">
        <v>26</v>
      </c>
      <c r="E1925" t="s">
        <v>32</v>
      </c>
      <c r="F1925" t="s">
        <v>62</v>
      </c>
      <c r="G1925" t="s">
        <v>70</v>
      </c>
      <c r="H1925" t="s">
        <v>73</v>
      </c>
      <c r="I1925">
        <v>4</v>
      </c>
      <c r="J1925">
        <v>20239</v>
      </c>
      <c r="K1925">
        <v>0</v>
      </c>
      <c r="L1925">
        <v>80956</v>
      </c>
      <c r="M1925">
        <v>63103.17</v>
      </c>
      <c r="N1925">
        <v>17852.830000000002</v>
      </c>
      <c r="O1925" t="s">
        <v>77</v>
      </c>
      <c r="P1925" t="s">
        <v>83</v>
      </c>
    </row>
    <row r="1926" spans="1:16" x14ac:dyDescent="0.25">
      <c r="A1926">
        <v>1925</v>
      </c>
      <c r="B1926" s="1">
        <v>45848</v>
      </c>
      <c r="C1926" t="s">
        <v>20</v>
      </c>
      <c r="D1926" t="s">
        <v>26</v>
      </c>
      <c r="E1926" t="s">
        <v>32</v>
      </c>
      <c r="F1926" t="s">
        <v>39</v>
      </c>
      <c r="G1926" t="s">
        <v>70</v>
      </c>
      <c r="H1926" t="s">
        <v>73</v>
      </c>
      <c r="I1926">
        <v>2</v>
      </c>
      <c r="J1926">
        <v>23865</v>
      </c>
      <c r="K1926">
        <v>0.1</v>
      </c>
      <c r="L1926">
        <v>42957</v>
      </c>
      <c r="M1926">
        <v>26062.25</v>
      </c>
      <c r="N1926">
        <v>16894.75</v>
      </c>
      <c r="O1926" t="s">
        <v>78</v>
      </c>
      <c r="P1926" t="s">
        <v>83</v>
      </c>
    </row>
    <row r="1927" spans="1:16" x14ac:dyDescent="0.25">
      <c r="A1927">
        <v>1926</v>
      </c>
      <c r="B1927" s="1">
        <v>45983</v>
      </c>
      <c r="C1927" t="s">
        <v>20</v>
      </c>
      <c r="D1927" t="s">
        <v>26</v>
      </c>
      <c r="E1927" t="s">
        <v>30</v>
      </c>
      <c r="F1927" t="s">
        <v>37</v>
      </c>
      <c r="G1927" t="s">
        <v>72</v>
      </c>
      <c r="H1927" t="s">
        <v>75</v>
      </c>
      <c r="I1927">
        <v>7</v>
      </c>
      <c r="J1927">
        <v>38444</v>
      </c>
      <c r="K1927">
        <v>0</v>
      </c>
      <c r="L1927">
        <v>269108</v>
      </c>
      <c r="M1927">
        <v>225993.07</v>
      </c>
      <c r="N1927">
        <v>43114.93</v>
      </c>
      <c r="O1927" t="s">
        <v>80</v>
      </c>
      <c r="P1927" t="s">
        <v>84</v>
      </c>
    </row>
    <row r="1928" spans="1:16" x14ac:dyDescent="0.25">
      <c r="A1928">
        <v>1927</v>
      </c>
      <c r="B1928" s="1">
        <v>45835</v>
      </c>
      <c r="C1928" t="s">
        <v>19</v>
      </c>
      <c r="D1928" t="s">
        <v>26</v>
      </c>
      <c r="E1928" t="s">
        <v>29</v>
      </c>
      <c r="F1928" t="s">
        <v>53</v>
      </c>
      <c r="G1928" t="s">
        <v>70</v>
      </c>
      <c r="H1928" t="s">
        <v>73</v>
      </c>
      <c r="I1928">
        <v>6</v>
      </c>
      <c r="J1928">
        <v>7270</v>
      </c>
      <c r="K1928">
        <v>0</v>
      </c>
      <c r="L1928">
        <v>43620</v>
      </c>
      <c r="M1928">
        <v>30877.79</v>
      </c>
      <c r="N1928">
        <v>12742.21</v>
      </c>
      <c r="O1928" t="s">
        <v>79</v>
      </c>
      <c r="P1928" t="s">
        <v>83</v>
      </c>
    </row>
    <row r="1929" spans="1:16" x14ac:dyDescent="0.25">
      <c r="A1929">
        <v>1928</v>
      </c>
      <c r="B1929" s="1">
        <v>45829</v>
      </c>
      <c r="C1929" t="s">
        <v>20</v>
      </c>
      <c r="D1929" t="s">
        <v>26</v>
      </c>
      <c r="E1929" t="s">
        <v>29</v>
      </c>
      <c r="F1929" t="s">
        <v>36</v>
      </c>
      <c r="G1929" t="s">
        <v>72</v>
      </c>
      <c r="H1929" t="s">
        <v>75</v>
      </c>
      <c r="I1929">
        <v>5</v>
      </c>
      <c r="J1929">
        <v>8695</v>
      </c>
      <c r="K1929">
        <v>0.05</v>
      </c>
      <c r="L1929">
        <v>41301.25</v>
      </c>
      <c r="M1929">
        <v>31923.3</v>
      </c>
      <c r="N1929">
        <v>9377.9500000000007</v>
      </c>
      <c r="O1929" t="s">
        <v>78</v>
      </c>
      <c r="P1929" t="s">
        <v>82</v>
      </c>
    </row>
    <row r="1930" spans="1:16" x14ac:dyDescent="0.25">
      <c r="A1930">
        <v>1929</v>
      </c>
      <c r="B1930" s="1">
        <v>45857</v>
      </c>
      <c r="C1930" t="s">
        <v>19</v>
      </c>
      <c r="D1930" t="s">
        <v>26</v>
      </c>
      <c r="E1930" t="s">
        <v>33</v>
      </c>
      <c r="F1930" t="s">
        <v>52</v>
      </c>
      <c r="G1930" t="s">
        <v>70</v>
      </c>
      <c r="H1930" t="s">
        <v>74</v>
      </c>
      <c r="I1930">
        <v>5</v>
      </c>
      <c r="J1930">
        <v>45662</v>
      </c>
      <c r="K1930">
        <v>0</v>
      </c>
      <c r="L1930">
        <v>228310</v>
      </c>
      <c r="M1930">
        <v>161410.82999999999</v>
      </c>
      <c r="N1930">
        <v>66899.17</v>
      </c>
      <c r="O1930" t="s">
        <v>77</v>
      </c>
      <c r="P1930" t="s">
        <v>82</v>
      </c>
    </row>
    <row r="1931" spans="1:16" x14ac:dyDescent="0.25">
      <c r="A1931">
        <v>1930</v>
      </c>
      <c r="B1931" s="1">
        <v>45950</v>
      </c>
      <c r="C1931" t="s">
        <v>20</v>
      </c>
      <c r="D1931" t="s">
        <v>26</v>
      </c>
      <c r="E1931" t="s">
        <v>29</v>
      </c>
      <c r="F1931" t="s">
        <v>53</v>
      </c>
      <c r="G1931" t="s">
        <v>71</v>
      </c>
      <c r="H1931" t="s">
        <v>74</v>
      </c>
      <c r="I1931">
        <v>6</v>
      </c>
      <c r="J1931">
        <v>7367</v>
      </c>
      <c r="K1931">
        <v>0.1</v>
      </c>
      <c r="L1931">
        <v>39781.800000000003</v>
      </c>
      <c r="M1931">
        <v>25031.15</v>
      </c>
      <c r="N1931">
        <v>14750.65</v>
      </c>
      <c r="O1931" t="s">
        <v>79</v>
      </c>
      <c r="P1931" t="s">
        <v>84</v>
      </c>
    </row>
    <row r="1932" spans="1:16" x14ac:dyDescent="0.25">
      <c r="A1932">
        <v>1931</v>
      </c>
      <c r="B1932" s="1">
        <v>45943</v>
      </c>
      <c r="C1932" t="s">
        <v>22</v>
      </c>
      <c r="D1932" t="s">
        <v>24</v>
      </c>
      <c r="E1932" t="s">
        <v>34</v>
      </c>
      <c r="F1932" t="s">
        <v>43</v>
      </c>
      <c r="G1932" t="s">
        <v>70</v>
      </c>
      <c r="H1932" t="s">
        <v>73</v>
      </c>
      <c r="I1932">
        <v>2</v>
      </c>
      <c r="J1932">
        <v>4458</v>
      </c>
      <c r="K1932">
        <v>0.1</v>
      </c>
      <c r="L1932">
        <v>8024.4</v>
      </c>
      <c r="M1932">
        <v>5715.54</v>
      </c>
      <c r="N1932">
        <v>2308.86</v>
      </c>
      <c r="O1932" t="s">
        <v>76</v>
      </c>
      <c r="P1932" t="s">
        <v>87</v>
      </c>
    </row>
    <row r="1933" spans="1:16" x14ac:dyDescent="0.25">
      <c r="A1933">
        <v>1932</v>
      </c>
      <c r="B1933" s="1">
        <v>45837</v>
      </c>
      <c r="C1933" t="s">
        <v>19</v>
      </c>
      <c r="D1933" t="s">
        <v>26</v>
      </c>
      <c r="E1933" t="s">
        <v>33</v>
      </c>
      <c r="F1933" t="s">
        <v>46</v>
      </c>
      <c r="G1933" t="s">
        <v>72</v>
      </c>
      <c r="H1933" t="s">
        <v>73</v>
      </c>
      <c r="I1933">
        <v>3</v>
      </c>
      <c r="J1933">
        <v>31047</v>
      </c>
      <c r="K1933">
        <v>0.05</v>
      </c>
      <c r="L1933">
        <v>88483.95</v>
      </c>
      <c r="M1933">
        <v>73429.73</v>
      </c>
      <c r="N1933">
        <v>15054.22</v>
      </c>
      <c r="O1933" t="s">
        <v>76</v>
      </c>
      <c r="P1933" t="s">
        <v>82</v>
      </c>
    </row>
    <row r="1934" spans="1:16" x14ac:dyDescent="0.25">
      <c r="A1934">
        <v>1933</v>
      </c>
      <c r="B1934" s="1">
        <v>45943</v>
      </c>
      <c r="C1934" t="s">
        <v>16</v>
      </c>
      <c r="D1934" t="s">
        <v>24</v>
      </c>
      <c r="E1934" t="s">
        <v>29</v>
      </c>
      <c r="F1934" t="s">
        <v>53</v>
      </c>
      <c r="G1934" t="s">
        <v>70</v>
      </c>
      <c r="H1934" t="s">
        <v>75</v>
      </c>
      <c r="I1934">
        <v>4</v>
      </c>
      <c r="J1934">
        <v>11970</v>
      </c>
      <c r="K1934">
        <v>0.1</v>
      </c>
      <c r="L1934">
        <v>43092</v>
      </c>
      <c r="M1934">
        <v>26764.7</v>
      </c>
      <c r="N1934">
        <v>16327.3</v>
      </c>
      <c r="O1934" t="s">
        <v>78</v>
      </c>
      <c r="P1934" t="s">
        <v>83</v>
      </c>
    </row>
    <row r="1935" spans="1:16" x14ac:dyDescent="0.25">
      <c r="A1935">
        <v>1934</v>
      </c>
      <c r="B1935" s="1">
        <v>45782</v>
      </c>
      <c r="C1935" t="s">
        <v>23</v>
      </c>
      <c r="D1935" t="s">
        <v>27</v>
      </c>
      <c r="E1935" t="s">
        <v>34</v>
      </c>
      <c r="F1935" t="s">
        <v>43</v>
      </c>
      <c r="G1935" t="s">
        <v>71</v>
      </c>
      <c r="H1935" t="s">
        <v>75</v>
      </c>
      <c r="I1935">
        <v>6</v>
      </c>
      <c r="J1935">
        <v>3083</v>
      </c>
      <c r="K1935">
        <v>0</v>
      </c>
      <c r="L1935">
        <v>18498</v>
      </c>
      <c r="M1935">
        <v>15019.41</v>
      </c>
      <c r="N1935">
        <v>3478.59</v>
      </c>
      <c r="O1935" t="s">
        <v>76</v>
      </c>
      <c r="P1935" t="s">
        <v>82</v>
      </c>
    </row>
    <row r="1936" spans="1:16" x14ac:dyDescent="0.25">
      <c r="A1936">
        <v>1935</v>
      </c>
      <c r="B1936" s="1">
        <v>45902</v>
      </c>
      <c r="C1936" t="s">
        <v>21</v>
      </c>
      <c r="D1936" t="s">
        <v>24</v>
      </c>
      <c r="E1936" t="s">
        <v>30</v>
      </c>
      <c r="F1936" t="s">
        <v>44</v>
      </c>
      <c r="G1936" t="s">
        <v>70</v>
      </c>
      <c r="H1936" t="s">
        <v>74</v>
      </c>
      <c r="I1936">
        <v>6</v>
      </c>
      <c r="J1936">
        <v>39353</v>
      </c>
      <c r="K1936">
        <v>0.1</v>
      </c>
      <c r="L1936">
        <v>212506.2</v>
      </c>
      <c r="M1936">
        <v>183314.52</v>
      </c>
      <c r="N1936">
        <v>29191.68</v>
      </c>
      <c r="O1936" t="s">
        <v>76</v>
      </c>
      <c r="P1936" t="s">
        <v>88</v>
      </c>
    </row>
    <row r="1937" spans="1:16" x14ac:dyDescent="0.25">
      <c r="A1937">
        <v>1936</v>
      </c>
      <c r="B1937" s="1">
        <v>45823</v>
      </c>
      <c r="C1937" t="s">
        <v>23</v>
      </c>
      <c r="D1937" t="s">
        <v>27</v>
      </c>
      <c r="E1937" t="s">
        <v>32</v>
      </c>
      <c r="F1937" t="s">
        <v>66</v>
      </c>
      <c r="G1937" t="s">
        <v>70</v>
      </c>
      <c r="H1937" t="s">
        <v>74</v>
      </c>
      <c r="I1937">
        <v>3</v>
      </c>
      <c r="J1937">
        <v>6426</v>
      </c>
      <c r="K1937">
        <v>0.1</v>
      </c>
      <c r="L1937">
        <v>17350.2</v>
      </c>
      <c r="M1937">
        <v>11816.22</v>
      </c>
      <c r="N1937">
        <v>5533.98</v>
      </c>
      <c r="O1937" t="s">
        <v>77</v>
      </c>
      <c r="P1937" t="s">
        <v>85</v>
      </c>
    </row>
    <row r="1938" spans="1:16" x14ac:dyDescent="0.25">
      <c r="A1938">
        <v>1937</v>
      </c>
      <c r="B1938" s="1">
        <v>45811</v>
      </c>
      <c r="C1938" t="s">
        <v>22</v>
      </c>
      <c r="D1938" t="s">
        <v>24</v>
      </c>
      <c r="E1938" t="s">
        <v>33</v>
      </c>
      <c r="F1938" t="s">
        <v>52</v>
      </c>
      <c r="G1938" t="s">
        <v>71</v>
      </c>
      <c r="H1938" t="s">
        <v>75</v>
      </c>
      <c r="I1938">
        <v>4</v>
      </c>
      <c r="J1938">
        <v>35842</v>
      </c>
      <c r="K1938">
        <v>0</v>
      </c>
      <c r="L1938">
        <v>143368</v>
      </c>
      <c r="M1938">
        <v>114649.65</v>
      </c>
      <c r="N1938">
        <v>28718.35</v>
      </c>
      <c r="O1938" t="s">
        <v>79</v>
      </c>
      <c r="P1938" t="s">
        <v>82</v>
      </c>
    </row>
    <row r="1939" spans="1:16" x14ac:dyDescent="0.25">
      <c r="A1939">
        <v>1938</v>
      </c>
      <c r="B1939" s="1">
        <v>45764</v>
      </c>
      <c r="C1939" t="s">
        <v>19</v>
      </c>
      <c r="D1939" t="s">
        <v>26</v>
      </c>
      <c r="E1939" t="s">
        <v>28</v>
      </c>
      <c r="F1939" t="s">
        <v>35</v>
      </c>
      <c r="G1939" t="s">
        <v>72</v>
      </c>
      <c r="H1939" t="s">
        <v>75</v>
      </c>
      <c r="I1939">
        <v>2</v>
      </c>
      <c r="J1939">
        <v>376</v>
      </c>
      <c r="K1939">
        <v>0.1</v>
      </c>
      <c r="L1939">
        <v>676.8</v>
      </c>
      <c r="M1939">
        <v>522.22</v>
      </c>
      <c r="N1939">
        <v>154.58000000000001</v>
      </c>
      <c r="O1939" t="s">
        <v>77</v>
      </c>
      <c r="P1939" t="s">
        <v>83</v>
      </c>
    </row>
    <row r="1940" spans="1:16" x14ac:dyDescent="0.25">
      <c r="A1940">
        <v>1939</v>
      </c>
      <c r="B1940" s="1">
        <v>45752</v>
      </c>
      <c r="C1940" t="s">
        <v>18</v>
      </c>
      <c r="D1940" t="s">
        <v>26</v>
      </c>
      <c r="E1940" t="s">
        <v>33</v>
      </c>
      <c r="F1940" t="s">
        <v>59</v>
      </c>
      <c r="G1940" t="s">
        <v>71</v>
      </c>
      <c r="H1940" t="s">
        <v>75</v>
      </c>
      <c r="I1940">
        <v>7</v>
      </c>
      <c r="J1940">
        <v>40485</v>
      </c>
      <c r="K1940">
        <v>0.1</v>
      </c>
      <c r="L1940">
        <v>255055.5</v>
      </c>
      <c r="M1940">
        <v>173731.79</v>
      </c>
      <c r="N1940">
        <v>81323.710000000006</v>
      </c>
      <c r="O1940" t="s">
        <v>80</v>
      </c>
      <c r="P1940" t="s">
        <v>88</v>
      </c>
    </row>
    <row r="1941" spans="1:16" x14ac:dyDescent="0.25">
      <c r="A1941">
        <v>1940</v>
      </c>
      <c r="B1941" s="1">
        <v>46022</v>
      </c>
      <c r="C1941" t="s">
        <v>17</v>
      </c>
      <c r="D1941" t="s">
        <v>25</v>
      </c>
      <c r="E1941" t="s">
        <v>28</v>
      </c>
      <c r="F1941" t="s">
        <v>58</v>
      </c>
      <c r="G1941" t="s">
        <v>70</v>
      </c>
      <c r="H1941" t="s">
        <v>75</v>
      </c>
      <c r="I1941">
        <v>6</v>
      </c>
      <c r="J1941">
        <v>900</v>
      </c>
      <c r="K1941">
        <v>0.05</v>
      </c>
      <c r="L1941">
        <v>5130</v>
      </c>
      <c r="M1941">
        <v>2979.97</v>
      </c>
      <c r="N1941">
        <v>2150.0300000000002</v>
      </c>
      <c r="O1941" t="s">
        <v>76</v>
      </c>
      <c r="P1941" t="s">
        <v>86</v>
      </c>
    </row>
    <row r="1942" spans="1:16" x14ac:dyDescent="0.25">
      <c r="A1942">
        <v>1941</v>
      </c>
      <c r="B1942" s="1">
        <v>45762</v>
      </c>
      <c r="C1942" t="s">
        <v>16</v>
      </c>
      <c r="D1942" t="s">
        <v>24</v>
      </c>
      <c r="E1942" t="s">
        <v>28</v>
      </c>
      <c r="F1942" t="s">
        <v>61</v>
      </c>
      <c r="G1942" t="s">
        <v>71</v>
      </c>
      <c r="H1942" t="s">
        <v>74</v>
      </c>
      <c r="I1942">
        <v>3</v>
      </c>
      <c r="J1942">
        <v>1474</v>
      </c>
      <c r="K1942">
        <v>0.1</v>
      </c>
      <c r="L1942">
        <v>3979.8</v>
      </c>
      <c r="M1942">
        <v>2976.25</v>
      </c>
      <c r="N1942">
        <v>1003.55</v>
      </c>
      <c r="O1942" t="s">
        <v>80</v>
      </c>
      <c r="P1942" t="s">
        <v>83</v>
      </c>
    </row>
    <row r="1943" spans="1:16" x14ac:dyDescent="0.25">
      <c r="A1943">
        <v>1942</v>
      </c>
      <c r="B1943" s="1">
        <v>46009</v>
      </c>
      <c r="C1943" t="s">
        <v>23</v>
      </c>
      <c r="D1943" t="s">
        <v>27</v>
      </c>
      <c r="E1943" t="s">
        <v>33</v>
      </c>
      <c r="F1943" t="s">
        <v>41</v>
      </c>
      <c r="G1943" t="s">
        <v>72</v>
      </c>
      <c r="H1943" t="s">
        <v>75</v>
      </c>
      <c r="I1943">
        <v>3</v>
      </c>
      <c r="J1943">
        <v>49630</v>
      </c>
      <c r="K1943">
        <v>0.05</v>
      </c>
      <c r="L1943">
        <v>141445.5</v>
      </c>
      <c r="M1943">
        <v>86888.46</v>
      </c>
      <c r="N1943">
        <v>54557.04</v>
      </c>
      <c r="O1943" t="s">
        <v>77</v>
      </c>
      <c r="P1943" t="s">
        <v>82</v>
      </c>
    </row>
    <row r="1944" spans="1:16" x14ac:dyDescent="0.25">
      <c r="A1944">
        <v>1943</v>
      </c>
      <c r="B1944" s="1">
        <v>45881</v>
      </c>
      <c r="C1944" t="s">
        <v>18</v>
      </c>
      <c r="D1944" t="s">
        <v>26</v>
      </c>
      <c r="E1944" t="s">
        <v>28</v>
      </c>
      <c r="F1944" t="s">
        <v>61</v>
      </c>
      <c r="G1944" t="s">
        <v>70</v>
      </c>
      <c r="H1944" t="s">
        <v>73</v>
      </c>
      <c r="I1944">
        <v>5</v>
      </c>
      <c r="J1944">
        <v>375</v>
      </c>
      <c r="K1944">
        <v>0.05</v>
      </c>
      <c r="L1944">
        <v>1781.25</v>
      </c>
      <c r="M1944">
        <v>1547.64</v>
      </c>
      <c r="N1944">
        <v>233.61</v>
      </c>
      <c r="O1944" t="s">
        <v>80</v>
      </c>
      <c r="P1944" t="s">
        <v>86</v>
      </c>
    </row>
    <row r="1945" spans="1:16" x14ac:dyDescent="0.25">
      <c r="A1945">
        <v>1944</v>
      </c>
      <c r="B1945" s="1">
        <v>45785</v>
      </c>
      <c r="C1945" t="s">
        <v>19</v>
      </c>
      <c r="D1945" t="s">
        <v>26</v>
      </c>
      <c r="E1945" t="s">
        <v>34</v>
      </c>
      <c r="F1945" t="s">
        <v>68</v>
      </c>
      <c r="G1945" t="s">
        <v>70</v>
      </c>
      <c r="H1945" t="s">
        <v>73</v>
      </c>
      <c r="I1945">
        <v>2</v>
      </c>
      <c r="J1945">
        <v>3454</v>
      </c>
      <c r="K1945">
        <v>0.05</v>
      </c>
      <c r="L1945">
        <v>6562.6</v>
      </c>
      <c r="M1945">
        <v>4216.26</v>
      </c>
      <c r="N1945">
        <v>2346.34</v>
      </c>
      <c r="O1945" t="s">
        <v>80</v>
      </c>
      <c r="P1945" t="s">
        <v>81</v>
      </c>
    </row>
    <row r="1946" spans="1:16" x14ac:dyDescent="0.25">
      <c r="A1946">
        <v>1945</v>
      </c>
      <c r="B1946" s="1">
        <v>45963</v>
      </c>
      <c r="C1946" t="s">
        <v>23</v>
      </c>
      <c r="D1946" t="s">
        <v>27</v>
      </c>
      <c r="E1946" t="s">
        <v>34</v>
      </c>
      <c r="F1946" t="s">
        <v>51</v>
      </c>
      <c r="G1946" t="s">
        <v>72</v>
      </c>
      <c r="H1946" t="s">
        <v>73</v>
      </c>
      <c r="I1946">
        <v>2</v>
      </c>
      <c r="J1946">
        <v>4218</v>
      </c>
      <c r="K1946">
        <v>0.05</v>
      </c>
      <c r="L1946">
        <v>8014.2</v>
      </c>
      <c r="M1946">
        <v>6263.33</v>
      </c>
      <c r="N1946">
        <v>1750.87</v>
      </c>
      <c r="O1946" t="s">
        <v>79</v>
      </c>
      <c r="P1946" t="s">
        <v>87</v>
      </c>
    </row>
    <row r="1947" spans="1:16" x14ac:dyDescent="0.25">
      <c r="A1947">
        <v>1946</v>
      </c>
      <c r="B1947" s="1">
        <v>45767</v>
      </c>
      <c r="C1947" t="s">
        <v>17</v>
      </c>
      <c r="D1947" t="s">
        <v>25</v>
      </c>
      <c r="E1947" t="s">
        <v>34</v>
      </c>
      <c r="F1947" t="s">
        <v>55</v>
      </c>
      <c r="G1947" t="s">
        <v>72</v>
      </c>
      <c r="H1947" t="s">
        <v>74</v>
      </c>
      <c r="I1947">
        <v>7</v>
      </c>
      <c r="J1947">
        <v>3084</v>
      </c>
      <c r="K1947">
        <v>0.05</v>
      </c>
      <c r="L1947">
        <v>20508.599999999999</v>
      </c>
      <c r="M1947">
        <v>13526.64</v>
      </c>
      <c r="N1947">
        <v>6981.96</v>
      </c>
      <c r="O1947" t="s">
        <v>79</v>
      </c>
      <c r="P1947" t="s">
        <v>87</v>
      </c>
    </row>
    <row r="1948" spans="1:16" x14ac:dyDescent="0.25">
      <c r="A1948">
        <v>1947</v>
      </c>
      <c r="B1948" s="1">
        <v>45992</v>
      </c>
      <c r="C1948" t="s">
        <v>22</v>
      </c>
      <c r="D1948" t="s">
        <v>24</v>
      </c>
      <c r="E1948" t="s">
        <v>32</v>
      </c>
      <c r="F1948" t="s">
        <v>66</v>
      </c>
      <c r="G1948" t="s">
        <v>71</v>
      </c>
      <c r="H1948" t="s">
        <v>73</v>
      </c>
      <c r="I1948">
        <v>3</v>
      </c>
      <c r="J1948">
        <v>22625</v>
      </c>
      <c r="K1948">
        <v>0.05</v>
      </c>
      <c r="L1948">
        <v>64481.25</v>
      </c>
      <c r="M1948">
        <v>38608.769999999997</v>
      </c>
      <c r="N1948">
        <v>25872.48</v>
      </c>
      <c r="O1948" t="s">
        <v>79</v>
      </c>
      <c r="P1948" t="s">
        <v>84</v>
      </c>
    </row>
    <row r="1949" spans="1:16" x14ac:dyDescent="0.25">
      <c r="A1949">
        <v>1948</v>
      </c>
      <c r="B1949" s="1">
        <v>45999</v>
      </c>
      <c r="C1949" t="s">
        <v>21</v>
      </c>
      <c r="D1949" t="s">
        <v>24</v>
      </c>
      <c r="E1949" t="s">
        <v>31</v>
      </c>
      <c r="F1949" t="s">
        <v>69</v>
      </c>
      <c r="G1949" t="s">
        <v>72</v>
      </c>
      <c r="H1949" t="s">
        <v>73</v>
      </c>
      <c r="I1949">
        <v>6</v>
      </c>
      <c r="J1949">
        <v>838</v>
      </c>
      <c r="K1949">
        <v>0.05</v>
      </c>
      <c r="L1949">
        <v>4776.6000000000004</v>
      </c>
      <c r="M1949">
        <v>3094.4</v>
      </c>
      <c r="N1949">
        <v>1682.2</v>
      </c>
      <c r="O1949" t="s">
        <v>78</v>
      </c>
      <c r="P1949" t="s">
        <v>84</v>
      </c>
    </row>
    <row r="1950" spans="1:16" x14ac:dyDescent="0.25">
      <c r="A1950">
        <v>1949</v>
      </c>
      <c r="B1950" s="1">
        <v>45680</v>
      </c>
      <c r="C1950" t="s">
        <v>21</v>
      </c>
      <c r="D1950" t="s">
        <v>24</v>
      </c>
      <c r="E1950" t="s">
        <v>30</v>
      </c>
      <c r="F1950" t="s">
        <v>64</v>
      </c>
      <c r="G1950" t="s">
        <v>70</v>
      </c>
      <c r="H1950" t="s">
        <v>74</v>
      </c>
      <c r="I1950">
        <v>4</v>
      </c>
      <c r="J1950">
        <v>16853</v>
      </c>
      <c r="K1950">
        <v>0.05</v>
      </c>
      <c r="L1950">
        <v>64041.4</v>
      </c>
      <c r="M1950">
        <v>46098.13</v>
      </c>
      <c r="N1950">
        <v>17943.27</v>
      </c>
      <c r="O1950" t="s">
        <v>76</v>
      </c>
      <c r="P1950" t="s">
        <v>83</v>
      </c>
    </row>
    <row r="1951" spans="1:16" x14ac:dyDescent="0.25">
      <c r="A1951">
        <v>1950</v>
      </c>
      <c r="B1951" s="1">
        <v>45894</v>
      </c>
      <c r="C1951" t="s">
        <v>17</v>
      </c>
      <c r="D1951" t="s">
        <v>25</v>
      </c>
      <c r="E1951" t="s">
        <v>29</v>
      </c>
      <c r="F1951" t="s">
        <v>53</v>
      </c>
      <c r="G1951" t="s">
        <v>70</v>
      </c>
      <c r="H1951" t="s">
        <v>74</v>
      </c>
      <c r="I1951">
        <v>7</v>
      </c>
      <c r="J1951">
        <v>8581</v>
      </c>
      <c r="K1951">
        <v>0.05</v>
      </c>
      <c r="L1951">
        <v>57063.65</v>
      </c>
      <c r="M1951">
        <v>47732.5</v>
      </c>
      <c r="N1951">
        <v>9331.15</v>
      </c>
      <c r="O1951" t="s">
        <v>76</v>
      </c>
      <c r="P1951" t="s">
        <v>88</v>
      </c>
    </row>
    <row r="1952" spans="1:16" x14ac:dyDescent="0.25">
      <c r="A1952">
        <v>1951</v>
      </c>
      <c r="B1952" s="1">
        <v>45892</v>
      </c>
      <c r="C1952" t="s">
        <v>17</v>
      </c>
      <c r="D1952" t="s">
        <v>25</v>
      </c>
      <c r="E1952" t="s">
        <v>34</v>
      </c>
      <c r="F1952" t="s">
        <v>51</v>
      </c>
      <c r="G1952" t="s">
        <v>70</v>
      </c>
      <c r="H1952" t="s">
        <v>75</v>
      </c>
      <c r="I1952">
        <v>1</v>
      </c>
      <c r="J1952">
        <v>4813</v>
      </c>
      <c r="K1952">
        <v>0</v>
      </c>
      <c r="L1952">
        <v>4813</v>
      </c>
      <c r="M1952">
        <v>4062.02</v>
      </c>
      <c r="N1952">
        <v>750.98</v>
      </c>
      <c r="O1952" t="s">
        <v>80</v>
      </c>
      <c r="P1952" t="s">
        <v>85</v>
      </c>
    </row>
    <row r="1953" spans="1:16" x14ac:dyDescent="0.25">
      <c r="A1953">
        <v>1952</v>
      </c>
      <c r="B1953" s="1">
        <v>45805</v>
      </c>
      <c r="C1953" t="s">
        <v>18</v>
      </c>
      <c r="D1953" t="s">
        <v>26</v>
      </c>
      <c r="E1953" t="s">
        <v>34</v>
      </c>
      <c r="F1953" t="s">
        <v>68</v>
      </c>
      <c r="G1953" t="s">
        <v>72</v>
      </c>
      <c r="H1953" t="s">
        <v>73</v>
      </c>
      <c r="I1953">
        <v>6</v>
      </c>
      <c r="J1953">
        <v>2274</v>
      </c>
      <c r="K1953">
        <v>0.1</v>
      </c>
      <c r="L1953">
        <v>12279.6</v>
      </c>
      <c r="M1953">
        <v>9350.2900000000009</v>
      </c>
      <c r="N1953">
        <v>2929.31</v>
      </c>
      <c r="O1953" t="s">
        <v>80</v>
      </c>
      <c r="P1953" t="s">
        <v>82</v>
      </c>
    </row>
    <row r="1954" spans="1:16" x14ac:dyDescent="0.25">
      <c r="A1954">
        <v>1953</v>
      </c>
      <c r="B1954" s="1">
        <v>45704</v>
      </c>
      <c r="C1954" t="s">
        <v>20</v>
      </c>
      <c r="D1954" t="s">
        <v>26</v>
      </c>
      <c r="E1954" t="s">
        <v>34</v>
      </c>
      <c r="F1954" t="s">
        <v>65</v>
      </c>
      <c r="G1954" t="s">
        <v>70</v>
      </c>
      <c r="H1954" t="s">
        <v>75</v>
      </c>
      <c r="I1954">
        <v>7</v>
      </c>
      <c r="J1954">
        <v>5271</v>
      </c>
      <c r="K1954">
        <v>0.05</v>
      </c>
      <c r="L1954">
        <v>35052.15</v>
      </c>
      <c r="M1954">
        <v>24137.31</v>
      </c>
      <c r="N1954">
        <v>10914.84</v>
      </c>
      <c r="O1954" t="s">
        <v>80</v>
      </c>
      <c r="P1954" t="s">
        <v>88</v>
      </c>
    </row>
    <row r="1955" spans="1:16" x14ac:dyDescent="0.25">
      <c r="A1955">
        <v>1954</v>
      </c>
      <c r="B1955" s="1">
        <v>45711</v>
      </c>
      <c r="C1955" t="s">
        <v>23</v>
      </c>
      <c r="D1955" t="s">
        <v>27</v>
      </c>
      <c r="E1955" t="s">
        <v>30</v>
      </c>
      <c r="F1955" t="s">
        <v>44</v>
      </c>
      <c r="G1955" t="s">
        <v>72</v>
      </c>
      <c r="H1955" t="s">
        <v>75</v>
      </c>
      <c r="I1955">
        <v>8</v>
      </c>
      <c r="J1955">
        <v>13824</v>
      </c>
      <c r="K1955">
        <v>0</v>
      </c>
      <c r="L1955">
        <v>110592</v>
      </c>
      <c r="M1955">
        <v>71058.02</v>
      </c>
      <c r="N1955">
        <v>39533.980000000003</v>
      </c>
      <c r="O1955" t="s">
        <v>79</v>
      </c>
      <c r="P1955" t="s">
        <v>86</v>
      </c>
    </row>
    <row r="1956" spans="1:16" x14ac:dyDescent="0.25">
      <c r="A1956">
        <v>1955</v>
      </c>
      <c r="B1956" s="1">
        <v>45667</v>
      </c>
      <c r="C1956" t="s">
        <v>18</v>
      </c>
      <c r="D1956" t="s">
        <v>26</v>
      </c>
      <c r="E1956" t="s">
        <v>30</v>
      </c>
      <c r="F1956" t="s">
        <v>44</v>
      </c>
      <c r="G1956" t="s">
        <v>70</v>
      </c>
      <c r="H1956" t="s">
        <v>75</v>
      </c>
      <c r="I1956">
        <v>2</v>
      </c>
      <c r="J1956">
        <v>46554</v>
      </c>
      <c r="K1956">
        <v>0</v>
      </c>
      <c r="L1956">
        <v>93108</v>
      </c>
      <c r="M1956">
        <v>63617.33</v>
      </c>
      <c r="N1956">
        <v>29490.67</v>
      </c>
      <c r="O1956" t="s">
        <v>78</v>
      </c>
      <c r="P1956" t="s">
        <v>83</v>
      </c>
    </row>
    <row r="1957" spans="1:16" x14ac:dyDescent="0.25">
      <c r="A1957">
        <v>1956</v>
      </c>
      <c r="B1957" s="1">
        <v>45664</v>
      </c>
      <c r="C1957" t="s">
        <v>20</v>
      </c>
      <c r="D1957" t="s">
        <v>26</v>
      </c>
      <c r="E1957" t="s">
        <v>34</v>
      </c>
      <c r="F1957" t="s">
        <v>65</v>
      </c>
      <c r="G1957" t="s">
        <v>71</v>
      </c>
      <c r="H1957" t="s">
        <v>75</v>
      </c>
      <c r="I1957">
        <v>2</v>
      </c>
      <c r="J1957">
        <v>5341</v>
      </c>
      <c r="K1957">
        <v>0.05</v>
      </c>
      <c r="L1957">
        <v>10147.9</v>
      </c>
      <c r="M1957">
        <v>7299.76</v>
      </c>
      <c r="N1957">
        <v>2848.14</v>
      </c>
      <c r="O1957" t="s">
        <v>80</v>
      </c>
      <c r="P1957" t="s">
        <v>83</v>
      </c>
    </row>
    <row r="1958" spans="1:16" x14ac:dyDescent="0.25">
      <c r="A1958">
        <v>1957</v>
      </c>
      <c r="B1958" s="1">
        <v>45741</v>
      </c>
      <c r="C1958" t="s">
        <v>17</v>
      </c>
      <c r="D1958" t="s">
        <v>25</v>
      </c>
      <c r="E1958" t="s">
        <v>34</v>
      </c>
      <c r="F1958" t="s">
        <v>55</v>
      </c>
      <c r="G1958" t="s">
        <v>72</v>
      </c>
      <c r="H1958" t="s">
        <v>75</v>
      </c>
      <c r="I1958">
        <v>3</v>
      </c>
      <c r="J1958">
        <v>4632</v>
      </c>
      <c r="K1958">
        <v>0</v>
      </c>
      <c r="L1958">
        <v>13896</v>
      </c>
      <c r="M1958">
        <v>10874.8</v>
      </c>
      <c r="N1958">
        <v>3021.2</v>
      </c>
      <c r="O1958" t="s">
        <v>76</v>
      </c>
      <c r="P1958" t="s">
        <v>88</v>
      </c>
    </row>
    <row r="1959" spans="1:16" x14ac:dyDescent="0.25">
      <c r="A1959">
        <v>1958</v>
      </c>
      <c r="B1959" s="1">
        <v>45952</v>
      </c>
      <c r="C1959" t="s">
        <v>21</v>
      </c>
      <c r="D1959" t="s">
        <v>24</v>
      </c>
      <c r="E1959" t="s">
        <v>31</v>
      </c>
      <c r="F1959" t="s">
        <v>67</v>
      </c>
      <c r="G1959" t="s">
        <v>72</v>
      </c>
      <c r="H1959" t="s">
        <v>73</v>
      </c>
      <c r="I1959">
        <v>6</v>
      </c>
      <c r="J1959">
        <v>404</v>
      </c>
      <c r="K1959">
        <v>0.1</v>
      </c>
      <c r="L1959">
        <v>2181.6</v>
      </c>
      <c r="M1959">
        <v>1478.03</v>
      </c>
      <c r="N1959">
        <v>703.57</v>
      </c>
      <c r="O1959" t="s">
        <v>77</v>
      </c>
      <c r="P1959" t="s">
        <v>85</v>
      </c>
    </row>
    <row r="1960" spans="1:16" x14ac:dyDescent="0.25">
      <c r="A1960">
        <v>1959</v>
      </c>
      <c r="B1960" s="1">
        <v>45920</v>
      </c>
      <c r="C1960" t="s">
        <v>18</v>
      </c>
      <c r="D1960" t="s">
        <v>26</v>
      </c>
      <c r="E1960" t="s">
        <v>31</v>
      </c>
      <c r="F1960" t="s">
        <v>67</v>
      </c>
      <c r="G1960" t="s">
        <v>70</v>
      </c>
      <c r="H1960" t="s">
        <v>73</v>
      </c>
      <c r="I1960">
        <v>5</v>
      </c>
      <c r="J1960">
        <v>932</v>
      </c>
      <c r="K1960">
        <v>0.05</v>
      </c>
      <c r="L1960">
        <v>4427</v>
      </c>
      <c r="M1960">
        <v>3787.71</v>
      </c>
      <c r="N1960">
        <v>639.29</v>
      </c>
      <c r="O1960" t="s">
        <v>80</v>
      </c>
      <c r="P1960" t="s">
        <v>83</v>
      </c>
    </row>
    <row r="1961" spans="1:16" x14ac:dyDescent="0.25">
      <c r="A1961">
        <v>1960</v>
      </c>
      <c r="B1961" s="1">
        <v>45918</v>
      </c>
      <c r="C1961" t="s">
        <v>20</v>
      </c>
      <c r="D1961" t="s">
        <v>26</v>
      </c>
      <c r="E1961" t="s">
        <v>30</v>
      </c>
      <c r="F1961" t="s">
        <v>37</v>
      </c>
      <c r="G1961" t="s">
        <v>72</v>
      </c>
      <c r="H1961" t="s">
        <v>73</v>
      </c>
      <c r="I1961">
        <v>3</v>
      </c>
      <c r="J1961">
        <v>5279</v>
      </c>
      <c r="K1961">
        <v>0</v>
      </c>
      <c r="L1961">
        <v>15837</v>
      </c>
      <c r="M1961">
        <v>9117.61</v>
      </c>
      <c r="N1961">
        <v>6719.39</v>
      </c>
      <c r="O1961" t="s">
        <v>78</v>
      </c>
      <c r="P1961" t="s">
        <v>82</v>
      </c>
    </row>
    <row r="1962" spans="1:16" x14ac:dyDescent="0.25">
      <c r="A1962">
        <v>1961</v>
      </c>
      <c r="B1962" s="1">
        <v>45831</v>
      </c>
      <c r="C1962" t="s">
        <v>20</v>
      </c>
      <c r="D1962" t="s">
        <v>26</v>
      </c>
      <c r="E1962" t="s">
        <v>30</v>
      </c>
      <c r="F1962" t="s">
        <v>56</v>
      </c>
      <c r="G1962" t="s">
        <v>70</v>
      </c>
      <c r="H1962" t="s">
        <v>75</v>
      </c>
      <c r="I1962">
        <v>7</v>
      </c>
      <c r="J1962">
        <v>36658</v>
      </c>
      <c r="K1962">
        <v>0.15</v>
      </c>
      <c r="L1962">
        <v>218115.1</v>
      </c>
      <c r="M1962">
        <v>157227.51</v>
      </c>
      <c r="N1962">
        <v>60887.59</v>
      </c>
      <c r="O1962" t="s">
        <v>76</v>
      </c>
      <c r="P1962" t="s">
        <v>85</v>
      </c>
    </row>
    <row r="1963" spans="1:16" x14ac:dyDescent="0.25">
      <c r="A1963">
        <v>1962</v>
      </c>
      <c r="B1963" s="1">
        <v>45688</v>
      </c>
      <c r="C1963" t="s">
        <v>20</v>
      </c>
      <c r="D1963" t="s">
        <v>26</v>
      </c>
      <c r="E1963" t="s">
        <v>32</v>
      </c>
      <c r="F1963" t="s">
        <v>49</v>
      </c>
      <c r="G1963" t="s">
        <v>71</v>
      </c>
      <c r="H1963" t="s">
        <v>74</v>
      </c>
      <c r="I1963">
        <v>1</v>
      </c>
      <c r="J1963">
        <v>16962</v>
      </c>
      <c r="K1963">
        <v>0.1</v>
      </c>
      <c r="L1963">
        <v>15265.8</v>
      </c>
      <c r="M1963">
        <v>9324.69</v>
      </c>
      <c r="N1963">
        <v>5941.11</v>
      </c>
      <c r="O1963" t="s">
        <v>78</v>
      </c>
      <c r="P1963" t="s">
        <v>86</v>
      </c>
    </row>
    <row r="1964" spans="1:16" x14ac:dyDescent="0.25">
      <c r="A1964">
        <v>1963</v>
      </c>
      <c r="B1964" s="1">
        <v>45936</v>
      </c>
      <c r="C1964" t="s">
        <v>21</v>
      </c>
      <c r="D1964" t="s">
        <v>24</v>
      </c>
      <c r="E1964" t="s">
        <v>32</v>
      </c>
      <c r="F1964" t="s">
        <v>49</v>
      </c>
      <c r="G1964" t="s">
        <v>71</v>
      </c>
      <c r="H1964" t="s">
        <v>74</v>
      </c>
      <c r="I1964">
        <v>2</v>
      </c>
      <c r="J1964">
        <v>12099</v>
      </c>
      <c r="K1964">
        <v>0</v>
      </c>
      <c r="L1964">
        <v>24198</v>
      </c>
      <c r="M1964">
        <v>16841.87</v>
      </c>
      <c r="N1964">
        <v>7356.13</v>
      </c>
      <c r="O1964" t="s">
        <v>76</v>
      </c>
      <c r="P1964" t="s">
        <v>83</v>
      </c>
    </row>
    <row r="1965" spans="1:16" x14ac:dyDescent="0.25">
      <c r="A1965">
        <v>1964</v>
      </c>
      <c r="B1965" s="1">
        <v>45667</v>
      </c>
      <c r="C1965" t="s">
        <v>18</v>
      </c>
      <c r="D1965" t="s">
        <v>26</v>
      </c>
      <c r="E1965" t="s">
        <v>30</v>
      </c>
      <c r="F1965" t="s">
        <v>44</v>
      </c>
      <c r="G1965" t="s">
        <v>71</v>
      </c>
      <c r="H1965" t="s">
        <v>73</v>
      </c>
      <c r="I1965">
        <v>2</v>
      </c>
      <c r="J1965">
        <v>44099</v>
      </c>
      <c r="K1965">
        <v>0.05</v>
      </c>
      <c r="L1965">
        <v>83788.100000000006</v>
      </c>
      <c r="M1965">
        <v>63540.84</v>
      </c>
      <c r="N1965">
        <v>20247.259999999998</v>
      </c>
      <c r="O1965" t="s">
        <v>80</v>
      </c>
      <c r="P1965" t="s">
        <v>83</v>
      </c>
    </row>
    <row r="1966" spans="1:16" x14ac:dyDescent="0.25">
      <c r="A1966">
        <v>1965</v>
      </c>
      <c r="B1966" s="1">
        <v>45996</v>
      </c>
      <c r="C1966" t="s">
        <v>20</v>
      </c>
      <c r="D1966" t="s">
        <v>26</v>
      </c>
      <c r="E1966" t="s">
        <v>30</v>
      </c>
      <c r="F1966" t="s">
        <v>44</v>
      </c>
      <c r="G1966" t="s">
        <v>71</v>
      </c>
      <c r="H1966" t="s">
        <v>75</v>
      </c>
      <c r="I1966">
        <v>4</v>
      </c>
      <c r="J1966">
        <v>14226</v>
      </c>
      <c r="K1966">
        <v>0.05</v>
      </c>
      <c r="L1966">
        <v>54058.8</v>
      </c>
      <c r="M1966">
        <v>46813.39</v>
      </c>
      <c r="N1966">
        <v>7245.41</v>
      </c>
      <c r="O1966" t="s">
        <v>79</v>
      </c>
      <c r="P1966" t="s">
        <v>83</v>
      </c>
    </row>
    <row r="1967" spans="1:16" x14ac:dyDescent="0.25">
      <c r="A1967">
        <v>1966</v>
      </c>
      <c r="B1967" s="1">
        <v>45741</v>
      </c>
      <c r="C1967" t="s">
        <v>20</v>
      </c>
      <c r="D1967" t="s">
        <v>26</v>
      </c>
      <c r="E1967" t="s">
        <v>32</v>
      </c>
      <c r="F1967" t="s">
        <v>49</v>
      </c>
      <c r="G1967" t="s">
        <v>71</v>
      </c>
      <c r="H1967" t="s">
        <v>74</v>
      </c>
      <c r="I1967">
        <v>6</v>
      </c>
      <c r="J1967">
        <v>22890</v>
      </c>
      <c r="K1967">
        <v>0.05</v>
      </c>
      <c r="L1967">
        <v>130473</v>
      </c>
      <c r="M1967">
        <v>97442.58</v>
      </c>
      <c r="N1967">
        <v>33030.42</v>
      </c>
      <c r="O1967" t="s">
        <v>79</v>
      </c>
      <c r="P1967" t="s">
        <v>86</v>
      </c>
    </row>
    <row r="1968" spans="1:16" x14ac:dyDescent="0.25">
      <c r="A1968">
        <v>1967</v>
      </c>
      <c r="B1968" s="1">
        <v>45853</v>
      </c>
      <c r="C1968" t="s">
        <v>20</v>
      </c>
      <c r="D1968" t="s">
        <v>26</v>
      </c>
      <c r="E1968" t="s">
        <v>31</v>
      </c>
      <c r="F1968" t="s">
        <v>47</v>
      </c>
      <c r="G1968" t="s">
        <v>71</v>
      </c>
      <c r="H1968" t="s">
        <v>73</v>
      </c>
      <c r="I1968">
        <v>2</v>
      </c>
      <c r="J1968">
        <v>139</v>
      </c>
      <c r="K1968">
        <v>0.05</v>
      </c>
      <c r="L1968">
        <v>264.10000000000002</v>
      </c>
      <c r="M1968">
        <v>170.57</v>
      </c>
      <c r="N1968">
        <v>93.53</v>
      </c>
      <c r="O1968" t="s">
        <v>76</v>
      </c>
      <c r="P1968" t="s">
        <v>81</v>
      </c>
    </row>
    <row r="1969" spans="1:16" x14ac:dyDescent="0.25">
      <c r="A1969">
        <v>1968</v>
      </c>
      <c r="B1969" s="1">
        <v>45873</v>
      </c>
      <c r="C1969" t="s">
        <v>16</v>
      </c>
      <c r="D1969" t="s">
        <v>24</v>
      </c>
      <c r="E1969" t="s">
        <v>28</v>
      </c>
      <c r="F1969" t="s">
        <v>58</v>
      </c>
      <c r="G1969" t="s">
        <v>72</v>
      </c>
      <c r="H1969" t="s">
        <v>75</v>
      </c>
      <c r="I1969">
        <v>2</v>
      </c>
      <c r="J1969">
        <v>805</v>
      </c>
      <c r="K1969">
        <v>0.1</v>
      </c>
      <c r="L1969">
        <v>1449</v>
      </c>
      <c r="M1969">
        <v>1161.45</v>
      </c>
      <c r="N1969">
        <v>287.55</v>
      </c>
      <c r="O1969" t="s">
        <v>78</v>
      </c>
      <c r="P1969" t="s">
        <v>85</v>
      </c>
    </row>
    <row r="1970" spans="1:16" x14ac:dyDescent="0.25">
      <c r="A1970">
        <v>1969</v>
      </c>
      <c r="B1970" s="1">
        <v>45895</v>
      </c>
      <c r="C1970" t="s">
        <v>23</v>
      </c>
      <c r="D1970" t="s">
        <v>27</v>
      </c>
      <c r="E1970" t="s">
        <v>33</v>
      </c>
      <c r="F1970" t="s">
        <v>41</v>
      </c>
      <c r="G1970" t="s">
        <v>70</v>
      </c>
      <c r="H1970" t="s">
        <v>75</v>
      </c>
      <c r="I1970">
        <v>4</v>
      </c>
      <c r="J1970">
        <v>49709</v>
      </c>
      <c r="K1970">
        <v>0.05</v>
      </c>
      <c r="L1970">
        <v>188894.2</v>
      </c>
      <c r="M1970">
        <v>135755.88</v>
      </c>
      <c r="N1970">
        <v>53138.32</v>
      </c>
      <c r="O1970" t="s">
        <v>77</v>
      </c>
      <c r="P1970" t="s">
        <v>88</v>
      </c>
    </row>
    <row r="1971" spans="1:16" x14ac:dyDescent="0.25">
      <c r="A1971">
        <v>1970</v>
      </c>
      <c r="B1971" s="1">
        <v>45903</v>
      </c>
      <c r="C1971" t="s">
        <v>20</v>
      </c>
      <c r="D1971" t="s">
        <v>26</v>
      </c>
      <c r="E1971" t="s">
        <v>32</v>
      </c>
      <c r="F1971" t="s">
        <v>49</v>
      </c>
      <c r="G1971" t="s">
        <v>70</v>
      </c>
      <c r="H1971" t="s">
        <v>73</v>
      </c>
      <c r="I1971">
        <v>8</v>
      </c>
      <c r="J1971">
        <v>13684</v>
      </c>
      <c r="K1971">
        <v>0.1</v>
      </c>
      <c r="L1971">
        <v>98524.800000000003</v>
      </c>
      <c r="M1971">
        <v>66954.78</v>
      </c>
      <c r="N1971">
        <v>31570.02</v>
      </c>
      <c r="O1971" t="s">
        <v>79</v>
      </c>
      <c r="P1971" t="s">
        <v>87</v>
      </c>
    </row>
    <row r="1972" spans="1:16" x14ac:dyDescent="0.25">
      <c r="A1972">
        <v>1971</v>
      </c>
      <c r="B1972" s="1">
        <v>45935</v>
      </c>
      <c r="C1972" t="s">
        <v>17</v>
      </c>
      <c r="D1972" t="s">
        <v>25</v>
      </c>
      <c r="E1972" t="s">
        <v>28</v>
      </c>
      <c r="F1972" t="s">
        <v>35</v>
      </c>
      <c r="G1972" t="s">
        <v>70</v>
      </c>
      <c r="H1972" t="s">
        <v>73</v>
      </c>
      <c r="I1972">
        <v>5</v>
      </c>
      <c r="J1972">
        <v>656</v>
      </c>
      <c r="K1972">
        <v>0</v>
      </c>
      <c r="L1972">
        <v>3280</v>
      </c>
      <c r="M1972">
        <v>2186.4</v>
      </c>
      <c r="N1972">
        <v>1093.5999999999999</v>
      </c>
      <c r="O1972" t="s">
        <v>78</v>
      </c>
      <c r="P1972" t="s">
        <v>87</v>
      </c>
    </row>
    <row r="1973" spans="1:16" x14ac:dyDescent="0.25">
      <c r="A1973">
        <v>1972</v>
      </c>
      <c r="B1973" s="1">
        <v>45847</v>
      </c>
      <c r="C1973" t="s">
        <v>16</v>
      </c>
      <c r="D1973" t="s">
        <v>24</v>
      </c>
      <c r="E1973" t="s">
        <v>32</v>
      </c>
      <c r="F1973" t="s">
        <v>48</v>
      </c>
      <c r="G1973" t="s">
        <v>72</v>
      </c>
      <c r="H1973" t="s">
        <v>73</v>
      </c>
      <c r="I1973">
        <v>3</v>
      </c>
      <c r="J1973">
        <v>20260</v>
      </c>
      <c r="K1973">
        <v>0.1</v>
      </c>
      <c r="L1973">
        <v>54702</v>
      </c>
      <c r="M1973">
        <v>43110.05</v>
      </c>
      <c r="N1973">
        <v>11591.95</v>
      </c>
      <c r="O1973" t="s">
        <v>80</v>
      </c>
      <c r="P1973" t="s">
        <v>84</v>
      </c>
    </row>
    <row r="1974" spans="1:16" x14ac:dyDescent="0.25">
      <c r="A1974">
        <v>1973</v>
      </c>
      <c r="B1974" s="1">
        <v>45758</v>
      </c>
      <c r="C1974" t="s">
        <v>22</v>
      </c>
      <c r="D1974" t="s">
        <v>24</v>
      </c>
      <c r="E1974" t="s">
        <v>28</v>
      </c>
      <c r="F1974" t="s">
        <v>58</v>
      </c>
      <c r="G1974" t="s">
        <v>71</v>
      </c>
      <c r="H1974" t="s">
        <v>73</v>
      </c>
      <c r="I1974">
        <v>2</v>
      </c>
      <c r="J1974">
        <v>1504</v>
      </c>
      <c r="K1974">
        <v>0.15</v>
      </c>
      <c r="L1974">
        <v>2556.8000000000002</v>
      </c>
      <c r="M1974">
        <v>1447.47</v>
      </c>
      <c r="N1974">
        <v>1109.33</v>
      </c>
      <c r="O1974" t="s">
        <v>76</v>
      </c>
      <c r="P1974" t="s">
        <v>87</v>
      </c>
    </row>
    <row r="1975" spans="1:16" x14ac:dyDescent="0.25">
      <c r="A1975">
        <v>1974</v>
      </c>
      <c r="B1975" s="1">
        <v>45982</v>
      </c>
      <c r="C1975" t="s">
        <v>22</v>
      </c>
      <c r="D1975" t="s">
        <v>24</v>
      </c>
      <c r="E1975" t="s">
        <v>28</v>
      </c>
      <c r="F1975" t="s">
        <v>63</v>
      </c>
      <c r="G1975" t="s">
        <v>70</v>
      </c>
      <c r="H1975" t="s">
        <v>75</v>
      </c>
      <c r="I1975">
        <v>1</v>
      </c>
      <c r="J1975">
        <v>2272</v>
      </c>
      <c r="K1975">
        <v>0.1</v>
      </c>
      <c r="L1975">
        <v>2044.8</v>
      </c>
      <c r="M1975">
        <v>1485.04</v>
      </c>
      <c r="N1975">
        <v>559.76</v>
      </c>
      <c r="O1975" t="s">
        <v>76</v>
      </c>
      <c r="P1975" t="s">
        <v>83</v>
      </c>
    </row>
    <row r="1976" spans="1:16" x14ac:dyDescent="0.25">
      <c r="A1976">
        <v>1975</v>
      </c>
      <c r="B1976" s="1">
        <v>45947</v>
      </c>
      <c r="C1976" t="s">
        <v>22</v>
      </c>
      <c r="D1976" t="s">
        <v>24</v>
      </c>
      <c r="E1976" t="s">
        <v>29</v>
      </c>
      <c r="F1976" t="s">
        <v>36</v>
      </c>
      <c r="G1976" t="s">
        <v>70</v>
      </c>
      <c r="H1976" t="s">
        <v>73</v>
      </c>
      <c r="I1976">
        <v>6</v>
      </c>
      <c r="J1976">
        <v>9681</v>
      </c>
      <c r="K1976">
        <v>0.1</v>
      </c>
      <c r="L1976">
        <v>52277.4</v>
      </c>
      <c r="M1976">
        <v>40072.53</v>
      </c>
      <c r="N1976">
        <v>12204.87</v>
      </c>
      <c r="O1976" t="s">
        <v>80</v>
      </c>
      <c r="P1976" t="s">
        <v>82</v>
      </c>
    </row>
    <row r="1977" spans="1:16" x14ac:dyDescent="0.25">
      <c r="A1977">
        <v>1976</v>
      </c>
      <c r="B1977" s="1">
        <v>45691</v>
      </c>
      <c r="C1977" t="s">
        <v>23</v>
      </c>
      <c r="D1977" t="s">
        <v>27</v>
      </c>
      <c r="E1977" t="s">
        <v>29</v>
      </c>
      <c r="F1977" t="s">
        <v>36</v>
      </c>
      <c r="G1977" t="s">
        <v>72</v>
      </c>
      <c r="H1977" t="s">
        <v>75</v>
      </c>
      <c r="I1977">
        <v>6</v>
      </c>
      <c r="J1977">
        <v>8962</v>
      </c>
      <c r="K1977">
        <v>0.1</v>
      </c>
      <c r="L1977">
        <v>48394.8</v>
      </c>
      <c r="M1977">
        <v>35515.35</v>
      </c>
      <c r="N1977">
        <v>12879.45</v>
      </c>
      <c r="O1977" t="s">
        <v>79</v>
      </c>
      <c r="P1977" t="s">
        <v>83</v>
      </c>
    </row>
    <row r="1978" spans="1:16" x14ac:dyDescent="0.25">
      <c r="A1978">
        <v>1977</v>
      </c>
      <c r="B1978" s="1">
        <v>45719</v>
      </c>
      <c r="C1978" t="s">
        <v>16</v>
      </c>
      <c r="D1978" t="s">
        <v>24</v>
      </c>
      <c r="E1978" t="s">
        <v>34</v>
      </c>
      <c r="F1978" t="s">
        <v>68</v>
      </c>
      <c r="G1978" t="s">
        <v>70</v>
      </c>
      <c r="H1978" t="s">
        <v>73</v>
      </c>
      <c r="I1978">
        <v>8</v>
      </c>
      <c r="J1978">
        <v>4489</v>
      </c>
      <c r="K1978">
        <v>0</v>
      </c>
      <c r="L1978">
        <v>35912</v>
      </c>
      <c r="M1978">
        <v>23747.85</v>
      </c>
      <c r="N1978">
        <v>12164.15</v>
      </c>
      <c r="O1978" t="s">
        <v>76</v>
      </c>
      <c r="P1978" t="s">
        <v>83</v>
      </c>
    </row>
    <row r="1979" spans="1:16" x14ac:dyDescent="0.25">
      <c r="A1979">
        <v>1978</v>
      </c>
      <c r="B1979" s="1">
        <v>45959</v>
      </c>
      <c r="C1979" t="s">
        <v>20</v>
      </c>
      <c r="D1979" t="s">
        <v>26</v>
      </c>
      <c r="E1979" t="s">
        <v>33</v>
      </c>
      <c r="F1979" t="s">
        <v>46</v>
      </c>
      <c r="G1979" t="s">
        <v>71</v>
      </c>
      <c r="H1979" t="s">
        <v>73</v>
      </c>
      <c r="I1979">
        <v>3</v>
      </c>
      <c r="J1979">
        <v>27894</v>
      </c>
      <c r="K1979">
        <v>0</v>
      </c>
      <c r="L1979">
        <v>83682</v>
      </c>
      <c r="M1979">
        <v>66836.19</v>
      </c>
      <c r="N1979">
        <v>16845.810000000001</v>
      </c>
      <c r="O1979" t="s">
        <v>80</v>
      </c>
      <c r="P1979" t="s">
        <v>82</v>
      </c>
    </row>
    <row r="1980" spans="1:16" x14ac:dyDescent="0.25">
      <c r="A1980">
        <v>1979</v>
      </c>
      <c r="B1980" s="1">
        <v>45895</v>
      </c>
      <c r="C1980" t="s">
        <v>20</v>
      </c>
      <c r="D1980" t="s">
        <v>26</v>
      </c>
      <c r="E1980" t="s">
        <v>32</v>
      </c>
      <c r="F1980" t="s">
        <v>49</v>
      </c>
      <c r="G1980" t="s">
        <v>71</v>
      </c>
      <c r="H1980" t="s">
        <v>73</v>
      </c>
      <c r="I1980">
        <v>1</v>
      </c>
      <c r="J1980">
        <v>10877</v>
      </c>
      <c r="K1980">
        <v>0</v>
      </c>
      <c r="L1980">
        <v>10877</v>
      </c>
      <c r="M1980">
        <v>6818.7</v>
      </c>
      <c r="N1980">
        <v>4058.3</v>
      </c>
      <c r="O1980" t="s">
        <v>79</v>
      </c>
      <c r="P1980" t="s">
        <v>81</v>
      </c>
    </row>
    <row r="1981" spans="1:16" x14ac:dyDescent="0.25">
      <c r="A1981">
        <v>1980</v>
      </c>
      <c r="B1981" s="1">
        <v>45663</v>
      </c>
      <c r="C1981" t="s">
        <v>20</v>
      </c>
      <c r="D1981" t="s">
        <v>26</v>
      </c>
      <c r="E1981" t="s">
        <v>30</v>
      </c>
      <c r="F1981" t="s">
        <v>56</v>
      </c>
      <c r="G1981" t="s">
        <v>70</v>
      </c>
      <c r="H1981" t="s">
        <v>75</v>
      </c>
      <c r="I1981">
        <v>1</v>
      </c>
      <c r="J1981">
        <v>19742</v>
      </c>
      <c r="K1981">
        <v>0</v>
      </c>
      <c r="L1981">
        <v>19742</v>
      </c>
      <c r="M1981">
        <v>14944.37</v>
      </c>
      <c r="N1981">
        <v>4797.63</v>
      </c>
      <c r="O1981" t="s">
        <v>76</v>
      </c>
      <c r="P1981" t="s">
        <v>83</v>
      </c>
    </row>
    <row r="1982" spans="1:16" x14ac:dyDescent="0.25">
      <c r="A1982">
        <v>1981</v>
      </c>
      <c r="B1982" s="1">
        <v>45917</v>
      </c>
      <c r="C1982" t="s">
        <v>20</v>
      </c>
      <c r="D1982" t="s">
        <v>26</v>
      </c>
      <c r="E1982" t="s">
        <v>34</v>
      </c>
      <c r="F1982" t="s">
        <v>65</v>
      </c>
      <c r="G1982" t="s">
        <v>72</v>
      </c>
      <c r="H1982" t="s">
        <v>75</v>
      </c>
      <c r="I1982">
        <v>6</v>
      </c>
      <c r="J1982">
        <v>1097</v>
      </c>
      <c r="K1982">
        <v>0.1</v>
      </c>
      <c r="L1982">
        <v>5923.8</v>
      </c>
      <c r="M1982">
        <v>4638.1000000000004</v>
      </c>
      <c r="N1982">
        <v>1285.7</v>
      </c>
      <c r="O1982" t="s">
        <v>79</v>
      </c>
      <c r="P1982" t="s">
        <v>87</v>
      </c>
    </row>
    <row r="1983" spans="1:16" x14ac:dyDescent="0.25">
      <c r="A1983">
        <v>1982</v>
      </c>
      <c r="B1983" s="1">
        <v>45806</v>
      </c>
      <c r="C1983" t="s">
        <v>22</v>
      </c>
      <c r="D1983" t="s">
        <v>24</v>
      </c>
      <c r="E1983" t="s">
        <v>32</v>
      </c>
      <c r="F1983" t="s">
        <v>48</v>
      </c>
      <c r="G1983" t="s">
        <v>71</v>
      </c>
      <c r="H1983" t="s">
        <v>74</v>
      </c>
      <c r="I1983">
        <v>2</v>
      </c>
      <c r="J1983">
        <v>16043</v>
      </c>
      <c r="K1983">
        <v>0.1</v>
      </c>
      <c r="L1983">
        <v>28877.4</v>
      </c>
      <c r="M1983">
        <v>16173.45</v>
      </c>
      <c r="N1983">
        <v>12703.95</v>
      </c>
      <c r="O1983" t="s">
        <v>78</v>
      </c>
      <c r="P1983" t="s">
        <v>84</v>
      </c>
    </row>
    <row r="1984" spans="1:16" x14ac:dyDescent="0.25">
      <c r="A1984">
        <v>1983</v>
      </c>
      <c r="B1984" s="1">
        <v>46017</v>
      </c>
      <c r="C1984" t="s">
        <v>23</v>
      </c>
      <c r="D1984" t="s">
        <v>27</v>
      </c>
      <c r="E1984" t="s">
        <v>29</v>
      </c>
      <c r="F1984" t="s">
        <v>42</v>
      </c>
      <c r="G1984" t="s">
        <v>70</v>
      </c>
      <c r="H1984" t="s">
        <v>75</v>
      </c>
      <c r="I1984">
        <v>5</v>
      </c>
      <c r="J1984">
        <v>4789</v>
      </c>
      <c r="K1984">
        <v>0.05</v>
      </c>
      <c r="L1984">
        <v>22747.75</v>
      </c>
      <c r="M1984">
        <v>18192.47</v>
      </c>
      <c r="N1984">
        <v>4555.28</v>
      </c>
      <c r="O1984" t="s">
        <v>78</v>
      </c>
      <c r="P1984" t="s">
        <v>86</v>
      </c>
    </row>
    <row r="1985" spans="1:16" x14ac:dyDescent="0.25">
      <c r="A1985">
        <v>1984</v>
      </c>
      <c r="B1985" s="1">
        <v>45966</v>
      </c>
      <c r="C1985" t="s">
        <v>20</v>
      </c>
      <c r="D1985" t="s">
        <v>26</v>
      </c>
      <c r="E1985" t="s">
        <v>31</v>
      </c>
      <c r="F1985" t="s">
        <v>67</v>
      </c>
      <c r="G1985" t="s">
        <v>72</v>
      </c>
      <c r="H1985" t="s">
        <v>75</v>
      </c>
      <c r="I1985">
        <v>6</v>
      </c>
      <c r="J1985">
        <v>408</v>
      </c>
      <c r="K1985">
        <v>0.15</v>
      </c>
      <c r="L1985">
        <v>2080.8000000000002</v>
      </c>
      <c r="M1985">
        <v>1433.32</v>
      </c>
      <c r="N1985">
        <v>647.48</v>
      </c>
      <c r="O1985" t="s">
        <v>76</v>
      </c>
      <c r="P1985" t="s">
        <v>85</v>
      </c>
    </row>
    <row r="1986" spans="1:16" x14ac:dyDescent="0.25">
      <c r="A1986">
        <v>1985</v>
      </c>
      <c r="B1986" s="1">
        <v>46004</v>
      </c>
      <c r="C1986" t="s">
        <v>18</v>
      </c>
      <c r="D1986" t="s">
        <v>26</v>
      </c>
      <c r="E1986" t="s">
        <v>28</v>
      </c>
      <c r="F1986" t="s">
        <v>61</v>
      </c>
      <c r="G1986" t="s">
        <v>70</v>
      </c>
      <c r="H1986" t="s">
        <v>74</v>
      </c>
      <c r="I1986">
        <v>1</v>
      </c>
      <c r="J1986">
        <v>1592</v>
      </c>
      <c r="K1986">
        <v>0.05</v>
      </c>
      <c r="L1986">
        <v>1512.4</v>
      </c>
      <c r="M1986">
        <v>1166.04</v>
      </c>
      <c r="N1986">
        <v>346.36</v>
      </c>
      <c r="O1986" t="s">
        <v>79</v>
      </c>
      <c r="P1986" t="s">
        <v>86</v>
      </c>
    </row>
    <row r="1987" spans="1:16" x14ac:dyDescent="0.25">
      <c r="A1987">
        <v>1986</v>
      </c>
      <c r="B1987" s="1">
        <v>45674</v>
      </c>
      <c r="C1987" t="s">
        <v>19</v>
      </c>
      <c r="D1987" t="s">
        <v>26</v>
      </c>
      <c r="E1987" t="s">
        <v>34</v>
      </c>
      <c r="F1987" t="s">
        <v>65</v>
      </c>
      <c r="G1987" t="s">
        <v>71</v>
      </c>
      <c r="H1987" t="s">
        <v>75</v>
      </c>
      <c r="I1987">
        <v>7</v>
      </c>
      <c r="J1987">
        <v>2163</v>
      </c>
      <c r="K1987">
        <v>0.2</v>
      </c>
      <c r="L1987">
        <v>12112.8</v>
      </c>
      <c r="M1987">
        <v>8475.07</v>
      </c>
      <c r="N1987">
        <v>3637.73</v>
      </c>
      <c r="O1987" t="s">
        <v>80</v>
      </c>
      <c r="P1987" t="s">
        <v>82</v>
      </c>
    </row>
    <row r="1988" spans="1:16" x14ac:dyDescent="0.25">
      <c r="A1988">
        <v>1987</v>
      </c>
      <c r="B1988" s="1">
        <v>45818</v>
      </c>
      <c r="C1988" t="s">
        <v>21</v>
      </c>
      <c r="D1988" t="s">
        <v>24</v>
      </c>
      <c r="E1988" t="s">
        <v>33</v>
      </c>
      <c r="F1988" t="s">
        <v>46</v>
      </c>
      <c r="G1988" t="s">
        <v>71</v>
      </c>
      <c r="H1988" t="s">
        <v>74</v>
      </c>
      <c r="I1988">
        <v>7</v>
      </c>
      <c r="J1988">
        <v>11594</v>
      </c>
      <c r="K1988">
        <v>0.05</v>
      </c>
      <c r="L1988">
        <v>77100.100000000006</v>
      </c>
      <c r="M1988">
        <v>52747.18</v>
      </c>
      <c r="N1988">
        <v>24352.92</v>
      </c>
      <c r="O1988" t="s">
        <v>77</v>
      </c>
      <c r="P1988" t="s">
        <v>87</v>
      </c>
    </row>
    <row r="1989" spans="1:16" x14ac:dyDescent="0.25">
      <c r="A1989">
        <v>1988</v>
      </c>
      <c r="B1989" s="1">
        <v>46009</v>
      </c>
      <c r="C1989" t="s">
        <v>19</v>
      </c>
      <c r="D1989" t="s">
        <v>26</v>
      </c>
      <c r="E1989" t="s">
        <v>33</v>
      </c>
      <c r="F1989" t="s">
        <v>41</v>
      </c>
      <c r="G1989" t="s">
        <v>71</v>
      </c>
      <c r="H1989" t="s">
        <v>75</v>
      </c>
      <c r="I1989">
        <v>3</v>
      </c>
      <c r="J1989">
        <v>32445</v>
      </c>
      <c r="K1989">
        <v>0.15</v>
      </c>
      <c r="L1989">
        <v>82734.75</v>
      </c>
      <c r="M1989">
        <v>68168.92</v>
      </c>
      <c r="N1989">
        <v>14565.83</v>
      </c>
      <c r="O1989" t="s">
        <v>76</v>
      </c>
      <c r="P1989" t="s">
        <v>83</v>
      </c>
    </row>
    <row r="1990" spans="1:16" x14ac:dyDescent="0.25">
      <c r="A1990">
        <v>1989</v>
      </c>
      <c r="B1990" s="1">
        <v>46000</v>
      </c>
      <c r="C1990" t="s">
        <v>22</v>
      </c>
      <c r="D1990" t="s">
        <v>24</v>
      </c>
      <c r="E1990" t="s">
        <v>33</v>
      </c>
      <c r="F1990" t="s">
        <v>46</v>
      </c>
      <c r="G1990" t="s">
        <v>70</v>
      </c>
      <c r="H1990" t="s">
        <v>74</v>
      </c>
      <c r="I1990">
        <v>4</v>
      </c>
      <c r="J1990">
        <v>12823</v>
      </c>
      <c r="K1990">
        <v>0</v>
      </c>
      <c r="L1990">
        <v>51292</v>
      </c>
      <c r="M1990">
        <v>32285.7</v>
      </c>
      <c r="N1990">
        <v>19006.3</v>
      </c>
      <c r="O1990" t="s">
        <v>79</v>
      </c>
      <c r="P1990" t="s">
        <v>86</v>
      </c>
    </row>
    <row r="1991" spans="1:16" x14ac:dyDescent="0.25">
      <c r="A1991">
        <v>1990</v>
      </c>
      <c r="B1991" s="1">
        <v>45903</v>
      </c>
      <c r="C1991" t="s">
        <v>22</v>
      </c>
      <c r="D1991" t="s">
        <v>24</v>
      </c>
      <c r="E1991" t="s">
        <v>33</v>
      </c>
      <c r="F1991" t="s">
        <v>60</v>
      </c>
      <c r="G1991" t="s">
        <v>71</v>
      </c>
      <c r="H1991" t="s">
        <v>74</v>
      </c>
      <c r="I1991">
        <v>4</v>
      </c>
      <c r="J1991">
        <v>34030</v>
      </c>
      <c r="K1991">
        <v>0.15</v>
      </c>
      <c r="L1991">
        <v>115702</v>
      </c>
      <c r="M1991">
        <v>96195.68</v>
      </c>
      <c r="N1991">
        <v>19506.32</v>
      </c>
      <c r="O1991" t="s">
        <v>78</v>
      </c>
      <c r="P1991" t="s">
        <v>83</v>
      </c>
    </row>
    <row r="1992" spans="1:16" x14ac:dyDescent="0.25">
      <c r="A1992">
        <v>1991</v>
      </c>
      <c r="B1992" s="1">
        <v>45872</v>
      </c>
      <c r="C1992" t="s">
        <v>18</v>
      </c>
      <c r="D1992" t="s">
        <v>26</v>
      </c>
      <c r="E1992" t="s">
        <v>31</v>
      </c>
      <c r="F1992" t="s">
        <v>47</v>
      </c>
      <c r="G1992" t="s">
        <v>70</v>
      </c>
      <c r="H1992" t="s">
        <v>74</v>
      </c>
      <c r="I1992">
        <v>2</v>
      </c>
      <c r="J1992">
        <v>277</v>
      </c>
      <c r="K1992">
        <v>0.15</v>
      </c>
      <c r="L1992">
        <v>470.9</v>
      </c>
      <c r="M1992">
        <v>410.79</v>
      </c>
      <c r="N1992">
        <v>60.11</v>
      </c>
      <c r="O1992" t="s">
        <v>80</v>
      </c>
      <c r="P1992" t="s">
        <v>84</v>
      </c>
    </row>
    <row r="1993" spans="1:16" x14ac:dyDescent="0.25">
      <c r="A1993">
        <v>1992</v>
      </c>
      <c r="B1993" s="1">
        <v>45710</v>
      </c>
      <c r="C1993" t="s">
        <v>23</v>
      </c>
      <c r="D1993" t="s">
        <v>27</v>
      </c>
      <c r="E1993" t="s">
        <v>29</v>
      </c>
      <c r="F1993" t="s">
        <v>57</v>
      </c>
      <c r="G1993" t="s">
        <v>70</v>
      </c>
      <c r="H1993" t="s">
        <v>75</v>
      </c>
      <c r="I1993">
        <v>4</v>
      </c>
      <c r="J1993">
        <v>9512</v>
      </c>
      <c r="K1993">
        <v>0.05</v>
      </c>
      <c r="L1993">
        <v>36145.599999999999</v>
      </c>
      <c r="M1993">
        <v>22442.55</v>
      </c>
      <c r="N1993">
        <v>13703.05</v>
      </c>
      <c r="O1993" t="s">
        <v>78</v>
      </c>
      <c r="P1993" t="s">
        <v>86</v>
      </c>
    </row>
    <row r="1994" spans="1:16" x14ac:dyDescent="0.25">
      <c r="A1994">
        <v>1993</v>
      </c>
      <c r="B1994" s="1">
        <v>45745</v>
      </c>
      <c r="C1994" t="s">
        <v>16</v>
      </c>
      <c r="D1994" t="s">
        <v>24</v>
      </c>
      <c r="E1994" t="s">
        <v>29</v>
      </c>
      <c r="F1994" t="s">
        <v>57</v>
      </c>
      <c r="G1994" t="s">
        <v>72</v>
      </c>
      <c r="H1994" t="s">
        <v>73</v>
      </c>
      <c r="I1994">
        <v>1</v>
      </c>
      <c r="J1994">
        <v>6964</v>
      </c>
      <c r="K1994">
        <v>0.05</v>
      </c>
      <c r="L1994">
        <v>6615.8</v>
      </c>
      <c r="M1994">
        <v>4461.1000000000004</v>
      </c>
      <c r="N1994">
        <v>2154.6999999999998</v>
      </c>
      <c r="O1994" t="s">
        <v>76</v>
      </c>
      <c r="P1994" t="s">
        <v>83</v>
      </c>
    </row>
    <row r="1995" spans="1:16" x14ac:dyDescent="0.25">
      <c r="A1995">
        <v>1994</v>
      </c>
      <c r="B1995" s="1">
        <v>45699</v>
      </c>
      <c r="C1995" t="s">
        <v>23</v>
      </c>
      <c r="D1995" t="s">
        <v>27</v>
      </c>
      <c r="E1995" t="s">
        <v>33</v>
      </c>
      <c r="F1995" t="s">
        <v>60</v>
      </c>
      <c r="G1995" t="s">
        <v>71</v>
      </c>
      <c r="H1995" t="s">
        <v>74</v>
      </c>
      <c r="I1995">
        <v>5</v>
      </c>
      <c r="J1995">
        <v>21194</v>
      </c>
      <c r="K1995">
        <v>0</v>
      </c>
      <c r="L1995">
        <v>105970</v>
      </c>
      <c r="M1995">
        <v>86294.03</v>
      </c>
      <c r="N1995">
        <v>19675.97</v>
      </c>
      <c r="O1995" t="s">
        <v>77</v>
      </c>
      <c r="P1995" t="s">
        <v>84</v>
      </c>
    </row>
    <row r="1996" spans="1:16" x14ac:dyDescent="0.25">
      <c r="A1996">
        <v>1995</v>
      </c>
      <c r="B1996" s="1">
        <v>45831</v>
      </c>
      <c r="C1996" t="s">
        <v>17</v>
      </c>
      <c r="D1996" t="s">
        <v>25</v>
      </c>
      <c r="E1996" t="s">
        <v>32</v>
      </c>
      <c r="F1996" t="s">
        <v>39</v>
      </c>
      <c r="G1996" t="s">
        <v>72</v>
      </c>
      <c r="H1996" t="s">
        <v>73</v>
      </c>
      <c r="I1996">
        <v>8</v>
      </c>
      <c r="J1996">
        <v>14091</v>
      </c>
      <c r="K1996">
        <v>0.2</v>
      </c>
      <c r="L1996">
        <v>90182.399999999994</v>
      </c>
      <c r="M1996">
        <v>72628.86</v>
      </c>
      <c r="N1996">
        <v>17553.54</v>
      </c>
      <c r="O1996" t="s">
        <v>80</v>
      </c>
      <c r="P1996" t="s">
        <v>87</v>
      </c>
    </row>
    <row r="1997" spans="1:16" x14ac:dyDescent="0.25">
      <c r="A1997">
        <v>1996</v>
      </c>
      <c r="B1997" s="1">
        <v>45760</v>
      </c>
      <c r="C1997" t="s">
        <v>17</v>
      </c>
      <c r="D1997" t="s">
        <v>25</v>
      </c>
      <c r="E1997" t="s">
        <v>34</v>
      </c>
      <c r="F1997" t="s">
        <v>68</v>
      </c>
      <c r="G1997" t="s">
        <v>71</v>
      </c>
      <c r="H1997" t="s">
        <v>74</v>
      </c>
      <c r="I1997">
        <v>7</v>
      </c>
      <c r="J1997">
        <v>1541</v>
      </c>
      <c r="K1997">
        <v>0.15</v>
      </c>
      <c r="L1997">
        <v>9168.9500000000007</v>
      </c>
      <c r="M1997">
        <v>8063.89</v>
      </c>
      <c r="N1997">
        <v>1105.06</v>
      </c>
      <c r="O1997" t="s">
        <v>76</v>
      </c>
      <c r="P1997" t="s">
        <v>83</v>
      </c>
    </row>
    <row r="1998" spans="1:16" x14ac:dyDescent="0.25">
      <c r="A1998">
        <v>1997</v>
      </c>
      <c r="B1998" s="1">
        <v>45755</v>
      </c>
      <c r="C1998" t="s">
        <v>21</v>
      </c>
      <c r="D1998" t="s">
        <v>24</v>
      </c>
      <c r="E1998" t="s">
        <v>30</v>
      </c>
      <c r="F1998" t="s">
        <v>40</v>
      </c>
      <c r="G1998" t="s">
        <v>72</v>
      </c>
      <c r="H1998" t="s">
        <v>73</v>
      </c>
      <c r="I1998">
        <v>4</v>
      </c>
      <c r="J1998">
        <v>15934</v>
      </c>
      <c r="K1998">
        <v>0</v>
      </c>
      <c r="L1998">
        <v>63736</v>
      </c>
      <c r="M1998">
        <v>47222.35</v>
      </c>
      <c r="N1998">
        <v>16513.650000000001</v>
      </c>
      <c r="O1998" t="s">
        <v>77</v>
      </c>
      <c r="P1998" t="s">
        <v>87</v>
      </c>
    </row>
    <row r="1999" spans="1:16" x14ac:dyDescent="0.25">
      <c r="A1999">
        <v>1998</v>
      </c>
      <c r="B1999" s="1">
        <v>45948</v>
      </c>
      <c r="C1999" t="s">
        <v>20</v>
      </c>
      <c r="D1999" t="s">
        <v>26</v>
      </c>
      <c r="E1999" t="s">
        <v>33</v>
      </c>
      <c r="F1999" t="s">
        <v>41</v>
      </c>
      <c r="G1999" t="s">
        <v>72</v>
      </c>
      <c r="H1999" t="s">
        <v>74</v>
      </c>
      <c r="I1999">
        <v>8</v>
      </c>
      <c r="J1999">
        <v>18029</v>
      </c>
      <c r="K1999">
        <v>0.15</v>
      </c>
      <c r="L1999">
        <v>122597.2</v>
      </c>
      <c r="M1999">
        <v>71920.25</v>
      </c>
      <c r="N1999">
        <v>50676.95</v>
      </c>
      <c r="O1999" t="s">
        <v>80</v>
      </c>
      <c r="P1999" t="s">
        <v>87</v>
      </c>
    </row>
    <row r="2000" spans="1:16" x14ac:dyDescent="0.25">
      <c r="A2000">
        <v>1999</v>
      </c>
      <c r="B2000" s="1">
        <v>45950</v>
      </c>
      <c r="C2000" t="s">
        <v>20</v>
      </c>
      <c r="D2000" t="s">
        <v>26</v>
      </c>
      <c r="E2000" t="s">
        <v>34</v>
      </c>
      <c r="F2000" t="s">
        <v>65</v>
      </c>
      <c r="G2000" t="s">
        <v>70</v>
      </c>
      <c r="H2000" t="s">
        <v>73</v>
      </c>
      <c r="I2000">
        <v>5</v>
      </c>
      <c r="J2000">
        <v>2406</v>
      </c>
      <c r="K2000">
        <v>0.05</v>
      </c>
      <c r="L2000">
        <v>11428.5</v>
      </c>
      <c r="M2000">
        <v>8640.8700000000008</v>
      </c>
      <c r="N2000">
        <v>2787.63</v>
      </c>
      <c r="O2000" t="s">
        <v>77</v>
      </c>
      <c r="P2000" t="s">
        <v>81</v>
      </c>
    </row>
    <row r="2001" spans="1:16" x14ac:dyDescent="0.25">
      <c r="A2001">
        <v>2000</v>
      </c>
      <c r="B2001" s="1">
        <v>45793</v>
      </c>
      <c r="C2001" t="s">
        <v>19</v>
      </c>
      <c r="D2001" t="s">
        <v>26</v>
      </c>
      <c r="E2001" t="s">
        <v>32</v>
      </c>
      <c r="F2001" t="s">
        <v>66</v>
      </c>
      <c r="G2001" t="s">
        <v>72</v>
      </c>
      <c r="H2001" t="s">
        <v>75</v>
      </c>
      <c r="I2001">
        <v>7</v>
      </c>
      <c r="J2001">
        <v>15382</v>
      </c>
      <c r="K2001">
        <v>0.05</v>
      </c>
      <c r="L2001">
        <v>102290.3</v>
      </c>
      <c r="M2001">
        <v>69549.259999999995</v>
      </c>
      <c r="N2001">
        <v>32741.040000000001</v>
      </c>
      <c r="O2001" t="s">
        <v>76</v>
      </c>
      <c r="P2001" t="s">
        <v>85</v>
      </c>
    </row>
    <row r="2002" spans="1:16" x14ac:dyDescent="0.25">
      <c r="A2002">
        <v>2001</v>
      </c>
      <c r="B2002" s="1">
        <v>45993</v>
      </c>
      <c r="C2002" t="s">
        <v>19</v>
      </c>
      <c r="D2002" t="s">
        <v>26</v>
      </c>
      <c r="E2002" t="s">
        <v>34</v>
      </c>
      <c r="F2002" t="s">
        <v>68</v>
      </c>
      <c r="G2002" t="s">
        <v>71</v>
      </c>
      <c r="H2002" t="s">
        <v>73</v>
      </c>
      <c r="I2002">
        <v>8</v>
      </c>
      <c r="J2002">
        <v>4080</v>
      </c>
      <c r="K2002">
        <v>0.05</v>
      </c>
      <c r="L2002">
        <v>31008</v>
      </c>
      <c r="M2002">
        <v>25040.19</v>
      </c>
      <c r="N2002">
        <v>5967.81</v>
      </c>
      <c r="O2002" t="s">
        <v>76</v>
      </c>
      <c r="P2002" t="s">
        <v>86</v>
      </c>
    </row>
    <row r="2003" spans="1:16" x14ac:dyDescent="0.25">
      <c r="A2003">
        <v>2002</v>
      </c>
      <c r="B2003" s="1">
        <v>45853</v>
      </c>
      <c r="C2003" t="s">
        <v>16</v>
      </c>
      <c r="D2003" t="s">
        <v>24</v>
      </c>
      <c r="E2003" t="s">
        <v>29</v>
      </c>
      <c r="F2003" t="s">
        <v>45</v>
      </c>
      <c r="G2003" t="s">
        <v>71</v>
      </c>
      <c r="H2003" t="s">
        <v>75</v>
      </c>
      <c r="I2003">
        <v>3</v>
      </c>
      <c r="J2003">
        <v>7810</v>
      </c>
      <c r="K2003">
        <v>0</v>
      </c>
      <c r="L2003">
        <v>23430</v>
      </c>
      <c r="M2003">
        <v>18671.77</v>
      </c>
      <c r="N2003">
        <v>4758.2299999999996</v>
      </c>
      <c r="O2003" t="s">
        <v>77</v>
      </c>
      <c r="P2003" t="s">
        <v>81</v>
      </c>
    </row>
    <row r="2004" spans="1:16" x14ac:dyDescent="0.25">
      <c r="A2004">
        <v>2003</v>
      </c>
      <c r="B2004" s="1">
        <v>45801</v>
      </c>
      <c r="C2004" t="s">
        <v>21</v>
      </c>
      <c r="D2004" t="s">
        <v>24</v>
      </c>
      <c r="E2004" t="s">
        <v>33</v>
      </c>
      <c r="F2004" t="s">
        <v>41</v>
      </c>
      <c r="G2004" t="s">
        <v>70</v>
      </c>
      <c r="H2004" t="s">
        <v>74</v>
      </c>
      <c r="I2004">
        <v>6</v>
      </c>
      <c r="J2004">
        <v>33789</v>
      </c>
      <c r="K2004">
        <v>0.1</v>
      </c>
      <c r="L2004">
        <v>182460.6</v>
      </c>
      <c r="M2004">
        <v>154374.01999999999</v>
      </c>
      <c r="N2004">
        <v>28086.58</v>
      </c>
      <c r="O2004" t="s">
        <v>77</v>
      </c>
      <c r="P2004" t="s">
        <v>81</v>
      </c>
    </row>
    <row r="2005" spans="1:16" x14ac:dyDescent="0.25">
      <c r="A2005">
        <v>2004</v>
      </c>
      <c r="B2005" s="1">
        <v>45658</v>
      </c>
      <c r="C2005" t="s">
        <v>16</v>
      </c>
      <c r="D2005" t="s">
        <v>24</v>
      </c>
      <c r="E2005" t="s">
        <v>30</v>
      </c>
      <c r="F2005" t="s">
        <v>40</v>
      </c>
      <c r="G2005" t="s">
        <v>70</v>
      </c>
      <c r="H2005" t="s">
        <v>75</v>
      </c>
      <c r="I2005">
        <v>4</v>
      </c>
      <c r="J2005">
        <v>42332</v>
      </c>
      <c r="K2005">
        <v>0</v>
      </c>
      <c r="L2005">
        <v>169328</v>
      </c>
      <c r="M2005">
        <v>124080.99</v>
      </c>
      <c r="N2005">
        <v>45247.01</v>
      </c>
      <c r="O2005" t="s">
        <v>76</v>
      </c>
      <c r="P2005" t="s">
        <v>84</v>
      </c>
    </row>
    <row r="2006" spans="1:16" x14ac:dyDescent="0.25">
      <c r="A2006">
        <v>2005</v>
      </c>
      <c r="B2006" s="1">
        <v>45927</v>
      </c>
      <c r="C2006" t="s">
        <v>19</v>
      </c>
      <c r="D2006" t="s">
        <v>26</v>
      </c>
      <c r="E2006" t="s">
        <v>32</v>
      </c>
      <c r="F2006" t="s">
        <v>66</v>
      </c>
      <c r="G2006" t="s">
        <v>70</v>
      </c>
      <c r="H2006" t="s">
        <v>75</v>
      </c>
      <c r="I2006">
        <v>4</v>
      </c>
      <c r="J2006">
        <v>13364</v>
      </c>
      <c r="K2006">
        <v>0.05</v>
      </c>
      <c r="L2006">
        <v>50783.199999999997</v>
      </c>
      <c r="M2006">
        <v>44028.31</v>
      </c>
      <c r="N2006">
        <v>6754.89</v>
      </c>
      <c r="O2006" t="s">
        <v>80</v>
      </c>
      <c r="P2006" t="s">
        <v>82</v>
      </c>
    </row>
    <row r="2007" spans="1:16" x14ac:dyDescent="0.25">
      <c r="A2007">
        <v>2006</v>
      </c>
      <c r="B2007" s="1">
        <v>45832</v>
      </c>
      <c r="C2007" t="s">
        <v>17</v>
      </c>
      <c r="D2007" t="s">
        <v>25</v>
      </c>
      <c r="E2007" t="s">
        <v>31</v>
      </c>
      <c r="F2007" t="s">
        <v>50</v>
      </c>
      <c r="G2007" t="s">
        <v>72</v>
      </c>
      <c r="H2007" t="s">
        <v>75</v>
      </c>
      <c r="I2007">
        <v>2</v>
      </c>
      <c r="J2007">
        <v>248</v>
      </c>
      <c r="K2007">
        <v>0.05</v>
      </c>
      <c r="L2007">
        <v>471.2</v>
      </c>
      <c r="M2007">
        <v>382.52</v>
      </c>
      <c r="N2007">
        <v>88.68</v>
      </c>
      <c r="O2007" t="s">
        <v>77</v>
      </c>
      <c r="P2007" t="s">
        <v>88</v>
      </c>
    </row>
    <row r="2008" spans="1:16" x14ac:dyDescent="0.25">
      <c r="A2008">
        <v>2007</v>
      </c>
      <c r="B2008" s="1">
        <v>45759</v>
      </c>
      <c r="C2008" t="s">
        <v>23</v>
      </c>
      <c r="D2008" t="s">
        <v>27</v>
      </c>
      <c r="E2008" t="s">
        <v>31</v>
      </c>
      <c r="F2008" t="s">
        <v>47</v>
      </c>
      <c r="G2008" t="s">
        <v>72</v>
      </c>
      <c r="H2008" t="s">
        <v>73</v>
      </c>
      <c r="I2008">
        <v>3</v>
      </c>
      <c r="J2008">
        <v>119</v>
      </c>
      <c r="K2008">
        <v>0.2</v>
      </c>
      <c r="L2008">
        <v>285.60000000000002</v>
      </c>
      <c r="M2008">
        <v>217</v>
      </c>
      <c r="N2008">
        <v>68.599999999999994</v>
      </c>
      <c r="O2008" t="s">
        <v>76</v>
      </c>
      <c r="P2008" t="s">
        <v>82</v>
      </c>
    </row>
    <row r="2009" spans="1:16" x14ac:dyDescent="0.25">
      <c r="A2009">
        <v>2008</v>
      </c>
      <c r="B2009" s="1">
        <v>45955</v>
      </c>
      <c r="C2009" t="s">
        <v>20</v>
      </c>
      <c r="D2009" t="s">
        <v>26</v>
      </c>
      <c r="E2009" t="s">
        <v>34</v>
      </c>
      <c r="F2009" t="s">
        <v>51</v>
      </c>
      <c r="G2009" t="s">
        <v>70</v>
      </c>
      <c r="H2009" t="s">
        <v>74</v>
      </c>
      <c r="I2009">
        <v>7</v>
      </c>
      <c r="J2009">
        <v>1097</v>
      </c>
      <c r="K2009">
        <v>0.1</v>
      </c>
      <c r="L2009">
        <v>6911.1</v>
      </c>
      <c r="M2009">
        <v>5446.58</v>
      </c>
      <c r="N2009">
        <v>1464.52</v>
      </c>
      <c r="O2009" t="s">
        <v>78</v>
      </c>
      <c r="P2009" t="s">
        <v>84</v>
      </c>
    </row>
    <row r="2010" spans="1:16" x14ac:dyDescent="0.25">
      <c r="A2010">
        <v>2009</v>
      </c>
      <c r="B2010" s="1">
        <v>45896</v>
      </c>
      <c r="C2010" t="s">
        <v>19</v>
      </c>
      <c r="D2010" t="s">
        <v>26</v>
      </c>
      <c r="E2010" t="s">
        <v>33</v>
      </c>
      <c r="F2010" t="s">
        <v>59</v>
      </c>
      <c r="G2010" t="s">
        <v>72</v>
      </c>
      <c r="H2010" t="s">
        <v>74</v>
      </c>
      <c r="I2010">
        <v>1</v>
      </c>
      <c r="J2010">
        <v>47699</v>
      </c>
      <c r="K2010">
        <v>0</v>
      </c>
      <c r="L2010">
        <v>47699</v>
      </c>
      <c r="M2010">
        <v>26933.279999999999</v>
      </c>
      <c r="N2010">
        <v>20765.72</v>
      </c>
      <c r="O2010" t="s">
        <v>78</v>
      </c>
      <c r="P2010" t="s">
        <v>88</v>
      </c>
    </row>
    <row r="2011" spans="1:16" x14ac:dyDescent="0.25">
      <c r="A2011">
        <v>2010</v>
      </c>
      <c r="B2011" s="1">
        <v>45748</v>
      </c>
      <c r="C2011" t="s">
        <v>16</v>
      </c>
      <c r="D2011" t="s">
        <v>24</v>
      </c>
      <c r="E2011" t="s">
        <v>34</v>
      </c>
      <c r="F2011" t="s">
        <v>43</v>
      </c>
      <c r="G2011" t="s">
        <v>70</v>
      </c>
      <c r="H2011" t="s">
        <v>75</v>
      </c>
      <c r="I2011">
        <v>2</v>
      </c>
      <c r="J2011">
        <v>4300</v>
      </c>
      <c r="K2011">
        <v>0.05</v>
      </c>
      <c r="L2011">
        <v>8170</v>
      </c>
      <c r="M2011">
        <v>4819.1400000000003</v>
      </c>
      <c r="N2011">
        <v>3350.86</v>
      </c>
      <c r="O2011" t="s">
        <v>79</v>
      </c>
      <c r="P2011" t="s">
        <v>87</v>
      </c>
    </row>
    <row r="2012" spans="1:16" x14ac:dyDescent="0.25">
      <c r="A2012">
        <v>2011</v>
      </c>
      <c r="B2012" s="1">
        <v>45998</v>
      </c>
      <c r="C2012" t="s">
        <v>22</v>
      </c>
      <c r="D2012" t="s">
        <v>24</v>
      </c>
      <c r="E2012" t="s">
        <v>30</v>
      </c>
      <c r="F2012" t="s">
        <v>37</v>
      </c>
      <c r="G2012" t="s">
        <v>71</v>
      </c>
      <c r="H2012" t="s">
        <v>75</v>
      </c>
      <c r="I2012">
        <v>2</v>
      </c>
      <c r="J2012">
        <v>69756</v>
      </c>
      <c r="K2012">
        <v>0.05</v>
      </c>
      <c r="L2012">
        <v>132536.4</v>
      </c>
      <c r="M2012">
        <v>111067.49</v>
      </c>
      <c r="N2012">
        <v>21468.91</v>
      </c>
      <c r="O2012" t="s">
        <v>80</v>
      </c>
      <c r="P2012" t="s">
        <v>88</v>
      </c>
    </row>
    <row r="2013" spans="1:16" x14ac:dyDescent="0.25">
      <c r="A2013">
        <v>2012</v>
      </c>
      <c r="B2013" s="1">
        <v>45930</v>
      </c>
      <c r="C2013" t="s">
        <v>17</v>
      </c>
      <c r="D2013" t="s">
        <v>25</v>
      </c>
      <c r="E2013" t="s">
        <v>32</v>
      </c>
      <c r="F2013" t="s">
        <v>39</v>
      </c>
      <c r="G2013" t="s">
        <v>72</v>
      </c>
      <c r="H2013" t="s">
        <v>73</v>
      </c>
      <c r="I2013">
        <v>4</v>
      </c>
      <c r="J2013">
        <v>22935</v>
      </c>
      <c r="K2013">
        <v>0.15</v>
      </c>
      <c r="L2013">
        <v>77979</v>
      </c>
      <c r="M2013">
        <v>59508.45</v>
      </c>
      <c r="N2013">
        <v>18470.55</v>
      </c>
      <c r="O2013" t="s">
        <v>77</v>
      </c>
      <c r="P2013" t="s">
        <v>82</v>
      </c>
    </row>
    <row r="2014" spans="1:16" x14ac:dyDescent="0.25">
      <c r="A2014">
        <v>2013</v>
      </c>
      <c r="B2014" s="1">
        <v>45682</v>
      </c>
      <c r="C2014" t="s">
        <v>21</v>
      </c>
      <c r="D2014" t="s">
        <v>24</v>
      </c>
      <c r="E2014" t="s">
        <v>31</v>
      </c>
      <c r="F2014" t="s">
        <v>69</v>
      </c>
      <c r="G2014" t="s">
        <v>70</v>
      </c>
      <c r="H2014" t="s">
        <v>73</v>
      </c>
      <c r="I2014">
        <v>8</v>
      </c>
      <c r="J2014">
        <v>1246</v>
      </c>
      <c r="K2014">
        <v>0.1</v>
      </c>
      <c r="L2014">
        <v>8971.2000000000007</v>
      </c>
      <c r="M2014">
        <v>7253.52</v>
      </c>
      <c r="N2014">
        <v>1717.68</v>
      </c>
      <c r="O2014" t="s">
        <v>80</v>
      </c>
      <c r="P2014" t="s">
        <v>84</v>
      </c>
    </row>
    <row r="2015" spans="1:16" x14ac:dyDescent="0.25">
      <c r="A2015">
        <v>2014</v>
      </c>
      <c r="B2015" s="1">
        <v>45846</v>
      </c>
      <c r="C2015" t="s">
        <v>22</v>
      </c>
      <c r="D2015" t="s">
        <v>24</v>
      </c>
      <c r="E2015" t="s">
        <v>29</v>
      </c>
      <c r="F2015" t="s">
        <v>53</v>
      </c>
      <c r="G2015" t="s">
        <v>72</v>
      </c>
      <c r="H2015" t="s">
        <v>74</v>
      </c>
      <c r="I2015">
        <v>4</v>
      </c>
      <c r="J2015">
        <v>11809</v>
      </c>
      <c r="K2015">
        <v>0</v>
      </c>
      <c r="L2015">
        <v>47236</v>
      </c>
      <c r="M2015">
        <v>36285.5</v>
      </c>
      <c r="N2015">
        <v>10950.5</v>
      </c>
      <c r="O2015" t="s">
        <v>76</v>
      </c>
      <c r="P2015" t="s">
        <v>82</v>
      </c>
    </row>
    <row r="2016" spans="1:16" x14ac:dyDescent="0.25">
      <c r="A2016">
        <v>2015</v>
      </c>
      <c r="B2016" s="1">
        <v>45977</v>
      </c>
      <c r="C2016" t="s">
        <v>20</v>
      </c>
      <c r="D2016" t="s">
        <v>26</v>
      </c>
      <c r="E2016" t="s">
        <v>33</v>
      </c>
      <c r="F2016" t="s">
        <v>52</v>
      </c>
      <c r="G2016" t="s">
        <v>72</v>
      </c>
      <c r="H2016" t="s">
        <v>74</v>
      </c>
      <c r="I2016">
        <v>2</v>
      </c>
      <c r="J2016">
        <v>7508</v>
      </c>
      <c r="K2016">
        <v>0.15</v>
      </c>
      <c r="L2016">
        <v>12763.6</v>
      </c>
      <c r="M2016">
        <v>10281.290000000001</v>
      </c>
      <c r="N2016">
        <v>2482.31</v>
      </c>
      <c r="O2016" t="s">
        <v>78</v>
      </c>
      <c r="P2016" t="s">
        <v>81</v>
      </c>
    </row>
    <row r="2017" spans="1:16" x14ac:dyDescent="0.25">
      <c r="A2017">
        <v>2016</v>
      </c>
      <c r="B2017" s="1">
        <v>45742</v>
      </c>
      <c r="C2017" t="s">
        <v>21</v>
      </c>
      <c r="D2017" t="s">
        <v>24</v>
      </c>
      <c r="E2017" t="s">
        <v>30</v>
      </c>
      <c r="F2017" t="s">
        <v>64</v>
      </c>
      <c r="G2017" t="s">
        <v>71</v>
      </c>
      <c r="H2017" t="s">
        <v>74</v>
      </c>
      <c r="I2017">
        <v>1</v>
      </c>
      <c r="J2017">
        <v>34626</v>
      </c>
      <c r="K2017">
        <v>0.15</v>
      </c>
      <c r="L2017">
        <v>29432.1</v>
      </c>
      <c r="M2017">
        <v>22167.26</v>
      </c>
      <c r="N2017">
        <v>7264.84</v>
      </c>
      <c r="O2017" t="s">
        <v>80</v>
      </c>
      <c r="P2017" t="s">
        <v>83</v>
      </c>
    </row>
    <row r="2018" spans="1:16" x14ac:dyDescent="0.25">
      <c r="A2018">
        <v>2017</v>
      </c>
      <c r="B2018" s="1">
        <v>45986</v>
      </c>
      <c r="C2018" t="s">
        <v>16</v>
      </c>
      <c r="D2018" t="s">
        <v>24</v>
      </c>
      <c r="E2018" t="s">
        <v>29</v>
      </c>
      <c r="F2018" t="s">
        <v>45</v>
      </c>
      <c r="G2018" t="s">
        <v>71</v>
      </c>
      <c r="H2018" t="s">
        <v>73</v>
      </c>
      <c r="I2018">
        <v>3</v>
      </c>
      <c r="J2018">
        <v>10873</v>
      </c>
      <c r="K2018">
        <v>0.1</v>
      </c>
      <c r="L2018">
        <v>29357.1</v>
      </c>
      <c r="M2018">
        <v>17967.89</v>
      </c>
      <c r="N2018">
        <v>11389.21</v>
      </c>
      <c r="O2018" t="s">
        <v>78</v>
      </c>
      <c r="P2018" t="s">
        <v>85</v>
      </c>
    </row>
    <row r="2019" spans="1:16" x14ac:dyDescent="0.25">
      <c r="A2019">
        <v>2018</v>
      </c>
      <c r="B2019" s="1">
        <v>45974</v>
      </c>
      <c r="C2019" t="s">
        <v>23</v>
      </c>
      <c r="D2019" t="s">
        <v>27</v>
      </c>
      <c r="E2019" t="s">
        <v>31</v>
      </c>
      <c r="F2019" t="s">
        <v>47</v>
      </c>
      <c r="G2019" t="s">
        <v>72</v>
      </c>
      <c r="H2019" t="s">
        <v>74</v>
      </c>
      <c r="I2019">
        <v>3</v>
      </c>
      <c r="J2019">
        <v>1738</v>
      </c>
      <c r="K2019">
        <v>0.05</v>
      </c>
      <c r="L2019">
        <v>4953.3</v>
      </c>
      <c r="M2019">
        <v>3040.23</v>
      </c>
      <c r="N2019">
        <v>1913.07</v>
      </c>
      <c r="O2019" t="s">
        <v>80</v>
      </c>
      <c r="P2019" t="s">
        <v>86</v>
      </c>
    </row>
    <row r="2020" spans="1:16" x14ac:dyDescent="0.25">
      <c r="A2020">
        <v>2019</v>
      </c>
      <c r="B2020" s="1">
        <v>45758</v>
      </c>
      <c r="C2020" t="s">
        <v>20</v>
      </c>
      <c r="D2020" t="s">
        <v>26</v>
      </c>
      <c r="E2020" t="s">
        <v>33</v>
      </c>
      <c r="F2020" t="s">
        <v>46</v>
      </c>
      <c r="G2020" t="s">
        <v>70</v>
      </c>
      <c r="H2020" t="s">
        <v>74</v>
      </c>
      <c r="I2020">
        <v>6</v>
      </c>
      <c r="J2020">
        <v>35834</v>
      </c>
      <c r="K2020">
        <v>0.1</v>
      </c>
      <c r="L2020">
        <v>193503.6</v>
      </c>
      <c r="M2020">
        <v>162649.69</v>
      </c>
      <c r="N2020">
        <v>30853.91</v>
      </c>
      <c r="O2020" t="s">
        <v>77</v>
      </c>
      <c r="P2020" t="s">
        <v>84</v>
      </c>
    </row>
    <row r="2021" spans="1:16" x14ac:dyDescent="0.25">
      <c r="A2021">
        <v>2020</v>
      </c>
      <c r="B2021" s="1">
        <v>45989</v>
      </c>
      <c r="C2021" t="s">
        <v>16</v>
      </c>
      <c r="D2021" t="s">
        <v>24</v>
      </c>
      <c r="E2021" t="s">
        <v>31</v>
      </c>
      <c r="F2021" t="s">
        <v>38</v>
      </c>
      <c r="G2021" t="s">
        <v>72</v>
      </c>
      <c r="H2021" t="s">
        <v>74</v>
      </c>
      <c r="I2021">
        <v>1</v>
      </c>
      <c r="J2021">
        <v>1717</v>
      </c>
      <c r="K2021">
        <v>0.15</v>
      </c>
      <c r="L2021">
        <v>1459.45</v>
      </c>
      <c r="M2021">
        <v>1104.1099999999999</v>
      </c>
      <c r="N2021">
        <v>355.34</v>
      </c>
      <c r="O2021" t="s">
        <v>79</v>
      </c>
      <c r="P2021" t="s">
        <v>83</v>
      </c>
    </row>
    <row r="2022" spans="1:16" x14ac:dyDescent="0.25">
      <c r="A2022">
        <v>2021</v>
      </c>
      <c r="B2022" s="1">
        <v>45660</v>
      </c>
      <c r="C2022" t="s">
        <v>22</v>
      </c>
      <c r="D2022" t="s">
        <v>24</v>
      </c>
      <c r="E2022" t="s">
        <v>33</v>
      </c>
      <c r="F2022" t="s">
        <v>41</v>
      </c>
      <c r="G2022" t="s">
        <v>71</v>
      </c>
      <c r="H2022" t="s">
        <v>74</v>
      </c>
      <c r="I2022">
        <v>8</v>
      </c>
      <c r="J2022">
        <v>34724</v>
      </c>
      <c r="K2022">
        <v>0.05</v>
      </c>
      <c r="L2022">
        <v>263902.40000000002</v>
      </c>
      <c r="M2022">
        <v>222514.63</v>
      </c>
      <c r="N2022">
        <v>41387.769999999997</v>
      </c>
      <c r="O2022" t="s">
        <v>79</v>
      </c>
      <c r="P2022" t="s">
        <v>86</v>
      </c>
    </row>
    <row r="2023" spans="1:16" x14ac:dyDescent="0.25">
      <c r="A2023">
        <v>2022</v>
      </c>
      <c r="B2023" s="1">
        <v>45799</v>
      </c>
      <c r="C2023" t="s">
        <v>18</v>
      </c>
      <c r="D2023" t="s">
        <v>26</v>
      </c>
      <c r="E2023" t="s">
        <v>31</v>
      </c>
      <c r="F2023" t="s">
        <v>47</v>
      </c>
      <c r="G2023" t="s">
        <v>71</v>
      </c>
      <c r="H2023" t="s">
        <v>74</v>
      </c>
      <c r="I2023">
        <v>6</v>
      </c>
      <c r="J2023">
        <v>1055</v>
      </c>
      <c r="K2023">
        <v>0</v>
      </c>
      <c r="L2023">
        <v>6330</v>
      </c>
      <c r="M2023">
        <v>5436.97</v>
      </c>
      <c r="N2023">
        <v>893.03</v>
      </c>
      <c r="O2023" t="s">
        <v>78</v>
      </c>
      <c r="P2023" t="s">
        <v>88</v>
      </c>
    </row>
    <row r="2024" spans="1:16" x14ac:dyDescent="0.25">
      <c r="A2024">
        <v>2023</v>
      </c>
      <c r="B2024" s="1">
        <v>45688</v>
      </c>
      <c r="C2024" t="s">
        <v>22</v>
      </c>
      <c r="D2024" t="s">
        <v>24</v>
      </c>
      <c r="E2024" t="s">
        <v>29</v>
      </c>
      <c r="F2024" t="s">
        <v>57</v>
      </c>
      <c r="G2024" t="s">
        <v>72</v>
      </c>
      <c r="H2024" t="s">
        <v>74</v>
      </c>
      <c r="I2024">
        <v>8</v>
      </c>
      <c r="J2024">
        <v>427</v>
      </c>
      <c r="K2024">
        <v>0.1</v>
      </c>
      <c r="L2024">
        <v>3074.4</v>
      </c>
      <c r="M2024">
        <v>2418.38</v>
      </c>
      <c r="N2024">
        <v>656.02</v>
      </c>
      <c r="O2024" t="s">
        <v>79</v>
      </c>
      <c r="P2024" t="s">
        <v>83</v>
      </c>
    </row>
    <row r="2025" spans="1:16" x14ac:dyDescent="0.25">
      <c r="A2025">
        <v>2024</v>
      </c>
      <c r="B2025" s="1">
        <v>45991</v>
      </c>
      <c r="C2025" t="s">
        <v>23</v>
      </c>
      <c r="D2025" t="s">
        <v>27</v>
      </c>
      <c r="E2025" t="s">
        <v>28</v>
      </c>
      <c r="F2025" t="s">
        <v>58</v>
      </c>
      <c r="G2025" t="s">
        <v>70</v>
      </c>
      <c r="H2025" t="s">
        <v>74</v>
      </c>
      <c r="I2025">
        <v>6</v>
      </c>
      <c r="J2025">
        <v>2454</v>
      </c>
      <c r="K2025">
        <v>0.1</v>
      </c>
      <c r="L2025">
        <v>13251.6</v>
      </c>
      <c r="M2025">
        <v>8983.35</v>
      </c>
      <c r="N2025">
        <v>4268.25</v>
      </c>
      <c r="O2025" t="s">
        <v>78</v>
      </c>
      <c r="P2025" t="s">
        <v>88</v>
      </c>
    </row>
    <row r="2026" spans="1:16" x14ac:dyDescent="0.25">
      <c r="A2026">
        <v>2025</v>
      </c>
      <c r="B2026" s="1">
        <v>45733</v>
      </c>
      <c r="C2026" t="s">
        <v>21</v>
      </c>
      <c r="D2026" t="s">
        <v>24</v>
      </c>
      <c r="E2026" t="s">
        <v>32</v>
      </c>
      <c r="F2026" t="s">
        <v>48</v>
      </c>
      <c r="G2026" t="s">
        <v>70</v>
      </c>
      <c r="H2026" t="s">
        <v>74</v>
      </c>
      <c r="I2026">
        <v>3</v>
      </c>
      <c r="J2026">
        <v>8479</v>
      </c>
      <c r="K2026">
        <v>0</v>
      </c>
      <c r="L2026">
        <v>25437</v>
      </c>
      <c r="M2026">
        <v>19192.53</v>
      </c>
      <c r="N2026">
        <v>6244.47</v>
      </c>
      <c r="O2026" t="s">
        <v>79</v>
      </c>
      <c r="P2026" t="s">
        <v>83</v>
      </c>
    </row>
    <row r="2027" spans="1:16" x14ac:dyDescent="0.25">
      <c r="A2027">
        <v>2026</v>
      </c>
      <c r="B2027" s="1">
        <v>45953</v>
      </c>
      <c r="C2027" t="s">
        <v>20</v>
      </c>
      <c r="D2027" t="s">
        <v>26</v>
      </c>
      <c r="E2027" t="s">
        <v>29</v>
      </c>
      <c r="F2027" t="s">
        <v>57</v>
      </c>
      <c r="G2027" t="s">
        <v>71</v>
      </c>
      <c r="H2027" t="s">
        <v>75</v>
      </c>
      <c r="I2027">
        <v>4</v>
      </c>
      <c r="J2027">
        <v>11172</v>
      </c>
      <c r="K2027">
        <v>0.1</v>
      </c>
      <c r="L2027">
        <v>40219.199999999997</v>
      </c>
      <c r="M2027">
        <v>29080.57</v>
      </c>
      <c r="N2027">
        <v>11138.63</v>
      </c>
      <c r="O2027" t="s">
        <v>79</v>
      </c>
      <c r="P2027" t="s">
        <v>87</v>
      </c>
    </row>
    <row r="2028" spans="1:16" x14ac:dyDescent="0.25">
      <c r="A2028">
        <v>2027</v>
      </c>
      <c r="B2028" s="1">
        <v>45856</v>
      </c>
      <c r="C2028" t="s">
        <v>23</v>
      </c>
      <c r="D2028" t="s">
        <v>27</v>
      </c>
      <c r="E2028" t="s">
        <v>31</v>
      </c>
      <c r="F2028" t="s">
        <v>38</v>
      </c>
      <c r="G2028" t="s">
        <v>72</v>
      </c>
      <c r="H2028" t="s">
        <v>75</v>
      </c>
      <c r="I2028">
        <v>1</v>
      </c>
      <c r="J2028">
        <v>1057</v>
      </c>
      <c r="K2028">
        <v>0</v>
      </c>
      <c r="L2028">
        <v>1057</v>
      </c>
      <c r="M2028">
        <v>825.49</v>
      </c>
      <c r="N2028">
        <v>231.51</v>
      </c>
      <c r="O2028" t="s">
        <v>77</v>
      </c>
      <c r="P2028" t="s">
        <v>87</v>
      </c>
    </row>
    <row r="2029" spans="1:16" x14ac:dyDescent="0.25">
      <c r="A2029">
        <v>2028</v>
      </c>
      <c r="B2029" s="1">
        <v>45688</v>
      </c>
      <c r="C2029" t="s">
        <v>19</v>
      </c>
      <c r="D2029" t="s">
        <v>26</v>
      </c>
      <c r="E2029" t="s">
        <v>31</v>
      </c>
      <c r="F2029" t="s">
        <v>69</v>
      </c>
      <c r="G2029" t="s">
        <v>70</v>
      </c>
      <c r="H2029" t="s">
        <v>75</v>
      </c>
      <c r="I2029">
        <v>5</v>
      </c>
      <c r="J2029">
        <v>944</v>
      </c>
      <c r="K2029">
        <v>0</v>
      </c>
      <c r="L2029">
        <v>4720</v>
      </c>
      <c r="M2029">
        <v>3154.98</v>
      </c>
      <c r="N2029">
        <v>1565.02</v>
      </c>
      <c r="O2029" t="s">
        <v>78</v>
      </c>
      <c r="P2029" t="s">
        <v>86</v>
      </c>
    </row>
    <row r="2030" spans="1:16" x14ac:dyDescent="0.25">
      <c r="A2030">
        <v>2029</v>
      </c>
      <c r="B2030" s="1">
        <v>45952</v>
      </c>
      <c r="C2030" t="s">
        <v>22</v>
      </c>
      <c r="D2030" t="s">
        <v>24</v>
      </c>
      <c r="E2030" t="s">
        <v>30</v>
      </c>
      <c r="F2030" t="s">
        <v>40</v>
      </c>
      <c r="G2030" t="s">
        <v>71</v>
      </c>
      <c r="H2030" t="s">
        <v>74</v>
      </c>
      <c r="I2030">
        <v>7</v>
      </c>
      <c r="J2030">
        <v>30982</v>
      </c>
      <c r="K2030">
        <v>0.05</v>
      </c>
      <c r="L2030">
        <v>206030.3</v>
      </c>
      <c r="M2030">
        <v>167398.10999999999</v>
      </c>
      <c r="N2030">
        <v>38632.19</v>
      </c>
      <c r="O2030" t="s">
        <v>80</v>
      </c>
      <c r="P2030" t="s">
        <v>85</v>
      </c>
    </row>
    <row r="2031" spans="1:16" x14ac:dyDescent="0.25">
      <c r="A2031">
        <v>2030</v>
      </c>
      <c r="B2031" s="1">
        <v>45923</v>
      </c>
      <c r="C2031" t="s">
        <v>23</v>
      </c>
      <c r="D2031" t="s">
        <v>27</v>
      </c>
      <c r="E2031" t="s">
        <v>32</v>
      </c>
      <c r="F2031" t="s">
        <v>66</v>
      </c>
      <c r="G2031" t="s">
        <v>72</v>
      </c>
      <c r="H2031" t="s">
        <v>75</v>
      </c>
      <c r="I2031">
        <v>6</v>
      </c>
      <c r="J2031">
        <v>15073</v>
      </c>
      <c r="K2031">
        <v>0.1</v>
      </c>
      <c r="L2031">
        <v>81394.2</v>
      </c>
      <c r="M2031">
        <v>45055.51</v>
      </c>
      <c r="N2031">
        <v>36338.69</v>
      </c>
      <c r="O2031" t="s">
        <v>77</v>
      </c>
      <c r="P2031" t="s">
        <v>85</v>
      </c>
    </row>
    <row r="2032" spans="1:16" x14ac:dyDescent="0.25">
      <c r="A2032">
        <v>2031</v>
      </c>
      <c r="B2032" s="1">
        <v>45850</v>
      </c>
      <c r="C2032" t="s">
        <v>16</v>
      </c>
      <c r="D2032" t="s">
        <v>24</v>
      </c>
      <c r="E2032" t="s">
        <v>34</v>
      </c>
      <c r="F2032" t="s">
        <v>51</v>
      </c>
      <c r="G2032" t="s">
        <v>72</v>
      </c>
      <c r="H2032" t="s">
        <v>75</v>
      </c>
      <c r="I2032">
        <v>3</v>
      </c>
      <c r="J2032">
        <v>2343</v>
      </c>
      <c r="K2032">
        <v>0.15</v>
      </c>
      <c r="L2032">
        <v>5974.65</v>
      </c>
      <c r="M2032">
        <v>3933.86</v>
      </c>
      <c r="N2032">
        <v>2040.79</v>
      </c>
      <c r="O2032" t="s">
        <v>77</v>
      </c>
      <c r="P2032" t="s">
        <v>83</v>
      </c>
    </row>
    <row r="2033" spans="1:16" x14ac:dyDescent="0.25">
      <c r="A2033">
        <v>2032</v>
      </c>
      <c r="B2033" s="1">
        <v>45792</v>
      </c>
      <c r="C2033" t="s">
        <v>22</v>
      </c>
      <c r="D2033" t="s">
        <v>24</v>
      </c>
      <c r="E2033" t="s">
        <v>31</v>
      </c>
      <c r="F2033" t="s">
        <v>38</v>
      </c>
      <c r="G2033" t="s">
        <v>70</v>
      </c>
      <c r="H2033" t="s">
        <v>73</v>
      </c>
      <c r="I2033">
        <v>3</v>
      </c>
      <c r="J2033">
        <v>477</v>
      </c>
      <c r="K2033">
        <v>0</v>
      </c>
      <c r="L2033">
        <v>1431</v>
      </c>
      <c r="M2033">
        <v>1059.07</v>
      </c>
      <c r="N2033">
        <v>371.93</v>
      </c>
      <c r="O2033" t="s">
        <v>79</v>
      </c>
      <c r="P2033" t="s">
        <v>87</v>
      </c>
    </row>
    <row r="2034" spans="1:16" x14ac:dyDescent="0.25">
      <c r="A2034">
        <v>2033</v>
      </c>
      <c r="B2034" s="1">
        <v>45937</v>
      </c>
      <c r="C2034" t="s">
        <v>23</v>
      </c>
      <c r="D2034" t="s">
        <v>27</v>
      </c>
      <c r="E2034" t="s">
        <v>28</v>
      </c>
      <c r="F2034" t="s">
        <v>63</v>
      </c>
      <c r="G2034" t="s">
        <v>71</v>
      </c>
      <c r="H2034" t="s">
        <v>74</v>
      </c>
      <c r="I2034">
        <v>3</v>
      </c>
      <c r="J2034">
        <v>1398</v>
      </c>
      <c r="K2034">
        <v>0.1</v>
      </c>
      <c r="L2034">
        <v>3774.6</v>
      </c>
      <c r="M2034">
        <v>3232.03</v>
      </c>
      <c r="N2034">
        <v>542.57000000000005</v>
      </c>
      <c r="O2034" t="s">
        <v>78</v>
      </c>
      <c r="P2034" t="s">
        <v>83</v>
      </c>
    </row>
    <row r="2035" spans="1:16" x14ac:dyDescent="0.25">
      <c r="A2035">
        <v>2034</v>
      </c>
      <c r="B2035" s="1">
        <v>45661</v>
      </c>
      <c r="C2035" t="s">
        <v>23</v>
      </c>
      <c r="D2035" t="s">
        <v>27</v>
      </c>
      <c r="E2035" t="s">
        <v>32</v>
      </c>
      <c r="F2035" t="s">
        <v>39</v>
      </c>
      <c r="G2035" t="s">
        <v>72</v>
      </c>
      <c r="H2035" t="s">
        <v>74</v>
      </c>
      <c r="I2035">
        <v>3</v>
      </c>
      <c r="J2035">
        <v>10840</v>
      </c>
      <c r="K2035">
        <v>0</v>
      </c>
      <c r="L2035">
        <v>32520</v>
      </c>
      <c r="M2035">
        <v>21059.77</v>
      </c>
      <c r="N2035">
        <v>11460.23</v>
      </c>
      <c r="O2035" t="s">
        <v>78</v>
      </c>
      <c r="P2035" t="s">
        <v>86</v>
      </c>
    </row>
    <row r="2036" spans="1:16" x14ac:dyDescent="0.25">
      <c r="A2036">
        <v>2035</v>
      </c>
      <c r="B2036" s="1">
        <v>45801</v>
      </c>
      <c r="C2036" t="s">
        <v>23</v>
      </c>
      <c r="D2036" t="s">
        <v>27</v>
      </c>
      <c r="E2036" t="s">
        <v>32</v>
      </c>
      <c r="F2036" t="s">
        <v>48</v>
      </c>
      <c r="G2036" t="s">
        <v>72</v>
      </c>
      <c r="H2036" t="s">
        <v>73</v>
      </c>
      <c r="I2036">
        <v>2</v>
      </c>
      <c r="J2036">
        <v>14476</v>
      </c>
      <c r="K2036">
        <v>0</v>
      </c>
      <c r="L2036">
        <v>28952</v>
      </c>
      <c r="M2036">
        <v>25470.76</v>
      </c>
      <c r="N2036">
        <v>3481.24</v>
      </c>
      <c r="O2036" t="s">
        <v>79</v>
      </c>
      <c r="P2036" t="s">
        <v>81</v>
      </c>
    </row>
    <row r="2037" spans="1:16" x14ac:dyDescent="0.25">
      <c r="A2037">
        <v>2036</v>
      </c>
      <c r="B2037" s="1">
        <v>45793</v>
      </c>
      <c r="C2037" t="s">
        <v>23</v>
      </c>
      <c r="D2037" t="s">
        <v>27</v>
      </c>
      <c r="E2037" t="s">
        <v>28</v>
      </c>
      <c r="F2037" t="s">
        <v>54</v>
      </c>
      <c r="G2037" t="s">
        <v>72</v>
      </c>
      <c r="H2037" t="s">
        <v>75</v>
      </c>
      <c r="I2037">
        <v>6</v>
      </c>
      <c r="J2037">
        <v>2185</v>
      </c>
      <c r="K2037">
        <v>0</v>
      </c>
      <c r="L2037">
        <v>13110</v>
      </c>
      <c r="M2037">
        <v>8423.1299999999992</v>
      </c>
      <c r="N2037">
        <v>4686.87</v>
      </c>
      <c r="O2037" t="s">
        <v>77</v>
      </c>
      <c r="P2037" t="s">
        <v>84</v>
      </c>
    </row>
    <row r="2038" spans="1:16" x14ac:dyDescent="0.25">
      <c r="A2038">
        <v>2037</v>
      </c>
      <c r="B2038" s="1">
        <v>45820</v>
      </c>
      <c r="C2038" t="s">
        <v>21</v>
      </c>
      <c r="D2038" t="s">
        <v>24</v>
      </c>
      <c r="E2038" t="s">
        <v>34</v>
      </c>
      <c r="F2038" t="s">
        <v>65</v>
      </c>
      <c r="G2038" t="s">
        <v>72</v>
      </c>
      <c r="H2038" t="s">
        <v>75</v>
      </c>
      <c r="I2038">
        <v>2</v>
      </c>
      <c r="J2038">
        <v>3998</v>
      </c>
      <c r="K2038">
        <v>0.1</v>
      </c>
      <c r="L2038">
        <v>7196.4</v>
      </c>
      <c r="M2038">
        <v>5221.28</v>
      </c>
      <c r="N2038">
        <v>1975.12</v>
      </c>
      <c r="O2038" t="s">
        <v>80</v>
      </c>
      <c r="P2038" t="s">
        <v>84</v>
      </c>
    </row>
    <row r="2039" spans="1:16" x14ac:dyDescent="0.25">
      <c r="A2039">
        <v>2038</v>
      </c>
      <c r="B2039" s="1">
        <v>45996</v>
      </c>
      <c r="C2039" t="s">
        <v>22</v>
      </c>
      <c r="D2039" t="s">
        <v>24</v>
      </c>
      <c r="E2039" t="s">
        <v>28</v>
      </c>
      <c r="F2039" t="s">
        <v>58</v>
      </c>
      <c r="G2039" t="s">
        <v>71</v>
      </c>
      <c r="H2039" t="s">
        <v>73</v>
      </c>
      <c r="I2039">
        <v>5</v>
      </c>
      <c r="J2039">
        <v>1446</v>
      </c>
      <c r="K2039">
        <v>0.05</v>
      </c>
      <c r="L2039">
        <v>6868.5</v>
      </c>
      <c r="M2039">
        <v>4282.1400000000003</v>
      </c>
      <c r="N2039">
        <v>2586.36</v>
      </c>
      <c r="O2039" t="s">
        <v>78</v>
      </c>
      <c r="P2039" t="s">
        <v>84</v>
      </c>
    </row>
    <row r="2040" spans="1:16" x14ac:dyDescent="0.25">
      <c r="A2040">
        <v>2039</v>
      </c>
      <c r="B2040" s="1">
        <v>45998</v>
      </c>
      <c r="C2040" t="s">
        <v>20</v>
      </c>
      <c r="D2040" t="s">
        <v>26</v>
      </c>
      <c r="E2040" t="s">
        <v>29</v>
      </c>
      <c r="F2040" t="s">
        <v>57</v>
      </c>
      <c r="G2040" t="s">
        <v>72</v>
      </c>
      <c r="H2040" t="s">
        <v>73</v>
      </c>
      <c r="I2040">
        <v>6</v>
      </c>
      <c r="J2040">
        <v>2709</v>
      </c>
      <c r="K2040">
        <v>0.1</v>
      </c>
      <c r="L2040">
        <v>14628.6</v>
      </c>
      <c r="M2040">
        <v>9787.1299999999992</v>
      </c>
      <c r="N2040">
        <v>4841.47</v>
      </c>
      <c r="O2040" t="s">
        <v>78</v>
      </c>
      <c r="P2040" t="s">
        <v>86</v>
      </c>
    </row>
    <row r="2041" spans="1:16" x14ac:dyDescent="0.25">
      <c r="A2041">
        <v>2040</v>
      </c>
      <c r="B2041" s="1">
        <v>45814</v>
      </c>
      <c r="C2041" t="s">
        <v>21</v>
      </c>
      <c r="D2041" t="s">
        <v>24</v>
      </c>
      <c r="E2041" t="s">
        <v>30</v>
      </c>
      <c r="F2041" t="s">
        <v>44</v>
      </c>
      <c r="G2041" t="s">
        <v>72</v>
      </c>
      <c r="H2041" t="s">
        <v>73</v>
      </c>
      <c r="I2041">
        <v>1</v>
      </c>
      <c r="J2041">
        <v>63948</v>
      </c>
      <c r="K2041">
        <v>0.1</v>
      </c>
      <c r="L2041">
        <v>57553.2</v>
      </c>
      <c r="M2041">
        <v>33410.31</v>
      </c>
      <c r="N2041">
        <v>24142.89</v>
      </c>
      <c r="O2041" t="s">
        <v>77</v>
      </c>
      <c r="P2041" t="s">
        <v>85</v>
      </c>
    </row>
    <row r="2042" spans="1:16" x14ac:dyDescent="0.25">
      <c r="A2042">
        <v>2041</v>
      </c>
      <c r="B2042" s="1">
        <v>45692</v>
      </c>
      <c r="C2042" t="s">
        <v>18</v>
      </c>
      <c r="D2042" t="s">
        <v>26</v>
      </c>
      <c r="E2042" t="s">
        <v>30</v>
      </c>
      <c r="F2042" t="s">
        <v>44</v>
      </c>
      <c r="G2042" t="s">
        <v>71</v>
      </c>
      <c r="H2042" t="s">
        <v>73</v>
      </c>
      <c r="I2042">
        <v>5</v>
      </c>
      <c r="J2042">
        <v>16222</v>
      </c>
      <c r="K2042">
        <v>0.1</v>
      </c>
      <c r="L2042">
        <v>72999</v>
      </c>
      <c r="M2042">
        <v>61804.82</v>
      </c>
      <c r="N2042">
        <v>11194.18</v>
      </c>
      <c r="O2042" t="s">
        <v>80</v>
      </c>
      <c r="P2042" t="s">
        <v>83</v>
      </c>
    </row>
    <row r="2043" spans="1:16" x14ac:dyDescent="0.25">
      <c r="A2043">
        <v>2042</v>
      </c>
      <c r="B2043" s="1">
        <v>45933</v>
      </c>
      <c r="C2043" t="s">
        <v>21</v>
      </c>
      <c r="D2043" t="s">
        <v>24</v>
      </c>
      <c r="E2043" t="s">
        <v>34</v>
      </c>
      <c r="F2043" t="s">
        <v>43</v>
      </c>
      <c r="G2043" t="s">
        <v>70</v>
      </c>
      <c r="H2043" t="s">
        <v>75</v>
      </c>
      <c r="I2043">
        <v>2</v>
      </c>
      <c r="J2043">
        <v>3031</v>
      </c>
      <c r="K2043">
        <v>0.1</v>
      </c>
      <c r="L2043">
        <v>5455.8</v>
      </c>
      <c r="M2043">
        <v>3323.61</v>
      </c>
      <c r="N2043">
        <v>2132.19</v>
      </c>
      <c r="O2043" t="s">
        <v>80</v>
      </c>
      <c r="P2043" t="s">
        <v>81</v>
      </c>
    </row>
    <row r="2044" spans="1:16" x14ac:dyDescent="0.25">
      <c r="A2044">
        <v>2043</v>
      </c>
      <c r="B2044" s="1">
        <v>45828</v>
      </c>
      <c r="C2044" t="s">
        <v>21</v>
      </c>
      <c r="D2044" t="s">
        <v>24</v>
      </c>
      <c r="E2044" t="s">
        <v>30</v>
      </c>
      <c r="F2044" t="s">
        <v>44</v>
      </c>
      <c r="G2044" t="s">
        <v>71</v>
      </c>
      <c r="H2044" t="s">
        <v>73</v>
      </c>
      <c r="I2044">
        <v>5</v>
      </c>
      <c r="J2044">
        <v>46829</v>
      </c>
      <c r="K2044">
        <v>0.05</v>
      </c>
      <c r="L2044">
        <v>222437.75</v>
      </c>
      <c r="M2044">
        <v>126419.3</v>
      </c>
      <c r="N2044">
        <v>96018.45</v>
      </c>
      <c r="O2044" t="s">
        <v>78</v>
      </c>
      <c r="P2044" t="s">
        <v>88</v>
      </c>
    </row>
    <row r="2045" spans="1:16" x14ac:dyDescent="0.25">
      <c r="A2045">
        <v>2044</v>
      </c>
      <c r="B2045" s="1">
        <v>45896</v>
      </c>
      <c r="C2045" t="s">
        <v>19</v>
      </c>
      <c r="D2045" t="s">
        <v>26</v>
      </c>
      <c r="E2045" t="s">
        <v>33</v>
      </c>
      <c r="F2045" t="s">
        <v>59</v>
      </c>
      <c r="G2045" t="s">
        <v>70</v>
      </c>
      <c r="H2045" t="s">
        <v>75</v>
      </c>
      <c r="I2045">
        <v>7</v>
      </c>
      <c r="J2045">
        <v>28228</v>
      </c>
      <c r="K2045">
        <v>0.05</v>
      </c>
      <c r="L2045">
        <v>187716.2</v>
      </c>
      <c r="M2045">
        <v>159417.51</v>
      </c>
      <c r="N2045">
        <v>28298.69</v>
      </c>
      <c r="O2045" t="s">
        <v>77</v>
      </c>
      <c r="P2045" t="s">
        <v>84</v>
      </c>
    </row>
    <row r="2046" spans="1:16" x14ac:dyDescent="0.25">
      <c r="A2046">
        <v>2045</v>
      </c>
      <c r="B2046" s="1">
        <v>45743</v>
      </c>
      <c r="C2046" t="s">
        <v>18</v>
      </c>
      <c r="D2046" t="s">
        <v>26</v>
      </c>
      <c r="E2046" t="s">
        <v>30</v>
      </c>
      <c r="F2046" t="s">
        <v>64</v>
      </c>
      <c r="G2046" t="s">
        <v>72</v>
      </c>
      <c r="H2046" t="s">
        <v>75</v>
      </c>
      <c r="I2046">
        <v>5</v>
      </c>
      <c r="J2046">
        <v>40097</v>
      </c>
      <c r="K2046">
        <v>0.05</v>
      </c>
      <c r="L2046">
        <v>190460.75</v>
      </c>
      <c r="M2046">
        <v>148150.88</v>
      </c>
      <c r="N2046">
        <v>42309.87</v>
      </c>
      <c r="O2046" t="s">
        <v>78</v>
      </c>
      <c r="P2046" t="s">
        <v>81</v>
      </c>
    </row>
    <row r="2047" spans="1:16" x14ac:dyDescent="0.25">
      <c r="A2047">
        <v>2046</v>
      </c>
      <c r="B2047" s="1">
        <v>45840</v>
      </c>
      <c r="C2047" t="s">
        <v>22</v>
      </c>
      <c r="D2047" t="s">
        <v>24</v>
      </c>
      <c r="E2047" t="s">
        <v>28</v>
      </c>
      <c r="F2047" t="s">
        <v>63</v>
      </c>
      <c r="G2047" t="s">
        <v>71</v>
      </c>
      <c r="H2047" t="s">
        <v>73</v>
      </c>
      <c r="I2047">
        <v>1</v>
      </c>
      <c r="J2047">
        <v>2218</v>
      </c>
      <c r="K2047">
        <v>0</v>
      </c>
      <c r="L2047">
        <v>2218</v>
      </c>
      <c r="M2047">
        <v>1367.24</v>
      </c>
      <c r="N2047">
        <v>850.76</v>
      </c>
      <c r="O2047" t="s">
        <v>76</v>
      </c>
      <c r="P2047" t="s">
        <v>86</v>
      </c>
    </row>
    <row r="2048" spans="1:16" x14ac:dyDescent="0.25">
      <c r="A2048">
        <v>2047</v>
      </c>
      <c r="B2048" s="1">
        <v>46015</v>
      </c>
      <c r="C2048" t="s">
        <v>20</v>
      </c>
      <c r="D2048" t="s">
        <v>26</v>
      </c>
      <c r="E2048" t="s">
        <v>34</v>
      </c>
      <c r="F2048" t="s">
        <v>65</v>
      </c>
      <c r="G2048" t="s">
        <v>70</v>
      </c>
      <c r="H2048" t="s">
        <v>74</v>
      </c>
      <c r="I2048">
        <v>1</v>
      </c>
      <c r="J2048">
        <v>5516</v>
      </c>
      <c r="K2048">
        <v>0.1</v>
      </c>
      <c r="L2048">
        <v>4964.3999999999996</v>
      </c>
      <c r="M2048">
        <v>2825.85</v>
      </c>
      <c r="N2048">
        <v>2138.5500000000002</v>
      </c>
      <c r="O2048" t="s">
        <v>79</v>
      </c>
      <c r="P2048" t="s">
        <v>87</v>
      </c>
    </row>
    <row r="2049" spans="1:16" x14ac:dyDescent="0.25">
      <c r="A2049">
        <v>2048</v>
      </c>
      <c r="B2049" s="1">
        <v>45719</v>
      </c>
      <c r="C2049" t="s">
        <v>21</v>
      </c>
      <c r="D2049" t="s">
        <v>24</v>
      </c>
      <c r="E2049" t="s">
        <v>33</v>
      </c>
      <c r="F2049" t="s">
        <v>41</v>
      </c>
      <c r="G2049" t="s">
        <v>72</v>
      </c>
      <c r="H2049" t="s">
        <v>74</v>
      </c>
      <c r="I2049">
        <v>2</v>
      </c>
      <c r="J2049">
        <v>46619</v>
      </c>
      <c r="K2049">
        <v>0.1</v>
      </c>
      <c r="L2049">
        <v>83914.2</v>
      </c>
      <c r="M2049">
        <v>53717.17</v>
      </c>
      <c r="N2049">
        <v>30197.03</v>
      </c>
      <c r="O2049" t="s">
        <v>76</v>
      </c>
      <c r="P2049" t="s">
        <v>84</v>
      </c>
    </row>
    <row r="2050" spans="1:16" x14ac:dyDescent="0.25">
      <c r="A2050">
        <v>2049</v>
      </c>
      <c r="B2050" s="1">
        <v>45758</v>
      </c>
      <c r="C2050" t="s">
        <v>23</v>
      </c>
      <c r="D2050" t="s">
        <v>27</v>
      </c>
      <c r="E2050" t="s">
        <v>28</v>
      </c>
      <c r="F2050" t="s">
        <v>63</v>
      </c>
      <c r="G2050" t="s">
        <v>72</v>
      </c>
      <c r="H2050" t="s">
        <v>73</v>
      </c>
      <c r="I2050">
        <v>8</v>
      </c>
      <c r="J2050">
        <v>323</v>
      </c>
      <c r="K2050">
        <v>0.15</v>
      </c>
      <c r="L2050">
        <v>2196.4</v>
      </c>
      <c r="M2050">
        <v>1537.69</v>
      </c>
      <c r="N2050">
        <v>658.71</v>
      </c>
      <c r="O2050" t="s">
        <v>78</v>
      </c>
      <c r="P2050" t="s">
        <v>84</v>
      </c>
    </row>
    <row r="2051" spans="1:16" x14ac:dyDescent="0.25">
      <c r="A2051">
        <v>2050</v>
      </c>
      <c r="B2051" s="1">
        <v>45703</v>
      </c>
      <c r="C2051" t="s">
        <v>18</v>
      </c>
      <c r="D2051" t="s">
        <v>26</v>
      </c>
      <c r="E2051" t="s">
        <v>31</v>
      </c>
      <c r="F2051" t="s">
        <v>38</v>
      </c>
      <c r="G2051" t="s">
        <v>70</v>
      </c>
      <c r="H2051" t="s">
        <v>73</v>
      </c>
      <c r="I2051">
        <v>6</v>
      </c>
      <c r="J2051">
        <v>2348</v>
      </c>
      <c r="K2051">
        <v>0.1</v>
      </c>
      <c r="L2051">
        <v>12679.2</v>
      </c>
      <c r="M2051">
        <v>9581.57</v>
      </c>
      <c r="N2051">
        <v>3097.63</v>
      </c>
      <c r="O2051" t="s">
        <v>80</v>
      </c>
      <c r="P2051" t="s">
        <v>87</v>
      </c>
    </row>
    <row r="2052" spans="1:16" x14ac:dyDescent="0.25">
      <c r="A2052">
        <v>2051</v>
      </c>
      <c r="B2052" s="1">
        <v>45873</v>
      </c>
      <c r="C2052" t="s">
        <v>22</v>
      </c>
      <c r="D2052" t="s">
        <v>24</v>
      </c>
      <c r="E2052" t="s">
        <v>29</v>
      </c>
      <c r="F2052" t="s">
        <v>53</v>
      </c>
      <c r="G2052" t="s">
        <v>70</v>
      </c>
      <c r="H2052" t="s">
        <v>75</v>
      </c>
      <c r="I2052">
        <v>5</v>
      </c>
      <c r="J2052">
        <v>8664</v>
      </c>
      <c r="K2052">
        <v>0.15</v>
      </c>
      <c r="L2052">
        <v>36822</v>
      </c>
      <c r="M2052">
        <v>26715.65</v>
      </c>
      <c r="N2052">
        <v>10106.35</v>
      </c>
      <c r="O2052" t="s">
        <v>78</v>
      </c>
      <c r="P2052" t="s">
        <v>85</v>
      </c>
    </row>
    <row r="2053" spans="1:16" x14ac:dyDescent="0.25">
      <c r="A2053">
        <v>2052</v>
      </c>
      <c r="B2053" s="1">
        <v>45735</v>
      </c>
      <c r="C2053" t="s">
        <v>19</v>
      </c>
      <c r="D2053" t="s">
        <v>26</v>
      </c>
      <c r="E2053" t="s">
        <v>30</v>
      </c>
      <c r="F2053" t="s">
        <v>44</v>
      </c>
      <c r="G2053" t="s">
        <v>72</v>
      </c>
      <c r="H2053" t="s">
        <v>75</v>
      </c>
      <c r="I2053">
        <v>4</v>
      </c>
      <c r="J2053">
        <v>24876</v>
      </c>
      <c r="K2053">
        <v>0.1</v>
      </c>
      <c r="L2053">
        <v>89553.600000000006</v>
      </c>
      <c r="M2053">
        <v>60920.73</v>
      </c>
      <c r="N2053">
        <v>28632.87</v>
      </c>
      <c r="O2053" t="s">
        <v>76</v>
      </c>
      <c r="P2053" t="s">
        <v>83</v>
      </c>
    </row>
    <row r="2054" spans="1:16" x14ac:dyDescent="0.25">
      <c r="A2054">
        <v>2053</v>
      </c>
      <c r="B2054" s="1">
        <v>45887</v>
      </c>
      <c r="C2054" t="s">
        <v>19</v>
      </c>
      <c r="D2054" t="s">
        <v>26</v>
      </c>
      <c r="E2054" t="s">
        <v>30</v>
      </c>
      <c r="F2054" t="s">
        <v>64</v>
      </c>
      <c r="G2054" t="s">
        <v>70</v>
      </c>
      <c r="H2054" t="s">
        <v>73</v>
      </c>
      <c r="I2054">
        <v>5</v>
      </c>
      <c r="J2054">
        <v>38531</v>
      </c>
      <c r="K2054">
        <v>0.1</v>
      </c>
      <c r="L2054">
        <v>173389.5</v>
      </c>
      <c r="M2054">
        <v>107563.82</v>
      </c>
      <c r="N2054">
        <v>65825.679999999993</v>
      </c>
      <c r="O2054" t="s">
        <v>77</v>
      </c>
      <c r="P2054" t="s">
        <v>87</v>
      </c>
    </row>
    <row r="2055" spans="1:16" x14ac:dyDescent="0.25">
      <c r="A2055">
        <v>2054</v>
      </c>
      <c r="B2055" s="1">
        <v>46010</v>
      </c>
      <c r="C2055" t="s">
        <v>18</v>
      </c>
      <c r="D2055" t="s">
        <v>26</v>
      </c>
      <c r="E2055" t="s">
        <v>30</v>
      </c>
      <c r="F2055" t="s">
        <v>37</v>
      </c>
      <c r="G2055" t="s">
        <v>72</v>
      </c>
      <c r="H2055" t="s">
        <v>73</v>
      </c>
      <c r="I2055">
        <v>1</v>
      </c>
      <c r="J2055">
        <v>14588</v>
      </c>
      <c r="K2055">
        <v>0.2</v>
      </c>
      <c r="L2055">
        <v>11670.4</v>
      </c>
      <c r="M2055">
        <v>8455.01</v>
      </c>
      <c r="N2055">
        <v>3215.39</v>
      </c>
      <c r="O2055" t="s">
        <v>77</v>
      </c>
      <c r="P2055" t="s">
        <v>87</v>
      </c>
    </row>
    <row r="2056" spans="1:16" x14ac:dyDescent="0.25">
      <c r="A2056">
        <v>2055</v>
      </c>
      <c r="B2056" s="1">
        <v>45909</v>
      </c>
      <c r="C2056" t="s">
        <v>20</v>
      </c>
      <c r="D2056" t="s">
        <v>26</v>
      </c>
      <c r="E2056" t="s">
        <v>33</v>
      </c>
      <c r="F2056" t="s">
        <v>52</v>
      </c>
      <c r="G2056" t="s">
        <v>70</v>
      </c>
      <c r="H2056" t="s">
        <v>73</v>
      </c>
      <c r="I2056">
        <v>6</v>
      </c>
      <c r="J2056">
        <v>43475</v>
      </c>
      <c r="K2056">
        <v>0.2</v>
      </c>
      <c r="L2056">
        <v>208680</v>
      </c>
      <c r="M2056">
        <v>160972.47</v>
      </c>
      <c r="N2056">
        <v>47707.53</v>
      </c>
      <c r="O2056" t="s">
        <v>76</v>
      </c>
      <c r="P2056" t="s">
        <v>81</v>
      </c>
    </row>
    <row r="2057" spans="1:16" x14ac:dyDescent="0.25">
      <c r="A2057">
        <v>2056</v>
      </c>
      <c r="B2057" s="1">
        <v>45706</v>
      </c>
      <c r="C2057" t="s">
        <v>16</v>
      </c>
      <c r="D2057" t="s">
        <v>24</v>
      </c>
      <c r="E2057" t="s">
        <v>28</v>
      </c>
      <c r="F2057" t="s">
        <v>58</v>
      </c>
      <c r="G2057" t="s">
        <v>70</v>
      </c>
      <c r="H2057" t="s">
        <v>75</v>
      </c>
      <c r="I2057">
        <v>4</v>
      </c>
      <c r="J2057">
        <v>2307</v>
      </c>
      <c r="K2057">
        <v>0.15</v>
      </c>
      <c r="L2057">
        <v>7843.8</v>
      </c>
      <c r="M2057">
        <v>5861.39</v>
      </c>
      <c r="N2057">
        <v>1982.41</v>
      </c>
      <c r="O2057" t="s">
        <v>77</v>
      </c>
      <c r="P2057" t="s">
        <v>82</v>
      </c>
    </row>
    <row r="2058" spans="1:16" x14ac:dyDescent="0.25">
      <c r="A2058">
        <v>2057</v>
      </c>
      <c r="B2058" s="1">
        <v>45744</v>
      </c>
      <c r="C2058" t="s">
        <v>16</v>
      </c>
      <c r="D2058" t="s">
        <v>24</v>
      </c>
      <c r="E2058" t="s">
        <v>32</v>
      </c>
      <c r="F2058" t="s">
        <v>39</v>
      </c>
      <c r="G2058" t="s">
        <v>72</v>
      </c>
      <c r="H2058" t="s">
        <v>73</v>
      </c>
      <c r="I2058">
        <v>5</v>
      </c>
      <c r="J2058">
        <v>13263</v>
      </c>
      <c r="K2058">
        <v>0.15</v>
      </c>
      <c r="L2058">
        <v>56367.75</v>
      </c>
      <c r="M2058">
        <v>38089.660000000003</v>
      </c>
      <c r="N2058">
        <v>18278.09</v>
      </c>
      <c r="O2058" t="s">
        <v>80</v>
      </c>
      <c r="P2058" t="s">
        <v>88</v>
      </c>
    </row>
    <row r="2059" spans="1:16" x14ac:dyDescent="0.25">
      <c r="A2059">
        <v>2058</v>
      </c>
      <c r="B2059" s="1">
        <v>45688</v>
      </c>
      <c r="C2059" t="s">
        <v>22</v>
      </c>
      <c r="D2059" t="s">
        <v>24</v>
      </c>
      <c r="E2059" t="s">
        <v>34</v>
      </c>
      <c r="F2059" t="s">
        <v>43</v>
      </c>
      <c r="G2059" t="s">
        <v>71</v>
      </c>
      <c r="H2059" t="s">
        <v>73</v>
      </c>
      <c r="I2059">
        <v>8</v>
      </c>
      <c r="J2059">
        <v>4809</v>
      </c>
      <c r="K2059">
        <v>0.15</v>
      </c>
      <c r="L2059">
        <v>32701.200000000001</v>
      </c>
      <c r="M2059">
        <v>21854.2</v>
      </c>
      <c r="N2059">
        <v>10847</v>
      </c>
      <c r="O2059" t="s">
        <v>77</v>
      </c>
      <c r="P2059" t="s">
        <v>87</v>
      </c>
    </row>
    <row r="2060" spans="1:16" x14ac:dyDescent="0.25">
      <c r="A2060">
        <v>2059</v>
      </c>
      <c r="B2060" s="1">
        <v>45701</v>
      </c>
      <c r="C2060" t="s">
        <v>19</v>
      </c>
      <c r="D2060" t="s">
        <v>26</v>
      </c>
      <c r="E2060" t="s">
        <v>28</v>
      </c>
      <c r="F2060" t="s">
        <v>54</v>
      </c>
      <c r="G2060" t="s">
        <v>71</v>
      </c>
      <c r="H2060" t="s">
        <v>74</v>
      </c>
      <c r="I2060">
        <v>3</v>
      </c>
      <c r="J2060">
        <v>144</v>
      </c>
      <c r="K2060">
        <v>0.1</v>
      </c>
      <c r="L2060">
        <v>388.8</v>
      </c>
      <c r="M2060">
        <v>247.68</v>
      </c>
      <c r="N2060">
        <v>141.12</v>
      </c>
      <c r="O2060" t="s">
        <v>78</v>
      </c>
      <c r="P2060" t="s">
        <v>84</v>
      </c>
    </row>
    <row r="2061" spans="1:16" x14ac:dyDescent="0.25">
      <c r="A2061">
        <v>2060</v>
      </c>
      <c r="B2061" s="1">
        <v>45987</v>
      </c>
      <c r="C2061" t="s">
        <v>20</v>
      </c>
      <c r="D2061" t="s">
        <v>26</v>
      </c>
      <c r="E2061" t="s">
        <v>28</v>
      </c>
      <c r="F2061" t="s">
        <v>61</v>
      </c>
      <c r="G2061" t="s">
        <v>71</v>
      </c>
      <c r="H2061" t="s">
        <v>75</v>
      </c>
      <c r="I2061">
        <v>7</v>
      </c>
      <c r="J2061">
        <v>1406</v>
      </c>
      <c r="K2061">
        <v>0.05</v>
      </c>
      <c r="L2061">
        <v>9349.9</v>
      </c>
      <c r="M2061">
        <v>6787.87</v>
      </c>
      <c r="N2061">
        <v>2562.0300000000002</v>
      </c>
      <c r="O2061" t="s">
        <v>76</v>
      </c>
      <c r="P2061" t="s">
        <v>82</v>
      </c>
    </row>
    <row r="2062" spans="1:16" x14ac:dyDescent="0.25">
      <c r="A2062">
        <v>2061</v>
      </c>
      <c r="B2062" s="1">
        <v>45820</v>
      </c>
      <c r="C2062" t="s">
        <v>16</v>
      </c>
      <c r="D2062" t="s">
        <v>24</v>
      </c>
      <c r="E2062" t="s">
        <v>34</v>
      </c>
      <c r="F2062" t="s">
        <v>68</v>
      </c>
      <c r="G2062" t="s">
        <v>70</v>
      </c>
      <c r="H2062" t="s">
        <v>75</v>
      </c>
      <c r="I2062">
        <v>7</v>
      </c>
      <c r="J2062">
        <v>5020</v>
      </c>
      <c r="K2062">
        <v>0</v>
      </c>
      <c r="L2062">
        <v>35140</v>
      </c>
      <c r="M2062">
        <v>27568.080000000002</v>
      </c>
      <c r="N2062">
        <v>7571.92</v>
      </c>
      <c r="O2062" t="s">
        <v>80</v>
      </c>
      <c r="P2062" t="s">
        <v>87</v>
      </c>
    </row>
    <row r="2063" spans="1:16" x14ac:dyDescent="0.25">
      <c r="A2063">
        <v>2062</v>
      </c>
      <c r="B2063" s="1">
        <v>45742</v>
      </c>
      <c r="C2063" t="s">
        <v>19</v>
      </c>
      <c r="D2063" t="s">
        <v>26</v>
      </c>
      <c r="E2063" t="s">
        <v>28</v>
      </c>
      <c r="F2063" t="s">
        <v>58</v>
      </c>
      <c r="G2063" t="s">
        <v>71</v>
      </c>
      <c r="H2063" t="s">
        <v>73</v>
      </c>
      <c r="I2063">
        <v>3</v>
      </c>
      <c r="J2063">
        <v>1326</v>
      </c>
      <c r="K2063">
        <v>0.2</v>
      </c>
      <c r="L2063">
        <v>3182.4</v>
      </c>
      <c r="M2063">
        <v>2274.41</v>
      </c>
      <c r="N2063">
        <v>907.99</v>
      </c>
      <c r="O2063" t="s">
        <v>80</v>
      </c>
      <c r="P2063" t="s">
        <v>87</v>
      </c>
    </row>
    <row r="2064" spans="1:16" x14ac:dyDescent="0.25">
      <c r="A2064">
        <v>2063</v>
      </c>
      <c r="B2064" s="1">
        <v>46008</v>
      </c>
      <c r="C2064" t="s">
        <v>23</v>
      </c>
      <c r="D2064" t="s">
        <v>27</v>
      </c>
      <c r="E2064" t="s">
        <v>29</v>
      </c>
      <c r="F2064" t="s">
        <v>36</v>
      </c>
      <c r="G2064" t="s">
        <v>70</v>
      </c>
      <c r="H2064" t="s">
        <v>73</v>
      </c>
      <c r="I2064">
        <v>2</v>
      </c>
      <c r="J2064">
        <v>11787</v>
      </c>
      <c r="K2064">
        <v>0.1</v>
      </c>
      <c r="L2064">
        <v>21216.6</v>
      </c>
      <c r="M2064">
        <v>18099.349999999999</v>
      </c>
      <c r="N2064">
        <v>3117.25</v>
      </c>
      <c r="O2064" t="s">
        <v>78</v>
      </c>
      <c r="P2064" t="s">
        <v>81</v>
      </c>
    </row>
    <row r="2065" spans="1:16" x14ac:dyDescent="0.25">
      <c r="A2065">
        <v>2064</v>
      </c>
      <c r="B2065" s="1">
        <v>45666</v>
      </c>
      <c r="C2065" t="s">
        <v>17</v>
      </c>
      <c r="D2065" t="s">
        <v>25</v>
      </c>
      <c r="E2065" t="s">
        <v>33</v>
      </c>
      <c r="F2065" t="s">
        <v>60</v>
      </c>
      <c r="G2065" t="s">
        <v>72</v>
      </c>
      <c r="H2065" t="s">
        <v>75</v>
      </c>
      <c r="I2065">
        <v>8</v>
      </c>
      <c r="J2065">
        <v>35868</v>
      </c>
      <c r="K2065">
        <v>0.1</v>
      </c>
      <c r="L2065">
        <v>258249.60000000001</v>
      </c>
      <c r="M2065">
        <v>179236.27</v>
      </c>
      <c r="N2065">
        <v>79013.33</v>
      </c>
      <c r="O2065" t="s">
        <v>80</v>
      </c>
      <c r="P2065" t="s">
        <v>87</v>
      </c>
    </row>
    <row r="2066" spans="1:16" x14ac:dyDescent="0.25">
      <c r="A2066">
        <v>2065</v>
      </c>
      <c r="B2066" s="1">
        <v>45683</v>
      </c>
      <c r="C2066" t="s">
        <v>23</v>
      </c>
      <c r="D2066" t="s">
        <v>27</v>
      </c>
      <c r="E2066" t="s">
        <v>30</v>
      </c>
      <c r="F2066" t="s">
        <v>64</v>
      </c>
      <c r="G2066" t="s">
        <v>72</v>
      </c>
      <c r="H2066" t="s">
        <v>74</v>
      </c>
      <c r="I2066">
        <v>5</v>
      </c>
      <c r="J2066">
        <v>8053</v>
      </c>
      <c r="K2066">
        <v>0.05</v>
      </c>
      <c r="L2066">
        <v>38251.75</v>
      </c>
      <c r="M2066">
        <v>32828.97</v>
      </c>
      <c r="N2066">
        <v>5422.78</v>
      </c>
      <c r="O2066" t="s">
        <v>78</v>
      </c>
      <c r="P2066" t="s">
        <v>81</v>
      </c>
    </row>
    <row r="2067" spans="1:16" x14ac:dyDescent="0.25">
      <c r="A2067">
        <v>2066</v>
      </c>
      <c r="B2067" s="1">
        <v>45735</v>
      </c>
      <c r="C2067" t="s">
        <v>20</v>
      </c>
      <c r="D2067" t="s">
        <v>26</v>
      </c>
      <c r="E2067" t="s">
        <v>29</v>
      </c>
      <c r="F2067" t="s">
        <v>36</v>
      </c>
      <c r="G2067" t="s">
        <v>72</v>
      </c>
      <c r="H2067" t="s">
        <v>74</v>
      </c>
      <c r="I2067">
        <v>5</v>
      </c>
      <c r="J2067">
        <v>8830</v>
      </c>
      <c r="K2067">
        <v>0.05</v>
      </c>
      <c r="L2067">
        <v>41942.5</v>
      </c>
      <c r="M2067">
        <v>29675.59</v>
      </c>
      <c r="N2067">
        <v>12266.91</v>
      </c>
      <c r="O2067" t="s">
        <v>76</v>
      </c>
      <c r="P2067" t="s">
        <v>82</v>
      </c>
    </row>
    <row r="2068" spans="1:16" x14ac:dyDescent="0.25">
      <c r="A2068">
        <v>2067</v>
      </c>
      <c r="B2068" s="1">
        <v>45862</v>
      </c>
      <c r="C2068" t="s">
        <v>18</v>
      </c>
      <c r="D2068" t="s">
        <v>26</v>
      </c>
      <c r="E2068" t="s">
        <v>32</v>
      </c>
      <c r="F2068" t="s">
        <v>66</v>
      </c>
      <c r="G2068" t="s">
        <v>71</v>
      </c>
      <c r="H2068" t="s">
        <v>73</v>
      </c>
      <c r="I2068">
        <v>4</v>
      </c>
      <c r="J2068">
        <v>15272</v>
      </c>
      <c r="K2068">
        <v>0</v>
      </c>
      <c r="L2068">
        <v>61088</v>
      </c>
      <c r="M2068">
        <v>49403.47</v>
      </c>
      <c r="N2068">
        <v>11684.53</v>
      </c>
      <c r="O2068" t="s">
        <v>77</v>
      </c>
      <c r="P2068" t="s">
        <v>86</v>
      </c>
    </row>
    <row r="2069" spans="1:16" x14ac:dyDescent="0.25">
      <c r="A2069">
        <v>2068</v>
      </c>
      <c r="B2069" s="1">
        <v>45747</v>
      </c>
      <c r="C2069" t="s">
        <v>20</v>
      </c>
      <c r="D2069" t="s">
        <v>26</v>
      </c>
      <c r="E2069" t="s">
        <v>34</v>
      </c>
      <c r="F2069" t="s">
        <v>43</v>
      </c>
      <c r="G2069" t="s">
        <v>71</v>
      </c>
      <c r="H2069" t="s">
        <v>73</v>
      </c>
      <c r="I2069">
        <v>5</v>
      </c>
      <c r="J2069">
        <v>268</v>
      </c>
      <c r="K2069">
        <v>0.15</v>
      </c>
      <c r="L2069">
        <v>1139</v>
      </c>
      <c r="M2069">
        <v>822.25</v>
      </c>
      <c r="N2069">
        <v>316.75</v>
      </c>
      <c r="O2069" t="s">
        <v>77</v>
      </c>
      <c r="P2069" t="s">
        <v>85</v>
      </c>
    </row>
    <row r="2070" spans="1:16" x14ac:dyDescent="0.25">
      <c r="A2070">
        <v>2069</v>
      </c>
      <c r="B2070" s="1">
        <v>45675</v>
      </c>
      <c r="C2070" t="s">
        <v>19</v>
      </c>
      <c r="D2070" t="s">
        <v>26</v>
      </c>
      <c r="E2070" t="s">
        <v>32</v>
      </c>
      <c r="F2070" t="s">
        <v>66</v>
      </c>
      <c r="G2070" t="s">
        <v>71</v>
      </c>
      <c r="H2070" t="s">
        <v>73</v>
      </c>
      <c r="I2070">
        <v>5</v>
      </c>
      <c r="J2070">
        <v>1213</v>
      </c>
      <c r="K2070">
        <v>0.05</v>
      </c>
      <c r="L2070">
        <v>5761.75</v>
      </c>
      <c r="M2070">
        <v>3439.67</v>
      </c>
      <c r="N2070">
        <v>2322.08</v>
      </c>
      <c r="O2070" t="s">
        <v>79</v>
      </c>
      <c r="P2070" t="s">
        <v>88</v>
      </c>
    </row>
    <row r="2071" spans="1:16" x14ac:dyDescent="0.25">
      <c r="A2071">
        <v>2070</v>
      </c>
      <c r="B2071" s="1">
        <v>45952</v>
      </c>
      <c r="C2071" t="s">
        <v>22</v>
      </c>
      <c r="D2071" t="s">
        <v>24</v>
      </c>
      <c r="E2071" t="s">
        <v>31</v>
      </c>
      <c r="F2071" t="s">
        <v>38</v>
      </c>
      <c r="G2071" t="s">
        <v>71</v>
      </c>
      <c r="H2071" t="s">
        <v>74</v>
      </c>
      <c r="I2071">
        <v>5</v>
      </c>
      <c r="J2071">
        <v>1386</v>
      </c>
      <c r="K2071">
        <v>0</v>
      </c>
      <c r="L2071">
        <v>6930</v>
      </c>
      <c r="M2071">
        <v>4278.83</v>
      </c>
      <c r="N2071">
        <v>2651.17</v>
      </c>
      <c r="O2071" t="s">
        <v>79</v>
      </c>
      <c r="P2071" t="s">
        <v>84</v>
      </c>
    </row>
    <row r="2072" spans="1:16" x14ac:dyDescent="0.25">
      <c r="A2072">
        <v>2071</v>
      </c>
      <c r="B2072" s="1">
        <v>45975</v>
      </c>
      <c r="C2072" t="s">
        <v>21</v>
      </c>
      <c r="D2072" t="s">
        <v>24</v>
      </c>
      <c r="E2072" t="s">
        <v>32</v>
      </c>
      <c r="F2072" t="s">
        <v>48</v>
      </c>
      <c r="G2072" t="s">
        <v>71</v>
      </c>
      <c r="H2072" t="s">
        <v>74</v>
      </c>
      <c r="I2072">
        <v>1</v>
      </c>
      <c r="J2072">
        <v>23893</v>
      </c>
      <c r="K2072">
        <v>0.1</v>
      </c>
      <c r="L2072">
        <v>21503.7</v>
      </c>
      <c r="M2072">
        <v>15898.98</v>
      </c>
      <c r="N2072">
        <v>5604.72</v>
      </c>
      <c r="O2072" t="s">
        <v>78</v>
      </c>
      <c r="P2072" t="s">
        <v>83</v>
      </c>
    </row>
    <row r="2073" spans="1:16" x14ac:dyDescent="0.25">
      <c r="A2073">
        <v>2072</v>
      </c>
      <c r="B2073" s="1">
        <v>45668</v>
      </c>
      <c r="C2073" t="s">
        <v>17</v>
      </c>
      <c r="D2073" t="s">
        <v>25</v>
      </c>
      <c r="E2073" t="s">
        <v>30</v>
      </c>
      <c r="F2073" t="s">
        <v>44</v>
      </c>
      <c r="G2073" t="s">
        <v>72</v>
      </c>
      <c r="H2073" t="s">
        <v>73</v>
      </c>
      <c r="I2073">
        <v>5</v>
      </c>
      <c r="J2073">
        <v>60197</v>
      </c>
      <c r="K2073">
        <v>0.1</v>
      </c>
      <c r="L2073">
        <v>270886.5</v>
      </c>
      <c r="M2073">
        <v>206440.9</v>
      </c>
      <c r="N2073">
        <v>64445.599999999999</v>
      </c>
      <c r="O2073" t="s">
        <v>78</v>
      </c>
      <c r="P2073" t="s">
        <v>85</v>
      </c>
    </row>
    <row r="2074" spans="1:16" x14ac:dyDescent="0.25">
      <c r="A2074">
        <v>2073</v>
      </c>
      <c r="B2074" s="1">
        <v>45912</v>
      </c>
      <c r="C2074" t="s">
        <v>17</v>
      </c>
      <c r="D2074" t="s">
        <v>25</v>
      </c>
      <c r="E2074" t="s">
        <v>32</v>
      </c>
      <c r="F2074" t="s">
        <v>62</v>
      </c>
      <c r="G2074" t="s">
        <v>72</v>
      </c>
      <c r="H2074" t="s">
        <v>73</v>
      </c>
      <c r="I2074">
        <v>7</v>
      </c>
      <c r="J2074">
        <v>9267</v>
      </c>
      <c r="K2074">
        <v>0.05</v>
      </c>
      <c r="L2074">
        <v>61625.55</v>
      </c>
      <c r="M2074">
        <v>34105.360000000001</v>
      </c>
      <c r="N2074">
        <v>27520.19</v>
      </c>
      <c r="O2074" t="s">
        <v>78</v>
      </c>
      <c r="P2074" t="s">
        <v>87</v>
      </c>
    </row>
    <row r="2075" spans="1:16" x14ac:dyDescent="0.25">
      <c r="A2075">
        <v>2074</v>
      </c>
      <c r="B2075" s="1">
        <v>45835</v>
      </c>
      <c r="C2075" t="s">
        <v>20</v>
      </c>
      <c r="D2075" t="s">
        <v>26</v>
      </c>
      <c r="E2075" t="s">
        <v>31</v>
      </c>
      <c r="F2075" t="s">
        <v>67</v>
      </c>
      <c r="G2075" t="s">
        <v>72</v>
      </c>
      <c r="H2075" t="s">
        <v>73</v>
      </c>
      <c r="I2075">
        <v>8</v>
      </c>
      <c r="J2075">
        <v>1183</v>
      </c>
      <c r="K2075">
        <v>0.2</v>
      </c>
      <c r="L2075">
        <v>7571.2</v>
      </c>
      <c r="M2075">
        <v>4455.34</v>
      </c>
      <c r="N2075">
        <v>3115.86</v>
      </c>
      <c r="O2075" t="s">
        <v>79</v>
      </c>
      <c r="P2075" t="s">
        <v>84</v>
      </c>
    </row>
    <row r="2076" spans="1:16" x14ac:dyDescent="0.25">
      <c r="A2076">
        <v>2075</v>
      </c>
      <c r="B2076" s="1">
        <v>45980</v>
      </c>
      <c r="C2076" t="s">
        <v>21</v>
      </c>
      <c r="D2076" t="s">
        <v>24</v>
      </c>
      <c r="E2076" t="s">
        <v>31</v>
      </c>
      <c r="F2076" t="s">
        <v>67</v>
      </c>
      <c r="G2076" t="s">
        <v>71</v>
      </c>
      <c r="H2076" t="s">
        <v>74</v>
      </c>
      <c r="I2076">
        <v>2</v>
      </c>
      <c r="J2076">
        <v>176</v>
      </c>
      <c r="K2076">
        <v>0.05</v>
      </c>
      <c r="L2076">
        <v>334.4</v>
      </c>
      <c r="M2076">
        <v>289.62</v>
      </c>
      <c r="N2076">
        <v>44.78</v>
      </c>
      <c r="O2076" t="s">
        <v>80</v>
      </c>
      <c r="P2076" t="s">
        <v>87</v>
      </c>
    </row>
    <row r="2077" spans="1:16" x14ac:dyDescent="0.25">
      <c r="A2077">
        <v>2076</v>
      </c>
      <c r="B2077" s="1">
        <v>45956</v>
      </c>
      <c r="C2077" t="s">
        <v>20</v>
      </c>
      <c r="D2077" t="s">
        <v>26</v>
      </c>
      <c r="E2077" t="s">
        <v>34</v>
      </c>
      <c r="F2077" t="s">
        <v>43</v>
      </c>
      <c r="G2077" t="s">
        <v>72</v>
      </c>
      <c r="H2077" t="s">
        <v>75</v>
      </c>
      <c r="I2077">
        <v>6</v>
      </c>
      <c r="J2077">
        <v>3114</v>
      </c>
      <c r="K2077">
        <v>0.15</v>
      </c>
      <c r="L2077">
        <v>15881.4</v>
      </c>
      <c r="M2077">
        <v>9776.4</v>
      </c>
      <c r="N2077">
        <v>6105</v>
      </c>
      <c r="O2077" t="s">
        <v>76</v>
      </c>
      <c r="P2077" t="s">
        <v>83</v>
      </c>
    </row>
    <row r="2078" spans="1:16" x14ac:dyDescent="0.25">
      <c r="A2078">
        <v>2077</v>
      </c>
      <c r="B2078" s="1">
        <v>46006</v>
      </c>
      <c r="C2078" t="s">
        <v>18</v>
      </c>
      <c r="D2078" t="s">
        <v>26</v>
      </c>
      <c r="E2078" t="s">
        <v>28</v>
      </c>
      <c r="F2078" t="s">
        <v>61</v>
      </c>
      <c r="G2078" t="s">
        <v>70</v>
      </c>
      <c r="H2078" t="s">
        <v>75</v>
      </c>
      <c r="I2078">
        <v>7</v>
      </c>
      <c r="J2078">
        <v>161</v>
      </c>
      <c r="K2078">
        <v>0.05</v>
      </c>
      <c r="L2078">
        <v>1070.6500000000001</v>
      </c>
      <c r="M2078">
        <v>821.44</v>
      </c>
      <c r="N2078">
        <v>249.21</v>
      </c>
      <c r="O2078" t="s">
        <v>80</v>
      </c>
      <c r="P2078" t="s">
        <v>83</v>
      </c>
    </row>
    <row r="2079" spans="1:16" x14ac:dyDescent="0.25">
      <c r="A2079">
        <v>2078</v>
      </c>
      <c r="B2079" s="1">
        <v>45926</v>
      </c>
      <c r="C2079" t="s">
        <v>23</v>
      </c>
      <c r="D2079" t="s">
        <v>27</v>
      </c>
      <c r="E2079" t="s">
        <v>28</v>
      </c>
      <c r="F2079" t="s">
        <v>58</v>
      </c>
      <c r="G2079" t="s">
        <v>72</v>
      </c>
      <c r="H2079" t="s">
        <v>73</v>
      </c>
      <c r="I2079">
        <v>8</v>
      </c>
      <c r="J2079">
        <v>1474</v>
      </c>
      <c r="K2079">
        <v>0.05</v>
      </c>
      <c r="L2079">
        <v>11202.4</v>
      </c>
      <c r="M2079">
        <v>8367.56</v>
      </c>
      <c r="N2079">
        <v>2834.84</v>
      </c>
      <c r="O2079" t="s">
        <v>80</v>
      </c>
      <c r="P2079" t="s">
        <v>82</v>
      </c>
    </row>
    <row r="2080" spans="1:16" x14ac:dyDescent="0.25">
      <c r="A2080">
        <v>2079</v>
      </c>
      <c r="B2080" s="1">
        <v>45846</v>
      </c>
      <c r="C2080" t="s">
        <v>21</v>
      </c>
      <c r="D2080" t="s">
        <v>24</v>
      </c>
      <c r="E2080" t="s">
        <v>31</v>
      </c>
      <c r="F2080" t="s">
        <v>47</v>
      </c>
      <c r="G2080" t="s">
        <v>70</v>
      </c>
      <c r="H2080" t="s">
        <v>74</v>
      </c>
      <c r="I2080">
        <v>5</v>
      </c>
      <c r="J2080">
        <v>1796</v>
      </c>
      <c r="K2080">
        <v>0.1</v>
      </c>
      <c r="L2080">
        <v>8082</v>
      </c>
      <c r="M2080">
        <v>4712.3500000000004</v>
      </c>
      <c r="N2080">
        <v>3369.65</v>
      </c>
      <c r="O2080" t="s">
        <v>77</v>
      </c>
      <c r="P2080" t="s">
        <v>85</v>
      </c>
    </row>
    <row r="2081" spans="1:16" x14ac:dyDescent="0.25">
      <c r="A2081">
        <v>2080</v>
      </c>
      <c r="B2081" s="1">
        <v>45879</v>
      </c>
      <c r="C2081" t="s">
        <v>22</v>
      </c>
      <c r="D2081" t="s">
        <v>24</v>
      </c>
      <c r="E2081" t="s">
        <v>32</v>
      </c>
      <c r="F2081" t="s">
        <v>49</v>
      </c>
      <c r="G2081" t="s">
        <v>70</v>
      </c>
      <c r="H2081" t="s">
        <v>74</v>
      </c>
      <c r="I2081">
        <v>8</v>
      </c>
      <c r="J2081">
        <v>17985</v>
      </c>
      <c r="K2081">
        <v>0</v>
      </c>
      <c r="L2081">
        <v>143880</v>
      </c>
      <c r="M2081">
        <v>111085.22</v>
      </c>
      <c r="N2081">
        <v>32794.78</v>
      </c>
      <c r="O2081" t="s">
        <v>80</v>
      </c>
      <c r="P2081" t="s">
        <v>81</v>
      </c>
    </row>
    <row r="2082" spans="1:16" x14ac:dyDescent="0.25">
      <c r="A2082">
        <v>2081</v>
      </c>
      <c r="B2082" s="1">
        <v>45868</v>
      </c>
      <c r="C2082" t="s">
        <v>16</v>
      </c>
      <c r="D2082" t="s">
        <v>24</v>
      </c>
      <c r="E2082" t="s">
        <v>34</v>
      </c>
      <c r="F2082" t="s">
        <v>55</v>
      </c>
      <c r="G2082" t="s">
        <v>72</v>
      </c>
      <c r="H2082" t="s">
        <v>73</v>
      </c>
      <c r="I2082">
        <v>2</v>
      </c>
      <c r="J2082">
        <v>2085</v>
      </c>
      <c r="K2082">
        <v>0.15</v>
      </c>
      <c r="L2082">
        <v>3544.5</v>
      </c>
      <c r="M2082">
        <v>2979.2</v>
      </c>
      <c r="N2082">
        <v>565.29999999999995</v>
      </c>
      <c r="O2082" t="s">
        <v>79</v>
      </c>
      <c r="P2082" t="s">
        <v>81</v>
      </c>
    </row>
    <row r="2083" spans="1:16" x14ac:dyDescent="0.25">
      <c r="A2083">
        <v>2082</v>
      </c>
      <c r="B2083" s="1">
        <v>45829</v>
      </c>
      <c r="C2083" t="s">
        <v>21</v>
      </c>
      <c r="D2083" t="s">
        <v>24</v>
      </c>
      <c r="E2083" t="s">
        <v>32</v>
      </c>
      <c r="F2083" t="s">
        <v>66</v>
      </c>
      <c r="G2083" t="s">
        <v>72</v>
      </c>
      <c r="H2083" t="s">
        <v>73</v>
      </c>
      <c r="I2083">
        <v>3</v>
      </c>
      <c r="J2083">
        <v>7048</v>
      </c>
      <c r="K2083">
        <v>0</v>
      </c>
      <c r="L2083">
        <v>21144</v>
      </c>
      <c r="M2083">
        <v>14735.54</v>
      </c>
      <c r="N2083">
        <v>6408.46</v>
      </c>
      <c r="O2083" t="s">
        <v>79</v>
      </c>
      <c r="P2083" t="s">
        <v>86</v>
      </c>
    </row>
    <row r="2084" spans="1:16" x14ac:dyDescent="0.25">
      <c r="A2084">
        <v>2083</v>
      </c>
      <c r="B2084" s="1">
        <v>45936</v>
      </c>
      <c r="C2084" t="s">
        <v>20</v>
      </c>
      <c r="D2084" t="s">
        <v>26</v>
      </c>
      <c r="E2084" t="s">
        <v>34</v>
      </c>
      <c r="F2084" t="s">
        <v>51</v>
      </c>
      <c r="G2084" t="s">
        <v>70</v>
      </c>
      <c r="H2084" t="s">
        <v>75</v>
      </c>
      <c r="I2084">
        <v>4</v>
      </c>
      <c r="J2084">
        <v>2025</v>
      </c>
      <c r="K2084">
        <v>0.15</v>
      </c>
      <c r="L2084">
        <v>6885</v>
      </c>
      <c r="M2084">
        <v>4250.7</v>
      </c>
      <c r="N2084">
        <v>2634.3</v>
      </c>
      <c r="O2084" t="s">
        <v>79</v>
      </c>
      <c r="P2084" t="s">
        <v>86</v>
      </c>
    </row>
    <row r="2085" spans="1:16" x14ac:dyDescent="0.25">
      <c r="A2085">
        <v>2084</v>
      </c>
      <c r="B2085" s="1">
        <v>45715</v>
      </c>
      <c r="C2085" t="s">
        <v>18</v>
      </c>
      <c r="D2085" t="s">
        <v>26</v>
      </c>
      <c r="E2085" t="s">
        <v>31</v>
      </c>
      <c r="F2085" t="s">
        <v>69</v>
      </c>
      <c r="G2085" t="s">
        <v>71</v>
      </c>
      <c r="H2085" t="s">
        <v>75</v>
      </c>
      <c r="I2085">
        <v>4</v>
      </c>
      <c r="J2085">
        <v>165</v>
      </c>
      <c r="K2085">
        <v>0.05</v>
      </c>
      <c r="L2085">
        <v>627</v>
      </c>
      <c r="M2085">
        <v>357.65</v>
      </c>
      <c r="N2085">
        <v>269.35000000000002</v>
      </c>
      <c r="O2085" t="s">
        <v>77</v>
      </c>
      <c r="P2085" t="s">
        <v>83</v>
      </c>
    </row>
    <row r="2086" spans="1:16" x14ac:dyDescent="0.25">
      <c r="A2086">
        <v>2085</v>
      </c>
      <c r="B2086" s="1">
        <v>45820</v>
      </c>
      <c r="C2086" t="s">
        <v>19</v>
      </c>
      <c r="D2086" t="s">
        <v>26</v>
      </c>
      <c r="E2086" t="s">
        <v>30</v>
      </c>
      <c r="F2086" t="s">
        <v>56</v>
      </c>
      <c r="G2086" t="s">
        <v>70</v>
      </c>
      <c r="H2086" t="s">
        <v>74</v>
      </c>
      <c r="I2086">
        <v>2</v>
      </c>
      <c r="J2086">
        <v>42427</v>
      </c>
      <c r="K2086">
        <v>0.2</v>
      </c>
      <c r="L2086">
        <v>67883.199999999997</v>
      </c>
      <c r="M2086">
        <v>45309.33</v>
      </c>
      <c r="N2086">
        <v>22573.87</v>
      </c>
      <c r="O2086" t="s">
        <v>80</v>
      </c>
      <c r="P2086" t="s">
        <v>87</v>
      </c>
    </row>
    <row r="2087" spans="1:16" x14ac:dyDescent="0.25">
      <c r="A2087">
        <v>2086</v>
      </c>
      <c r="B2087" s="1">
        <v>45971</v>
      </c>
      <c r="C2087" t="s">
        <v>22</v>
      </c>
      <c r="D2087" t="s">
        <v>24</v>
      </c>
      <c r="E2087" t="s">
        <v>34</v>
      </c>
      <c r="F2087" t="s">
        <v>68</v>
      </c>
      <c r="G2087" t="s">
        <v>70</v>
      </c>
      <c r="H2087" t="s">
        <v>74</v>
      </c>
      <c r="I2087">
        <v>6</v>
      </c>
      <c r="J2087">
        <v>1676</v>
      </c>
      <c r="K2087">
        <v>0.15</v>
      </c>
      <c r="L2087">
        <v>8547.6</v>
      </c>
      <c r="M2087">
        <v>5536.08</v>
      </c>
      <c r="N2087">
        <v>3011.52</v>
      </c>
      <c r="O2087" t="s">
        <v>77</v>
      </c>
      <c r="P2087" t="s">
        <v>86</v>
      </c>
    </row>
    <row r="2088" spans="1:16" x14ac:dyDescent="0.25">
      <c r="A2088">
        <v>2087</v>
      </c>
      <c r="B2088" s="1">
        <v>45868</v>
      </c>
      <c r="C2088" t="s">
        <v>18</v>
      </c>
      <c r="D2088" t="s">
        <v>26</v>
      </c>
      <c r="E2088" t="s">
        <v>33</v>
      </c>
      <c r="F2088" t="s">
        <v>59</v>
      </c>
      <c r="G2088" t="s">
        <v>71</v>
      </c>
      <c r="H2088" t="s">
        <v>75</v>
      </c>
      <c r="I2088">
        <v>2</v>
      </c>
      <c r="J2088">
        <v>35984</v>
      </c>
      <c r="K2088">
        <v>0.1</v>
      </c>
      <c r="L2088">
        <v>64771.199999999997</v>
      </c>
      <c r="M2088">
        <v>46593.73</v>
      </c>
      <c r="N2088">
        <v>18177.47</v>
      </c>
      <c r="O2088" t="s">
        <v>78</v>
      </c>
      <c r="P2088" t="s">
        <v>84</v>
      </c>
    </row>
    <row r="2089" spans="1:16" x14ac:dyDescent="0.25">
      <c r="A2089">
        <v>2088</v>
      </c>
      <c r="B2089" s="1">
        <v>45792</v>
      </c>
      <c r="C2089" t="s">
        <v>20</v>
      </c>
      <c r="D2089" t="s">
        <v>26</v>
      </c>
      <c r="E2089" t="s">
        <v>29</v>
      </c>
      <c r="F2089" t="s">
        <v>36</v>
      </c>
      <c r="G2089" t="s">
        <v>70</v>
      </c>
      <c r="H2089" t="s">
        <v>74</v>
      </c>
      <c r="I2089">
        <v>1</v>
      </c>
      <c r="J2089">
        <v>7480</v>
      </c>
      <c r="K2089">
        <v>0.05</v>
      </c>
      <c r="L2089">
        <v>7106</v>
      </c>
      <c r="M2089">
        <v>5268.6</v>
      </c>
      <c r="N2089">
        <v>1837.4</v>
      </c>
      <c r="O2089" t="s">
        <v>80</v>
      </c>
      <c r="P2089" t="s">
        <v>87</v>
      </c>
    </row>
    <row r="2090" spans="1:16" x14ac:dyDescent="0.25">
      <c r="A2090">
        <v>2089</v>
      </c>
      <c r="B2090" s="1">
        <v>45897</v>
      </c>
      <c r="C2090" t="s">
        <v>23</v>
      </c>
      <c r="D2090" t="s">
        <v>27</v>
      </c>
      <c r="E2090" t="s">
        <v>34</v>
      </c>
      <c r="F2090" t="s">
        <v>51</v>
      </c>
      <c r="G2090" t="s">
        <v>72</v>
      </c>
      <c r="H2090" t="s">
        <v>75</v>
      </c>
      <c r="I2090">
        <v>8</v>
      </c>
      <c r="J2090">
        <v>4295</v>
      </c>
      <c r="K2090">
        <v>0.15</v>
      </c>
      <c r="L2090">
        <v>29206</v>
      </c>
      <c r="M2090">
        <v>21589</v>
      </c>
      <c r="N2090">
        <v>7617</v>
      </c>
      <c r="O2090" t="s">
        <v>80</v>
      </c>
      <c r="P2090" t="s">
        <v>81</v>
      </c>
    </row>
    <row r="2091" spans="1:16" x14ac:dyDescent="0.25">
      <c r="A2091">
        <v>2090</v>
      </c>
      <c r="B2091" s="1">
        <v>45824</v>
      </c>
      <c r="C2091" t="s">
        <v>23</v>
      </c>
      <c r="D2091" t="s">
        <v>27</v>
      </c>
      <c r="E2091" t="s">
        <v>34</v>
      </c>
      <c r="F2091" t="s">
        <v>68</v>
      </c>
      <c r="G2091" t="s">
        <v>70</v>
      </c>
      <c r="H2091" t="s">
        <v>74</v>
      </c>
      <c r="I2091">
        <v>5</v>
      </c>
      <c r="J2091">
        <v>2585</v>
      </c>
      <c r="K2091">
        <v>0.05</v>
      </c>
      <c r="L2091">
        <v>12278.75</v>
      </c>
      <c r="M2091">
        <v>9707.6299999999992</v>
      </c>
      <c r="N2091">
        <v>2571.12</v>
      </c>
      <c r="O2091" t="s">
        <v>80</v>
      </c>
      <c r="P2091" t="s">
        <v>81</v>
      </c>
    </row>
    <row r="2092" spans="1:16" x14ac:dyDescent="0.25">
      <c r="A2092">
        <v>2091</v>
      </c>
      <c r="B2092" s="1">
        <v>46008</v>
      </c>
      <c r="C2092" t="s">
        <v>21</v>
      </c>
      <c r="D2092" t="s">
        <v>24</v>
      </c>
      <c r="E2092" t="s">
        <v>30</v>
      </c>
      <c r="F2092" t="s">
        <v>64</v>
      </c>
      <c r="G2092" t="s">
        <v>72</v>
      </c>
      <c r="H2092" t="s">
        <v>74</v>
      </c>
      <c r="I2092">
        <v>3</v>
      </c>
      <c r="J2092">
        <v>12280</v>
      </c>
      <c r="K2092">
        <v>0</v>
      </c>
      <c r="L2092">
        <v>36840</v>
      </c>
      <c r="M2092">
        <v>20305.36</v>
      </c>
      <c r="N2092">
        <v>16534.64</v>
      </c>
      <c r="O2092" t="s">
        <v>80</v>
      </c>
      <c r="P2092" t="s">
        <v>83</v>
      </c>
    </row>
    <row r="2093" spans="1:16" x14ac:dyDescent="0.25">
      <c r="A2093">
        <v>2092</v>
      </c>
      <c r="B2093" s="1">
        <v>45984</v>
      </c>
      <c r="C2093" t="s">
        <v>19</v>
      </c>
      <c r="D2093" t="s">
        <v>26</v>
      </c>
      <c r="E2093" t="s">
        <v>32</v>
      </c>
      <c r="F2093" t="s">
        <v>49</v>
      </c>
      <c r="G2093" t="s">
        <v>71</v>
      </c>
      <c r="H2093" t="s">
        <v>75</v>
      </c>
      <c r="I2093">
        <v>4</v>
      </c>
      <c r="J2093">
        <v>15600</v>
      </c>
      <c r="K2093">
        <v>0.1</v>
      </c>
      <c r="L2093">
        <v>56160</v>
      </c>
      <c r="M2093">
        <v>42166.92</v>
      </c>
      <c r="N2093">
        <v>13993.08</v>
      </c>
      <c r="O2093" t="s">
        <v>78</v>
      </c>
      <c r="P2093" t="s">
        <v>83</v>
      </c>
    </row>
    <row r="2094" spans="1:16" x14ac:dyDescent="0.25">
      <c r="A2094">
        <v>2093</v>
      </c>
      <c r="B2094" s="1">
        <v>45949</v>
      </c>
      <c r="C2094" t="s">
        <v>20</v>
      </c>
      <c r="D2094" t="s">
        <v>26</v>
      </c>
      <c r="E2094" t="s">
        <v>30</v>
      </c>
      <c r="F2094" t="s">
        <v>40</v>
      </c>
      <c r="G2094" t="s">
        <v>71</v>
      </c>
      <c r="H2094" t="s">
        <v>74</v>
      </c>
      <c r="I2094">
        <v>2</v>
      </c>
      <c r="J2094">
        <v>40623</v>
      </c>
      <c r="K2094">
        <v>0.1</v>
      </c>
      <c r="L2094">
        <v>73121.399999999994</v>
      </c>
      <c r="M2094">
        <v>49974.559999999998</v>
      </c>
      <c r="N2094">
        <v>23146.84</v>
      </c>
      <c r="O2094" t="s">
        <v>80</v>
      </c>
      <c r="P2094" t="s">
        <v>82</v>
      </c>
    </row>
    <row r="2095" spans="1:16" x14ac:dyDescent="0.25">
      <c r="A2095">
        <v>2094</v>
      </c>
      <c r="B2095" s="1">
        <v>45753</v>
      </c>
      <c r="C2095" t="s">
        <v>18</v>
      </c>
      <c r="D2095" t="s">
        <v>26</v>
      </c>
      <c r="E2095" t="s">
        <v>29</v>
      </c>
      <c r="F2095" t="s">
        <v>45</v>
      </c>
      <c r="G2095" t="s">
        <v>72</v>
      </c>
      <c r="H2095" t="s">
        <v>74</v>
      </c>
      <c r="I2095">
        <v>2</v>
      </c>
      <c r="J2095">
        <v>9203</v>
      </c>
      <c r="K2095">
        <v>0</v>
      </c>
      <c r="L2095">
        <v>18406</v>
      </c>
      <c r="M2095">
        <v>11807.26</v>
      </c>
      <c r="N2095">
        <v>6598.74</v>
      </c>
      <c r="O2095" t="s">
        <v>78</v>
      </c>
      <c r="P2095" t="s">
        <v>87</v>
      </c>
    </row>
    <row r="2096" spans="1:16" x14ac:dyDescent="0.25">
      <c r="A2096">
        <v>2095</v>
      </c>
      <c r="B2096" s="1">
        <v>45959</v>
      </c>
      <c r="C2096" t="s">
        <v>23</v>
      </c>
      <c r="D2096" t="s">
        <v>27</v>
      </c>
      <c r="E2096" t="s">
        <v>33</v>
      </c>
      <c r="F2096" t="s">
        <v>41</v>
      </c>
      <c r="G2096" t="s">
        <v>70</v>
      </c>
      <c r="H2096" t="s">
        <v>73</v>
      </c>
      <c r="I2096">
        <v>5</v>
      </c>
      <c r="J2096">
        <v>49971</v>
      </c>
      <c r="K2096">
        <v>0.05</v>
      </c>
      <c r="L2096">
        <v>237362.25</v>
      </c>
      <c r="M2096">
        <v>170972.07</v>
      </c>
      <c r="N2096">
        <v>66390.179999999993</v>
      </c>
      <c r="O2096" t="s">
        <v>79</v>
      </c>
      <c r="P2096" t="s">
        <v>83</v>
      </c>
    </row>
    <row r="2097" spans="1:16" x14ac:dyDescent="0.25">
      <c r="A2097">
        <v>2096</v>
      </c>
      <c r="B2097" s="1">
        <v>45731</v>
      </c>
      <c r="C2097" t="s">
        <v>20</v>
      </c>
      <c r="D2097" t="s">
        <v>26</v>
      </c>
      <c r="E2097" t="s">
        <v>32</v>
      </c>
      <c r="F2097" t="s">
        <v>48</v>
      </c>
      <c r="G2097" t="s">
        <v>70</v>
      </c>
      <c r="H2097" t="s">
        <v>73</v>
      </c>
      <c r="I2097">
        <v>7</v>
      </c>
      <c r="J2097">
        <v>5360</v>
      </c>
      <c r="K2097">
        <v>0.2</v>
      </c>
      <c r="L2097">
        <v>30016</v>
      </c>
      <c r="M2097">
        <v>24022.18</v>
      </c>
      <c r="N2097">
        <v>5993.82</v>
      </c>
      <c r="O2097" t="s">
        <v>80</v>
      </c>
      <c r="P2097" t="s">
        <v>85</v>
      </c>
    </row>
    <row r="2098" spans="1:16" x14ac:dyDescent="0.25">
      <c r="A2098">
        <v>2097</v>
      </c>
      <c r="B2098" s="1">
        <v>45839</v>
      </c>
      <c r="C2098" t="s">
        <v>22</v>
      </c>
      <c r="D2098" t="s">
        <v>24</v>
      </c>
      <c r="E2098" t="s">
        <v>31</v>
      </c>
      <c r="F2098" t="s">
        <v>38</v>
      </c>
      <c r="G2098" t="s">
        <v>71</v>
      </c>
      <c r="H2098" t="s">
        <v>73</v>
      </c>
      <c r="I2098">
        <v>3</v>
      </c>
      <c r="J2098">
        <v>1123</v>
      </c>
      <c r="K2098">
        <v>0.1</v>
      </c>
      <c r="L2098">
        <v>3032.1</v>
      </c>
      <c r="M2098">
        <v>2476.92</v>
      </c>
      <c r="N2098">
        <v>555.17999999999995</v>
      </c>
      <c r="O2098" t="s">
        <v>76</v>
      </c>
      <c r="P2098" t="s">
        <v>85</v>
      </c>
    </row>
    <row r="2099" spans="1:16" x14ac:dyDescent="0.25">
      <c r="A2099">
        <v>2098</v>
      </c>
      <c r="B2099" s="1">
        <v>45782</v>
      </c>
      <c r="C2099" t="s">
        <v>18</v>
      </c>
      <c r="D2099" t="s">
        <v>26</v>
      </c>
      <c r="E2099" t="s">
        <v>32</v>
      </c>
      <c r="F2099" t="s">
        <v>39</v>
      </c>
      <c r="G2099" t="s">
        <v>70</v>
      </c>
      <c r="H2099" t="s">
        <v>74</v>
      </c>
      <c r="I2099">
        <v>5</v>
      </c>
      <c r="J2099">
        <v>23594</v>
      </c>
      <c r="K2099">
        <v>0</v>
      </c>
      <c r="L2099">
        <v>117970</v>
      </c>
      <c r="M2099">
        <v>92975.27</v>
      </c>
      <c r="N2099">
        <v>24994.73</v>
      </c>
      <c r="O2099" t="s">
        <v>80</v>
      </c>
      <c r="P2099" t="s">
        <v>88</v>
      </c>
    </row>
    <row r="2100" spans="1:16" x14ac:dyDescent="0.25">
      <c r="A2100">
        <v>2099</v>
      </c>
      <c r="B2100" s="1">
        <v>45660</v>
      </c>
      <c r="C2100" t="s">
        <v>18</v>
      </c>
      <c r="D2100" t="s">
        <v>26</v>
      </c>
      <c r="E2100" t="s">
        <v>31</v>
      </c>
      <c r="F2100" t="s">
        <v>67</v>
      </c>
      <c r="G2100" t="s">
        <v>71</v>
      </c>
      <c r="H2100" t="s">
        <v>75</v>
      </c>
      <c r="I2100">
        <v>1</v>
      </c>
      <c r="J2100">
        <v>617</v>
      </c>
      <c r="K2100">
        <v>0.1</v>
      </c>
      <c r="L2100">
        <v>555.29999999999995</v>
      </c>
      <c r="M2100">
        <v>394.19</v>
      </c>
      <c r="N2100">
        <v>161.11000000000001</v>
      </c>
      <c r="O2100" t="s">
        <v>77</v>
      </c>
      <c r="P2100" t="s">
        <v>82</v>
      </c>
    </row>
    <row r="2101" spans="1:16" x14ac:dyDescent="0.25">
      <c r="A2101">
        <v>2100</v>
      </c>
      <c r="B2101" s="1">
        <v>45981</v>
      </c>
      <c r="C2101" t="s">
        <v>17</v>
      </c>
      <c r="D2101" t="s">
        <v>25</v>
      </c>
      <c r="E2101" t="s">
        <v>33</v>
      </c>
      <c r="F2101" t="s">
        <v>41</v>
      </c>
      <c r="G2101" t="s">
        <v>71</v>
      </c>
      <c r="H2101" t="s">
        <v>74</v>
      </c>
      <c r="I2101">
        <v>1</v>
      </c>
      <c r="J2101">
        <v>9497</v>
      </c>
      <c r="K2101">
        <v>0.1</v>
      </c>
      <c r="L2101">
        <v>8547.2999999999993</v>
      </c>
      <c r="M2101">
        <v>5568.08</v>
      </c>
      <c r="N2101">
        <v>2979.22</v>
      </c>
      <c r="O2101" t="s">
        <v>79</v>
      </c>
      <c r="P2101" t="s">
        <v>86</v>
      </c>
    </row>
    <row r="2102" spans="1:16" x14ac:dyDescent="0.25">
      <c r="A2102">
        <v>2101</v>
      </c>
      <c r="B2102" s="1">
        <v>45782</v>
      </c>
      <c r="C2102" t="s">
        <v>20</v>
      </c>
      <c r="D2102" t="s">
        <v>26</v>
      </c>
      <c r="E2102" t="s">
        <v>34</v>
      </c>
      <c r="F2102" t="s">
        <v>55</v>
      </c>
      <c r="G2102" t="s">
        <v>71</v>
      </c>
      <c r="H2102" t="s">
        <v>74</v>
      </c>
      <c r="I2102">
        <v>3</v>
      </c>
      <c r="J2102">
        <v>3895</v>
      </c>
      <c r="K2102">
        <v>0</v>
      </c>
      <c r="L2102">
        <v>11685</v>
      </c>
      <c r="M2102">
        <v>6786.64</v>
      </c>
      <c r="N2102">
        <v>4898.3599999999997</v>
      </c>
      <c r="O2102" t="s">
        <v>79</v>
      </c>
      <c r="P2102" t="s">
        <v>86</v>
      </c>
    </row>
    <row r="2103" spans="1:16" x14ac:dyDescent="0.25">
      <c r="A2103">
        <v>2102</v>
      </c>
      <c r="B2103" s="1">
        <v>46015</v>
      </c>
      <c r="C2103" t="s">
        <v>16</v>
      </c>
      <c r="D2103" t="s">
        <v>24</v>
      </c>
      <c r="E2103" t="s">
        <v>28</v>
      </c>
      <c r="F2103" t="s">
        <v>63</v>
      </c>
      <c r="G2103" t="s">
        <v>70</v>
      </c>
      <c r="H2103" t="s">
        <v>75</v>
      </c>
      <c r="I2103">
        <v>2</v>
      </c>
      <c r="J2103">
        <v>579</v>
      </c>
      <c r="K2103">
        <v>0.05</v>
      </c>
      <c r="L2103">
        <v>1100.0999999999999</v>
      </c>
      <c r="M2103">
        <v>726.47</v>
      </c>
      <c r="N2103">
        <v>373.63</v>
      </c>
      <c r="O2103" t="s">
        <v>78</v>
      </c>
      <c r="P2103" t="s">
        <v>85</v>
      </c>
    </row>
    <row r="2104" spans="1:16" x14ac:dyDescent="0.25">
      <c r="A2104">
        <v>2103</v>
      </c>
      <c r="B2104" s="1">
        <v>45716</v>
      </c>
      <c r="C2104" t="s">
        <v>17</v>
      </c>
      <c r="D2104" t="s">
        <v>25</v>
      </c>
      <c r="E2104" t="s">
        <v>33</v>
      </c>
      <c r="F2104" t="s">
        <v>46</v>
      </c>
      <c r="G2104" t="s">
        <v>71</v>
      </c>
      <c r="H2104" t="s">
        <v>74</v>
      </c>
      <c r="I2104">
        <v>7</v>
      </c>
      <c r="J2104">
        <v>39929</v>
      </c>
      <c r="K2104">
        <v>0.1</v>
      </c>
      <c r="L2104">
        <v>251552.7</v>
      </c>
      <c r="M2104">
        <v>189776.41</v>
      </c>
      <c r="N2104">
        <v>61776.29</v>
      </c>
      <c r="O2104" t="s">
        <v>76</v>
      </c>
      <c r="P2104" t="s">
        <v>83</v>
      </c>
    </row>
    <row r="2105" spans="1:16" x14ac:dyDescent="0.25">
      <c r="A2105">
        <v>2104</v>
      </c>
      <c r="B2105" s="1">
        <v>45712</v>
      </c>
      <c r="C2105" t="s">
        <v>22</v>
      </c>
      <c r="D2105" t="s">
        <v>24</v>
      </c>
      <c r="E2105" t="s">
        <v>31</v>
      </c>
      <c r="F2105" t="s">
        <v>50</v>
      </c>
      <c r="G2105" t="s">
        <v>70</v>
      </c>
      <c r="H2105" t="s">
        <v>73</v>
      </c>
      <c r="I2105">
        <v>1</v>
      </c>
      <c r="J2105">
        <v>1108</v>
      </c>
      <c r="K2105">
        <v>0</v>
      </c>
      <c r="L2105">
        <v>1108</v>
      </c>
      <c r="M2105">
        <v>823.66</v>
      </c>
      <c r="N2105">
        <v>284.33999999999997</v>
      </c>
      <c r="O2105" t="s">
        <v>77</v>
      </c>
      <c r="P2105" t="s">
        <v>88</v>
      </c>
    </row>
    <row r="2106" spans="1:16" x14ac:dyDescent="0.25">
      <c r="A2106">
        <v>2105</v>
      </c>
      <c r="B2106" s="1">
        <v>45757</v>
      </c>
      <c r="C2106" t="s">
        <v>20</v>
      </c>
      <c r="D2106" t="s">
        <v>26</v>
      </c>
      <c r="E2106" t="s">
        <v>28</v>
      </c>
      <c r="F2106" t="s">
        <v>54</v>
      </c>
      <c r="G2106" t="s">
        <v>70</v>
      </c>
      <c r="H2106" t="s">
        <v>75</v>
      </c>
      <c r="I2106">
        <v>5</v>
      </c>
      <c r="J2106">
        <v>2137</v>
      </c>
      <c r="K2106">
        <v>0.1</v>
      </c>
      <c r="L2106">
        <v>9616.5</v>
      </c>
      <c r="M2106">
        <v>6958.68</v>
      </c>
      <c r="N2106">
        <v>2657.82</v>
      </c>
      <c r="O2106" t="s">
        <v>79</v>
      </c>
      <c r="P2106" t="s">
        <v>86</v>
      </c>
    </row>
    <row r="2107" spans="1:16" x14ac:dyDescent="0.25">
      <c r="A2107">
        <v>2106</v>
      </c>
      <c r="B2107" s="1">
        <v>45929</v>
      </c>
      <c r="C2107" t="s">
        <v>21</v>
      </c>
      <c r="D2107" t="s">
        <v>24</v>
      </c>
      <c r="E2107" t="s">
        <v>32</v>
      </c>
      <c r="F2107" t="s">
        <v>48</v>
      </c>
      <c r="G2107" t="s">
        <v>71</v>
      </c>
      <c r="H2107" t="s">
        <v>73</v>
      </c>
      <c r="I2107">
        <v>4</v>
      </c>
      <c r="J2107">
        <v>11854</v>
      </c>
      <c r="K2107">
        <v>0.1</v>
      </c>
      <c r="L2107">
        <v>42674.400000000001</v>
      </c>
      <c r="M2107">
        <v>27732.29</v>
      </c>
      <c r="N2107">
        <v>14942.11</v>
      </c>
      <c r="O2107" t="s">
        <v>76</v>
      </c>
      <c r="P2107" t="s">
        <v>87</v>
      </c>
    </row>
    <row r="2108" spans="1:16" x14ac:dyDescent="0.25">
      <c r="A2108">
        <v>2107</v>
      </c>
      <c r="B2108" s="1">
        <v>45720</v>
      </c>
      <c r="C2108" t="s">
        <v>16</v>
      </c>
      <c r="D2108" t="s">
        <v>24</v>
      </c>
      <c r="E2108" t="s">
        <v>31</v>
      </c>
      <c r="F2108" t="s">
        <v>38</v>
      </c>
      <c r="G2108" t="s">
        <v>72</v>
      </c>
      <c r="H2108" t="s">
        <v>75</v>
      </c>
      <c r="I2108">
        <v>6</v>
      </c>
      <c r="J2108">
        <v>572</v>
      </c>
      <c r="K2108">
        <v>0</v>
      </c>
      <c r="L2108">
        <v>3432</v>
      </c>
      <c r="M2108">
        <v>2453.41</v>
      </c>
      <c r="N2108">
        <v>978.59</v>
      </c>
      <c r="O2108" t="s">
        <v>79</v>
      </c>
      <c r="P2108" t="s">
        <v>83</v>
      </c>
    </row>
    <row r="2109" spans="1:16" x14ac:dyDescent="0.25">
      <c r="A2109">
        <v>2108</v>
      </c>
      <c r="B2109" s="1">
        <v>45725</v>
      </c>
      <c r="C2109" t="s">
        <v>21</v>
      </c>
      <c r="D2109" t="s">
        <v>24</v>
      </c>
      <c r="E2109" t="s">
        <v>29</v>
      </c>
      <c r="F2109" t="s">
        <v>53</v>
      </c>
      <c r="G2109" t="s">
        <v>72</v>
      </c>
      <c r="H2109" t="s">
        <v>74</v>
      </c>
      <c r="I2109">
        <v>4</v>
      </c>
      <c r="J2109">
        <v>8334</v>
      </c>
      <c r="K2109">
        <v>0.15</v>
      </c>
      <c r="L2109">
        <v>28335.599999999999</v>
      </c>
      <c r="M2109">
        <v>15896.24</v>
      </c>
      <c r="N2109">
        <v>12439.36</v>
      </c>
      <c r="O2109" t="s">
        <v>79</v>
      </c>
      <c r="P2109" t="s">
        <v>85</v>
      </c>
    </row>
    <row r="2110" spans="1:16" x14ac:dyDescent="0.25">
      <c r="A2110">
        <v>2109</v>
      </c>
      <c r="B2110" s="1">
        <v>45831</v>
      </c>
      <c r="C2110" t="s">
        <v>17</v>
      </c>
      <c r="D2110" t="s">
        <v>25</v>
      </c>
      <c r="E2110" t="s">
        <v>33</v>
      </c>
      <c r="F2110" t="s">
        <v>41</v>
      </c>
      <c r="G2110" t="s">
        <v>71</v>
      </c>
      <c r="H2110" t="s">
        <v>75</v>
      </c>
      <c r="I2110">
        <v>6</v>
      </c>
      <c r="J2110">
        <v>3287</v>
      </c>
      <c r="K2110">
        <v>0.1</v>
      </c>
      <c r="L2110">
        <v>17749.8</v>
      </c>
      <c r="M2110">
        <v>10837.28</v>
      </c>
      <c r="N2110">
        <v>6912.52</v>
      </c>
      <c r="O2110" t="s">
        <v>76</v>
      </c>
      <c r="P2110" t="s">
        <v>88</v>
      </c>
    </row>
    <row r="2111" spans="1:16" x14ac:dyDescent="0.25">
      <c r="A2111">
        <v>2110</v>
      </c>
      <c r="B2111" s="1">
        <v>45929</v>
      </c>
      <c r="C2111" t="s">
        <v>20</v>
      </c>
      <c r="D2111" t="s">
        <v>26</v>
      </c>
      <c r="E2111" t="s">
        <v>31</v>
      </c>
      <c r="F2111" t="s">
        <v>50</v>
      </c>
      <c r="G2111" t="s">
        <v>70</v>
      </c>
      <c r="H2111" t="s">
        <v>75</v>
      </c>
      <c r="I2111">
        <v>1</v>
      </c>
      <c r="J2111">
        <v>1450</v>
      </c>
      <c r="K2111">
        <v>0.05</v>
      </c>
      <c r="L2111">
        <v>1377.5</v>
      </c>
      <c r="M2111">
        <v>918.18</v>
      </c>
      <c r="N2111">
        <v>459.32</v>
      </c>
      <c r="O2111" t="s">
        <v>77</v>
      </c>
      <c r="P2111" t="s">
        <v>87</v>
      </c>
    </row>
    <row r="2112" spans="1:16" x14ac:dyDescent="0.25">
      <c r="A2112">
        <v>2111</v>
      </c>
      <c r="B2112" s="1">
        <v>45716</v>
      </c>
      <c r="C2112" t="s">
        <v>22</v>
      </c>
      <c r="D2112" t="s">
        <v>24</v>
      </c>
      <c r="E2112" t="s">
        <v>28</v>
      </c>
      <c r="F2112" t="s">
        <v>58</v>
      </c>
      <c r="G2112" t="s">
        <v>70</v>
      </c>
      <c r="H2112" t="s">
        <v>73</v>
      </c>
      <c r="I2112">
        <v>6</v>
      </c>
      <c r="J2112">
        <v>1286</v>
      </c>
      <c r="K2112">
        <v>0.1</v>
      </c>
      <c r="L2112">
        <v>6944.4</v>
      </c>
      <c r="M2112">
        <v>4418.34</v>
      </c>
      <c r="N2112">
        <v>2526.06</v>
      </c>
      <c r="O2112" t="s">
        <v>78</v>
      </c>
      <c r="P2112" t="s">
        <v>85</v>
      </c>
    </row>
    <row r="2113" spans="1:16" x14ac:dyDescent="0.25">
      <c r="A2113">
        <v>2112</v>
      </c>
      <c r="B2113" s="1">
        <v>45691</v>
      </c>
      <c r="C2113" t="s">
        <v>22</v>
      </c>
      <c r="D2113" t="s">
        <v>24</v>
      </c>
      <c r="E2113" t="s">
        <v>33</v>
      </c>
      <c r="F2113" t="s">
        <v>60</v>
      </c>
      <c r="G2113" t="s">
        <v>70</v>
      </c>
      <c r="H2113" t="s">
        <v>74</v>
      </c>
      <c r="I2113">
        <v>8</v>
      </c>
      <c r="J2113">
        <v>29677</v>
      </c>
      <c r="K2113">
        <v>0.05</v>
      </c>
      <c r="L2113">
        <v>225545.2</v>
      </c>
      <c r="M2113">
        <v>139850.32999999999</v>
      </c>
      <c r="N2113">
        <v>85694.87</v>
      </c>
      <c r="O2113" t="s">
        <v>79</v>
      </c>
      <c r="P2113" t="s">
        <v>88</v>
      </c>
    </row>
    <row r="2114" spans="1:16" x14ac:dyDescent="0.25">
      <c r="A2114">
        <v>2113</v>
      </c>
      <c r="B2114" s="1">
        <v>45718</v>
      </c>
      <c r="C2114" t="s">
        <v>21</v>
      </c>
      <c r="D2114" t="s">
        <v>24</v>
      </c>
      <c r="E2114" t="s">
        <v>34</v>
      </c>
      <c r="F2114" t="s">
        <v>51</v>
      </c>
      <c r="G2114" t="s">
        <v>70</v>
      </c>
      <c r="H2114" t="s">
        <v>75</v>
      </c>
      <c r="I2114">
        <v>4</v>
      </c>
      <c r="J2114">
        <v>2848</v>
      </c>
      <c r="K2114">
        <v>0.15</v>
      </c>
      <c r="L2114">
        <v>9683.2000000000007</v>
      </c>
      <c r="M2114">
        <v>5530.35</v>
      </c>
      <c r="N2114">
        <v>4152.8500000000004</v>
      </c>
      <c r="O2114" t="s">
        <v>77</v>
      </c>
      <c r="P2114" t="s">
        <v>81</v>
      </c>
    </row>
    <row r="2115" spans="1:16" x14ac:dyDescent="0.25">
      <c r="A2115">
        <v>2114</v>
      </c>
      <c r="B2115" s="1">
        <v>45866</v>
      </c>
      <c r="C2115" t="s">
        <v>19</v>
      </c>
      <c r="D2115" t="s">
        <v>26</v>
      </c>
      <c r="E2115" t="s">
        <v>28</v>
      </c>
      <c r="F2115" t="s">
        <v>54</v>
      </c>
      <c r="G2115" t="s">
        <v>71</v>
      </c>
      <c r="H2115" t="s">
        <v>73</v>
      </c>
      <c r="I2115">
        <v>7</v>
      </c>
      <c r="J2115">
        <v>2482</v>
      </c>
      <c r="K2115">
        <v>0.1</v>
      </c>
      <c r="L2115">
        <v>15636.6</v>
      </c>
      <c r="M2115">
        <v>12692.81</v>
      </c>
      <c r="N2115">
        <v>2943.79</v>
      </c>
      <c r="O2115" t="s">
        <v>77</v>
      </c>
      <c r="P2115" t="s">
        <v>88</v>
      </c>
    </row>
    <row r="2116" spans="1:16" x14ac:dyDescent="0.25">
      <c r="A2116">
        <v>2115</v>
      </c>
      <c r="B2116" s="1">
        <v>45855</v>
      </c>
      <c r="C2116" t="s">
        <v>18</v>
      </c>
      <c r="D2116" t="s">
        <v>26</v>
      </c>
      <c r="E2116" t="s">
        <v>34</v>
      </c>
      <c r="F2116" t="s">
        <v>65</v>
      </c>
      <c r="G2116" t="s">
        <v>71</v>
      </c>
      <c r="H2116" t="s">
        <v>74</v>
      </c>
      <c r="I2116">
        <v>2</v>
      </c>
      <c r="J2116">
        <v>1473</v>
      </c>
      <c r="K2116">
        <v>0</v>
      </c>
      <c r="L2116">
        <v>2946</v>
      </c>
      <c r="M2116">
        <v>2236.0300000000002</v>
      </c>
      <c r="N2116">
        <v>709.97</v>
      </c>
      <c r="O2116" t="s">
        <v>77</v>
      </c>
      <c r="P2116" t="s">
        <v>86</v>
      </c>
    </row>
    <row r="2117" spans="1:16" x14ac:dyDescent="0.25">
      <c r="A2117">
        <v>2116</v>
      </c>
      <c r="B2117" s="1">
        <v>45875</v>
      </c>
      <c r="C2117" t="s">
        <v>22</v>
      </c>
      <c r="D2117" t="s">
        <v>24</v>
      </c>
      <c r="E2117" t="s">
        <v>34</v>
      </c>
      <c r="F2117" t="s">
        <v>55</v>
      </c>
      <c r="G2117" t="s">
        <v>71</v>
      </c>
      <c r="H2117" t="s">
        <v>75</v>
      </c>
      <c r="I2117">
        <v>6</v>
      </c>
      <c r="J2117">
        <v>4328</v>
      </c>
      <c r="K2117">
        <v>0.05</v>
      </c>
      <c r="L2117">
        <v>24669.599999999999</v>
      </c>
      <c r="M2117">
        <v>18169.25</v>
      </c>
      <c r="N2117">
        <v>6500.35</v>
      </c>
      <c r="O2117" t="s">
        <v>79</v>
      </c>
      <c r="P2117" t="s">
        <v>81</v>
      </c>
    </row>
    <row r="2118" spans="1:16" x14ac:dyDescent="0.25">
      <c r="A2118">
        <v>2117</v>
      </c>
      <c r="B2118" s="1">
        <v>45945</v>
      </c>
      <c r="C2118" t="s">
        <v>18</v>
      </c>
      <c r="D2118" t="s">
        <v>26</v>
      </c>
      <c r="E2118" t="s">
        <v>30</v>
      </c>
      <c r="F2118" t="s">
        <v>64</v>
      </c>
      <c r="G2118" t="s">
        <v>72</v>
      </c>
      <c r="H2118" t="s">
        <v>74</v>
      </c>
      <c r="I2118">
        <v>5</v>
      </c>
      <c r="J2118">
        <v>38282</v>
      </c>
      <c r="K2118">
        <v>0.05</v>
      </c>
      <c r="L2118">
        <v>181839.5</v>
      </c>
      <c r="M2118">
        <v>138405.29999999999</v>
      </c>
      <c r="N2118">
        <v>43434.2</v>
      </c>
      <c r="O2118" t="s">
        <v>78</v>
      </c>
      <c r="P2118" t="s">
        <v>88</v>
      </c>
    </row>
    <row r="2119" spans="1:16" x14ac:dyDescent="0.25">
      <c r="A2119">
        <v>2118</v>
      </c>
      <c r="B2119" s="1">
        <v>45689</v>
      </c>
      <c r="C2119" t="s">
        <v>20</v>
      </c>
      <c r="D2119" t="s">
        <v>26</v>
      </c>
      <c r="E2119" t="s">
        <v>34</v>
      </c>
      <c r="F2119" t="s">
        <v>43</v>
      </c>
      <c r="G2119" t="s">
        <v>71</v>
      </c>
      <c r="H2119" t="s">
        <v>75</v>
      </c>
      <c r="I2119">
        <v>4</v>
      </c>
      <c r="J2119">
        <v>3213</v>
      </c>
      <c r="K2119">
        <v>0</v>
      </c>
      <c r="L2119">
        <v>12852</v>
      </c>
      <c r="M2119">
        <v>8004.37</v>
      </c>
      <c r="N2119">
        <v>4847.63</v>
      </c>
      <c r="O2119" t="s">
        <v>80</v>
      </c>
      <c r="P2119" t="s">
        <v>83</v>
      </c>
    </row>
    <row r="2120" spans="1:16" x14ac:dyDescent="0.25">
      <c r="A2120">
        <v>2119</v>
      </c>
      <c r="B2120" s="1">
        <v>46017</v>
      </c>
      <c r="C2120" t="s">
        <v>17</v>
      </c>
      <c r="D2120" t="s">
        <v>25</v>
      </c>
      <c r="E2120" t="s">
        <v>33</v>
      </c>
      <c r="F2120" t="s">
        <v>46</v>
      </c>
      <c r="G2120" t="s">
        <v>72</v>
      </c>
      <c r="H2120" t="s">
        <v>75</v>
      </c>
      <c r="I2120">
        <v>8</v>
      </c>
      <c r="J2120">
        <v>6089</v>
      </c>
      <c r="K2120">
        <v>0</v>
      </c>
      <c r="L2120">
        <v>48712</v>
      </c>
      <c r="M2120">
        <v>38196.699999999997</v>
      </c>
      <c r="N2120">
        <v>10515.3</v>
      </c>
      <c r="O2120" t="s">
        <v>76</v>
      </c>
      <c r="P2120" t="s">
        <v>88</v>
      </c>
    </row>
    <row r="2121" spans="1:16" x14ac:dyDescent="0.25">
      <c r="A2121">
        <v>2120</v>
      </c>
      <c r="B2121" s="1">
        <v>45936</v>
      </c>
      <c r="C2121" t="s">
        <v>22</v>
      </c>
      <c r="D2121" t="s">
        <v>24</v>
      </c>
      <c r="E2121" t="s">
        <v>34</v>
      </c>
      <c r="F2121" t="s">
        <v>65</v>
      </c>
      <c r="G2121" t="s">
        <v>70</v>
      </c>
      <c r="H2121" t="s">
        <v>73</v>
      </c>
      <c r="I2121">
        <v>6</v>
      </c>
      <c r="J2121">
        <v>3914</v>
      </c>
      <c r="K2121">
        <v>0.15</v>
      </c>
      <c r="L2121">
        <v>19961.400000000001</v>
      </c>
      <c r="M2121">
        <v>12557.58</v>
      </c>
      <c r="N2121">
        <v>7403.82</v>
      </c>
      <c r="O2121" t="s">
        <v>80</v>
      </c>
      <c r="P2121" t="s">
        <v>84</v>
      </c>
    </row>
    <row r="2122" spans="1:16" x14ac:dyDescent="0.25">
      <c r="A2122">
        <v>2121</v>
      </c>
      <c r="B2122" s="1">
        <v>46018</v>
      </c>
      <c r="C2122" t="s">
        <v>19</v>
      </c>
      <c r="D2122" t="s">
        <v>26</v>
      </c>
      <c r="E2122" t="s">
        <v>33</v>
      </c>
      <c r="F2122" t="s">
        <v>46</v>
      </c>
      <c r="G2122" t="s">
        <v>70</v>
      </c>
      <c r="H2122" t="s">
        <v>75</v>
      </c>
      <c r="I2122">
        <v>4</v>
      </c>
      <c r="J2122">
        <v>35844</v>
      </c>
      <c r="K2122">
        <v>0.05</v>
      </c>
      <c r="L2122">
        <v>136207.20000000001</v>
      </c>
      <c r="M2122">
        <v>90823.7</v>
      </c>
      <c r="N2122">
        <v>45383.5</v>
      </c>
      <c r="O2122" t="s">
        <v>79</v>
      </c>
      <c r="P2122" t="s">
        <v>81</v>
      </c>
    </row>
    <row r="2123" spans="1:16" x14ac:dyDescent="0.25">
      <c r="A2123">
        <v>2122</v>
      </c>
      <c r="B2123" s="1">
        <v>45753</v>
      </c>
      <c r="C2123" t="s">
        <v>19</v>
      </c>
      <c r="D2123" t="s">
        <v>26</v>
      </c>
      <c r="E2123" t="s">
        <v>29</v>
      </c>
      <c r="F2123" t="s">
        <v>36</v>
      </c>
      <c r="G2123" t="s">
        <v>72</v>
      </c>
      <c r="H2123" t="s">
        <v>74</v>
      </c>
      <c r="I2123">
        <v>7</v>
      </c>
      <c r="J2123">
        <v>11337</v>
      </c>
      <c r="K2123">
        <v>0.05</v>
      </c>
      <c r="L2123">
        <v>75391.05</v>
      </c>
      <c r="M2123">
        <v>59312.58</v>
      </c>
      <c r="N2123">
        <v>16078.47</v>
      </c>
      <c r="O2123" t="s">
        <v>76</v>
      </c>
      <c r="P2123" t="s">
        <v>85</v>
      </c>
    </row>
    <row r="2124" spans="1:16" x14ac:dyDescent="0.25">
      <c r="A2124">
        <v>2123</v>
      </c>
      <c r="B2124" s="1">
        <v>45778</v>
      </c>
      <c r="C2124" t="s">
        <v>20</v>
      </c>
      <c r="D2124" t="s">
        <v>26</v>
      </c>
      <c r="E2124" t="s">
        <v>28</v>
      </c>
      <c r="F2124" t="s">
        <v>35</v>
      </c>
      <c r="G2124" t="s">
        <v>70</v>
      </c>
      <c r="H2124" t="s">
        <v>75</v>
      </c>
      <c r="I2124">
        <v>4</v>
      </c>
      <c r="J2124">
        <v>1548</v>
      </c>
      <c r="K2124">
        <v>0.1</v>
      </c>
      <c r="L2124">
        <v>5572.8</v>
      </c>
      <c r="M2124">
        <v>4074.57</v>
      </c>
      <c r="N2124">
        <v>1498.23</v>
      </c>
      <c r="O2124" t="s">
        <v>80</v>
      </c>
      <c r="P2124" t="s">
        <v>88</v>
      </c>
    </row>
    <row r="2125" spans="1:16" x14ac:dyDescent="0.25">
      <c r="A2125">
        <v>2124</v>
      </c>
      <c r="B2125" s="1">
        <v>45984</v>
      </c>
      <c r="C2125" t="s">
        <v>16</v>
      </c>
      <c r="D2125" t="s">
        <v>24</v>
      </c>
      <c r="E2125" t="s">
        <v>32</v>
      </c>
      <c r="F2125" t="s">
        <v>66</v>
      </c>
      <c r="G2125" t="s">
        <v>70</v>
      </c>
      <c r="H2125" t="s">
        <v>75</v>
      </c>
      <c r="I2125">
        <v>7</v>
      </c>
      <c r="J2125">
        <v>7086</v>
      </c>
      <c r="K2125">
        <v>0</v>
      </c>
      <c r="L2125">
        <v>49602</v>
      </c>
      <c r="M2125">
        <v>30255.33</v>
      </c>
      <c r="N2125">
        <v>19346.669999999998</v>
      </c>
      <c r="O2125" t="s">
        <v>79</v>
      </c>
      <c r="P2125" t="s">
        <v>84</v>
      </c>
    </row>
    <row r="2126" spans="1:16" x14ac:dyDescent="0.25">
      <c r="A2126">
        <v>2125</v>
      </c>
      <c r="B2126" s="1">
        <v>45812</v>
      </c>
      <c r="C2126" t="s">
        <v>23</v>
      </c>
      <c r="D2126" t="s">
        <v>27</v>
      </c>
      <c r="E2126" t="s">
        <v>30</v>
      </c>
      <c r="F2126" t="s">
        <v>40</v>
      </c>
      <c r="G2126" t="s">
        <v>72</v>
      </c>
      <c r="H2126" t="s">
        <v>74</v>
      </c>
      <c r="I2126">
        <v>7</v>
      </c>
      <c r="J2126">
        <v>14424</v>
      </c>
      <c r="K2126">
        <v>0</v>
      </c>
      <c r="L2126">
        <v>100968</v>
      </c>
      <c r="M2126">
        <v>75984</v>
      </c>
      <c r="N2126">
        <v>24984</v>
      </c>
      <c r="O2126" t="s">
        <v>80</v>
      </c>
      <c r="P2126" t="s">
        <v>83</v>
      </c>
    </row>
    <row r="2127" spans="1:16" x14ac:dyDescent="0.25">
      <c r="A2127">
        <v>2126</v>
      </c>
      <c r="B2127" s="1">
        <v>45663</v>
      </c>
      <c r="C2127" t="s">
        <v>16</v>
      </c>
      <c r="D2127" t="s">
        <v>24</v>
      </c>
      <c r="E2127" t="s">
        <v>33</v>
      </c>
      <c r="F2127" t="s">
        <v>46</v>
      </c>
      <c r="G2127" t="s">
        <v>72</v>
      </c>
      <c r="H2127" t="s">
        <v>73</v>
      </c>
      <c r="I2127">
        <v>5</v>
      </c>
      <c r="J2127">
        <v>14961</v>
      </c>
      <c r="K2127">
        <v>0.1</v>
      </c>
      <c r="L2127">
        <v>67324.5</v>
      </c>
      <c r="M2127">
        <v>49441.75</v>
      </c>
      <c r="N2127">
        <v>17882.75</v>
      </c>
      <c r="O2127" t="s">
        <v>80</v>
      </c>
      <c r="P2127" t="s">
        <v>87</v>
      </c>
    </row>
    <row r="2128" spans="1:16" x14ac:dyDescent="0.25">
      <c r="A2128">
        <v>2127</v>
      </c>
      <c r="B2128" s="1">
        <v>45759</v>
      </c>
      <c r="C2128" t="s">
        <v>20</v>
      </c>
      <c r="D2128" t="s">
        <v>26</v>
      </c>
      <c r="E2128" t="s">
        <v>31</v>
      </c>
      <c r="F2128" t="s">
        <v>47</v>
      </c>
      <c r="G2128" t="s">
        <v>70</v>
      </c>
      <c r="H2128" t="s">
        <v>74</v>
      </c>
      <c r="I2128">
        <v>1</v>
      </c>
      <c r="J2128">
        <v>772</v>
      </c>
      <c r="K2128">
        <v>0.05</v>
      </c>
      <c r="L2128">
        <v>733.4</v>
      </c>
      <c r="M2128">
        <v>426.96</v>
      </c>
      <c r="N2128">
        <v>306.44</v>
      </c>
      <c r="O2128" t="s">
        <v>77</v>
      </c>
      <c r="P2128" t="s">
        <v>87</v>
      </c>
    </row>
    <row r="2129" spans="1:16" x14ac:dyDescent="0.25">
      <c r="A2129">
        <v>2128</v>
      </c>
      <c r="B2129" s="1">
        <v>45739</v>
      </c>
      <c r="C2129" t="s">
        <v>23</v>
      </c>
      <c r="D2129" t="s">
        <v>27</v>
      </c>
      <c r="E2129" t="s">
        <v>28</v>
      </c>
      <c r="F2129" t="s">
        <v>54</v>
      </c>
      <c r="G2129" t="s">
        <v>71</v>
      </c>
      <c r="H2129" t="s">
        <v>73</v>
      </c>
      <c r="I2129">
        <v>2</v>
      </c>
      <c r="J2129">
        <v>2124</v>
      </c>
      <c r="K2129">
        <v>0.1</v>
      </c>
      <c r="L2129">
        <v>3823.2</v>
      </c>
      <c r="M2129">
        <v>2990.93</v>
      </c>
      <c r="N2129">
        <v>832.27</v>
      </c>
      <c r="O2129" t="s">
        <v>76</v>
      </c>
      <c r="P2129" t="s">
        <v>85</v>
      </c>
    </row>
    <row r="2130" spans="1:16" x14ac:dyDescent="0.25">
      <c r="A2130">
        <v>2129</v>
      </c>
      <c r="B2130" s="1">
        <v>45765</v>
      </c>
      <c r="C2130" t="s">
        <v>18</v>
      </c>
      <c r="D2130" t="s">
        <v>26</v>
      </c>
      <c r="E2130" t="s">
        <v>29</v>
      </c>
      <c r="F2130" t="s">
        <v>53</v>
      </c>
      <c r="G2130" t="s">
        <v>72</v>
      </c>
      <c r="H2130" t="s">
        <v>73</v>
      </c>
      <c r="I2130">
        <v>3</v>
      </c>
      <c r="J2130">
        <v>4351</v>
      </c>
      <c r="K2130">
        <v>0.15</v>
      </c>
      <c r="L2130">
        <v>11095.05</v>
      </c>
      <c r="M2130">
        <v>6207.31</v>
      </c>
      <c r="N2130">
        <v>4887.74</v>
      </c>
      <c r="O2130" t="s">
        <v>79</v>
      </c>
      <c r="P2130" t="s">
        <v>81</v>
      </c>
    </row>
    <row r="2131" spans="1:16" x14ac:dyDescent="0.25">
      <c r="A2131">
        <v>2130</v>
      </c>
      <c r="B2131" s="1">
        <v>45871</v>
      </c>
      <c r="C2131" t="s">
        <v>18</v>
      </c>
      <c r="D2131" t="s">
        <v>26</v>
      </c>
      <c r="E2131" t="s">
        <v>31</v>
      </c>
      <c r="F2131" t="s">
        <v>47</v>
      </c>
      <c r="G2131" t="s">
        <v>71</v>
      </c>
      <c r="H2131" t="s">
        <v>75</v>
      </c>
      <c r="I2131">
        <v>5</v>
      </c>
      <c r="J2131">
        <v>896</v>
      </c>
      <c r="K2131">
        <v>0.15</v>
      </c>
      <c r="L2131">
        <v>3808</v>
      </c>
      <c r="M2131">
        <v>2567.17</v>
      </c>
      <c r="N2131">
        <v>1240.83</v>
      </c>
      <c r="O2131" t="s">
        <v>78</v>
      </c>
      <c r="P2131" t="s">
        <v>86</v>
      </c>
    </row>
    <row r="2132" spans="1:16" x14ac:dyDescent="0.25">
      <c r="A2132">
        <v>2131</v>
      </c>
      <c r="B2132" s="1">
        <v>45827</v>
      </c>
      <c r="C2132" t="s">
        <v>21</v>
      </c>
      <c r="D2132" t="s">
        <v>24</v>
      </c>
      <c r="E2132" t="s">
        <v>31</v>
      </c>
      <c r="F2132" t="s">
        <v>69</v>
      </c>
      <c r="G2132" t="s">
        <v>70</v>
      </c>
      <c r="H2132" t="s">
        <v>75</v>
      </c>
      <c r="I2132">
        <v>5</v>
      </c>
      <c r="J2132">
        <v>231</v>
      </c>
      <c r="K2132">
        <v>0.05</v>
      </c>
      <c r="L2132">
        <v>1097.25</v>
      </c>
      <c r="M2132">
        <v>956.47</v>
      </c>
      <c r="N2132">
        <v>140.78</v>
      </c>
      <c r="O2132" t="s">
        <v>80</v>
      </c>
      <c r="P2132" t="s">
        <v>84</v>
      </c>
    </row>
    <row r="2133" spans="1:16" x14ac:dyDescent="0.25">
      <c r="A2133">
        <v>2132</v>
      </c>
      <c r="B2133" s="1">
        <v>45802</v>
      </c>
      <c r="C2133" t="s">
        <v>20</v>
      </c>
      <c r="D2133" t="s">
        <v>26</v>
      </c>
      <c r="E2133" t="s">
        <v>29</v>
      </c>
      <c r="F2133" t="s">
        <v>42</v>
      </c>
      <c r="G2133" t="s">
        <v>70</v>
      </c>
      <c r="H2133" t="s">
        <v>75</v>
      </c>
      <c r="I2133">
        <v>4</v>
      </c>
      <c r="J2133">
        <v>1472</v>
      </c>
      <c r="K2133">
        <v>0.15</v>
      </c>
      <c r="L2133">
        <v>5004.8</v>
      </c>
      <c r="M2133">
        <v>4009.61</v>
      </c>
      <c r="N2133">
        <v>995.19</v>
      </c>
      <c r="O2133" t="s">
        <v>76</v>
      </c>
      <c r="P2133" t="s">
        <v>83</v>
      </c>
    </row>
    <row r="2134" spans="1:16" x14ac:dyDescent="0.25">
      <c r="A2134">
        <v>2133</v>
      </c>
      <c r="B2134" s="1">
        <v>45720</v>
      </c>
      <c r="C2134" t="s">
        <v>21</v>
      </c>
      <c r="D2134" t="s">
        <v>24</v>
      </c>
      <c r="E2134" t="s">
        <v>32</v>
      </c>
      <c r="F2134" t="s">
        <v>39</v>
      </c>
      <c r="G2134" t="s">
        <v>71</v>
      </c>
      <c r="H2134" t="s">
        <v>74</v>
      </c>
      <c r="I2134">
        <v>1</v>
      </c>
      <c r="J2134">
        <v>12347</v>
      </c>
      <c r="K2134">
        <v>0.05</v>
      </c>
      <c r="L2134">
        <v>11729.65</v>
      </c>
      <c r="M2134">
        <v>8199.49</v>
      </c>
      <c r="N2134">
        <v>3530.16</v>
      </c>
      <c r="O2134" t="s">
        <v>79</v>
      </c>
      <c r="P2134" t="s">
        <v>84</v>
      </c>
    </row>
    <row r="2135" spans="1:16" x14ac:dyDescent="0.25">
      <c r="A2135">
        <v>2134</v>
      </c>
      <c r="B2135" s="1">
        <v>45921</v>
      </c>
      <c r="C2135" t="s">
        <v>21</v>
      </c>
      <c r="D2135" t="s">
        <v>24</v>
      </c>
      <c r="E2135" t="s">
        <v>28</v>
      </c>
      <c r="F2135" t="s">
        <v>58</v>
      </c>
      <c r="G2135" t="s">
        <v>70</v>
      </c>
      <c r="H2135" t="s">
        <v>73</v>
      </c>
      <c r="I2135">
        <v>8</v>
      </c>
      <c r="J2135">
        <v>1265</v>
      </c>
      <c r="K2135">
        <v>0</v>
      </c>
      <c r="L2135">
        <v>10120</v>
      </c>
      <c r="M2135">
        <v>7062.9</v>
      </c>
      <c r="N2135">
        <v>3057.1</v>
      </c>
      <c r="O2135" t="s">
        <v>76</v>
      </c>
      <c r="P2135" t="s">
        <v>85</v>
      </c>
    </row>
    <row r="2136" spans="1:16" x14ac:dyDescent="0.25">
      <c r="A2136">
        <v>2135</v>
      </c>
      <c r="B2136" s="1">
        <v>45659</v>
      </c>
      <c r="C2136" t="s">
        <v>23</v>
      </c>
      <c r="D2136" t="s">
        <v>27</v>
      </c>
      <c r="E2136" t="s">
        <v>28</v>
      </c>
      <c r="F2136" t="s">
        <v>63</v>
      </c>
      <c r="G2136" t="s">
        <v>71</v>
      </c>
      <c r="H2136" t="s">
        <v>75</v>
      </c>
      <c r="I2136">
        <v>1</v>
      </c>
      <c r="J2136">
        <v>133</v>
      </c>
      <c r="K2136">
        <v>0.1</v>
      </c>
      <c r="L2136">
        <v>119.7</v>
      </c>
      <c r="M2136">
        <v>67.02</v>
      </c>
      <c r="N2136">
        <v>52.68</v>
      </c>
      <c r="O2136" t="s">
        <v>79</v>
      </c>
      <c r="P2136" t="s">
        <v>86</v>
      </c>
    </row>
    <row r="2137" spans="1:16" x14ac:dyDescent="0.25">
      <c r="A2137">
        <v>2136</v>
      </c>
      <c r="B2137" s="1">
        <v>45982</v>
      </c>
      <c r="C2137" t="s">
        <v>21</v>
      </c>
      <c r="D2137" t="s">
        <v>24</v>
      </c>
      <c r="E2137" t="s">
        <v>31</v>
      </c>
      <c r="F2137" t="s">
        <v>38</v>
      </c>
      <c r="G2137" t="s">
        <v>70</v>
      </c>
      <c r="H2137" t="s">
        <v>75</v>
      </c>
      <c r="I2137">
        <v>1</v>
      </c>
      <c r="J2137">
        <v>2031</v>
      </c>
      <c r="K2137">
        <v>0.15</v>
      </c>
      <c r="L2137">
        <v>1726.35</v>
      </c>
      <c r="M2137">
        <v>1269.96</v>
      </c>
      <c r="N2137">
        <v>456.39</v>
      </c>
      <c r="O2137" t="s">
        <v>78</v>
      </c>
      <c r="P2137" t="s">
        <v>85</v>
      </c>
    </row>
    <row r="2138" spans="1:16" x14ac:dyDescent="0.25">
      <c r="A2138">
        <v>2137</v>
      </c>
      <c r="B2138" s="1">
        <v>45887</v>
      </c>
      <c r="C2138" t="s">
        <v>20</v>
      </c>
      <c r="D2138" t="s">
        <v>26</v>
      </c>
      <c r="E2138" t="s">
        <v>30</v>
      </c>
      <c r="F2138" t="s">
        <v>37</v>
      </c>
      <c r="G2138" t="s">
        <v>71</v>
      </c>
      <c r="H2138" t="s">
        <v>74</v>
      </c>
      <c r="I2138">
        <v>2</v>
      </c>
      <c r="J2138">
        <v>68789</v>
      </c>
      <c r="K2138">
        <v>0.1</v>
      </c>
      <c r="L2138">
        <v>123820.2</v>
      </c>
      <c r="M2138">
        <v>71568.03</v>
      </c>
      <c r="N2138">
        <v>52252.17</v>
      </c>
      <c r="O2138" t="s">
        <v>80</v>
      </c>
      <c r="P2138" t="s">
        <v>84</v>
      </c>
    </row>
    <row r="2139" spans="1:16" x14ac:dyDescent="0.25">
      <c r="A2139">
        <v>2138</v>
      </c>
      <c r="B2139" s="1">
        <v>45726</v>
      </c>
      <c r="C2139" t="s">
        <v>18</v>
      </c>
      <c r="D2139" t="s">
        <v>26</v>
      </c>
      <c r="E2139" t="s">
        <v>31</v>
      </c>
      <c r="F2139" t="s">
        <v>67</v>
      </c>
      <c r="G2139" t="s">
        <v>72</v>
      </c>
      <c r="H2139" t="s">
        <v>75</v>
      </c>
      <c r="I2139">
        <v>7</v>
      </c>
      <c r="J2139">
        <v>2045</v>
      </c>
      <c r="K2139">
        <v>0.15</v>
      </c>
      <c r="L2139">
        <v>12167.75</v>
      </c>
      <c r="M2139">
        <v>7695.8</v>
      </c>
      <c r="N2139">
        <v>4471.95</v>
      </c>
      <c r="O2139" t="s">
        <v>77</v>
      </c>
      <c r="P2139" t="s">
        <v>86</v>
      </c>
    </row>
    <row r="2140" spans="1:16" x14ac:dyDescent="0.25">
      <c r="A2140">
        <v>2139</v>
      </c>
      <c r="B2140" s="1">
        <v>45841</v>
      </c>
      <c r="C2140" t="s">
        <v>16</v>
      </c>
      <c r="D2140" t="s">
        <v>24</v>
      </c>
      <c r="E2140" t="s">
        <v>34</v>
      </c>
      <c r="F2140" t="s">
        <v>43</v>
      </c>
      <c r="G2140" t="s">
        <v>70</v>
      </c>
      <c r="H2140" t="s">
        <v>75</v>
      </c>
      <c r="I2140">
        <v>8</v>
      </c>
      <c r="J2140">
        <v>1950</v>
      </c>
      <c r="K2140">
        <v>0</v>
      </c>
      <c r="L2140">
        <v>15600</v>
      </c>
      <c r="M2140">
        <v>10632.09</v>
      </c>
      <c r="N2140">
        <v>4967.91</v>
      </c>
      <c r="O2140" t="s">
        <v>77</v>
      </c>
      <c r="P2140" t="s">
        <v>88</v>
      </c>
    </row>
    <row r="2141" spans="1:16" x14ac:dyDescent="0.25">
      <c r="A2141">
        <v>2140</v>
      </c>
      <c r="B2141" s="1">
        <v>45727</v>
      </c>
      <c r="C2141" t="s">
        <v>20</v>
      </c>
      <c r="D2141" t="s">
        <v>26</v>
      </c>
      <c r="E2141" t="s">
        <v>28</v>
      </c>
      <c r="F2141" t="s">
        <v>63</v>
      </c>
      <c r="G2141" t="s">
        <v>71</v>
      </c>
      <c r="H2141" t="s">
        <v>73</v>
      </c>
      <c r="I2141">
        <v>4</v>
      </c>
      <c r="J2141">
        <v>1416</v>
      </c>
      <c r="K2141">
        <v>0.1</v>
      </c>
      <c r="L2141">
        <v>5097.6000000000004</v>
      </c>
      <c r="M2141">
        <v>3999.92</v>
      </c>
      <c r="N2141">
        <v>1097.68</v>
      </c>
      <c r="O2141" t="s">
        <v>78</v>
      </c>
      <c r="P2141" t="s">
        <v>87</v>
      </c>
    </row>
    <row r="2142" spans="1:16" x14ac:dyDescent="0.25">
      <c r="A2142">
        <v>2141</v>
      </c>
      <c r="B2142" s="1">
        <v>46006</v>
      </c>
      <c r="C2142" t="s">
        <v>19</v>
      </c>
      <c r="D2142" t="s">
        <v>26</v>
      </c>
      <c r="E2142" t="s">
        <v>34</v>
      </c>
      <c r="F2142" t="s">
        <v>68</v>
      </c>
      <c r="G2142" t="s">
        <v>71</v>
      </c>
      <c r="H2142" t="s">
        <v>73</v>
      </c>
      <c r="I2142">
        <v>2</v>
      </c>
      <c r="J2142">
        <v>4344</v>
      </c>
      <c r="K2142">
        <v>0</v>
      </c>
      <c r="L2142">
        <v>8688</v>
      </c>
      <c r="M2142">
        <v>7174.06</v>
      </c>
      <c r="N2142">
        <v>1513.94</v>
      </c>
      <c r="O2142" t="s">
        <v>77</v>
      </c>
      <c r="P2142" t="s">
        <v>84</v>
      </c>
    </row>
    <row r="2143" spans="1:16" x14ac:dyDescent="0.25">
      <c r="A2143">
        <v>2142</v>
      </c>
      <c r="B2143" s="1">
        <v>45962</v>
      </c>
      <c r="C2143" t="s">
        <v>23</v>
      </c>
      <c r="D2143" t="s">
        <v>27</v>
      </c>
      <c r="E2143" t="s">
        <v>33</v>
      </c>
      <c r="F2143" t="s">
        <v>46</v>
      </c>
      <c r="G2143" t="s">
        <v>72</v>
      </c>
      <c r="H2143" t="s">
        <v>75</v>
      </c>
      <c r="I2143">
        <v>7</v>
      </c>
      <c r="J2143">
        <v>6310</v>
      </c>
      <c r="K2143">
        <v>0.15</v>
      </c>
      <c r="L2143">
        <v>37544.5</v>
      </c>
      <c r="M2143">
        <v>27121.4</v>
      </c>
      <c r="N2143">
        <v>10423.1</v>
      </c>
      <c r="O2143" t="s">
        <v>77</v>
      </c>
      <c r="P2143" t="s">
        <v>85</v>
      </c>
    </row>
    <row r="2144" spans="1:16" x14ac:dyDescent="0.25">
      <c r="A2144">
        <v>2143</v>
      </c>
      <c r="B2144" s="1">
        <v>45669</v>
      </c>
      <c r="C2144" t="s">
        <v>21</v>
      </c>
      <c r="D2144" t="s">
        <v>24</v>
      </c>
      <c r="E2144" t="s">
        <v>32</v>
      </c>
      <c r="F2144" t="s">
        <v>48</v>
      </c>
      <c r="G2144" t="s">
        <v>72</v>
      </c>
      <c r="H2144" t="s">
        <v>74</v>
      </c>
      <c r="I2144">
        <v>2</v>
      </c>
      <c r="J2144">
        <v>2888</v>
      </c>
      <c r="K2144">
        <v>0.15</v>
      </c>
      <c r="L2144">
        <v>4909.6000000000004</v>
      </c>
      <c r="M2144">
        <v>3933.04</v>
      </c>
      <c r="N2144">
        <v>976.56</v>
      </c>
      <c r="O2144" t="s">
        <v>77</v>
      </c>
      <c r="P2144" t="s">
        <v>87</v>
      </c>
    </row>
    <row r="2145" spans="1:16" x14ac:dyDescent="0.25">
      <c r="A2145">
        <v>2144</v>
      </c>
      <c r="B2145" s="1">
        <v>45661</v>
      </c>
      <c r="C2145" t="s">
        <v>23</v>
      </c>
      <c r="D2145" t="s">
        <v>27</v>
      </c>
      <c r="E2145" t="s">
        <v>29</v>
      </c>
      <c r="F2145" t="s">
        <v>36</v>
      </c>
      <c r="G2145" t="s">
        <v>70</v>
      </c>
      <c r="H2145" t="s">
        <v>73</v>
      </c>
      <c r="I2145">
        <v>1</v>
      </c>
      <c r="J2145">
        <v>11822</v>
      </c>
      <c r="K2145">
        <v>0</v>
      </c>
      <c r="L2145">
        <v>11822</v>
      </c>
      <c r="M2145">
        <v>9789.5499999999993</v>
      </c>
      <c r="N2145">
        <v>2032.45</v>
      </c>
      <c r="O2145" t="s">
        <v>80</v>
      </c>
      <c r="P2145" t="s">
        <v>88</v>
      </c>
    </row>
    <row r="2146" spans="1:16" x14ac:dyDescent="0.25">
      <c r="A2146">
        <v>2145</v>
      </c>
      <c r="B2146" s="1">
        <v>46012</v>
      </c>
      <c r="C2146" t="s">
        <v>21</v>
      </c>
      <c r="D2146" t="s">
        <v>24</v>
      </c>
      <c r="E2146" t="s">
        <v>31</v>
      </c>
      <c r="F2146" t="s">
        <v>47</v>
      </c>
      <c r="G2146" t="s">
        <v>72</v>
      </c>
      <c r="H2146" t="s">
        <v>75</v>
      </c>
      <c r="I2146">
        <v>8</v>
      </c>
      <c r="J2146">
        <v>577</v>
      </c>
      <c r="K2146">
        <v>0.1</v>
      </c>
      <c r="L2146">
        <v>4154.3999999999996</v>
      </c>
      <c r="M2146">
        <v>3421.11</v>
      </c>
      <c r="N2146">
        <v>733.29</v>
      </c>
      <c r="O2146" t="s">
        <v>76</v>
      </c>
      <c r="P2146" t="s">
        <v>86</v>
      </c>
    </row>
    <row r="2147" spans="1:16" x14ac:dyDescent="0.25">
      <c r="A2147">
        <v>2146</v>
      </c>
      <c r="B2147" s="1">
        <v>45868</v>
      </c>
      <c r="C2147" t="s">
        <v>20</v>
      </c>
      <c r="D2147" t="s">
        <v>26</v>
      </c>
      <c r="E2147" t="s">
        <v>34</v>
      </c>
      <c r="F2147" t="s">
        <v>43</v>
      </c>
      <c r="G2147" t="s">
        <v>70</v>
      </c>
      <c r="H2147" t="s">
        <v>73</v>
      </c>
      <c r="I2147">
        <v>8</v>
      </c>
      <c r="J2147">
        <v>4781</v>
      </c>
      <c r="K2147">
        <v>0.15</v>
      </c>
      <c r="L2147">
        <v>32510.799999999999</v>
      </c>
      <c r="M2147">
        <v>21378.35</v>
      </c>
      <c r="N2147">
        <v>11132.45</v>
      </c>
      <c r="O2147" t="s">
        <v>77</v>
      </c>
      <c r="P2147" t="s">
        <v>84</v>
      </c>
    </row>
    <row r="2148" spans="1:16" x14ac:dyDescent="0.25">
      <c r="A2148">
        <v>2147</v>
      </c>
      <c r="B2148" s="1">
        <v>45787</v>
      </c>
      <c r="C2148" t="s">
        <v>20</v>
      </c>
      <c r="D2148" t="s">
        <v>26</v>
      </c>
      <c r="E2148" t="s">
        <v>32</v>
      </c>
      <c r="F2148" t="s">
        <v>62</v>
      </c>
      <c r="G2148" t="s">
        <v>70</v>
      </c>
      <c r="H2148" t="s">
        <v>74</v>
      </c>
      <c r="I2148">
        <v>8</v>
      </c>
      <c r="J2148">
        <v>4921</v>
      </c>
      <c r="K2148">
        <v>0</v>
      </c>
      <c r="L2148">
        <v>39368</v>
      </c>
      <c r="M2148">
        <v>25627.21</v>
      </c>
      <c r="N2148">
        <v>13740.79</v>
      </c>
      <c r="O2148" t="s">
        <v>80</v>
      </c>
      <c r="P2148" t="s">
        <v>83</v>
      </c>
    </row>
    <row r="2149" spans="1:16" x14ac:dyDescent="0.25">
      <c r="A2149">
        <v>2148</v>
      </c>
      <c r="B2149" s="1">
        <v>45809</v>
      </c>
      <c r="C2149" t="s">
        <v>16</v>
      </c>
      <c r="D2149" t="s">
        <v>24</v>
      </c>
      <c r="E2149" t="s">
        <v>34</v>
      </c>
      <c r="F2149" t="s">
        <v>51</v>
      </c>
      <c r="G2149" t="s">
        <v>72</v>
      </c>
      <c r="H2149" t="s">
        <v>74</v>
      </c>
      <c r="I2149">
        <v>3</v>
      </c>
      <c r="J2149">
        <v>5499</v>
      </c>
      <c r="K2149">
        <v>0.1</v>
      </c>
      <c r="L2149">
        <v>14847.3</v>
      </c>
      <c r="M2149">
        <v>10440.469999999999</v>
      </c>
      <c r="N2149">
        <v>4406.83</v>
      </c>
      <c r="O2149" t="s">
        <v>79</v>
      </c>
      <c r="P2149" t="s">
        <v>83</v>
      </c>
    </row>
    <row r="2150" spans="1:16" x14ac:dyDescent="0.25">
      <c r="A2150">
        <v>2149</v>
      </c>
      <c r="B2150" s="1">
        <v>45846</v>
      </c>
      <c r="C2150" t="s">
        <v>19</v>
      </c>
      <c r="D2150" t="s">
        <v>26</v>
      </c>
      <c r="E2150" t="s">
        <v>31</v>
      </c>
      <c r="F2150" t="s">
        <v>50</v>
      </c>
      <c r="G2150" t="s">
        <v>71</v>
      </c>
      <c r="H2150" t="s">
        <v>74</v>
      </c>
      <c r="I2150">
        <v>2</v>
      </c>
      <c r="J2150">
        <v>487</v>
      </c>
      <c r="K2150">
        <v>0.15</v>
      </c>
      <c r="L2150">
        <v>827.9</v>
      </c>
      <c r="M2150">
        <v>623.74</v>
      </c>
      <c r="N2150">
        <v>204.16</v>
      </c>
      <c r="O2150" t="s">
        <v>79</v>
      </c>
      <c r="P2150" t="s">
        <v>82</v>
      </c>
    </row>
    <row r="2151" spans="1:16" x14ac:dyDescent="0.25">
      <c r="A2151">
        <v>2150</v>
      </c>
      <c r="B2151" s="1">
        <v>45891</v>
      </c>
      <c r="C2151" t="s">
        <v>18</v>
      </c>
      <c r="D2151" t="s">
        <v>26</v>
      </c>
      <c r="E2151" t="s">
        <v>32</v>
      </c>
      <c r="F2151" t="s">
        <v>49</v>
      </c>
      <c r="G2151" t="s">
        <v>71</v>
      </c>
      <c r="H2151" t="s">
        <v>73</v>
      </c>
      <c r="I2151">
        <v>1</v>
      </c>
      <c r="J2151">
        <v>22066</v>
      </c>
      <c r="K2151">
        <v>0</v>
      </c>
      <c r="L2151">
        <v>22066</v>
      </c>
      <c r="M2151">
        <v>12163.79</v>
      </c>
      <c r="N2151">
        <v>9902.2099999999991</v>
      </c>
      <c r="O2151" t="s">
        <v>80</v>
      </c>
      <c r="P2151" t="s">
        <v>88</v>
      </c>
    </row>
    <row r="2152" spans="1:16" x14ac:dyDescent="0.25">
      <c r="A2152">
        <v>2151</v>
      </c>
      <c r="B2152" s="1">
        <v>45953</v>
      </c>
      <c r="C2152" t="s">
        <v>22</v>
      </c>
      <c r="D2152" t="s">
        <v>24</v>
      </c>
      <c r="E2152" t="s">
        <v>30</v>
      </c>
      <c r="F2152" t="s">
        <v>44</v>
      </c>
      <c r="G2152" t="s">
        <v>70</v>
      </c>
      <c r="H2152" t="s">
        <v>73</v>
      </c>
      <c r="I2152">
        <v>1</v>
      </c>
      <c r="J2152">
        <v>23544</v>
      </c>
      <c r="K2152">
        <v>0.05</v>
      </c>
      <c r="L2152">
        <v>22366.799999999999</v>
      </c>
      <c r="M2152">
        <v>15584.34</v>
      </c>
      <c r="N2152">
        <v>6782.46</v>
      </c>
      <c r="O2152" t="s">
        <v>76</v>
      </c>
      <c r="P2152" t="s">
        <v>81</v>
      </c>
    </row>
    <row r="2153" spans="1:16" x14ac:dyDescent="0.25">
      <c r="A2153">
        <v>2152</v>
      </c>
      <c r="B2153" s="1">
        <v>45875</v>
      </c>
      <c r="C2153" t="s">
        <v>21</v>
      </c>
      <c r="D2153" t="s">
        <v>24</v>
      </c>
      <c r="E2153" t="s">
        <v>30</v>
      </c>
      <c r="F2153" t="s">
        <v>37</v>
      </c>
      <c r="G2153" t="s">
        <v>70</v>
      </c>
      <c r="H2153" t="s">
        <v>75</v>
      </c>
      <c r="I2153">
        <v>4</v>
      </c>
      <c r="J2153">
        <v>48444</v>
      </c>
      <c r="K2153">
        <v>0.15</v>
      </c>
      <c r="L2153">
        <v>164709.6</v>
      </c>
      <c r="M2153">
        <v>91300.98</v>
      </c>
      <c r="N2153">
        <v>73408.62</v>
      </c>
      <c r="O2153" t="s">
        <v>76</v>
      </c>
      <c r="P2153" t="s">
        <v>83</v>
      </c>
    </row>
    <row r="2154" spans="1:16" x14ac:dyDescent="0.25">
      <c r="A2154">
        <v>2153</v>
      </c>
      <c r="B2154" s="1">
        <v>45741</v>
      </c>
      <c r="C2154" t="s">
        <v>17</v>
      </c>
      <c r="D2154" t="s">
        <v>25</v>
      </c>
      <c r="E2154" t="s">
        <v>29</v>
      </c>
      <c r="F2154" t="s">
        <v>57</v>
      </c>
      <c r="G2154" t="s">
        <v>70</v>
      </c>
      <c r="H2154" t="s">
        <v>75</v>
      </c>
      <c r="I2154">
        <v>6</v>
      </c>
      <c r="J2154">
        <v>857</v>
      </c>
      <c r="K2154">
        <v>0.05</v>
      </c>
      <c r="L2154">
        <v>4884.8999999999996</v>
      </c>
      <c r="M2154">
        <v>3153.5</v>
      </c>
      <c r="N2154">
        <v>1731.4</v>
      </c>
      <c r="O2154" t="s">
        <v>80</v>
      </c>
      <c r="P2154" t="s">
        <v>83</v>
      </c>
    </row>
    <row r="2155" spans="1:16" x14ac:dyDescent="0.25">
      <c r="A2155">
        <v>2154</v>
      </c>
      <c r="B2155" s="1">
        <v>45777</v>
      </c>
      <c r="C2155" t="s">
        <v>22</v>
      </c>
      <c r="D2155" t="s">
        <v>24</v>
      </c>
      <c r="E2155" t="s">
        <v>28</v>
      </c>
      <c r="F2155" t="s">
        <v>63</v>
      </c>
      <c r="G2155" t="s">
        <v>72</v>
      </c>
      <c r="H2155" t="s">
        <v>75</v>
      </c>
      <c r="I2155">
        <v>1</v>
      </c>
      <c r="J2155">
        <v>1033</v>
      </c>
      <c r="K2155">
        <v>0.15</v>
      </c>
      <c r="L2155">
        <v>878.05</v>
      </c>
      <c r="M2155">
        <v>694.68</v>
      </c>
      <c r="N2155">
        <v>183.37</v>
      </c>
      <c r="O2155" t="s">
        <v>76</v>
      </c>
      <c r="P2155" t="s">
        <v>85</v>
      </c>
    </row>
    <row r="2156" spans="1:16" x14ac:dyDescent="0.25">
      <c r="A2156">
        <v>2155</v>
      </c>
      <c r="B2156" s="1">
        <v>45664</v>
      </c>
      <c r="C2156" t="s">
        <v>21</v>
      </c>
      <c r="D2156" t="s">
        <v>24</v>
      </c>
      <c r="E2156" t="s">
        <v>32</v>
      </c>
      <c r="F2156" t="s">
        <v>39</v>
      </c>
      <c r="G2156" t="s">
        <v>70</v>
      </c>
      <c r="H2156" t="s">
        <v>74</v>
      </c>
      <c r="I2156">
        <v>7</v>
      </c>
      <c r="J2156">
        <v>16487</v>
      </c>
      <c r="K2156">
        <v>0.1</v>
      </c>
      <c r="L2156">
        <v>103868.1</v>
      </c>
      <c r="M2156">
        <v>87349.42</v>
      </c>
      <c r="N2156">
        <v>16518.68</v>
      </c>
      <c r="O2156" t="s">
        <v>78</v>
      </c>
      <c r="P2156" t="s">
        <v>85</v>
      </c>
    </row>
    <row r="2157" spans="1:16" x14ac:dyDescent="0.25">
      <c r="A2157">
        <v>2156</v>
      </c>
      <c r="B2157" s="1">
        <v>45677</v>
      </c>
      <c r="C2157" t="s">
        <v>23</v>
      </c>
      <c r="D2157" t="s">
        <v>27</v>
      </c>
      <c r="E2157" t="s">
        <v>32</v>
      </c>
      <c r="F2157" t="s">
        <v>49</v>
      </c>
      <c r="G2157" t="s">
        <v>71</v>
      </c>
      <c r="H2157" t="s">
        <v>73</v>
      </c>
      <c r="I2157">
        <v>3</v>
      </c>
      <c r="J2157">
        <v>17388</v>
      </c>
      <c r="K2157">
        <v>0.2</v>
      </c>
      <c r="L2157">
        <v>41731.199999999997</v>
      </c>
      <c r="M2157">
        <v>26611.46</v>
      </c>
      <c r="N2157">
        <v>15119.74</v>
      </c>
      <c r="O2157" t="s">
        <v>77</v>
      </c>
      <c r="P2157" t="s">
        <v>81</v>
      </c>
    </row>
    <row r="2158" spans="1:16" x14ac:dyDescent="0.25">
      <c r="A2158">
        <v>2157</v>
      </c>
      <c r="B2158" s="1">
        <v>45923</v>
      </c>
      <c r="C2158" t="s">
        <v>22</v>
      </c>
      <c r="D2158" t="s">
        <v>24</v>
      </c>
      <c r="E2158" t="s">
        <v>31</v>
      </c>
      <c r="F2158" t="s">
        <v>47</v>
      </c>
      <c r="G2158" t="s">
        <v>71</v>
      </c>
      <c r="H2158" t="s">
        <v>74</v>
      </c>
      <c r="I2158">
        <v>5</v>
      </c>
      <c r="J2158">
        <v>1005</v>
      </c>
      <c r="K2158">
        <v>0.15</v>
      </c>
      <c r="L2158">
        <v>4271.25</v>
      </c>
      <c r="M2158">
        <v>3023.17</v>
      </c>
      <c r="N2158">
        <v>1248.08</v>
      </c>
      <c r="O2158" t="s">
        <v>79</v>
      </c>
      <c r="P2158" t="s">
        <v>82</v>
      </c>
    </row>
    <row r="2159" spans="1:16" x14ac:dyDescent="0.25">
      <c r="A2159">
        <v>2158</v>
      </c>
      <c r="B2159" s="1">
        <v>45857</v>
      </c>
      <c r="C2159" t="s">
        <v>20</v>
      </c>
      <c r="D2159" t="s">
        <v>26</v>
      </c>
      <c r="E2159" t="s">
        <v>33</v>
      </c>
      <c r="F2159" t="s">
        <v>41</v>
      </c>
      <c r="G2159" t="s">
        <v>72</v>
      </c>
      <c r="H2159" t="s">
        <v>74</v>
      </c>
      <c r="I2159">
        <v>3</v>
      </c>
      <c r="J2159">
        <v>2517</v>
      </c>
      <c r="K2159">
        <v>0</v>
      </c>
      <c r="L2159">
        <v>7551</v>
      </c>
      <c r="M2159">
        <v>6395.17</v>
      </c>
      <c r="N2159">
        <v>1155.83</v>
      </c>
      <c r="O2159" t="s">
        <v>79</v>
      </c>
      <c r="P2159" t="s">
        <v>87</v>
      </c>
    </row>
    <row r="2160" spans="1:16" x14ac:dyDescent="0.25">
      <c r="A2160">
        <v>2159</v>
      </c>
      <c r="B2160" s="1">
        <v>45864</v>
      </c>
      <c r="C2160" t="s">
        <v>22</v>
      </c>
      <c r="D2160" t="s">
        <v>24</v>
      </c>
      <c r="E2160" t="s">
        <v>34</v>
      </c>
      <c r="F2160" t="s">
        <v>55</v>
      </c>
      <c r="G2160" t="s">
        <v>71</v>
      </c>
      <c r="H2160" t="s">
        <v>74</v>
      </c>
      <c r="I2160">
        <v>1</v>
      </c>
      <c r="J2160">
        <v>5876</v>
      </c>
      <c r="K2160">
        <v>0.15</v>
      </c>
      <c r="L2160">
        <v>4994.6000000000004</v>
      </c>
      <c r="M2160">
        <v>2910.27</v>
      </c>
      <c r="N2160">
        <v>2084.33</v>
      </c>
      <c r="O2160" t="s">
        <v>76</v>
      </c>
      <c r="P2160" t="s">
        <v>84</v>
      </c>
    </row>
    <row r="2161" spans="1:16" x14ac:dyDescent="0.25">
      <c r="A2161">
        <v>2160</v>
      </c>
      <c r="B2161" s="1">
        <v>45685</v>
      </c>
      <c r="C2161" t="s">
        <v>21</v>
      </c>
      <c r="D2161" t="s">
        <v>24</v>
      </c>
      <c r="E2161" t="s">
        <v>33</v>
      </c>
      <c r="F2161" t="s">
        <v>52</v>
      </c>
      <c r="G2161" t="s">
        <v>72</v>
      </c>
      <c r="H2161" t="s">
        <v>75</v>
      </c>
      <c r="I2161">
        <v>7</v>
      </c>
      <c r="J2161">
        <v>10976</v>
      </c>
      <c r="K2161">
        <v>0</v>
      </c>
      <c r="L2161">
        <v>76832</v>
      </c>
      <c r="M2161">
        <v>49517.35</v>
      </c>
      <c r="N2161">
        <v>27314.65</v>
      </c>
      <c r="O2161" t="s">
        <v>76</v>
      </c>
      <c r="P2161" t="s">
        <v>84</v>
      </c>
    </row>
    <row r="2162" spans="1:16" x14ac:dyDescent="0.25">
      <c r="A2162">
        <v>2161</v>
      </c>
      <c r="B2162" s="1">
        <v>45855</v>
      </c>
      <c r="C2162" t="s">
        <v>22</v>
      </c>
      <c r="D2162" t="s">
        <v>24</v>
      </c>
      <c r="E2162" t="s">
        <v>34</v>
      </c>
      <c r="F2162" t="s">
        <v>65</v>
      </c>
      <c r="G2162" t="s">
        <v>72</v>
      </c>
      <c r="H2162" t="s">
        <v>73</v>
      </c>
      <c r="I2162">
        <v>4</v>
      </c>
      <c r="J2162">
        <v>2308</v>
      </c>
      <c r="K2162">
        <v>0.1</v>
      </c>
      <c r="L2162">
        <v>8308.7999999999993</v>
      </c>
      <c r="M2162">
        <v>4960.1499999999996</v>
      </c>
      <c r="N2162">
        <v>3348.65</v>
      </c>
      <c r="O2162" t="s">
        <v>80</v>
      </c>
      <c r="P2162" t="s">
        <v>83</v>
      </c>
    </row>
    <row r="2163" spans="1:16" x14ac:dyDescent="0.25">
      <c r="A2163">
        <v>2162</v>
      </c>
      <c r="B2163" s="1">
        <v>46017</v>
      </c>
      <c r="C2163" t="s">
        <v>20</v>
      </c>
      <c r="D2163" t="s">
        <v>26</v>
      </c>
      <c r="E2163" t="s">
        <v>33</v>
      </c>
      <c r="F2163" t="s">
        <v>59</v>
      </c>
      <c r="G2163" t="s">
        <v>72</v>
      </c>
      <c r="H2163" t="s">
        <v>74</v>
      </c>
      <c r="I2163">
        <v>3</v>
      </c>
      <c r="J2163">
        <v>3418</v>
      </c>
      <c r="K2163">
        <v>0</v>
      </c>
      <c r="L2163">
        <v>10254</v>
      </c>
      <c r="M2163">
        <v>8658.7199999999993</v>
      </c>
      <c r="N2163">
        <v>1595.28</v>
      </c>
      <c r="O2163" t="s">
        <v>77</v>
      </c>
      <c r="P2163" t="s">
        <v>86</v>
      </c>
    </row>
    <row r="2164" spans="1:16" x14ac:dyDescent="0.25">
      <c r="A2164">
        <v>2163</v>
      </c>
      <c r="B2164" s="1">
        <v>45693</v>
      </c>
      <c r="C2164" t="s">
        <v>18</v>
      </c>
      <c r="D2164" t="s">
        <v>26</v>
      </c>
      <c r="E2164" t="s">
        <v>34</v>
      </c>
      <c r="F2164" t="s">
        <v>51</v>
      </c>
      <c r="G2164" t="s">
        <v>70</v>
      </c>
      <c r="H2164" t="s">
        <v>75</v>
      </c>
      <c r="I2164">
        <v>4</v>
      </c>
      <c r="J2164">
        <v>668</v>
      </c>
      <c r="K2164">
        <v>0.1</v>
      </c>
      <c r="L2164">
        <v>2404.8000000000002</v>
      </c>
      <c r="M2164">
        <v>1455.29</v>
      </c>
      <c r="N2164">
        <v>949.51</v>
      </c>
      <c r="O2164" t="s">
        <v>77</v>
      </c>
      <c r="P2164" t="s">
        <v>81</v>
      </c>
    </row>
    <row r="2165" spans="1:16" x14ac:dyDescent="0.25">
      <c r="A2165">
        <v>2164</v>
      </c>
      <c r="B2165" s="1">
        <v>45688</v>
      </c>
      <c r="C2165" t="s">
        <v>23</v>
      </c>
      <c r="D2165" t="s">
        <v>27</v>
      </c>
      <c r="E2165" t="s">
        <v>30</v>
      </c>
      <c r="F2165" t="s">
        <v>64</v>
      </c>
      <c r="G2165" t="s">
        <v>72</v>
      </c>
      <c r="H2165" t="s">
        <v>74</v>
      </c>
      <c r="I2165">
        <v>2</v>
      </c>
      <c r="J2165">
        <v>38347</v>
      </c>
      <c r="K2165">
        <v>0.1</v>
      </c>
      <c r="L2165">
        <v>69024.600000000006</v>
      </c>
      <c r="M2165">
        <v>53711.03</v>
      </c>
      <c r="N2165">
        <v>15313.57</v>
      </c>
      <c r="O2165" t="s">
        <v>77</v>
      </c>
      <c r="P2165" t="s">
        <v>88</v>
      </c>
    </row>
    <row r="2166" spans="1:16" x14ac:dyDescent="0.25">
      <c r="A2166">
        <v>2165</v>
      </c>
      <c r="B2166" s="1">
        <v>45868</v>
      </c>
      <c r="C2166" t="s">
        <v>21</v>
      </c>
      <c r="D2166" t="s">
        <v>24</v>
      </c>
      <c r="E2166" t="s">
        <v>33</v>
      </c>
      <c r="F2166" t="s">
        <v>41</v>
      </c>
      <c r="G2166" t="s">
        <v>70</v>
      </c>
      <c r="H2166" t="s">
        <v>74</v>
      </c>
      <c r="I2166">
        <v>3</v>
      </c>
      <c r="J2166">
        <v>42041</v>
      </c>
      <c r="K2166">
        <v>0.15</v>
      </c>
      <c r="L2166">
        <v>107204.55</v>
      </c>
      <c r="M2166">
        <v>62291.93</v>
      </c>
      <c r="N2166">
        <v>44912.62</v>
      </c>
      <c r="O2166" t="s">
        <v>76</v>
      </c>
      <c r="P2166" t="s">
        <v>87</v>
      </c>
    </row>
    <row r="2167" spans="1:16" x14ac:dyDescent="0.25">
      <c r="A2167">
        <v>2166</v>
      </c>
      <c r="B2167" s="1">
        <v>45914</v>
      </c>
      <c r="C2167" t="s">
        <v>19</v>
      </c>
      <c r="D2167" t="s">
        <v>26</v>
      </c>
      <c r="E2167" t="s">
        <v>30</v>
      </c>
      <c r="F2167" t="s">
        <v>37</v>
      </c>
      <c r="G2167" t="s">
        <v>70</v>
      </c>
      <c r="H2167" t="s">
        <v>73</v>
      </c>
      <c r="I2167">
        <v>6</v>
      </c>
      <c r="J2167">
        <v>44819</v>
      </c>
      <c r="K2167">
        <v>0</v>
      </c>
      <c r="L2167">
        <v>268914</v>
      </c>
      <c r="M2167">
        <v>185056.42</v>
      </c>
      <c r="N2167">
        <v>83857.58</v>
      </c>
      <c r="O2167" t="s">
        <v>77</v>
      </c>
      <c r="P2167" t="s">
        <v>81</v>
      </c>
    </row>
    <row r="2168" spans="1:16" x14ac:dyDescent="0.25">
      <c r="A2168">
        <v>2167</v>
      </c>
      <c r="B2168" s="1">
        <v>45824</v>
      </c>
      <c r="C2168" t="s">
        <v>20</v>
      </c>
      <c r="D2168" t="s">
        <v>26</v>
      </c>
      <c r="E2168" t="s">
        <v>32</v>
      </c>
      <c r="F2168" t="s">
        <v>62</v>
      </c>
      <c r="G2168" t="s">
        <v>70</v>
      </c>
      <c r="H2168" t="s">
        <v>74</v>
      </c>
      <c r="I2168">
        <v>6</v>
      </c>
      <c r="J2168">
        <v>5867</v>
      </c>
      <c r="K2168">
        <v>0.2</v>
      </c>
      <c r="L2168">
        <v>28161.599999999999</v>
      </c>
      <c r="M2168">
        <v>21354.3</v>
      </c>
      <c r="N2168">
        <v>6807.3</v>
      </c>
      <c r="O2168" t="s">
        <v>79</v>
      </c>
      <c r="P2168" t="s">
        <v>84</v>
      </c>
    </row>
    <row r="2169" spans="1:16" x14ac:dyDescent="0.25">
      <c r="A2169">
        <v>2168</v>
      </c>
      <c r="B2169" s="1">
        <v>45693</v>
      </c>
      <c r="C2169" t="s">
        <v>18</v>
      </c>
      <c r="D2169" t="s">
        <v>26</v>
      </c>
      <c r="E2169" t="s">
        <v>30</v>
      </c>
      <c r="F2169" t="s">
        <v>37</v>
      </c>
      <c r="G2169" t="s">
        <v>70</v>
      </c>
      <c r="H2169" t="s">
        <v>75</v>
      </c>
      <c r="I2169">
        <v>7</v>
      </c>
      <c r="J2169">
        <v>63736</v>
      </c>
      <c r="K2169">
        <v>0</v>
      </c>
      <c r="L2169">
        <v>446152</v>
      </c>
      <c r="M2169">
        <v>370705.85</v>
      </c>
      <c r="N2169">
        <v>75446.149999999994</v>
      </c>
      <c r="O2169" t="s">
        <v>79</v>
      </c>
      <c r="P2169" t="s">
        <v>88</v>
      </c>
    </row>
    <row r="2170" spans="1:16" x14ac:dyDescent="0.25">
      <c r="A2170">
        <v>2169</v>
      </c>
      <c r="B2170" s="1">
        <v>46001</v>
      </c>
      <c r="C2170" t="s">
        <v>23</v>
      </c>
      <c r="D2170" t="s">
        <v>27</v>
      </c>
      <c r="E2170" t="s">
        <v>33</v>
      </c>
      <c r="F2170" t="s">
        <v>60</v>
      </c>
      <c r="G2170" t="s">
        <v>71</v>
      </c>
      <c r="H2170" t="s">
        <v>74</v>
      </c>
      <c r="I2170">
        <v>6</v>
      </c>
      <c r="J2170">
        <v>14109</v>
      </c>
      <c r="K2170">
        <v>0.1</v>
      </c>
      <c r="L2170">
        <v>76188.600000000006</v>
      </c>
      <c r="M2170">
        <v>52779.29</v>
      </c>
      <c r="N2170">
        <v>23409.31</v>
      </c>
      <c r="O2170" t="s">
        <v>77</v>
      </c>
      <c r="P2170" t="s">
        <v>85</v>
      </c>
    </row>
    <row r="2171" spans="1:16" x14ac:dyDescent="0.25">
      <c r="A2171">
        <v>2170</v>
      </c>
      <c r="B2171" s="1">
        <v>45787</v>
      </c>
      <c r="C2171" t="s">
        <v>22</v>
      </c>
      <c r="D2171" t="s">
        <v>24</v>
      </c>
      <c r="E2171" t="s">
        <v>33</v>
      </c>
      <c r="F2171" t="s">
        <v>41</v>
      </c>
      <c r="G2171" t="s">
        <v>70</v>
      </c>
      <c r="H2171" t="s">
        <v>75</v>
      </c>
      <c r="I2171">
        <v>6</v>
      </c>
      <c r="J2171">
        <v>47122</v>
      </c>
      <c r="K2171">
        <v>0</v>
      </c>
      <c r="L2171">
        <v>282732</v>
      </c>
      <c r="M2171">
        <v>206317.89</v>
      </c>
      <c r="N2171">
        <v>76414.11</v>
      </c>
      <c r="O2171" t="s">
        <v>78</v>
      </c>
      <c r="P2171" t="s">
        <v>81</v>
      </c>
    </row>
    <row r="2172" spans="1:16" x14ac:dyDescent="0.25">
      <c r="A2172">
        <v>2171</v>
      </c>
      <c r="B2172" s="1">
        <v>45725</v>
      </c>
      <c r="C2172" t="s">
        <v>23</v>
      </c>
      <c r="D2172" t="s">
        <v>27</v>
      </c>
      <c r="E2172" t="s">
        <v>33</v>
      </c>
      <c r="F2172" t="s">
        <v>41</v>
      </c>
      <c r="G2172" t="s">
        <v>71</v>
      </c>
      <c r="H2172" t="s">
        <v>75</v>
      </c>
      <c r="I2172">
        <v>2</v>
      </c>
      <c r="J2172">
        <v>33600</v>
      </c>
      <c r="K2172">
        <v>0.15</v>
      </c>
      <c r="L2172">
        <v>57120</v>
      </c>
      <c r="M2172">
        <v>33582.800000000003</v>
      </c>
      <c r="N2172">
        <v>23537.200000000001</v>
      </c>
      <c r="O2172" t="s">
        <v>77</v>
      </c>
      <c r="P2172" t="s">
        <v>87</v>
      </c>
    </row>
    <row r="2173" spans="1:16" x14ac:dyDescent="0.25">
      <c r="A2173">
        <v>2172</v>
      </c>
      <c r="B2173" s="1">
        <v>45912</v>
      </c>
      <c r="C2173" t="s">
        <v>20</v>
      </c>
      <c r="D2173" t="s">
        <v>26</v>
      </c>
      <c r="E2173" t="s">
        <v>28</v>
      </c>
      <c r="F2173" t="s">
        <v>35</v>
      </c>
      <c r="G2173" t="s">
        <v>70</v>
      </c>
      <c r="H2173" t="s">
        <v>73</v>
      </c>
      <c r="I2173">
        <v>2</v>
      </c>
      <c r="J2173">
        <v>1635</v>
      </c>
      <c r="K2173">
        <v>0.2</v>
      </c>
      <c r="L2173">
        <v>2616</v>
      </c>
      <c r="M2173">
        <v>1947.01</v>
      </c>
      <c r="N2173">
        <v>668.99</v>
      </c>
      <c r="O2173" t="s">
        <v>76</v>
      </c>
      <c r="P2173" t="s">
        <v>83</v>
      </c>
    </row>
    <row r="2174" spans="1:16" x14ac:dyDescent="0.25">
      <c r="A2174">
        <v>2173</v>
      </c>
      <c r="B2174" s="1">
        <v>45789</v>
      </c>
      <c r="C2174" t="s">
        <v>23</v>
      </c>
      <c r="D2174" t="s">
        <v>27</v>
      </c>
      <c r="E2174" t="s">
        <v>29</v>
      </c>
      <c r="F2174" t="s">
        <v>53</v>
      </c>
      <c r="G2174" t="s">
        <v>70</v>
      </c>
      <c r="H2174" t="s">
        <v>73</v>
      </c>
      <c r="I2174">
        <v>3</v>
      </c>
      <c r="J2174">
        <v>10628</v>
      </c>
      <c r="K2174">
        <v>0.05</v>
      </c>
      <c r="L2174">
        <v>30289.8</v>
      </c>
      <c r="M2174">
        <v>26319.96</v>
      </c>
      <c r="N2174">
        <v>3969.84</v>
      </c>
      <c r="O2174" t="s">
        <v>79</v>
      </c>
      <c r="P2174" t="s">
        <v>82</v>
      </c>
    </row>
    <row r="2175" spans="1:16" x14ac:dyDescent="0.25">
      <c r="A2175">
        <v>2174</v>
      </c>
      <c r="B2175" s="1">
        <v>45807</v>
      </c>
      <c r="C2175" t="s">
        <v>23</v>
      </c>
      <c r="D2175" t="s">
        <v>27</v>
      </c>
      <c r="E2175" t="s">
        <v>30</v>
      </c>
      <c r="F2175" t="s">
        <v>40</v>
      </c>
      <c r="G2175" t="s">
        <v>70</v>
      </c>
      <c r="H2175" t="s">
        <v>75</v>
      </c>
      <c r="I2175">
        <v>7</v>
      </c>
      <c r="J2175">
        <v>56733</v>
      </c>
      <c r="K2175">
        <v>0.1</v>
      </c>
      <c r="L2175">
        <v>357417.9</v>
      </c>
      <c r="M2175">
        <v>285716.89</v>
      </c>
      <c r="N2175">
        <v>71701.009999999995</v>
      </c>
      <c r="O2175" t="s">
        <v>78</v>
      </c>
      <c r="P2175" t="s">
        <v>82</v>
      </c>
    </row>
    <row r="2176" spans="1:16" x14ac:dyDescent="0.25">
      <c r="A2176">
        <v>2175</v>
      </c>
      <c r="B2176" s="1">
        <v>45764</v>
      </c>
      <c r="C2176" t="s">
        <v>21</v>
      </c>
      <c r="D2176" t="s">
        <v>24</v>
      </c>
      <c r="E2176" t="s">
        <v>33</v>
      </c>
      <c r="F2176" t="s">
        <v>52</v>
      </c>
      <c r="G2176" t="s">
        <v>71</v>
      </c>
      <c r="H2176" t="s">
        <v>74</v>
      </c>
      <c r="I2176">
        <v>8</v>
      </c>
      <c r="J2176">
        <v>17532</v>
      </c>
      <c r="K2176">
        <v>0.05</v>
      </c>
      <c r="L2176">
        <v>133243.20000000001</v>
      </c>
      <c r="M2176">
        <v>90763.64</v>
      </c>
      <c r="N2176">
        <v>42479.56</v>
      </c>
      <c r="O2176" t="s">
        <v>76</v>
      </c>
      <c r="P2176" t="s">
        <v>88</v>
      </c>
    </row>
    <row r="2177" spans="1:16" x14ac:dyDescent="0.25">
      <c r="A2177">
        <v>2176</v>
      </c>
      <c r="B2177" s="1">
        <v>45664</v>
      </c>
      <c r="C2177" t="s">
        <v>18</v>
      </c>
      <c r="D2177" t="s">
        <v>26</v>
      </c>
      <c r="E2177" t="s">
        <v>34</v>
      </c>
      <c r="F2177" t="s">
        <v>43</v>
      </c>
      <c r="G2177" t="s">
        <v>70</v>
      </c>
      <c r="H2177" t="s">
        <v>73</v>
      </c>
      <c r="I2177">
        <v>4</v>
      </c>
      <c r="J2177">
        <v>1786</v>
      </c>
      <c r="K2177">
        <v>0.05</v>
      </c>
      <c r="L2177">
        <v>6786.8</v>
      </c>
      <c r="M2177">
        <v>5301.55</v>
      </c>
      <c r="N2177">
        <v>1485.25</v>
      </c>
      <c r="O2177" t="s">
        <v>76</v>
      </c>
      <c r="P2177" t="s">
        <v>86</v>
      </c>
    </row>
    <row r="2178" spans="1:16" x14ac:dyDescent="0.25">
      <c r="A2178">
        <v>2177</v>
      </c>
      <c r="B2178" s="1">
        <v>45794</v>
      </c>
      <c r="C2178" t="s">
        <v>16</v>
      </c>
      <c r="D2178" t="s">
        <v>24</v>
      </c>
      <c r="E2178" t="s">
        <v>28</v>
      </c>
      <c r="F2178" t="s">
        <v>63</v>
      </c>
      <c r="G2178" t="s">
        <v>72</v>
      </c>
      <c r="H2178" t="s">
        <v>75</v>
      </c>
      <c r="I2178">
        <v>8</v>
      </c>
      <c r="J2178">
        <v>2374</v>
      </c>
      <c r="K2178">
        <v>0</v>
      </c>
      <c r="L2178">
        <v>18992</v>
      </c>
      <c r="M2178">
        <v>16141.46</v>
      </c>
      <c r="N2178">
        <v>2850.54</v>
      </c>
      <c r="O2178" t="s">
        <v>76</v>
      </c>
      <c r="P2178" t="s">
        <v>88</v>
      </c>
    </row>
    <row r="2179" spans="1:16" x14ac:dyDescent="0.25">
      <c r="A2179">
        <v>2178</v>
      </c>
      <c r="B2179" s="1">
        <v>45838</v>
      </c>
      <c r="C2179" t="s">
        <v>19</v>
      </c>
      <c r="D2179" t="s">
        <v>26</v>
      </c>
      <c r="E2179" t="s">
        <v>34</v>
      </c>
      <c r="F2179" t="s">
        <v>43</v>
      </c>
      <c r="G2179" t="s">
        <v>71</v>
      </c>
      <c r="H2179" t="s">
        <v>73</v>
      </c>
      <c r="I2179">
        <v>4</v>
      </c>
      <c r="J2179">
        <v>500</v>
      </c>
      <c r="K2179">
        <v>0</v>
      </c>
      <c r="L2179">
        <v>2000</v>
      </c>
      <c r="M2179">
        <v>1432.33</v>
      </c>
      <c r="N2179">
        <v>567.66999999999996</v>
      </c>
      <c r="O2179" t="s">
        <v>77</v>
      </c>
      <c r="P2179" t="s">
        <v>84</v>
      </c>
    </row>
    <row r="2180" spans="1:16" x14ac:dyDescent="0.25">
      <c r="A2180">
        <v>2179</v>
      </c>
      <c r="B2180" s="1">
        <v>46019</v>
      </c>
      <c r="C2180" t="s">
        <v>23</v>
      </c>
      <c r="D2180" t="s">
        <v>27</v>
      </c>
      <c r="E2180" t="s">
        <v>28</v>
      </c>
      <c r="F2180" t="s">
        <v>63</v>
      </c>
      <c r="G2180" t="s">
        <v>70</v>
      </c>
      <c r="H2180" t="s">
        <v>75</v>
      </c>
      <c r="I2180">
        <v>6</v>
      </c>
      <c r="J2180">
        <v>1961</v>
      </c>
      <c r="K2180">
        <v>0.1</v>
      </c>
      <c r="L2180">
        <v>10589.4</v>
      </c>
      <c r="M2180">
        <v>9206.0499999999993</v>
      </c>
      <c r="N2180">
        <v>1383.35</v>
      </c>
      <c r="O2180" t="s">
        <v>79</v>
      </c>
      <c r="P2180" t="s">
        <v>84</v>
      </c>
    </row>
    <row r="2181" spans="1:16" x14ac:dyDescent="0.25">
      <c r="A2181">
        <v>2180</v>
      </c>
      <c r="B2181" s="1">
        <v>46015</v>
      </c>
      <c r="C2181" t="s">
        <v>17</v>
      </c>
      <c r="D2181" t="s">
        <v>25</v>
      </c>
      <c r="E2181" t="s">
        <v>33</v>
      </c>
      <c r="F2181" t="s">
        <v>59</v>
      </c>
      <c r="G2181" t="s">
        <v>72</v>
      </c>
      <c r="H2181" t="s">
        <v>73</v>
      </c>
      <c r="I2181">
        <v>5</v>
      </c>
      <c r="J2181">
        <v>17116</v>
      </c>
      <c r="K2181">
        <v>0.1</v>
      </c>
      <c r="L2181">
        <v>77022</v>
      </c>
      <c r="M2181">
        <v>57185.13</v>
      </c>
      <c r="N2181">
        <v>19836.87</v>
      </c>
      <c r="O2181" t="s">
        <v>76</v>
      </c>
      <c r="P2181" t="s">
        <v>87</v>
      </c>
    </row>
    <row r="2182" spans="1:16" x14ac:dyDescent="0.25">
      <c r="A2182">
        <v>2181</v>
      </c>
      <c r="B2182" s="1">
        <v>45732</v>
      </c>
      <c r="C2182" t="s">
        <v>17</v>
      </c>
      <c r="D2182" t="s">
        <v>25</v>
      </c>
      <c r="E2182" t="s">
        <v>31</v>
      </c>
      <c r="F2182" t="s">
        <v>67</v>
      </c>
      <c r="G2182" t="s">
        <v>72</v>
      </c>
      <c r="H2182" t="s">
        <v>74</v>
      </c>
      <c r="I2182">
        <v>2</v>
      </c>
      <c r="J2182">
        <v>843</v>
      </c>
      <c r="K2182">
        <v>0.1</v>
      </c>
      <c r="L2182">
        <v>1517.4</v>
      </c>
      <c r="M2182">
        <v>1061.05</v>
      </c>
      <c r="N2182">
        <v>456.35</v>
      </c>
      <c r="O2182" t="s">
        <v>80</v>
      </c>
      <c r="P2182" t="s">
        <v>87</v>
      </c>
    </row>
    <row r="2183" spans="1:16" x14ac:dyDescent="0.25">
      <c r="A2183">
        <v>2182</v>
      </c>
      <c r="B2183" s="1">
        <v>45971</v>
      </c>
      <c r="C2183" t="s">
        <v>23</v>
      </c>
      <c r="D2183" t="s">
        <v>27</v>
      </c>
      <c r="E2183" t="s">
        <v>34</v>
      </c>
      <c r="F2183" t="s">
        <v>51</v>
      </c>
      <c r="G2183" t="s">
        <v>71</v>
      </c>
      <c r="H2183" t="s">
        <v>74</v>
      </c>
      <c r="I2183">
        <v>5</v>
      </c>
      <c r="J2183">
        <v>3651</v>
      </c>
      <c r="K2183">
        <v>0.05</v>
      </c>
      <c r="L2183">
        <v>17342.25</v>
      </c>
      <c r="M2183">
        <v>14764.28</v>
      </c>
      <c r="N2183">
        <v>2577.9699999999998</v>
      </c>
      <c r="O2183" t="s">
        <v>79</v>
      </c>
      <c r="P2183" t="s">
        <v>88</v>
      </c>
    </row>
    <row r="2184" spans="1:16" x14ac:dyDescent="0.25">
      <c r="A2184">
        <v>2183</v>
      </c>
      <c r="B2184" s="1">
        <v>45935</v>
      </c>
      <c r="C2184" t="s">
        <v>20</v>
      </c>
      <c r="D2184" t="s">
        <v>26</v>
      </c>
      <c r="E2184" t="s">
        <v>31</v>
      </c>
      <c r="F2184" t="s">
        <v>38</v>
      </c>
      <c r="G2184" t="s">
        <v>70</v>
      </c>
      <c r="H2184" t="s">
        <v>73</v>
      </c>
      <c r="I2184">
        <v>6</v>
      </c>
      <c r="J2184">
        <v>111</v>
      </c>
      <c r="K2184">
        <v>0.15</v>
      </c>
      <c r="L2184">
        <v>566.1</v>
      </c>
      <c r="M2184">
        <v>462.13</v>
      </c>
      <c r="N2184">
        <v>103.97</v>
      </c>
      <c r="O2184" t="s">
        <v>78</v>
      </c>
      <c r="P2184" t="s">
        <v>85</v>
      </c>
    </row>
    <row r="2185" spans="1:16" x14ac:dyDescent="0.25">
      <c r="A2185">
        <v>2184</v>
      </c>
      <c r="B2185" s="1">
        <v>45809</v>
      </c>
      <c r="C2185" t="s">
        <v>22</v>
      </c>
      <c r="D2185" t="s">
        <v>24</v>
      </c>
      <c r="E2185" t="s">
        <v>33</v>
      </c>
      <c r="F2185" t="s">
        <v>60</v>
      </c>
      <c r="G2185" t="s">
        <v>72</v>
      </c>
      <c r="H2185" t="s">
        <v>73</v>
      </c>
      <c r="I2185">
        <v>2</v>
      </c>
      <c r="J2185">
        <v>5907</v>
      </c>
      <c r="K2185">
        <v>0.05</v>
      </c>
      <c r="L2185">
        <v>11223.3</v>
      </c>
      <c r="M2185">
        <v>8670.4500000000007</v>
      </c>
      <c r="N2185">
        <v>2552.85</v>
      </c>
      <c r="O2185" t="s">
        <v>77</v>
      </c>
      <c r="P2185" t="s">
        <v>81</v>
      </c>
    </row>
    <row r="2186" spans="1:16" x14ac:dyDescent="0.25">
      <c r="A2186">
        <v>2185</v>
      </c>
      <c r="B2186" s="1">
        <v>45679</v>
      </c>
      <c r="C2186" t="s">
        <v>18</v>
      </c>
      <c r="D2186" t="s">
        <v>26</v>
      </c>
      <c r="E2186" t="s">
        <v>34</v>
      </c>
      <c r="F2186" t="s">
        <v>68</v>
      </c>
      <c r="G2186" t="s">
        <v>70</v>
      </c>
      <c r="H2186" t="s">
        <v>75</v>
      </c>
      <c r="I2186">
        <v>4</v>
      </c>
      <c r="J2186">
        <v>5320</v>
      </c>
      <c r="K2186">
        <v>0.1</v>
      </c>
      <c r="L2186">
        <v>19152</v>
      </c>
      <c r="M2186">
        <v>15430.09</v>
      </c>
      <c r="N2186">
        <v>3721.91</v>
      </c>
      <c r="O2186" t="s">
        <v>76</v>
      </c>
      <c r="P2186" t="s">
        <v>86</v>
      </c>
    </row>
    <row r="2187" spans="1:16" x14ac:dyDescent="0.25">
      <c r="A2187">
        <v>2186</v>
      </c>
      <c r="B2187" s="1">
        <v>45926</v>
      </c>
      <c r="C2187" t="s">
        <v>19</v>
      </c>
      <c r="D2187" t="s">
        <v>26</v>
      </c>
      <c r="E2187" t="s">
        <v>34</v>
      </c>
      <c r="F2187" t="s">
        <v>68</v>
      </c>
      <c r="G2187" t="s">
        <v>70</v>
      </c>
      <c r="H2187" t="s">
        <v>75</v>
      </c>
      <c r="I2187">
        <v>3</v>
      </c>
      <c r="J2187">
        <v>5571</v>
      </c>
      <c r="K2187">
        <v>0.1</v>
      </c>
      <c r="L2187">
        <v>15041.7</v>
      </c>
      <c r="M2187">
        <v>11798.79</v>
      </c>
      <c r="N2187">
        <v>3242.91</v>
      </c>
      <c r="O2187" t="s">
        <v>76</v>
      </c>
      <c r="P2187" t="s">
        <v>81</v>
      </c>
    </row>
    <row r="2188" spans="1:16" x14ac:dyDescent="0.25">
      <c r="A2188">
        <v>2187</v>
      </c>
      <c r="B2188" s="1">
        <v>45712</v>
      </c>
      <c r="C2188" t="s">
        <v>23</v>
      </c>
      <c r="D2188" t="s">
        <v>27</v>
      </c>
      <c r="E2188" t="s">
        <v>33</v>
      </c>
      <c r="F2188" t="s">
        <v>52</v>
      </c>
      <c r="G2188" t="s">
        <v>72</v>
      </c>
      <c r="H2188" t="s">
        <v>75</v>
      </c>
      <c r="I2188">
        <v>6</v>
      </c>
      <c r="J2188">
        <v>13764</v>
      </c>
      <c r="K2188">
        <v>0.1</v>
      </c>
      <c r="L2188">
        <v>74325.600000000006</v>
      </c>
      <c r="M2188">
        <v>58630.26</v>
      </c>
      <c r="N2188">
        <v>15695.34</v>
      </c>
      <c r="O2188" t="s">
        <v>76</v>
      </c>
      <c r="P2188" t="s">
        <v>86</v>
      </c>
    </row>
    <row r="2189" spans="1:16" x14ac:dyDescent="0.25">
      <c r="A2189">
        <v>2188</v>
      </c>
      <c r="B2189" s="1">
        <v>45803</v>
      </c>
      <c r="C2189" t="s">
        <v>20</v>
      </c>
      <c r="D2189" t="s">
        <v>26</v>
      </c>
      <c r="E2189" t="s">
        <v>30</v>
      </c>
      <c r="F2189" t="s">
        <v>37</v>
      </c>
      <c r="G2189" t="s">
        <v>72</v>
      </c>
      <c r="H2189" t="s">
        <v>73</v>
      </c>
      <c r="I2189">
        <v>4</v>
      </c>
      <c r="J2189">
        <v>54153</v>
      </c>
      <c r="K2189">
        <v>0.15</v>
      </c>
      <c r="L2189">
        <v>184120.2</v>
      </c>
      <c r="M2189">
        <v>149717.85999999999</v>
      </c>
      <c r="N2189">
        <v>34402.339999999997</v>
      </c>
      <c r="O2189" t="s">
        <v>77</v>
      </c>
      <c r="P2189" t="s">
        <v>83</v>
      </c>
    </row>
    <row r="2190" spans="1:16" x14ac:dyDescent="0.25">
      <c r="A2190">
        <v>2189</v>
      </c>
      <c r="B2190" s="1">
        <v>45953</v>
      </c>
      <c r="C2190" t="s">
        <v>16</v>
      </c>
      <c r="D2190" t="s">
        <v>24</v>
      </c>
      <c r="E2190" t="s">
        <v>32</v>
      </c>
      <c r="F2190" t="s">
        <v>48</v>
      </c>
      <c r="G2190" t="s">
        <v>70</v>
      </c>
      <c r="H2190" t="s">
        <v>73</v>
      </c>
      <c r="I2190">
        <v>7</v>
      </c>
      <c r="J2190">
        <v>9571</v>
      </c>
      <c r="K2190">
        <v>0.1</v>
      </c>
      <c r="L2190">
        <v>60297.3</v>
      </c>
      <c r="M2190">
        <v>33645.339999999997</v>
      </c>
      <c r="N2190">
        <v>26651.96</v>
      </c>
      <c r="O2190" t="s">
        <v>76</v>
      </c>
      <c r="P2190" t="s">
        <v>84</v>
      </c>
    </row>
    <row r="2191" spans="1:16" x14ac:dyDescent="0.25">
      <c r="A2191">
        <v>2190</v>
      </c>
      <c r="B2191" s="1">
        <v>45766</v>
      </c>
      <c r="C2191" t="s">
        <v>17</v>
      </c>
      <c r="D2191" t="s">
        <v>25</v>
      </c>
      <c r="E2191" t="s">
        <v>28</v>
      </c>
      <c r="F2191" t="s">
        <v>58</v>
      </c>
      <c r="G2191" t="s">
        <v>72</v>
      </c>
      <c r="H2191" t="s">
        <v>74</v>
      </c>
      <c r="I2191">
        <v>3</v>
      </c>
      <c r="J2191">
        <v>1442</v>
      </c>
      <c r="K2191">
        <v>0</v>
      </c>
      <c r="L2191">
        <v>4326</v>
      </c>
      <c r="M2191">
        <v>3630.31</v>
      </c>
      <c r="N2191">
        <v>695.69</v>
      </c>
      <c r="O2191" t="s">
        <v>78</v>
      </c>
      <c r="P2191" t="s">
        <v>88</v>
      </c>
    </row>
    <row r="2192" spans="1:16" x14ac:dyDescent="0.25">
      <c r="A2192">
        <v>2191</v>
      </c>
      <c r="B2192" s="1">
        <v>45872</v>
      </c>
      <c r="C2192" t="s">
        <v>20</v>
      </c>
      <c r="D2192" t="s">
        <v>26</v>
      </c>
      <c r="E2192" t="s">
        <v>28</v>
      </c>
      <c r="F2192" t="s">
        <v>54</v>
      </c>
      <c r="G2192" t="s">
        <v>70</v>
      </c>
      <c r="H2192" t="s">
        <v>75</v>
      </c>
      <c r="I2192">
        <v>4</v>
      </c>
      <c r="J2192">
        <v>1955</v>
      </c>
      <c r="K2192">
        <v>0.05</v>
      </c>
      <c r="L2192">
        <v>7429</v>
      </c>
      <c r="M2192">
        <v>5023.16</v>
      </c>
      <c r="N2192">
        <v>2405.84</v>
      </c>
      <c r="O2192" t="s">
        <v>76</v>
      </c>
      <c r="P2192" t="s">
        <v>88</v>
      </c>
    </row>
    <row r="2193" spans="1:16" x14ac:dyDescent="0.25">
      <c r="A2193">
        <v>2192</v>
      </c>
      <c r="B2193" s="1">
        <v>45890</v>
      </c>
      <c r="C2193" t="s">
        <v>20</v>
      </c>
      <c r="D2193" t="s">
        <v>26</v>
      </c>
      <c r="E2193" t="s">
        <v>29</v>
      </c>
      <c r="F2193" t="s">
        <v>42</v>
      </c>
      <c r="G2193" t="s">
        <v>71</v>
      </c>
      <c r="H2193" t="s">
        <v>75</v>
      </c>
      <c r="I2193">
        <v>7</v>
      </c>
      <c r="J2193">
        <v>8142</v>
      </c>
      <c r="K2193">
        <v>0.05</v>
      </c>
      <c r="L2193">
        <v>54144.3</v>
      </c>
      <c r="M2193">
        <v>38634.269999999997</v>
      </c>
      <c r="N2193">
        <v>15510.03</v>
      </c>
      <c r="O2193" t="s">
        <v>80</v>
      </c>
      <c r="P2193" t="s">
        <v>82</v>
      </c>
    </row>
    <row r="2194" spans="1:16" x14ac:dyDescent="0.25">
      <c r="A2194">
        <v>2193</v>
      </c>
      <c r="B2194" s="1">
        <v>45825</v>
      </c>
      <c r="C2194" t="s">
        <v>16</v>
      </c>
      <c r="D2194" t="s">
        <v>24</v>
      </c>
      <c r="E2194" t="s">
        <v>30</v>
      </c>
      <c r="F2194" t="s">
        <v>56</v>
      </c>
      <c r="G2194" t="s">
        <v>71</v>
      </c>
      <c r="H2194" t="s">
        <v>74</v>
      </c>
      <c r="I2194">
        <v>8</v>
      </c>
      <c r="J2194">
        <v>68013</v>
      </c>
      <c r="K2194">
        <v>0</v>
      </c>
      <c r="L2194">
        <v>544104</v>
      </c>
      <c r="M2194">
        <v>425566.09</v>
      </c>
      <c r="N2194">
        <v>118537.91</v>
      </c>
      <c r="O2194" t="s">
        <v>79</v>
      </c>
      <c r="P2194" t="s">
        <v>88</v>
      </c>
    </row>
    <row r="2195" spans="1:16" x14ac:dyDescent="0.25">
      <c r="A2195">
        <v>2194</v>
      </c>
      <c r="B2195" s="1">
        <v>45871</v>
      </c>
      <c r="C2195" t="s">
        <v>20</v>
      </c>
      <c r="D2195" t="s">
        <v>26</v>
      </c>
      <c r="E2195" t="s">
        <v>34</v>
      </c>
      <c r="F2195" t="s">
        <v>55</v>
      </c>
      <c r="G2195" t="s">
        <v>70</v>
      </c>
      <c r="H2195" t="s">
        <v>74</v>
      </c>
      <c r="I2195">
        <v>5</v>
      </c>
      <c r="J2195">
        <v>4843</v>
      </c>
      <c r="K2195">
        <v>0.15</v>
      </c>
      <c r="L2195">
        <v>20582.75</v>
      </c>
      <c r="M2195">
        <v>13014.72</v>
      </c>
      <c r="N2195">
        <v>7568.03</v>
      </c>
      <c r="O2195" t="s">
        <v>79</v>
      </c>
      <c r="P2195" t="s">
        <v>86</v>
      </c>
    </row>
    <row r="2196" spans="1:16" x14ac:dyDescent="0.25">
      <c r="A2196">
        <v>2195</v>
      </c>
      <c r="B2196" s="1">
        <v>45754</v>
      </c>
      <c r="C2196" t="s">
        <v>16</v>
      </c>
      <c r="D2196" t="s">
        <v>24</v>
      </c>
      <c r="E2196" t="s">
        <v>32</v>
      </c>
      <c r="F2196" t="s">
        <v>66</v>
      </c>
      <c r="G2196" t="s">
        <v>71</v>
      </c>
      <c r="H2196" t="s">
        <v>75</v>
      </c>
      <c r="I2196">
        <v>7</v>
      </c>
      <c r="J2196">
        <v>9894</v>
      </c>
      <c r="K2196">
        <v>0</v>
      </c>
      <c r="L2196">
        <v>69258</v>
      </c>
      <c r="M2196">
        <v>48952.11</v>
      </c>
      <c r="N2196">
        <v>20305.89</v>
      </c>
      <c r="O2196" t="s">
        <v>76</v>
      </c>
      <c r="P2196" t="s">
        <v>83</v>
      </c>
    </row>
    <row r="2197" spans="1:16" x14ac:dyDescent="0.25">
      <c r="A2197">
        <v>2196</v>
      </c>
      <c r="B2197" s="1">
        <v>45969</v>
      </c>
      <c r="C2197" t="s">
        <v>16</v>
      </c>
      <c r="D2197" t="s">
        <v>24</v>
      </c>
      <c r="E2197" t="s">
        <v>32</v>
      </c>
      <c r="F2197" t="s">
        <v>48</v>
      </c>
      <c r="G2197" t="s">
        <v>72</v>
      </c>
      <c r="H2197" t="s">
        <v>75</v>
      </c>
      <c r="I2197">
        <v>6</v>
      </c>
      <c r="J2197">
        <v>7890</v>
      </c>
      <c r="K2197">
        <v>0.15</v>
      </c>
      <c r="L2197">
        <v>40239</v>
      </c>
      <c r="M2197">
        <v>29812.04</v>
      </c>
      <c r="N2197">
        <v>10426.959999999999</v>
      </c>
      <c r="O2197" t="s">
        <v>77</v>
      </c>
      <c r="P2197" t="s">
        <v>86</v>
      </c>
    </row>
    <row r="2198" spans="1:16" x14ac:dyDescent="0.25">
      <c r="A2198">
        <v>2197</v>
      </c>
      <c r="B2198" s="1">
        <v>45660</v>
      </c>
      <c r="C2198" t="s">
        <v>20</v>
      </c>
      <c r="D2198" t="s">
        <v>26</v>
      </c>
      <c r="E2198" t="s">
        <v>28</v>
      </c>
      <c r="F2198" t="s">
        <v>35</v>
      </c>
      <c r="G2198" t="s">
        <v>70</v>
      </c>
      <c r="H2198" t="s">
        <v>74</v>
      </c>
      <c r="I2198">
        <v>6</v>
      </c>
      <c r="J2198">
        <v>232</v>
      </c>
      <c r="K2198">
        <v>0.1</v>
      </c>
      <c r="L2198">
        <v>1252.8</v>
      </c>
      <c r="M2198">
        <v>831.14</v>
      </c>
      <c r="N2198">
        <v>421.66</v>
      </c>
      <c r="O2198" t="s">
        <v>79</v>
      </c>
      <c r="P2198" t="s">
        <v>87</v>
      </c>
    </row>
    <row r="2199" spans="1:16" x14ac:dyDescent="0.25">
      <c r="A2199">
        <v>2198</v>
      </c>
      <c r="B2199" s="1">
        <v>45673</v>
      </c>
      <c r="C2199" t="s">
        <v>20</v>
      </c>
      <c r="D2199" t="s">
        <v>26</v>
      </c>
      <c r="E2199" t="s">
        <v>29</v>
      </c>
      <c r="F2199" t="s">
        <v>42</v>
      </c>
      <c r="G2199" t="s">
        <v>71</v>
      </c>
      <c r="H2199" t="s">
        <v>74</v>
      </c>
      <c r="I2199">
        <v>6</v>
      </c>
      <c r="J2199">
        <v>5634</v>
      </c>
      <c r="K2199">
        <v>0</v>
      </c>
      <c r="L2199">
        <v>33804</v>
      </c>
      <c r="M2199">
        <v>20610.96</v>
      </c>
      <c r="N2199">
        <v>13193.04</v>
      </c>
      <c r="O2199" t="s">
        <v>76</v>
      </c>
      <c r="P2199" t="s">
        <v>87</v>
      </c>
    </row>
    <row r="2200" spans="1:16" x14ac:dyDescent="0.25">
      <c r="A2200">
        <v>2199</v>
      </c>
      <c r="B2200" s="1">
        <v>45729</v>
      </c>
      <c r="C2200" t="s">
        <v>23</v>
      </c>
      <c r="D2200" t="s">
        <v>27</v>
      </c>
      <c r="E2200" t="s">
        <v>28</v>
      </c>
      <c r="F2200" t="s">
        <v>35</v>
      </c>
      <c r="G2200" t="s">
        <v>70</v>
      </c>
      <c r="H2200" t="s">
        <v>73</v>
      </c>
      <c r="I2200">
        <v>5</v>
      </c>
      <c r="J2200">
        <v>1496</v>
      </c>
      <c r="K2200">
        <v>0.15</v>
      </c>
      <c r="L2200">
        <v>6358</v>
      </c>
      <c r="M2200">
        <v>4709.37</v>
      </c>
      <c r="N2200">
        <v>1648.63</v>
      </c>
      <c r="O2200" t="s">
        <v>79</v>
      </c>
      <c r="P2200" t="s">
        <v>82</v>
      </c>
    </row>
    <row r="2201" spans="1:16" x14ac:dyDescent="0.25">
      <c r="A2201">
        <v>2200</v>
      </c>
      <c r="B2201" s="1">
        <v>45727</v>
      </c>
      <c r="C2201" t="s">
        <v>20</v>
      </c>
      <c r="D2201" t="s">
        <v>26</v>
      </c>
      <c r="E2201" t="s">
        <v>32</v>
      </c>
      <c r="F2201" t="s">
        <v>48</v>
      </c>
      <c r="G2201" t="s">
        <v>72</v>
      </c>
      <c r="H2201" t="s">
        <v>74</v>
      </c>
      <c r="I2201">
        <v>2</v>
      </c>
      <c r="J2201">
        <v>19458</v>
      </c>
      <c r="K2201">
        <v>0.1</v>
      </c>
      <c r="L2201">
        <v>35024.400000000001</v>
      </c>
      <c r="M2201">
        <v>27231.39</v>
      </c>
      <c r="N2201">
        <v>7793.01</v>
      </c>
      <c r="O2201" t="s">
        <v>77</v>
      </c>
      <c r="P2201" t="s">
        <v>86</v>
      </c>
    </row>
    <row r="2202" spans="1:16" x14ac:dyDescent="0.25">
      <c r="A2202">
        <v>2201</v>
      </c>
      <c r="B2202" s="1">
        <v>46004</v>
      </c>
      <c r="C2202" t="s">
        <v>20</v>
      </c>
      <c r="D2202" t="s">
        <v>26</v>
      </c>
      <c r="E2202" t="s">
        <v>28</v>
      </c>
      <c r="F2202" t="s">
        <v>63</v>
      </c>
      <c r="G2202" t="s">
        <v>72</v>
      </c>
      <c r="H2202" t="s">
        <v>73</v>
      </c>
      <c r="I2202">
        <v>8</v>
      </c>
      <c r="J2202">
        <v>821</v>
      </c>
      <c r="K2202">
        <v>0</v>
      </c>
      <c r="L2202">
        <v>6568</v>
      </c>
      <c r="M2202">
        <v>4532.24</v>
      </c>
      <c r="N2202">
        <v>2035.76</v>
      </c>
      <c r="O2202" t="s">
        <v>79</v>
      </c>
      <c r="P2202" t="s">
        <v>88</v>
      </c>
    </row>
    <row r="2203" spans="1:16" x14ac:dyDescent="0.25">
      <c r="A2203">
        <v>2202</v>
      </c>
      <c r="B2203" s="1">
        <v>45675</v>
      </c>
      <c r="C2203" t="s">
        <v>23</v>
      </c>
      <c r="D2203" t="s">
        <v>27</v>
      </c>
      <c r="E2203" t="s">
        <v>28</v>
      </c>
      <c r="F2203" t="s">
        <v>63</v>
      </c>
      <c r="G2203" t="s">
        <v>71</v>
      </c>
      <c r="H2203" t="s">
        <v>75</v>
      </c>
      <c r="I2203">
        <v>1</v>
      </c>
      <c r="J2203">
        <v>1418</v>
      </c>
      <c r="K2203">
        <v>0.1</v>
      </c>
      <c r="L2203">
        <v>1276.2</v>
      </c>
      <c r="M2203">
        <v>767.02</v>
      </c>
      <c r="N2203">
        <v>509.18</v>
      </c>
      <c r="O2203" t="s">
        <v>80</v>
      </c>
      <c r="P2203" t="s">
        <v>83</v>
      </c>
    </row>
    <row r="2204" spans="1:16" x14ac:dyDescent="0.25">
      <c r="A2204">
        <v>2203</v>
      </c>
      <c r="B2204" s="1">
        <v>45983</v>
      </c>
      <c r="C2204" t="s">
        <v>19</v>
      </c>
      <c r="D2204" t="s">
        <v>26</v>
      </c>
      <c r="E2204" t="s">
        <v>30</v>
      </c>
      <c r="F2204" t="s">
        <v>44</v>
      </c>
      <c r="G2204" t="s">
        <v>71</v>
      </c>
      <c r="H2204" t="s">
        <v>75</v>
      </c>
      <c r="I2204">
        <v>5</v>
      </c>
      <c r="J2204">
        <v>58144</v>
      </c>
      <c r="K2204">
        <v>0.05</v>
      </c>
      <c r="L2204">
        <v>276184</v>
      </c>
      <c r="M2204">
        <v>175360.64000000001</v>
      </c>
      <c r="N2204">
        <v>100823.36</v>
      </c>
      <c r="O2204" t="s">
        <v>79</v>
      </c>
      <c r="P2204" t="s">
        <v>87</v>
      </c>
    </row>
    <row r="2205" spans="1:16" x14ac:dyDescent="0.25">
      <c r="A2205">
        <v>2204</v>
      </c>
      <c r="B2205" s="1">
        <v>45798</v>
      </c>
      <c r="C2205" t="s">
        <v>20</v>
      </c>
      <c r="D2205" t="s">
        <v>26</v>
      </c>
      <c r="E2205" t="s">
        <v>31</v>
      </c>
      <c r="F2205" t="s">
        <v>38</v>
      </c>
      <c r="G2205" t="s">
        <v>72</v>
      </c>
      <c r="H2205" t="s">
        <v>74</v>
      </c>
      <c r="I2205">
        <v>5</v>
      </c>
      <c r="J2205">
        <v>2146</v>
      </c>
      <c r="K2205">
        <v>0.15</v>
      </c>
      <c r="L2205">
        <v>9120.5</v>
      </c>
      <c r="M2205">
        <v>7875.27</v>
      </c>
      <c r="N2205">
        <v>1245.23</v>
      </c>
      <c r="O2205" t="s">
        <v>78</v>
      </c>
      <c r="P2205" t="s">
        <v>85</v>
      </c>
    </row>
    <row r="2206" spans="1:16" x14ac:dyDescent="0.25">
      <c r="A2206">
        <v>2205</v>
      </c>
      <c r="B2206" s="1">
        <v>45759</v>
      </c>
      <c r="C2206" t="s">
        <v>20</v>
      </c>
      <c r="D2206" t="s">
        <v>26</v>
      </c>
      <c r="E2206" t="s">
        <v>32</v>
      </c>
      <c r="F2206" t="s">
        <v>48</v>
      </c>
      <c r="G2206" t="s">
        <v>71</v>
      </c>
      <c r="H2206" t="s">
        <v>74</v>
      </c>
      <c r="I2206">
        <v>1</v>
      </c>
      <c r="J2206">
        <v>20824</v>
      </c>
      <c r="K2206">
        <v>0.05</v>
      </c>
      <c r="L2206">
        <v>19782.8</v>
      </c>
      <c r="M2206">
        <v>12277.61</v>
      </c>
      <c r="N2206">
        <v>7505.19</v>
      </c>
      <c r="O2206" t="s">
        <v>79</v>
      </c>
      <c r="P2206" t="s">
        <v>84</v>
      </c>
    </row>
    <row r="2207" spans="1:16" x14ac:dyDescent="0.25">
      <c r="A2207">
        <v>2206</v>
      </c>
      <c r="B2207" s="1">
        <v>45967</v>
      </c>
      <c r="C2207" t="s">
        <v>21</v>
      </c>
      <c r="D2207" t="s">
        <v>24</v>
      </c>
      <c r="E2207" t="s">
        <v>33</v>
      </c>
      <c r="F2207" t="s">
        <v>46</v>
      </c>
      <c r="G2207" t="s">
        <v>72</v>
      </c>
      <c r="H2207" t="s">
        <v>74</v>
      </c>
      <c r="I2207">
        <v>7</v>
      </c>
      <c r="J2207">
        <v>4225</v>
      </c>
      <c r="K2207">
        <v>0</v>
      </c>
      <c r="L2207">
        <v>29575</v>
      </c>
      <c r="M2207">
        <v>24912.37</v>
      </c>
      <c r="N2207">
        <v>4662.63</v>
      </c>
      <c r="O2207" t="s">
        <v>78</v>
      </c>
      <c r="P2207" t="s">
        <v>83</v>
      </c>
    </row>
    <row r="2208" spans="1:16" x14ac:dyDescent="0.25">
      <c r="A2208">
        <v>2207</v>
      </c>
      <c r="B2208" s="1">
        <v>45975</v>
      </c>
      <c r="C2208" t="s">
        <v>16</v>
      </c>
      <c r="D2208" t="s">
        <v>24</v>
      </c>
      <c r="E2208" t="s">
        <v>32</v>
      </c>
      <c r="F2208" t="s">
        <v>62</v>
      </c>
      <c r="G2208" t="s">
        <v>72</v>
      </c>
      <c r="H2208" t="s">
        <v>75</v>
      </c>
      <c r="I2208">
        <v>3</v>
      </c>
      <c r="J2208">
        <v>21145</v>
      </c>
      <c r="K2208">
        <v>0.1</v>
      </c>
      <c r="L2208">
        <v>57091.5</v>
      </c>
      <c r="M2208">
        <v>40948.300000000003</v>
      </c>
      <c r="N2208">
        <v>16143.2</v>
      </c>
      <c r="O2208" t="s">
        <v>79</v>
      </c>
      <c r="P2208" t="s">
        <v>84</v>
      </c>
    </row>
    <row r="2209" spans="1:16" x14ac:dyDescent="0.25">
      <c r="A2209">
        <v>2208</v>
      </c>
      <c r="B2209" s="1">
        <v>45990</v>
      </c>
      <c r="C2209" t="s">
        <v>22</v>
      </c>
      <c r="D2209" t="s">
        <v>24</v>
      </c>
      <c r="E2209" t="s">
        <v>32</v>
      </c>
      <c r="F2209" t="s">
        <v>39</v>
      </c>
      <c r="G2209" t="s">
        <v>70</v>
      </c>
      <c r="H2209" t="s">
        <v>73</v>
      </c>
      <c r="I2209">
        <v>4</v>
      </c>
      <c r="J2209">
        <v>9461</v>
      </c>
      <c r="K2209">
        <v>0</v>
      </c>
      <c r="L2209">
        <v>37844</v>
      </c>
      <c r="M2209">
        <v>23452.54</v>
      </c>
      <c r="N2209">
        <v>14391.46</v>
      </c>
      <c r="O2209" t="s">
        <v>77</v>
      </c>
      <c r="P2209" t="s">
        <v>85</v>
      </c>
    </row>
    <row r="2210" spans="1:16" x14ac:dyDescent="0.25">
      <c r="A2210">
        <v>2209</v>
      </c>
      <c r="B2210" s="1">
        <v>45864</v>
      </c>
      <c r="C2210" t="s">
        <v>20</v>
      </c>
      <c r="D2210" t="s">
        <v>26</v>
      </c>
      <c r="E2210" t="s">
        <v>32</v>
      </c>
      <c r="F2210" t="s">
        <v>48</v>
      </c>
      <c r="G2210" t="s">
        <v>72</v>
      </c>
      <c r="H2210" t="s">
        <v>74</v>
      </c>
      <c r="I2210">
        <v>5</v>
      </c>
      <c r="J2210">
        <v>5961</v>
      </c>
      <c r="K2210">
        <v>0.05</v>
      </c>
      <c r="L2210">
        <v>28314.75</v>
      </c>
      <c r="M2210">
        <v>23086.9</v>
      </c>
      <c r="N2210">
        <v>5227.8500000000004</v>
      </c>
      <c r="O2210" t="s">
        <v>78</v>
      </c>
      <c r="P2210" t="s">
        <v>86</v>
      </c>
    </row>
    <row r="2211" spans="1:16" x14ac:dyDescent="0.25">
      <c r="A2211">
        <v>2210</v>
      </c>
      <c r="B2211" s="1">
        <v>46007</v>
      </c>
      <c r="C2211" t="s">
        <v>21</v>
      </c>
      <c r="D2211" t="s">
        <v>24</v>
      </c>
      <c r="E2211" t="s">
        <v>31</v>
      </c>
      <c r="F2211" t="s">
        <v>38</v>
      </c>
      <c r="G2211" t="s">
        <v>70</v>
      </c>
      <c r="H2211" t="s">
        <v>74</v>
      </c>
      <c r="I2211">
        <v>4</v>
      </c>
      <c r="J2211">
        <v>197</v>
      </c>
      <c r="K2211">
        <v>0.1</v>
      </c>
      <c r="L2211">
        <v>709.2</v>
      </c>
      <c r="M2211">
        <v>452.28</v>
      </c>
      <c r="N2211">
        <v>256.92</v>
      </c>
      <c r="O2211" t="s">
        <v>79</v>
      </c>
      <c r="P2211" t="s">
        <v>86</v>
      </c>
    </row>
    <row r="2212" spans="1:16" x14ac:dyDescent="0.25">
      <c r="A2212">
        <v>2211</v>
      </c>
      <c r="B2212" s="1">
        <v>45947</v>
      </c>
      <c r="C2212" t="s">
        <v>22</v>
      </c>
      <c r="D2212" t="s">
        <v>24</v>
      </c>
      <c r="E2212" t="s">
        <v>29</v>
      </c>
      <c r="F2212" t="s">
        <v>53</v>
      </c>
      <c r="G2212" t="s">
        <v>72</v>
      </c>
      <c r="H2212" t="s">
        <v>75</v>
      </c>
      <c r="I2212">
        <v>3</v>
      </c>
      <c r="J2212">
        <v>5332</v>
      </c>
      <c r="K2212">
        <v>0.1</v>
      </c>
      <c r="L2212">
        <v>14396.4</v>
      </c>
      <c r="M2212">
        <v>10212.06</v>
      </c>
      <c r="N2212">
        <v>4184.34</v>
      </c>
      <c r="O2212" t="s">
        <v>77</v>
      </c>
      <c r="P2212" t="s">
        <v>81</v>
      </c>
    </row>
    <row r="2213" spans="1:16" x14ac:dyDescent="0.25">
      <c r="A2213">
        <v>2212</v>
      </c>
      <c r="B2213" s="1">
        <v>45926</v>
      </c>
      <c r="C2213" t="s">
        <v>22</v>
      </c>
      <c r="D2213" t="s">
        <v>24</v>
      </c>
      <c r="E2213" t="s">
        <v>30</v>
      </c>
      <c r="F2213" t="s">
        <v>56</v>
      </c>
      <c r="G2213" t="s">
        <v>71</v>
      </c>
      <c r="H2213" t="s">
        <v>75</v>
      </c>
      <c r="I2213">
        <v>3</v>
      </c>
      <c r="J2213">
        <v>60949</v>
      </c>
      <c r="K2213">
        <v>0.1</v>
      </c>
      <c r="L2213">
        <v>164562.29999999999</v>
      </c>
      <c r="M2213">
        <v>136404.07999999999</v>
      </c>
      <c r="N2213">
        <v>28158.22</v>
      </c>
      <c r="O2213" t="s">
        <v>77</v>
      </c>
      <c r="P2213" t="s">
        <v>87</v>
      </c>
    </row>
    <row r="2214" spans="1:16" x14ac:dyDescent="0.25">
      <c r="A2214">
        <v>2213</v>
      </c>
      <c r="B2214" s="1">
        <v>46017</v>
      </c>
      <c r="C2214" t="s">
        <v>23</v>
      </c>
      <c r="D2214" t="s">
        <v>27</v>
      </c>
      <c r="E2214" t="s">
        <v>33</v>
      </c>
      <c r="F2214" t="s">
        <v>46</v>
      </c>
      <c r="G2214" t="s">
        <v>72</v>
      </c>
      <c r="H2214" t="s">
        <v>73</v>
      </c>
      <c r="I2214">
        <v>8</v>
      </c>
      <c r="J2214">
        <v>45095</v>
      </c>
      <c r="K2214">
        <v>0.05</v>
      </c>
      <c r="L2214">
        <v>342722</v>
      </c>
      <c r="M2214">
        <v>292278.09000000003</v>
      </c>
      <c r="N2214">
        <v>50443.91</v>
      </c>
      <c r="O2214" t="s">
        <v>78</v>
      </c>
      <c r="P2214" t="s">
        <v>86</v>
      </c>
    </row>
    <row r="2215" spans="1:16" x14ac:dyDescent="0.25">
      <c r="A2215">
        <v>2214</v>
      </c>
      <c r="B2215" s="1">
        <v>45736</v>
      </c>
      <c r="C2215" t="s">
        <v>18</v>
      </c>
      <c r="D2215" t="s">
        <v>26</v>
      </c>
      <c r="E2215" t="s">
        <v>28</v>
      </c>
      <c r="F2215" t="s">
        <v>63</v>
      </c>
      <c r="G2215" t="s">
        <v>71</v>
      </c>
      <c r="H2215" t="s">
        <v>75</v>
      </c>
      <c r="I2215">
        <v>6</v>
      </c>
      <c r="J2215">
        <v>1961</v>
      </c>
      <c r="K2215">
        <v>0.1</v>
      </c>
      <c r="L2215">
        <v>10589.4</v>
      </c>
      <c r="M2215">
        <v>6082.39</v>
      </c>
      <c r="N2215">
        <v>4507.01</v>
      </c>
      <c r="O2215" t="s">
        <v>80</v>
      </c>
      <c r="P2215" t="s">
        <v>87</v>
      </c>
    </row>
    <row r="2216" spans="1:16" x14ac:dyDescent="0.25">
      <c r="A2216">
        <v>2215</v>
      </c>
      <c r="B2216" s="1">
        <v>45997</v>
      </c>
      <c r="C2216" t="s">
        <v>19</v>
      </c>
      <c r="D2216" t="s">
        <v>26</v>
      </c>
      <c r="E2216" t="s">
        <v>31</v>
      </c>
      <c r="F2216" t="s">
        <v>47</v>
      </c>
      <c r="G2216" t="s">
        <v>70</v>
      </c>
      <c r="H2216" t="s">
        <v>75</v>
      </c>
      <c r="I2216">
        <v>5</v>
      </c>
      <c r="J2216">
        <v>540</v>
      </c>
      <c r="K2216">
        <v>0</v>
      </c>
      <c r="L2216">
        <v>2700</v>
      </c>
      <c r="M2216">
        <v>2221.94</v>
      </c>
      <c r="N2216">
        <v>478.06</v>
      </c>
      <c r="O2216" t="s">
        <v>79</v>
      </c>
      <c r="P2216" t="s">
        <v>81</v>
      </c>
    </row>
    <row r="2217" spans="1:16" x14ac:dyDescent="0.25">
      <c r="A2217">
        <v>2216</v>
      </c>
      <c r="B2217" s="1">
        <v>45853</v>
      </c>
      <c r="C2217" t="s">
        <v>20</v>
      </c>
      <c r="D2217" t="s">
        <v>26</v>
      </c>
      <c r="E2217" t="s">
        <v>28</v>
      </c>
      <c r="F2217" t="s">
        <v>58</v>
      </c>
      <c r="G2217" t="s">
        <v>72</v>
      </c>
      <c r="H2217" t="s">
        <v>75</v>
      </c>
      <c r="I2217">
        <v>6</v>
      </c>
      <c r="J2217">
        <v>220</v>
      </c>
      <c r="K2217">
        <v>0.1</v>
      </c>
      <c r="L2217">
        <v>1188</v>
      </c>
      <c r="M2217">
        <v>801.49</v>
      </c>
      <c r="N2217">
        <v>386.51</v>
      </c>
      <c r="O2217" t="s">
        <v>80</v>
      </c>
      <c r="P2217" t="s">
        <v>87</v>
      </c>
    </row>
    <row r="2218" spans="1:16" x14ac:dyDescent="0.25">
      <c r="A2218">
        <v>2217</v>
      </c>
      <c r="B2218" s="1">
        <v>45944</v>
      </c>
      <c r="C2218" t="s">
        <v>21</v>
      </c>
      <c r="D2218" t="s">
        <v>24</v>
      </c>
      <c r="E2218" t="s">
        <v>29</v>
      </c>
      <c r="F2218" t="s">
        <v>53</v>
      </c>
      <c r="G2218" t="s">
        <v>72</v>
      </c>
      <c r="H2218" t="s">
        <v>73</v>
      </c>
      <c r="I2218">
        <v>4</v>
      </c>
      <c r="J2218">
        <v>7488</v>
      </c>
      <c r="K2218">
        <v>0.05</v>
      </c>
      <c r="L2218">
        <v>28454.400000000001</v>
      </c>
      <c r="M2218">
        <v>22896.9</v>
      </c>
      <c r="N2218">
        <v>5557.5</v>
      </c>
      <c r="O2218" t="s">
        <v>76</v>
      </c>
      <c r="P2218" t="s">
        <v>82</v>
      </c>
    </row>
    <row r="2219" spans="1:16" x14ac:dyDescent="0.25">
      <c r="A2219">
        <v>2218</v>
      </c>
      <c r="B2219" s="1">
        <v>46019</v>
      </c>
      <c r="C2219" t="s">
        <v>22</v>
      </c>
      <c r="D2219" t="s">
        <v>24</v>
      </c>
      <c r="E2219" t="s">
        <v>30</v>
      </c>
      <c r="F2219" t="s">
        <v>44</v>
      </c>
      <c r="G2219" t="s">
        <v>71</v>
      </c>
      <c r="H2219" t="s">
        <v>74</v>
      </c>
      <c r="I2219">
        <v>6</v>
      </c>
      <c r="J2219">
        <v>32096</v>
      </c>
      <c r="K2219">
        <v>0.05</v>
      </c>
      <c r="L2219">
        <v>182947.20000000001</v>
      </c>
      <c r="M2219">
        <v>151746.97</v>
      </c>
      <c r="N2219">
        <v>31200.23</v>
      </c>
      <c r="O2219" t="s">
        <v>77</v>
      </c>
      <c r="P2219" t="s">
        <v>85</v>
      </c>
    </row>
    <row r="2220" spans="1:16" x14ac:dyDescent="0.25">
      <c r="A2220">
        <v>2219</v>
      </c>
      <c r="B2220" s="1">
        <v>46008</v>
      </c>
      <c r="C2220" t="s">
        <v>22</v>
      </c>
      <c r="D2220" t="s">
        <v>24</v>
      </c>
      <c r="E2220" t="s">
        <v>30</v>
      </c>
      <c r="F2220" t="s">
        <v>40</v>
      </c>
      <c r="G2220" t="s">
        <v>71</v>
      </c>
      <c r="H2220" t="s">
        <v>73</v>
      </c>
      <c r="I2220">
        <v>4</v>
      </c>
      <c r="J2220">
        <v>58402</v>
      </c>
      <c r="K2220">
        <v>0.05</v>
      </c>
      <c r="L2220">
        <v>221927.6</v>
      </c>
      <c r="M2220">
        <v>139102.87</v>
      </c>
      <c r="N2220">
        <v>82824.73</v>
      </c>
      <c r="O2220" t="s">
        <v>79</v>
      </c>
      <c r="P2220" t="s">
        <v>83</v>
      </c>
    </row>
    <row r="2221" spans="1:16" x14ac:dyDescent="0.25">
      <c r="A2221">
        <v>2220</v>
      </c>
      <c r="B2221" s="1">
        <v>45819</v>
      </c>
      <c r="C2221" t="s">
        <v>20</v>
      </c>
      <c r="D2221" t="s">
        <v>26</v>
      </c>
      <c r="E2221" t="s">
        <v>31</v>
      </c>
      <c r="F2221" t="s">
        <v>38</v>
      </c>
      <c r="G2221" t="s">
        <v>72</v>
      </c>
      <c r="H2221" t="s">
        <v>74</v>
      </c>
      <c r="I2221">
        <v>5</v>
      </c>
      <c r="J2221">
        <v>1462</v>
      </c>
      <c r="K2221">
        <v>0.1</v>
      </c>
      <c r="L2221">
        <v>6579</v>
      </c>
      <c r="M2221">
        <v>4112.42</v>
      </c>
      <c r="N2221">
        <v>2466.58</v>
      </c>
      <c r="O2221" t="s">
        <v>78</v>
      </c>
      <c r="P2221" t="s">
        <v>84</v>
      </c>
    </row>
    <row r="2222" spans="1:16" x14ac:dyDescent="0.25">
      <c r="A2222">
        <v>2221</v>
      </c>
      <c r="B2222" s="1">
        <v>45764</v>
      </c>
      <c r="C2222" t="s">
        <v>22</v>
      </c>
      <c r="D2222" t="s">
        <v>24</v>
      </c>
      <c r="E2222" t="s">
        <v>28</v>
      </c>
      <c r="F2222" t="s">
        <v>58</v>
      </c>
      <c r="G2222" t="s">
        <v>70</v>
      </c>
      <c r="H2222" t="s">
        <v>75</v>
      </c>
      <c r="I2222">
        <v>1</v>
      </c>
      <c r="J2222">
        <v>1782</v>
      </c>
      <c r="K2222">
        <v>0</v>
      </c>
      <c r="L2222">
        <v>1782</v>
      </c>
      <c r="M2222">
        <v>1263.8499999999999</v>
      </c>
      <c r="N2222">
        <v>518.15</v>
      </c>
      <c r="O2222" t="s">
        <v>79</v>
      </c>
      <c r="P2222" t="s">
        <v>88</v>
      </c>
    </row>
    <row r="2223" spans="1:16" x14ac:dyDescent="0.25">
      <c r="A2223">
        <v>2222</v>
      </c>
      <c r="B2223" s="1">
        <v>45987</v>
      </c>
      <c r="C2223" t="s">
        <v>18</v>
      </c>
      <c r="D2223" t="s">
        <v>26</v>
      </c>
      <c r="E2223" t="s">
        <v>33</v>
      </c>
      <c r="F2223" t="s">
        <v>59</v>
      </c>
      <c r="G2223" t="s">
        <v>70</v>
      </c>
      <c r="H2223" t="s">
        <v>74</v>
      </c>
      <c r="I2223">
        <v>5</v>
      </c>
      <c r="J2223">
        <v>49118</v>
      </c>
      <c r="K2223">
        <v>0</v>
      </c>
      <c r="L2223">
        <v>245590</v>
      </c>
      <c r="M2223">
        <v>166412</v>
      </c>
      <c r="N2223">
        <v>79178</v>
      </c>
      <c r="O2223" t="s">
        <v>77</v>
      </c>
      <c r="P2223" t="s">
        <v>86</v>
      </c>
    </row>
    <row r="2224" spans="1:16" x14ac:dyDescent="0.25">
      <c r="A2224">
        <v>2223</v>
      </c>
      <c r="B2224" s="1">
        <v>45823</v>
      </c>
      <c r="C2224" t="s">
        <v>20</v>
      </c>
      <c r="D2224" t="s">
        <v>26</v>
      </c>
      <c r="E2224" t="s">
        <v>31</v>
      </c>
      <c r="F2224" t="s">
        <v>50</v>
      </c>
      <c r="G2224" t="s">
        <v>70</v>
      </c>
      <c r="H2224" t="s">
        <v>73</v>
      </c>
      <c r="I2224">
        <v>4</v>
      </c>
      <c r="J2224">
        <v>537</v>
      </c>
      <c r="K2224">
        <v>0.05</v>
      </c>
      <c r="L2224">
        <v>2040.6</v>
      </c>
      <c r="M2224">
        <v>1709.31</v>
      </c>
      <c r="N2224">
        <v>331.29</v>
      </c>
      <c r="O2224" t="s">
        <v>77</v>
      </c>
      <c r="P2224" t="s">
        <v>81</v>
      </c>
    </row>
    <row r="2225" spans="1:16" x14ac:dyDescent="0.25">
      <c r="A2225">
        <v>2224</v>
      </c>
      <c r="B2225" s="1">
        <v>45816</v>
      </c>
      <c r="C2225" t="s">
        <v>17</v>
      </c>
      <c r="D2225" t="s">
        <v>25</v>
      </c>
      <c r="E2225" t="s">
        <v>34</v>
      </c>
      <c r="F2225" t="s">
        <v>55</v>
      </c>
      <c r="G2225" t="s">
        <v>71</v>
      </c>
      <c r="H2225" t="s">
        <v>75</v>
      </c>
      <c r="I2225">
        <v>3</v>
      </c>
      <c r="J2225">
        <v>4361</v>
      </c>
      <c r="K2225">
        <v>0.05</v>
      </c>
      <c r="L2225">
        <v>12428.85</v>
      </c>
      <c r="M2225">
        <v>10193.57</v>
      </c>
      <c r="N2225">
        <v>2235.2800000000002</v>
      </c>
      <c r="O2225" t="s">
        <v>76</v>
      </c>
      <c r="P2225" t="s">
        <v>81</v>
      </c>
    </row>
    <row r="2226" spans="1:16" x14ac:dyDescent="0.25">
      <c r="A2226">
        <v>2225</v>
      </c>
      <c r="B2226" s="1">
        <v>45941</v>
      </c>
      <c r="C2226" t="s">
        <v>16</v>
      </c>
      <c r="D2226" t="s">
        <v>24</v>
      </c>
      <c r="E2226" t="s">
        <v>30</v>
      </c>
      <c r="F2226" t="s">
        <v>56</v>
      </c>
      <c r="G2226" t="s">
        <v>72</v>
      </c>
      <c r="H2226" t="s">
        <v>73</v>
      </c>
      <c r="I2226">
        <v>4</v>
      </c>
      <c r="J2226">
        <v>66805</v>
      </c>
      <c r="K2226">
        <v>0.05</v>
      </c>
      <c r="L2226">
        <v>253859</v>
      </c>
      <c r="M2226">
        <v>177680.64000000001</v>
      </c>
      <c r="N2226">
        <v>76178.36</v>
      </c>
      <c r="O2226" t="s">
        <v>76</v>
      </c>
      <c r="P2226" t="s">
        <v>83</v>
      </c>
    </row>
    <row r="2227" spans="1:16" x14ac:dyDescent="0.25">
      <c r="A2227">
        <v>2226</v>
      </c>
      <c r="B2227" s="1">
        <v>45906</v>
      </c>
      <c r="C2227" t="s">
        <v>19</v>
      </c>
      <c r="D2227" t="s">
        <v>26</v>
      </c>
      <c r="E2227" t="s">
        <v>34</v>
      </c>
      <c r="F2227" t="s">
        <v>55</v>
      </c>
      <c r="G2227" t="s">
        <v>71</v>
      </c>
      <c r="H2227" t="s">
        <v>74</v>
      </c>
      <c r="I2227">
        <v>7</v>
      </c>
      <c r="J2227">
        <v>1129</v>
      </c>
      <c r="K2227">
        <v>0.15</v>
      </c>
      <c r="L2227">
        <v>6717.55</v>
      </c>
      <c r="M2227">
        <v>3848.96</v>
      </c>
      <c r="N2227">
        <v>2868.59</v>
      </c>
      <c r="O2227" t="s">
        <v>78</v>
      </c>
      <c r="P2227" t="s">
        <v>85</v>
      </c>
    </row>
    <row r="2228" spans="1:16" x14ac:dyDescent="0.25">
      <c r="A2228">
        <v>2227</v>
      </c>
      <c r="B2228" s="1">
        <v>45914</v>
      </c>
      <c r="C2228" t="s">
        <v>19</v>
      </c>
      <c r="D2228" t="s">
        <v>26</v>
      </c>
      <c r="E2228" t="s">
        <v>29</v>
      </c>
      <c r="F2228" t="s">
        <v>57</v>
      </c>
      <c r="G2228" t="s">
        <v>72</v>
      </c>
      <c r="H2228" t="s">
        <v>73</v>
      </c>
      <c r="I2228">
        <v>6</v>
      </c>
      <c r="J2228">
        <v>9703</v>
      </c>
      <c r="K2228">
        <v>0.1</v>
      </c>
      <c r="L2228">
        <v>52396.2</v>
      </c>
      <c r="M2228">
        <v>36881.14</v>
      </c>
      <c r="N2228">
        <v>15515.06</v>
      </c>
      <c r="O2228" t="s">
        <v>78</v>
      </c>
      <c r="P2228" t="s">
        <v>86</v>
      </c>
    </row>
    <row r="2229" spans="1:16" x14ac:dyDescent="0.25">
      <c r="A2229">
        <v>2228</v>
      </c>
      <c r="B2229" s="1">
        <v>45774</v>
      </c>
      <c r="C2229" t="s">
        <v>18</v>
      </c>
      <c r="D2229" t="s">
        <v>26</v>
      </c>
      <c r="E2229" t="s">
        <v>29</v>
      </c>
      <c r="F2229" t="s">
        <v>57</v>
      </c>
      <c r="G2229" t="s">
        <v>70</v>
      </c>
      <c r="H2229" t="s">
        <v>74</v>
      </c>
      <c r="I2229">
        <v>7</v>
      </c>
      <c r="J2229">
        <v>2833</v>
      </c>
      <c r="K2229">
        <v>0.2</v>
      </c>
      <c r="L2229">
        <v>15864.8</v>
      </c>
      <c r="M2229">
        <v>9936.83</v>
      </c>
      <c r="N2229">
        <v>5927.97</v>
      </c>
      <c r="O2229" t="s">
        <v>80</v>
      </c>
      <c r="P2229" t="s">
        <v>88</v>
      </c>
    </row>
    <row r="2230" spans="1:16" x14ac:dyDescent="0.25">
      <c r="A2230">
        <v>2229</v>
      </c>
      <c r="B2230" s="1">
        <v>45924</v>
      </c>
      <c r="C2230" t="s">
        <v>18</v>
      </c>
      <c r="D2230" t="s">
        <v>26</v>
      </c>
      <c r="E2230" t="s">
        <v>33</v>
      </c>
      <c r="F2230" t="s">
        <v>52</v>
      </c>
      <c r="G2230" t="s">
        <v>71</v>
      </c>
      <c r="H2230" t="s">
        <v>73</v>
      </c>
      <c r="I2230">
        <v>6</v>
      </c>
      <c r="J2230">
        <v>9188</v>
      </c>
      <c r="K2230">
        <v>0.1</v>
      </c>
      <c r="L2230">
        <v>49615.199999999997</v>
      </c>
      <c r="M2230">
        <v>30964.02</v>
      </c>
      <c r="N2230">
        <v>18651.18</v>
      </c>
      <c r="O2230" t="s">
        <v>76</v>
      </c>
      <c r="P2230" t="s">
        <v>85</v>
      </c>
    </row>
    <row r="2231" spans="1:16" x14ac:dyDescent="0.25">
      <c r="A2231">
        <v>2230</v>
      </c>
      <c r="B2231" s="1">
        <v>45751</v>
      </c>
      <c r="C2231" t="s">
        <v>20</v>
      </c>
      <c r="D2231" t="s">
        <v>26</v>
      </c>
      <c r="E2231" t="s">
        <v>32</v>
      </c>
      <c r="F2231" t="s">
        <v>66</v>
      </c>
      <c r="G2231" t="s">
        <v>72</v>
      </c>
      <c r="H2231" t="s">
        <v>74</v>
      </c>
      <c r="I2231">
        <v>4</v>
      </c>
      <c r="J2231">
        <v>7781</v>
      </c>
      <c r="K2231">
        <v>0</v>
      </c>
      <c r="L2231">
        <v>31124</v>
      </c>
      <c r="M2231">
        <v>22645.34</v>
      </c>
      <c r="N2231">
        <v>8478.66</v>
      </c>
      <c r="O2231" t="s">
        <v>80</v>
      </c>
      <c r="P2231" t="s">
        <v>88</v>
      </c>
    </row>
    <row r="2232" spans="1:16" x14ac:dyDescent="0.25">
      <c r="A2232">
        <v>2231</v>
      </c>
      <c r="B2232" s="1">
        <v>45714</v>
      </c>
      <c r="C2232" t="s">
        <v>16</v>
      </c>
      <c r="D2232" t="s">
        <v>24</v>
      </c>
      <c r="E2232" t="s">
        <v>34</v>
      </c>
      <c r="F2232" t="s">
        <v>55</v>
      </c>
      <c r="G2232" t="s">
        <v>71</v>
      </c>
      <c r="H2232" t="s">
        <v>74</v>
      </c>
      <c r="I2232">
        <v>5</v>
      </c>
      <c r="J2232">
        <v>3657</v>
      </c>
      <c r="K2232">
        <v>0.05</v>
      </c>
      <c r="L2232">
        <v>17370.75</v>
      </c>
      <c r="M2232">
        <v>10283.61</v>
      </c>
      <c r="N2232">
        <v>7087.14</v>
      </c>
      <c r="O2232" t="s">
        <v>80</v>
      </c>
      <c r="P2232" t="s">
        <v>87</v>
      </c>
    </row>
    <row r="2233" spans="1:16" x14ac:dyDescent="0.25">
      <c r="A2233">
        <v>2232</v>
      </c>
      <c r="B2233" s="1">
        <v>45958</v>
      </c>
      <c r="C2233" t="s">
        <v>20</v>
      </c>
      <c r="D2233" t="s">
        <v>26</v>
      </c>
      <c r="E2233" t="s">
        <v>33</v>
      </c>
      <c r="F2233" t="s">
        <v>46</v>
      </c>
      <c r="G2233" t="s">
        <v>70</v>
      </c>
      <c r="H2233" t="s">
        <v>74</v>
      </c>
      <c r="I2233">
        <v>2</v>
      </c>
      <c r="J2233">
        <v>43221</v>
      </c>
      <c r="K2233">
        <v>0.1</v>
      </c>
      <c r="L2233">
        <v>77797.8</v>
      </c>
      <c r="M2233">
        <v>60520.800000000003</v>
      </c>
      <c r="N2233">
        <v>17277</v>
      </c>
      <c r="O2233" t="s">
        <v>77</v>
      </c>
      <c r="P2233" t="s">
        <v>81</v>
      </c>
    </row>
    <row r="2234" spans="1:16" x14ac:dyDescent="0.25">
      <c r="A2234">
        <v>2233</v>
      </c>
      <c r="B2234" s="1">
        <v>46018</v>
      </c>
      <c r="C2234" t="s">
        <v>20</v>
      </c>
      <c r="D2234" t="s">
        <v>26</v>
      </c>
      <c r="E2234" t="s">
        <v>33</v>
      </c>
      <c r="F2234" t="s">
        <v>46</v>
      </c>
      <c r="G2234" t="s">
        <v>70</v>
      </c>
      <c r="H2234" t="s">
        <v>74</v>
      </c>
      <c r="I2234">
        <v>8</v>
      </c>
      <c r="J2234">
        <v>25754</v>
      </c>
      <c r="K2234">
        <v>0</v>
      </c>
      <c r="L2234">
        <v>206032</v>
      </c>
      <c r="M2234">
        <v>127834.89</v>
      </c>
      <c r="N2234">
        <v>78197.11</v>
      </c>
      <c r="O2234" t="s">
        <v>80</v>
      </c>
      <c r="P2234" t="s">
        <v>87</v>
      </c>
    </row>
    <row r="2235" spans="1:16" x14ac:dyDescent="0.25">
      <c r="A2235">
        <v>2234</v>
      </c>
      <c r="B2235" s="1">
        <v>45926</v>
      </c>
      <c r="C2235" t="s">
        <v>20</v>
      </c>
      <c r="D2235" t="s">
        <v>26</v>
      </c>
      <c r="E2235" t="s">
        <v>32</v>
      </c>
      <c r="F2235" t="s">
        <v>62</v>
      </c>
      <c r="G2235" t="s">
        <v>70</v>
      </c>
      <c r="H2235" t="s">
        <v>74</v>
      </c>
      <c r="I2235">
        <v>1</v>
      </c>
      <c r="J2235">
        <v>24903</v>
      </c>
      <c r="K2235">
        <v>0.1</v>
      </c>
      <c r="L2235">
        <v>22412.7</v>
      </c>
      <c r="M2235">
        <v>18890.57</v>
      </c>
      <c r="N2235">
        <v>3522.13</v>
      </c>
      <c r="O2235" t="s">
        <v>77</v>
      </c>
      <c r="P2235" t="s">
        <v>84</v>
      </c>
    </row>
    <row r="2236" spans="1:16" x14ac:dyDescent="0.25">
      <c r="A2236">
        <v>2235</v>
      </c>
      <c r="B2236" s="1">
        <v>45867</v>
      </c>
      <c r="C2236" t="s">
        <v>22</v>
      </c>
      <c r="D2236" t="s">
        <v>24</v>
      </c>
      <c r="E2236" t="s">
        <v>34</v>
      </c>
      <c r="F2236" t="s">
        <v>68</v>
      </c>
      <c r="G2236" t="s">
        <v>70</v>
      </c>
      <c r="H2236" t="s">
        <v>73</v>
      </c>
      <c r="I2236">
        <v>1</v>
      </c>
      <c r="J2236">
        <v>1834</v>
      </c>
      <c r="K2236">
        <v>0.15</v>
      </c>
      <c r="L2236">
        <v>1558.9</v>
      </c>
      <c r="M2236">
        <v>969.79</v>
      </c>
      <c r="N2236">
        <v>589.11</v>
      </c>
      <c r="O2236" t="s">
        <v>76</v>
      </c>
      <c r="P2236" t="s">
        <v>83</v>
      </c>
    </row>
    <row r="2237" spans="1:16" x14ac:dyDescent="0.25">
      <c r="A2237">
        <v>2236</v>
      </c>
      <c r="B2237" s="1">
        <v>45828</v>
      </c>
      <c r="C2237" t="s">
        <v>22</v>
      </c>
      <c r="D2237" t="s">
        <v>24</v>
      </c>
      <c r="E2237" t="s">
        <v>29</v>
      </c>
      <c r="F2237" t="s">
        <v>53</v>
      </c>
      <c r="G2237" t="s">
        <v>72</v>
      </c>
      <c r="H2237" t="s">
        <v>75</v>
      </c>
      <c r="I2237">
        <v>3</v>
      </c>
      <c r="J2237">
        <v>11787</v>
      </c>
      <c r="K2237">
        <v>0.05</v>
      </c>
      <c r="L2237">
        <v>33592.949999999997</v>
      </c>
      <c r="M2237">
        <v>19314.78</v>
      </c>
      <c r="N2237">
        <v>14278.17</v>
      </c>
      <c r="O2237" t="s">
        <v>79</v>
      </c>
      <c r="P2237" t="s">
        <v>84</v>
      </c>
    </row>
    <row r="2238" spans="1:16" x14ac:dyDescent="0.25">
      <c r="A2238">
        <v>2237</v>
      </c>
      <c r="B2238" s="1">
        <v>45812</v>
      </c>
      <c r="C2238" t="s">
        <v>22</v>
      </c>
      <c r="D2238" t="s">
        <v>24</v>
      </c>
      <c r="E2238" t="s">
        <v>32</v>
      </c>
      <c r="F2238" t="s">
        <v>39</v>
      </c>
      <c r="G2238" t="s">
        <v>72</v>
      </c>
      <c r="H2238" t="s">
        <v>75</v>
      </c>
      <c r="I2238">
        <v>5</v>
      </c>
      <c r="J2238">
        <v>17457</v>
      </c>
      <c r="K2238">
        <v>0.1</v>
      </c>
      <c r="L2238">
        <v>78556.5</v>
      </c>
      <c r="M2238">
        <v>47426.71</v>
      </c>
      <c r="N2238">
        <v>31129.79</v>
      </c>
      <c r="O2238" t="s">
        <v>76</v>
      </c>
      <c r="P2238" t="s">
        <v>87</v>
      </c>
    </row>
    <row r="2239" spans="1:16" x14ac:dyDescent="0.25">
      <c r="A2239">
        <v>2238</v>
      </c>
      <c r="B2239" s="1">
        <v>45716</v>
      </c>
      <c r="C2239" t="s">
        <v>16</v>
      </c>
      <c r="D2239" t="s">
        <v>24</v>
      </c>
      <c r="E2239" t="s">
        <v>29</v>
      </c>
      <c r="F2239" t="s">
        <v>57</v>
      </c>
      <c r="G2239" t="s">
        <v>72</v>
      </c>
      <c r="H2239" t="s">
        <v>75</v>
      </c>
      <c r="I2239">
        <v>7</v>
      </c>
      <c r="J2239">
        <v>4214</v>
      </c>
      <c r="K2239">
        <v>0.05</v>
      </c>
      <c r="L2239">
        <v>28023.1</v>
      </c>
      <c r="M2239">
        <v>16634.2</v>
      </c>
      <c r="N2239">
        <v>11388.9</v>
      </c>
      <c r="O2239" t="s">
        <v>78</v>
      </c>
      <c r="P2239" t="s">
        <v>87</v>
      </c>
    </row>
    <row r="2240" spans="1:16" x14ac:dyDescent="0.25">
      <c r="A2240">
        <v>2239</v>
      </c>
      <c r="B2240" s="1">
        <v>45776</v>
      </c>
      <c r="C2240" t="s">
        <v>20</v>
      </c>
      <c r="D2240" t="s">
        <v>26</v>
      </c>
      <c r="E2240" t="s">
        <v>30</v>
      </c>
      <c r="F2240" t="s">
        <v>40</v>
      </c>
      <c r="G2240" t="s">
        <v>72</v>
      </c>
      <c r="H2240" t="s">
        <v>73</v>
      </c>
      <c r="I2240">
        <v>1</v>
      </c>
      <c r="J2240">
        <v>61449</v>
      </c>
      <c r="K2240">
        <v>0.1</v>
      </c>
      <c r="L2240">
        <v>55304.1</v>
      </c>
      <c r="M2240">
        <v>42768.15</v>
      </c>
      <c r="N2240">
        <v>12535.95</v>
      </c>
      <c r="O2240" t="s">
        <v>78</v>
      </c>
      <c r="P2240" t="s">
        <v>87</v>
      </c>
    </row>
    <row r="2241" spans="1:16" x14ac:dyDescent="0.25">
      <c r="A2241">
        <v>2240</v>
      </c>
      <c r="B2241" s="1">
        <v>45735</v>
      </c>
      <c r="C2241" t="s">
        <v>23</v>
      </c>
      <c r="D2241" t="s">
        <v>27</v>
      </c>
      <c r="E2241" t="s">
        <v>28</v>
      </c>
      <c r="F2241" t="s">
        <v>35</v>
      </c>
      <c r="G2241" t="s">
        <v>72</v>
      </c>
      <c r="H2241" t="s">
        <v>74</v>
      </c>
      <c r="I2241">
        <v>6</v>
      </c>
      <c r="J2241">
        <v>439</v>
      </c>
      <c r="K2241">
        <v>0.15</v>
      </c>
      <c r="L2241">
        <v>2238.9</v>
      </c>
      <c r="M2241">
        <v>1911.69</v>
      </c>
      <c r="N2241">
        <v>327.20999999999998</v>
      </c>
      <c r="O2241" t="s">
        <v>80</v>
      </c>
      <c r="P2241" t="s">
        <v>81</v>
      </c>
    </row>
    <row r="2242" spans="1:16" x14ac:dyDescent="0.25">
      <c r="A2242">
        <v>2241</v>
      </c>
      <c r="B2242" s="1">
        <v>45774</v>
      </c>
      <c r="C2242" t="s">
        <v>23</v>
      </c>
      <c r="D2242" t="s">
        <v>27</v>
      </c>
      <c r="E2242" t="s">
        <v>33</v>
      </c>
      <c r="F2242" t="s">
        <v>41</v>
      </c>
      <c r="G2242" t="s">
        <v>71</v>
      </c>
      <c r="H2242" t="s">
        <v>74</v>
      </c>
      <c r="I2242">
        <v>7</v>
      </c>
      <c r="J2242">
        <v>44270</v>
      </c>
      <c r="K2242">
        <v>0.05</v>
      </c>
      <c r="L2242">
        <v>294395.5</v>
      </c>
      <c r="M2242">
        <v>182502.76</v>
      </c>
      <c r="N2242">
        <v>111892.74</v>
      </c>
      <c r="O2242" t="s">
        <v>76</v>
      </c>
      <c r="P2242" t="s">
        <v>83</v>
      </c>
    </row>
    <row r="2243" spans="1:16" x14ac:dyDescent="0.25">
      <c r="A2243">
        <v>2242</v>
      </c>
      <c r="B2243" s="1">
        <v>45948</v>
      </c>
      <c r="C2243" t="s">
        <v>22</v>
      </c>
      <c r="D2243" t="s">
        <v>24</v>
      </c>
      <c r="E2243" t="s">
        <v>33</v>
      </c>
      <c r="F2243" t="s">
        <v>41</v>
      </c>
      <c r="G2243" t="s">
        <v>72</v>
      </c>
      <c r="H2243" t="s">
        <v>73</v>
      </c>
      <c r="I2243">
        <v>1</v>
      </c>
      <c r="J2243">
        <v>31277</v>
      </c>
      <c r="K2243">
        <v>0.05</v>
      </c>
      <c r="L2243">
        <v>29713.15</v>
      </c>
      <c r="M2243">
        <v>19812.96</v>
      </c>
      <c r="N2243">
        <v>9900.19</v>
      </c>
      <c r="O2243" t="s">
        <v>78</v>
      </c>
      <c r="P2243" t="s">
        <v>86</v>
      </c>
    </row>
    <row r="2244" spans="1:16" x14ac:dyDescent="0.25">
      <c r="A2244">
        <v>2243</v>
      </c>
      <c r="B2244" s="1">
        <v>45680</v>
      </c>
      <c r="C2244" t="s">
        <v>20</v>
      </c>
      <c r="D2244" t="s">
        <v>26</v>
      </c>
      <c r="E2244" t="s">
        <v>34</v>
      </c>
      <c r="F2244" t="s">
        <v>65</v>
      </c>
      <c r="G2244" t="s">
        <v>70</v>
      </c>
      <c r="H2244" t="s">
        <v>74</v>
      </c>
      <c r="I2244">
        <v>5</v>
      </c>
      <c r="J2244">
        <v>3935</v>
      </c>
      <c r="K2244">
        <v>0.05</v>
      </c>
      <c r="L2244">
        <v>18691.25</v>
      </c>
      <c r="M2244">
        <v>14218.16</v>
      </c>
      <c r="N2244">
        <v>4473.09</v>
      </c>
      <c r="O2244" t="s">
        <v>78</v>
      </c>
      <c r="P2244" t="s">
        <v>85</v>
      </c>
    </row>
    <row r="2245" spans="1:16" x14ac:dyDescent="0.25">
      <c r="A2245">
        <v>2244</v>
      </c>
      <c r="B2245" s="1">
        <v>46005</v>
      </c>
      <c r="C2245" t="s">
        <v>22</v>
      </c>
      <c r="D2245" t="s">
        <v>24</v>
      </c>
      <c r="E2245" t="s">
        <v>32</v>
      </c>
      <c r="F2245" t="s">
        <v>66</v>
      </c>
      <c r="G2245" t="s">
        <v>71</v>
      </c>
      <c r="H2245" t="s">
        <v>74</v>
      </c>
      <c r="I2245">
        <v>2</v>
      </c>
      <c r="J2245">
        <v>13912</v>
      </c>
      <c r="K2245">
        <v>0.2</v>
      </c>
      <c r="L2245">
        <v>22259.200000000001</v>
      </c>
      <c r="M2245">
        <v>13601.5</v>
      </c>
      <c r="N2245">
        <v>8657.7000000000007</v>
      </c>
      <c r="O2245" t="s">
        <v>78</v>
      </c>
      <c r="P2245" t="s">
        <v>81</v>
      </c>
    </row>
    <row r="2246" spans="1:16" x14ac:dyDescent="0.25">
      <c r="A2246">
        <v>2245</v>
      </c>
      <c r="B2246" s="1">
        <v>45793</v>
      </c>
      <c r="C2246" t="s">
        <v>20</v>
      </c>
      <c r="D2246" t="s">
        <v>26</v>
      </c>
      <c r="E2246" t="s">
        <v>29</v>
      </c>
      <c r="F2246" t="s">
        <v>36</v>
      </c>
      <c r="G2246" t="s">
        <v>72</v>
      </c>
      <c r="H2246" t="s">
        <v>75</v>
      </c>
      <c r="I2246">
        <v>2</v>
      </c>
      <c r="J2246">
        <v>9769</v>
      </c>
      <c r="K2246">
        <v>0.1</v>
      </c>
      <c r="L2246">
        <v>17584.2</v>
      </c>
      <c r="M2246">
        <v>12684.6</v>
      </c>
      <c r="N2246">
        <v>4899.6000000000004</v>
      </c>
      <c r="O2246" t="s">
        <v>80</v>
      </c>
      <c r="P2246" t="s">
        <v>84</v>
      </c>
    </row>
    <row r="2247" spans="1:16" x14ac:dyDescent="0.25">
      <c r="A2247">
        <v>2246</v>
      </c>
      <c r="B2247" s="1">
        <v>45887</v>
      </c>
      <c r="C2247" t="s">
        <v>20</v>
      </c>
      <c r="D2247" t="s">
        <v>26</v>
      </c>
      <c r="E2247" t="s">
        <v>32</v>
      </c>
      <c r="F2247" t="s">
        <v>49</v>
      </c>
      <c r="G2247" t="s">
        <v>72</v>
      </c>
      <c r="H2247" t="s">
        <v>73</v>
      </c>
      <c r="I2247">
        <v>2</v>
      </c>
      <c r="J2247">
        <v>11759</v>
      </c>
      <c r="K2247">
        <v>0.1</v>
      </c>
      <c r="L2247">
        <v>21166.2</v>
      </c>
      <c r="M2247">
        <v>14520.61</v>
      </c>
      <c r="N2247">
        <v>6645.59</v>
      </c>
      <c r="O2247" t="s">
        <v>79</v>
      </c>
      <c r="P2247" t="s">
        <v>83</v>
      </c>
    </row>
    <row r="2248" spans="1:16" x14ac:dyDescent="0.25">
      <c r="A2248">
        <v>2247</v>
      </c>
      <c r="B2248" s="1">
        <v>45664</v>
      </c>
      <c r="C2248" t="s">
        <v>21</v>
      </c>
      <c r="D2248" t="s">
        <v>24</v>
      </c>
      <c r="E2248" t="s">
        <v>31</v>
      </c>
      <c r="F2248" t="s">
        <v>38</v>
      </c>
      <c r="G2248" t="s">
        <v>70</v>
      </c>
      <c r="H2248" t="s">
        <v>75</v>
      </c>
      <c r="I2248">
        <v>1</v>
      </c>
      <c r="J2248">
        <v>735</v>
      </c>
      <c r="K2248">
        <v>0.05</v>
      </c>
      <c r="L2248">
        <v>698.25</v>
      </c>
      <c r="M2248">
        <v>583.19000000000005</v>
      </c>
      <c r="N2248">
        <v>115.06</v>
      </c>
      <c r="O2248" t="s">
        <v>78</v>
      </c>
      <c r="P2248" t="s">
        <v>82</v>
      </c>
    </row>
    <row r="2249" spans="1:16" x14ac:dyDescent="0.25">
      <c r="A2249">
        <v>2248</v>
      </c>
      <c r="B2249" s="1">
        <v>45829</v>
      </c>
      <c r="C2249" t="s">
        <v>21</v>
      </c>
      <c r="D2249" t="s">
        <v>24</v>
      </c>
      <c r="E2249" t="s">
        <v>30</v>
      </c>
      <c r="F2249" t="s">
        <v>37</v>
      </c>
      <c r="G2249" t="s">
        <v>70</v>
      </c>
      <c r="H2249" t="s">
        <v>75</v>
      </c>
      <c r="I2249">
        <v>7</v>
      </c>
      <c r="J2249">
        <v>57587</v>
      </c>
      <c r="K2249">
        <v>0.1</v>
      </c>
      <c r="L2249">
        <v>362798.1</v>
      </c>
      <c r="M2249">
        <v>283523.20000000001</v>
      </c>
      <c r="N2249">
        <v>79274.899999999994</v>
      </c>
      <c r="O2249" t="s">
        <v>76</v>
      </c>
      <c r="P2249" t="s">
        <v>84</v>
      </c>
    </row>
    <row r="2250" spans="1:16" x14ac:dyDescent="0.25">
      <c r="A2250">
        <v>2249</v>
      </c>
      <c r="B2250" s="1">
        <v>45867</v>
      </c>
      <c r="C2250" t="s">
        <v>20</v>
      </c>
      <c r="D2250" t="s">
        <v>26</v>
      </c>
      <c r="E2250" t="s">
        <v>33</v>
      </c>
      <c r="F2250" t="s">
        <v>59</v>
      </c>
      <c r="G2250" t="s">
        <v>70</v>
      </c>
      <c r="H2250" t="s">
        <v>74</v>
      </c>
      <c r="I2250">
        <v>4</v>
      </c>
      <c r="J2250">
        <v>45374</v>
      </c>
      <c r="K2250">
        <v>0.15</v>
      </c>
      <c r="L2250">
        <v>154271.6</v>
      </c>
      <c r="M2250">
        <v>112283.74</v>
      </c>
      <c r="N2250">
        <v>41987.86</v>
      </c>
      <c r="O2250" t="s">
        <v>78</v>
      </c>
      <c r="P2250" t="s">
        <v>81</v>
      </c>
    </row>
    <row r="2251" spans="1:16" x14ac:dyDescent="0.25">
      <c r="A2251">
        <v>2250</v>
      </c>
      <c r="B2251" s="1">
        <v>45893</v>
      </c>
      <c r="C2251" t="s">
        <v>17</v>
      </c>
      <c r="D2251" t="s">
        <v>25</v>
      </c>
      <c r="E2251" t="s">
        <v>34</v>
      </c>
      <c r="F2251" t="s">
        <v>68</v>
      </c>
      <c r="G2251" t="s">
        <v>71</v>
      </c>
      <c r="H2251" t="s">
        <v>75</v>
      </c>
      <c r="I2251">
        <v>4</v>
      </c>
      <c r="J2251">
        <v>2828</v>
      </c>
      <c r="K2251">
        <v>0.1</v>
      </c>
      <c r="L2251">
        <v>10180.799999999999</v>
      </c>
      <c r="M2251">
        <v>7605.54</v>
      </c>
      <c r="N2251">
        <v>2575.2600000000002</v>
      </c>
      <c r="O2251" t="s">
        <v>79</v>
      </c>
      <c r="P2251" t="s">
        <v>88</v>
      </c>
    </row>
    <row r="2252" spans="1:16" x14ac:dyDescent="0.25">
      <c r="A2252">
        <v>2251</v>
      </c>
      <c r="B2252" s="1">
        <v>45999</v>
      </c>
      <c r="C2252" t="s">
        <v>22</v>
      </c>
      <c r="D2252" t="s">
        <v>24</v>
      </c>
      <c r="E2252" t="s">
        <v>31</v>
      </c>
      <c r="F2252" t="s">
        <v>47</v>
      </c>
      <c r="G2252" t="s">
        <v>71</v>
      </c>
      <c r="H2252" t="s">
        <v>73</v>
      </c>
      <c r="I2252">
        <v>8</v>
      </c>
      <c r="J2252">
        <v>1179</v>
      </c>
      <c r="K2252">
        <v>0</v>
      </c>
      <c r="L2252">
        <v>9432</v>
      </c>
      <c r="M2252">
        <v>6411.8</v>
      </c>
      <c r="N2252">
        <v>3020.2</v>
      </c>
      <c r="O2252" t="s">
        <v>78</v>
      </c>
      <c r="P2252" t="s">
        <v>81</v>
      </c>
    </row>
    <row r="2253" spans="1:16" x14ac:dyDescent="0.25">
      <c r="A2253">
        <v>2252</v>
      </c>
      <c r="B2253" s="1">
        <v>45705</v>
      </c>
      <c r="C2253" t="s">
        <v>20</v>
      </c>
      <c r="D2253" t="s">
        <v>26</v>
      </c>
      <c r="E2253" t="s">
        <v>33</v>
      </c>
      <c r="F2253" t="s">
        <v>52</v>
      </c>
      <c r="G2253" t="s">
        <v>71</v>
      </c>
      <c r="H2253" t="s">
        <v>73</v>
      </c>
      <c r="I2253">
        <v>4</v>
      </c>
      <c r="J2253">
        <v>42721</v>
      </c>
      <c r="K2253">
        <v>0.15</v>
      </c>
      <c r="L2253">
        <v>145251.4</v>
      </c>
      <c r="M2253">
        <v>119830.57</v>
      </c>
      <c r="N2253">
        <v>25420.83</v>
      </c>
      <c r="O2253" t="s">
        <v>77</v>
      </c>
      <c r="P2253" t="s">
        <v>81</v>
      </c>
    </row>
    <row r="2254" spans="1:16" x14ac:dyDescent="0.25">
      <c r="A2254">
        <v>2253</v>
      </c>
      <c r="B2254" s="1">
        <v>45746</v>
      </c>
      <c r="C2254" t="s">
        <v>20</v>
      </c>
      <c r="D2254" t="s">
        <v>26</v>
      </c>
      <c r="E2254" t="s">
        <v>28</v>
      </c>
      <c r="F2254" t="s">
        <v>63</v>
      </c>
      <c r="G2254" t="s">
        <v>72</v>
      </c>
      <c r="H2254" t="s">
        <v>75</v>
      </c>
      <c r="I2254">
        <v>3</v>
      </c>
      <c r="J2254">
        <v>1556</v>
      </c>
      <c r="K2254">
        <v>0.2</v>
      </c>
      <c r="L2254">
        <v>3734.4</v>
      </c>
      <c r="M2254">
        <v>2691.85</v>
      </c>
      <c r="N2254">
        <v>1042.55</v>
      </c>
      <c r="O2254" t="s">
        <v>78</v>
      </c>
      <c r="P2254" t="s">
        <v>83</v>
      </c>
    </row>
    <row r="2255" spans="1:16" x14ac:dyDescent="0.25">
      <c r="A2255">
        <v>2254</v>
      </c>
      <c r="B2255" s="1">
        <v>45824</v>
      </c>
      <c r="C2255" t="s">
        <v>20</v>
      </c>
      <c r="D2255" t="s">
        <v>26</v>
      </c>
      <c r="E2255" t="s">
        <v>28</v>
      </c>
      <c r="F2255" t="s">
        <v>63</v>
      </c>
      <c r="G2255" t="s">
        <v>72</v>
      </c>
      <c r="H2255" t="s">
        <v>75</v>
      </c>
      <c r="I2255">
        <v>1</v>
      </c>
      <c r="J2255">
        <v>1658</v>
      </c>
      <c r="K2255">
        <v>0.15</v>
      </c>
      <c r="L2255">
        <v>1409.3</v>
      </c>
      <c r="M2255">
        <v>1163.44</v>
      </c>
      <c r="N2255">
        <v>245.86</v>
      </c>
      <c r="O2255" t="s">
        <v>77</v>
      </c>
      <c r="P2255" t="s">
        <v>84</v>
      </c>
    </row>
    <row r="2256" spans="1:16" x14ac:dyDescent="0.25">
      <c r="A2256">
        <v>2255</v>
      </c>
      <c r="B2256" s="1">
        <v>46006</v>
      </c>
      <c r="C2256" t="s">
        <v>16</v>
      </c>
      <c r="D2256" t="s">
        <v>24</v>
      </c>
      <c r="E2256" t="s">
        <v>30</v>
      </c>
      <c r="F2256" t="s">
        <v>40</v>
      </c>
      <c r="G2256" t="s">
        <v>71</v>
      </c>
      <c r="H2256" t="s">
        <v>73</v>
      </c>
      <c r="I2256">
        <v>6</v>
      </c>
      <c r="J2256">
        <v>19513</v>
      </c>
      <c r="K2256">
        <v>0.15</v>
      </c>
      <c r="L2256">
        <v>99516.3</v>
      </c>
      <c r="M2256">
        <v>55357.65</v>
      </c>
      <c r="N2256">
        <v>44158.65</v>
      </c>
      <c r="O2256" t="s">
        <v>79</v>
      </c>
      <c r="P2256" t="s">
        <v>87</v>
      </c>
    </row>
    <row r="2257" spans="1:16" x14ac:dyDescent="0.25">
      <c r="A2257">
        <v>2256</v>
      </c>
      <c r="B2257" s="1">
        <v>45923</v>
      </c>
      <c r="C2257" t="s">
        <v>16</v>
      </c>
      <c r="D2257" t="s">
        <v>24</v>
      </c>
      <c r="E2257" t="s">
        <v>33</v>
      </c>
      <c r="F2257" t="s">
        <v>41</v>
      </c>
      <c r="G2257" t="s">
        <v>71</v>
      </c>
      <c r="H2257" t="s">
        <v>73</v>
      </c>
      <c r="I2257">
        <v>8</v>
      </c>
      <c r="J2257">
        <v>28911</v>
      </c>
      <c r="K2257">
        <v>0.1</v>
      </c>
      <c r="L2257">
        <v>208159.2</v>
      </c>
      <c r="M2257">
        <v>131435.85</v>
      </c>
      <c r="N2257">
        <v>76723.350000000006</v>
      </c>
      <c r="O2257" t="s">
        <v>78</v>
      </c>
      <c r="P2257" t="s">
        <v>85</v>
      </c>
    </row>
    <row r="2258" spans="1:16" x14ac:dyDescent="0.25">
      <c r="A2258">
        <v>2257</v>
      </c>
      <c r="B2258" s="1">
        <v>45780</v>
      </c>
      <c r="C2258" t="s">
        <v>21</v>
      </c>
      <c r="D2258" t="s">
        <v>24</v>
      </c>
      <c r="E2258" t="s">
        <v>31</v>
      </c>
      <c r="F2258" t="s">
        <v>38</v>
      </c>
      <c r="G2258" t="s">
        <v>70</v>
      </c>
      <c r="H2258" t="s">
        <v>73</v>
      </c>
      <c r="I2258">
        <v>2</v>
      </c>
      <c r="J2258">
        <v>872</v>
      </c>
      <c r="K2258">
        <v>0</v>
      </c>
      <c r="L2258">
        <v>1744</v>
      </c>
      <c r="M2258">
        <v>972.56</v>
      </c>
      <c r="N2258">
        <v>771.44</v>
      </c>
      <c r="O2258" t="s">
        <v>80</v>
      </c>
      <c r="P2258" t="s">
        <v>81</v>
      </c>
    </row>
    <row r="2259" spans="1:16" x14ac:dyDescent="0.25">
      <c r="A2259">
        <v>2258</v>
      </c>
      <c r="B2259" s="1">
        <v>45701</v>
      </c>
      <c r="C2259" t="s">
        <v>21</v>
      </c>
      <c r="D2259" t="s">
        <v>24</v>
      </c>
      <c r="E2259" t="s">
        <v>33</v>
      </c>
      <c r="F2259" t="s">
        <v>59</v>
      </c>
      <c r="G2259" t="s">
        <v>72</v>
      </c>
      <c r="H2259" t="s">
        <v>75</v>
      </c>
      <c r="I2259">
        <v>7</v>
      </c>
      <c r="J2259">
        <v>18859</v>
      </c>
      <c r="K2259">
        <v>0.05</v>
      </c>
      <c r="L2259">
        <v>125412.35</v>
      </c>
      <c r="M2259">
        <v>91482.67</v>
      </c>
      <c r="N2259">
        <v>33929.68</v>
      </c>
      <c r="O2259" t="s">
        <v>79</v>
      </c>
      <c r="P2259" t="s">
        <v>82</v>
      </c>
    </row>
    <row r="2260" spans="1:16" x14ac:dyDescent="0.25">
      <c r="A2260">
        <v>2259</v>
      </c>
      <c r="B2260" s="1">
        <v>45826</v>
      </c>
      <c r="C2260" t="s">
        <v>20</v>
      </c>
      <c r="D2260" t="s">
        <v>26</v>
      </c>
      <c r="E2260" t="s">
        <v>29</v>
      </c>
      <c r="F2260" t="s">
        <v>45</v>
      </c>
      <c r="G2260" t="s">
        <v>70</v>
      </c>
      <c r="H2260" t="s">
        <v>75</v>
      </c>
      <c r="I2260">
        <v>5</v>
      </c>
      <c r="J2260">
        <v>9861</v>
      </c>
      <c r="K2260">
        <v>0</v>
      </c>
      <c r="L2260">
        <v>49305</v>
      </c>
      <c r="M2260">
        <v>27453.599999999999</v>
      </c>
      <c r="N2260">
        <v>21851.4</v>
      </c>
      <c r="O2260" t="s">
        <v>78</v>
      </c>
      <c r="P2260" t="s">
        <v>84</v>
      </c>
    </row>
    <row r="2261" spans="1:16" x14ac:dyDescent="0.25">
      <c r="A2261">
        <v>2260</v>
      </c>
      <c r="B2261" s="1">
        <v>45752</v>
      </c>
      <c r="C2261" t="s">
        <v>20</v>
      </c>
      <c r="D2261" t="s">
        <v>26</v>
      </c>
      <c r="E2261" t="s">
        <v>28</v>
      </c>
      <c r="F2261" t="s">
        <v>61</v>
      </c>
      <c r="G2261" t="s">
        <v>72</v>
      </c>
      <c r="H2261" t="s">
        <v>75</v>
      </c>
      <c r="I2261">
        <v>5</v>
      </c>
      <c r="J2261">
        <v>255</v>
      </c>
      <c r="K2261">
        <v>0.1</v>
      </c>
      <c r="L2261">
        <v>1147.5</v>
      </c>
      <c r="M2261">
        <v>943.4</v>
      </c>
      <c r="N2261">
        <v>204.1</v>
      </c>
      <c r="O2261" t="s">
        <v>77</v>
      </c>
      <c r="P2261" t="s">
        <v>85</v>
      </c>
    </row>
    <row r="2262" spans="1:16" x14ac:dyDescent="0.25">
      <c r="A2262">
        <v>2261</v>
      </c>
      <c r="B2262" s="1">
        <v>45775</v>
      </c>
      <c r="C2262" t="s">
        <v>21</v>
      </c>
      <c r="D2262" t="s">
        <v>24</v>
      </c>
      <c r="E2262" t="s">
        <v>30</v>
      </c>
      <c r="F2262" t="s">
        <v>37</v>
      </c>
      <c r="G2262" t="s">
        <v>70</v>
      </c>
      <c r="H2262" t="s">
        <v>74</v>
      </c>
      <c r="I2262">
        <v>6</v>
      </c>
      <c r="J2262">
        <v>55322</v>
      </c>
      <c r="K2262">
        <v>0</v>
      </c>
      <c r="L2262">
        <v>331932</v>
      </c>
      <c r="M2262">
        <v>280291.09999999998</v>
      </c>
      <c r="N2262">
        <v>51640.9</v>
      </c>
      <c r="O2262" t="s">
        <v>76</v>
      </c>
      <c r="P2262" t="s">
        <v>87</v>
      </c>
    </row>
    <row r="2263" spans="1:16" x14ac:dyDescent="0.25">
      <c r="A2263">
        <v>2262</v>
      </c>
      <c r="B2263" s="1">
        <v>45892</v>
      </c>
      <c r="C2263" t="s">
        <v>17</v>
      </c>
      <c r="D2263" t="s">
        <v>25</v>
      </c>
      <c r="E2263" t="s">
        <v>32</v>
      </c>
      <c r="F2263" t="s">
        <v>66</v>
      </c>
      <c r="G2263" t="s">
        <v>71</v>
      </c>
      <c r="H2263" t="s">
        <v>74</v>
      </c>
      <c r="I2263">
        <v>8</v>
      </c>
      <c r="J2263">
        <v>20011</v>
      </c>
      <c r="K2263">
        <v>0.1</v>
      </c>
      <c r="L2263">
        <v>144079.20000000001</v>
      </c>
      <c r="M2263">
        <v>100404.09</v>
      </c>
      <c r="N2263">
        <v>43675.11</v>
      </c>
      <c r="O2263" t="s">
        <v>76</v>
      </c>
      <c r="P2263" t="s">
        <v>84</v>
      </c>
    </row>
    <row r="2264" spans="1:16" x14ac:dyDescent="0.25">
      <c r="A2264">
        <v>2263</v>
      </c>
      <c r="B2264" s="1">
        <v>45740</v>
      </c>
      <c r="C2264" t="s">
        <v>20</v>
      </c>
      <c r="D2264" t="s">
        <v>26</v>
      </c>
      <c r="E2264" t="s">
        <v>32</v>
      </c>
      <c r="F2264" t="s">
        <v>62</v>
      </c>
      <c r="G2264" t="s">
        <v>72</v>
      </c>
      <c r="H2264" t="s">
        <v>75</v>
      </c>
      <c r="I2264">
        <v>4</v>
      </c>
      <c r="J2264">
        <v>24241</v>
      </c>
      <c r="K2264">
        <v>0.15</v>
      </c>
      <c r="L2264">
        <v>82419.399999999994</v>
      </c>
      <c r="M2264">
        <v>49315.21</v>
      </c>
      <c r="N2264">
        <v>33104.19</v>
      </c>
      <c r="O2264" t="s">
        <v>80</v>
      </c>
      <c r="P2264" t="s">
        <v>85</v>
      </c>
    </row>
    <row r="2265" spans="1:16" x14ac:dyDescent="0.25">
      <c r="A2265">
        <v>2264</v>
      </c>
      <c r="B2265" s="1">
        <v>45962</v>
      </c>
      <c r="C2265" t="s">
        <v>22</v>
      </c>
      <c r="D2265" t="s">
        <v>24</v>
      </c>
      <c r="E2265" t="s">
        <v>34</v>
      </c>
      <c r="F2265" t="s">
        <v>55</v>
      </c>
      <c r="G2265" t="s">
        <v>70</v>
      </c>
      <c r="H2265" t="s">
        <v>74</v>
      </c>
      <c r="I2265">
        <v>6</v>
      </c>
      <c r="J2265">
        <v>5301</v>
      </c>
      <c r="K2265">
        <v>0.1</v>
      </c>
      <c r="L2265">
        <v>28625.4</v>
      </c>
      <c r="M2265">
        <v>18713.21</v>
      </c>
      <c r="N2265">
        <v>9912.19</v>
      </c>
      <c r="O2265" t="s">
        <v>78</v>
      </c>
      <c r="P2265" t="s">
        <v>88</v>
      </c>
    </row>
    <row r="2266" spans="1:16" x14ac:dyDescent="0.25">
      <c r="A2266">
        <v>2265</v>
      </c>
      <c r="B2266" s="1">
        <v>45897</v>
      </c>
      <c r="C2266" t="s">
        <v>21</v>
      </c>
      <c r="D2266" t="s">
        <v>24</v>
      </c>
      <c r="E2266" t="s">
        <v>28</v>
      </c>
      <c r="F2266" t="s">
        <v>35</v>
      </c>
      <c r="G2266" t="s">
        <v>72</v>
      </c>
      <c r="H2266" t="s">
        <v>74</v>
      </c>
      <c r="I2266">
        <v>6</v>
      </c>
      <c r="J2266">
        <v>179</v>
      </c>
      <c r="K2266">
        <v>0.1</v>
      </c>
      <c r="L2266">
        <v>966.6</v>
      </c>
      <c r="M2266">
        <v>613.79</v>
      </c>
      <c r="N2266">
        <v>352.81</v>
      </c>
      <c r="O2266" t="s">
        <v>78</v>
      </c>
      <c r="P2266" t="s">
        <v>82</v>
      </c>
    </row>
    <row r="2267" spans="1:16" x14ac:dyDescent="0.25">
      <c r="A2267">
        <v>2266</v>
      </c>
      <c r="B2267" s="1">
        <v>45985</v>
      </c>
      <c r="C2267" t="s">
        <v>16</v>
      </c>
      <c r="D2267" t="s">
        <v>24</v>
      </c>
      <c r="E2267" t="s">
        <v>32</v>
      </c>
      <c r="F2267" t="s">
        <v>39</v>
      </c>
      <c r="G2267" t="s">
        <v>70</v>
      </c>
      <c r="H2267" t="s">
        <v>73</v>
      </c>
      <c r="I2267">
        <v>6</v>
      </c>
      <c r="J2267">
        <v>18992</v>
      </c>
      <c r="K2267">
        <v>0.05</v>
      </c>
      <c r="L2267">
        <v>108254.39999999999</v>
      </c>
      <c r="M2267">
        <v>59542.33</v>
      </c>
      <c r="N2267">
        <v>48712.07</v>
      </c>
      <c r="O2267" t="s">
        <v>80</v>
      </c>
      <c r="P2267" t="s">
        <v>85</v>
      </c>
    </row>
    <row r="2268" spans="1:16" x14ac:dyDescent="0.25">
      <c r="A2268">
        <v>2267</v>
      </c>
      <c r="B2268" s="1">
        <v>45937</v>
      </c>
      <c r="C2268" t="s">
        <v>19</v>
      </c>
      <c r="D2268" t="s">
        <v>26</v>
      </c>
      <c r="E2268" t="s">
        <v>32</v>
      </c>
      <c r="F2268" t="s">
        <v>66</v>
      </c>
      <c r="G2268" t="s">
        <v>72</v>
      </c>
      <c r="H2268" t="s">
        <v>75</v>
      </c>
      <c r="I2268">
        <v>8</v>
      </c>
      <c r="J2268">
        <v>24809</v>
      </c>
      <c r="K2268">
        <v>0.05</v>
      </c>
      <c r="L2268">
        <v>188548.4</v>
      </c>
      <c r="M2268">
        <v>125772.71</v>
      </c>
      <c r="N2268">
        <v>62775.69</v>
      </c>
      <c r="O2268" t="s">
        <v>80</v>
      </c>
      <c r="P2268" t="s">
        <v>83</v>
      </c>
    </row>
    <row r="2269" spans="1:16" x14ac:dyDescent="0.25">
      <c r="A2269">
        <v>2268</v>
      </c>
      <c r="B2269" s="1">
        <v>45897</v>
      </c>
      <c r="C2269" t="s">
        <v>22</v>
      </c>
      <c r="D2269" t="s">
        <v>24</v>
      </c>
      <c r="E2269" t="s">
        <v>30</v>
      </c>
      <c r="F2269" t="s">
        <v>44</v>
      </c>
      <c r="G2269" t="s">
        <v>71</v>
      </c>
      <c r="H2269" t="s">
        <v>74</v>
      </c>
      <c r="I2269">
        <v>2</v>
      </c>
      <c r="J2269">
        <v>37666</v>
      </c>
      <c r="K2269">
        <v>0.1</v>
      </c>
      <c r="L2269">
        <v>67798.8</v>
      </c>
      <c r="M2269">
        <v>43466.01</v>
      </c>
      <c r="N2269">
        <v>24332.79</v>
      </c>
      <c r="O2269" t="s">
        <v>79</v>
      </c>
      <c r="P2269" t="s">
        <v>86</v>
      </c>
    </row>
    <row r="2270" spans="1:16" x14ac:dyDescent="0.25">
      <c r="A2270">
        <v>2269</v>
      </c>
      <c r="B2270" s="1">
        <v>46000</v>
      </c>
      <c r="C2270" t="s">
        <v>20</v>
      </c>
      <c r="D2270" t="s">
        <v>26</v>
      </c>
      <c r="E2270" t="s">
        <v>30</v>
      </c>
      <c r="F2270" t="s">
        <v>40</v>
      </c>
      <c r="G2270" t="s">
        <v>72</v>
      </c>
      <c r="H2270" t="s">
        <v>74</v>
      </c>
      <c r="I2270">
        <v>3</v>
      </c>
      <c r="J2270">
        <v>53247</v>
      </c>
      <c r="K2270">
        <v>0.1</v>
      </c>
      <c r="L2270">
        <v>143766.9</v>
      </c>
      <c r="M2270">
        <v>84470.01</v>
      </c>
      <c r="N2270">
        <v>59296.89</v>
      </c>
      <c r="O2270" t="s">
        <v>79</v>
      </c>
      <c r="P2270" t="s">
        <v>85</v>
      </c>
    </row>
    <row r="2271" spans="1:16" x14ac:dyDescent="0.25">
      <c r="A2271">
        <v>2270</v>
      </c>
      <c r="B2271" s="1">
        <v>45679</v>
      </c>
      <c r="C2271" t="s">
        <v>23</v>
      </c>
      <c r="D2271" t="s">
        <v>27</v>
      </c>
      <c r="E2271" t="s">
        <v>34</v>
      </c>
      <c r="F2271" t="s">
        <v>65</v>
      </c>
      <c r="G2271" t="s">
        <v>70</v>
      </c>
      <c r="H2271" t="s">
        <v>75</v>
      </c>
      <c r="I2271">
        <v>5</v>
      </c>
      <c r="J2271">
        <v>4454</v>
      </c>
      <c r="K2271">
        <v>0.15</v>
      </c>
      <c r="L2271">
        <v>18929.5</v>
      </c>
      <c r="M2271">
        <v>15619.9</v>
      </c>
      <c r="N2271">
        <v>3309.6</v>
      </c>
      <c r="O2271" t="s">
        <v>79</v>
      </c>
      <c r="P2271" t="s">
        <v>81</v>
      </c>
    </row>
    <row r="2272" spans="1:16" x14ac:dyDescent="0.25">
      <c r="A2272">
        <v>2271</v>
      </c>
      <c r="B2272" s="1">
        <v>45677</v>
      </c>
      <c r="C2272" t="s">
        <v>16</v>
      </c>
      <c r="D2272" t="s">
        <v>24</v>
      </c>
      <c r="E2272" t="s">
        <v>30</v>
      </c>
      <c r="F2272" t="s">
        <v>64</v>
      </c>
      <c r="G2272" t="s">
        <v>72</v>
      </c>
      <c r="H2272" t="s">
        <v>74</v>
      </c>
      <c r="I2272">
        <v>5</v>
      </c>
      <c r="J2272">
        <v>41873</v>
      </c>
      <c r="K2272">
        <v>0.1</v>
      </c>
      <c r="L2272">
        <v>188428.5</v>
      </c>
      <c r="M2272">
        <v>107339.61</v>
      </c>
      <c r="N2272">
        <v>81088.89</v>
      </c>
      <c r="O2272" t="s">
        <v>78</v>
      </c>
      <c r="P2272" t="s">
        <v>82</v>
      </c>
    </row>
    <row r="2273" spans="1:16" x14ac:dyDescent="0.25">
      <c r="A2273">
        <v>2272</v>
      </c>
      <c r="B2273" s="1">
        <v>45798</v>
      </c>
      <c r="C2273" t="s">
        <v>21</v>
      </c>
      <c r="D2273" t="s">
        <v>24</v>
      </c>
      <c r="E2273" t="s">
        <v>31</v>
      </c>
      <c r="F2273" t="s">
        <v>69</v>
      </c>
      <c r="G2273" t="s">
        <v>71</v>
      </c>
      <c r="H2273" t="s">
        <v>75</v>
      </c>
      <c r="I2273">
        <v>6</v>
      </c>
      <c r="J2273">
        <v>1829</v>
      </c>
      <c r="K2273">
        <v>0.1</v>
      </c>
      <c r="L2273">
        <v>9876.6</v>
      </c>
      <c r="M2273">
        <v>7440.32</v>
      </c>
      <c r="N2273">
        <v>2436.2800000000002</v>
      </c>
      <c r="O2273" t="s">
        <v>76</v>
      </c>
      <c r="P2273" t="s">
        <v>87</v>
      </c>
    </row>
    <row r="2274" spans="1:16" x14ac:dyDescent="0.25">
      <c r="A2274">
        <v>2273</v>
      </c>
      <c r="B2274" s="1">
        <v>45980</v>
      </c>
      <c r="C2274" t="s">
        <v>18</v>
      </c>
      <c r="D2274" t="s">
        <v>26</v>
      </c>
      <c r="E2274" t="s">
        <v>34</v>
      </c>
      <c r="F2274" t="s">
        <v>43</v>
      </c>
      <c r="G2274" t="s">
        <v>72</v>
      </c>
      <c r="H2274" t="s">
        <v>73</v>
      </c>
      <c r="I2274">
        <v>5</v>
      </c>
      <c r="J2274">
        <v>2922</v>
      </c>
      <c r="K2274">
        <v>0.05</v>
      </c>
      <c r="L2274">
        <v>13879.5</v>
      </c>
      <c r="M2274">
        <v>9626.11</v>
      </c>
      <c r="N2274">
        <v>4253.3900000000003</v>
      </c>
      <c r="O2274" t="s">
        <v>78</v>
      </c>
      <c r="P2274" t="s">
        <v>88</v>
      </c>
    </row>
    <row r="2275" spans="1:16" x14ac:dyDescent="0.25">
      <c r="A2275">
        <v>2274</v>
      </c>
      <c r="B2275" s="1">
        <v>45973</v>
      </c>
      <c r="C2275" t="s">
        <v>20</v>
      </c>
      <c r="D2275" t="s">
        <v>26</v>
      </c>
      <c r="E2275" t="s">
        <v>33</v>
      </c>
      <c r="F2275" t="s">
        <v>60</v>
      </c>
      <c r="G2275" t="s">
        <v>72</v>
      </c>
      <c r="H2275" t="s">
        <v>74</v>
      </c>
      <c r="I2275">
        <v>2</v>
      </c>
      <c r="J2275">
        <v>34619</v>
      </c>
      <c r="K2275">
        <v>0.15</v>
      </c>
      <c r="L2275">
        <v>58852.3</v>
      </c>
      <c r="M2275">
        <v>44959.19</v>
      </c>
      <c r="N2275">
        <v>13893.11</v>
      </c>
      <c r="O2275" t="s">
        <v>77</v>
      </c>
      <c r="P2275" t="s">
        <v>83</v>
      </c>
    </row>
    <row r="2276" spans="1:16" x14ac:dyDescent="0.25">
      <c r="A2276">
        <v>2275</v>
      </c>
      <c r="B2276" s="1">
        <v>45762</v>
      </c>
      <c r="C2276" t="s">
        <v>16</v>
      </c>
      <c r="D2276" t="s">
        <v>24</v>
      </c>
      <c r="E2276" t="s">
        <v>32</v>
      </c>
      <c r="F2276" t="s">
        <v>48</v>
      </c>
      <c r="G2276" t="s">
        <v>72</v>
      </c>
      <c r="H2276" t="s">
        <v>73</v>
      </c>
      <c r="I2276">
        <v>1</v>
      </c>
      <c r="J2276">
        <v>10494</v>
      </c>
      <c r="K2276">
        <v>0</v>
      </c>
      <c r="L2276">
        <v>10494</v>
      </c>
      <c r="M2276">
        <v>6447.52</v>
      </c>
      <c r="N2276">
        <v>4046.48</v>
      </c>
      <c r="O2276" t="s">
        <v>80</v>
      </c>
      <c r="P2276" t="s">
        <v>81</v>
      </c>
    </row>
    <row r="2277" spans="1:16" x14ac:dyDescent="0.25">
      <c r="A2277">
        <v>2276</v>
      </c>
      <c r="B2277" s="1">
        <v>45778</v>
      </c>
      <c r="C2277" t="s">
        <v>16</v>
      </c>
      <c r="D2277" t="s">
        <v>24</v>
      </c>
      <c r="E2277" t="s">
        <v>28</v>
      </c>
      <c r="F2277" t="s">
        <v>35</v>
      </c>
      <c r="G2277" t="s">
        <v>71</v>
      </c>
      <c r="H2277" t="s">
        <v>74</v>
      </c>
      <c r="I2277">
        <v>4</v>
      </c>
      <c r="J2277">
        <v>2366</v>
      </c>
      <c r="K2277">
        <v>0.1</v>
      </c>
      <c r="L2277">
        <v>8517.6</v>
      </c>
      <c r="M2277">
        <v>6830.05</v>
      </c>
      <c r="N2277">
        <v>1687.55</v>
      </c>
      <c r="O2277" t="s">
        <v>76</v>
      </c>
      <c r="P2277" t="s">
        <v>85</v>
      </c>
    </row>
    <row r="2278" spans="1:16" x14ac:dyDescent="0.25">
      <c r="A2278">
        <v>2277</v>
      </c>
      <c r="B2278" s="1">
        <v>45867</v>
      </c>
      <c r="C2278" t="s">
        <v>23</v>
      </c>
      <c r="D2278" t="s">
        <v>27</v>
      </c>
      <c r="E2278" t="s">
        <v>32</v>
      </c>
      <c r="F2278" t="s">
        <v>39</v>
      </c>
      <c r="G2278" t="s">
        <v>72</v>
      </c>
      <c r="H2278" t="s">
        <v>74</v>
      </c>
      <c r="I2278">
        <v>5</v>
      </c>
      <c r="J2278">
        <v>14367</v>
      </c>
      <c r="K2278">
        <v>0.15</v>
      </c>
      <c r="L2278">
        <v>61059.75</v>
      </c>
      <c r="M2278">
        <v>41204.61</v>
      </c>
      <c r="N2278">
        <v>19855.14</v>
      </c>
      <c r="O2278" t="s">
        <v>77</v>
      </c>
      <c r="P2278" t="s">
        <v>88</v>
      </c>
    </row>
    <row r="2279" spans="1:16" x14ac:dyDescent="0.25">
      <c r="A2279">
        <v>2278</v>
      </c>
      <c r="B2279" s="1">
        <v>45954</v>
      </c>
      <c r="C2279" t="s">
        <v>22</v>
      </c>
      <c r="D2279" t="s">
        <v>24</v>
      </c>
      <c r="E2279" t="s">
        <v>28</v>
      </c>
      <c r="F2279" t="s">
        <v>63</v>
      </c>
      <c r="G2279" t="s">
        <v>70</v>
      </c>
      <c r="H2279" t="s">
        <v>73</v>
      </c>
      <c r="I2279">
        <v>7</v>
      </c>
      <c r="J2279">
        <v>1353</v>
      </c>
      <c r="K2279">
        <v>0</v>
      </c>
      <c r="L2279">
        <v>9471</v>
      </c>
      <c r="M2279">
        <v>6249.96</v>
      </c>
      <c r="N2279">
        <v>3221.04</v>
      </c>
      <c r="O2279" t="s">
        <v>79</v>
      </c>
      <c r="P2279" t="s">
        <v>86</v>
      </c>
    </row>
    <row r="2280" spans="1:16" x14ac:dyDescent="0.25">
      <c r="A2280">
        <v>2279</v>
      </c>
      <c r="B2280" s="1">
        <v>45854</v>
      </c>
      <c r="C2280" t="s">
        <v>20</v>
      </c>
      <c r="D2280" t="s">
        <v>26</v>
      </c>
      <c r="E2280" t="s">
        <v>29</v>
      </c>
      <c r="F2280" t="s">
        <v>36</v>
      </c>
      <c r="G2280" t="s">
        <v>70</v>
      </c>
      <c r="H2280" t="s">
        <v>74</v>
      </c>
      <c r="I2280">
        <v>5</v>
      </c>
      <c r="J2280">
        <v>4799</v>
      </c>
      <c r="K2280">
        <v>0.15</v>
      </c>
      <c r="L2280">
        <v>20395.75</v>
      </c>
      <c r="M2280">
        <v>11640.7</v>
      </c>
      <c r="N2280">
        <v>8755.0499999999993</v>
      </c>
      <c r="O2280" t="s">
        <v>79</v>
      </c>
      <c r="P2280" t="s">
        <v>84</v>
      </c>
    </row>
    <row r="2281" spans="1:16" x14ac:dyDescent="0.25">
      <c r="A2281">
        <v>2280</v>
      </c>
      <c r="B2281" s="1">
        <v>45802</v>
      </c>
      <c r="C2281" t="s">
        <v>18</v>
      </c>
      <c r="D2281" t="s">
        <v>26</v>
      </c>
      <c r="E2281" t="s">
        <v>31</v>
      </c>
      <c r="F2281" t="s">
        <v>47</v>
      </c>
      <c r="G2281" t="s">
        <v>71</v>
      </c>
      <c r="H2281" t="s">
        <v>75</v>
      </c>
      <c r="I2281">
        <v>4</v>
      </c>
      <c r="J2281">
        <v>1979</v>
      </c>
      <c r="K2281">
        <v>0.1</v>
      </c>
      <c r="L2281">
        <v>7124.4</v>
      </c>
      <c r="M2281">
        <v>5540.07</v>
      </c>
      <c r="N2281">
        <v>1584.33</v>
      </c>
      <c r="O2281" t="s">
        <v>79</v>
      </c>
      <c r="P2281" t="s">
        <v>81</v>
      </c>
    </row>
    <row r="2282" spans="1:16" x14ac:dyDescent="0.25">
      <c r="A2282">
        <v>2281</v>
      </c>
      <c r="B2282" s="1">
        <v>45906</v>
      </c>
      <c r="C2282" t="s">
        <v>18</v>
      </c>
      <c r="D2282" t="s">
        <v>26</v>
      </c>
      <c r="E2282" t="s">
        <v>33</v>
      </c>
      <c r="F2282" t="s">
        <v>59</v>
      </c>
      <c r="G2282" t="s">
        <v>71</v>
      </c>
      <c r="H2282" t="s">
        <v>75</v>
      </c>
      <c r="I2282">
        <v>7</v>
      </c>
      <c r="J2282">
        <v>34224</v>
      </c>
      <c r="K2282">
        <v>0.05</v>
      </c>
      <c r="L2282">
        <v>227589.6</v>
      </c>
      <c r="M2282">
        <v>196205.87</v>
      </c>
      <c r="N2282">
        <v>31383.73</v>
      </c>
      <c r="O2282" t="s">
        <v>77</v>
      </c>
      <c r="P2282" t="s">
        <v>86</v>
      </c>
    </row>
    <row r="2283" spans="1:16" x14ac:dyDescent="0.25">
      <c r="A2283">
        <v>2282</v>
      </c>
      <c r="B2283" s="1">
        <v>45729</v>
      </c>
      <c r="C2283" t="s">
        <v>18</v>
      </c>
      <c r="D2283" t="s">
        <v>26</v>
      </c>
      <c r="E2283" t="s">
        <v>28</v>
      </c>
      <c r="F2283" t="s">
        <v>63</v>
      </c>
      <c r="G2283" t="s">
        <v>70</v>
      </c>
      <c r="H2283" t="s">
        <v>75</v>
      </c>
      <c r="I2283">
        <v>2</v>
      </c>
      <c r="J2283">
        <v>1028</v>
      </c>
      <c r="K2283">
        <v>0.1</v>
      </c>
      <c r="L2283">
        <v>1850.4</v>
      </c>
      <c r="M2283">
        <v>1138.22</v>
      </c>
      <c r="N2283">
        <v>712.18</v>
      </c>
      <c r="O2283" t="s">
        <v>76</v>
      </c>
      <c r="P2283" t="s">
        <v>88</v>
      </c>
    </row>
    <row r="2284" spans="1:16" x14ac:dyDescent="0.25">
      <c r="A2284">
        <v>2283</v>
      </c>
      <c r="B2284" s="1">
        <v>45678</v>
      </c>
      <c r="C2284" t="s">
        <v>23</v>
      </c>
      <c r="D2284" t="s">
        <v>27</v>
      </c>
      <c r="E2284" t="s">
        <v>33</v>
      </c>
      <c r="F2284" t="s">
        <v>46</v>
      </c>
      <c r="G2284" t="s">
        <v>72</v>
      </c>
      <c r="H2284" t="s">
        <v>75</v>
      </c>
      <c r="I2284">
        <v>7</v>
      </c>
      <c r="J2284">
        <v>40271</v>
      </c>
      <c r="K2284">
        <v>0.1</v>
      </c>
      <c r="L2284">
        <v>253707.3</v>
      </c>
      <c r="M2284">
        <v>150845.69</v>
      </c>
      <c r="N2284">
        <v>102861.61</v>
      </c>
      <c r="O2284" t="s">
        <v>78</v>
      </c>
      <c r="P2284" t="s">
        <v>82</v>
      </c>
    </row>
    <row r="2285" spans="1:16" x14ac:dyDescent="0.25">
      <c r="A2285">
        <v>2284</v>
      </c>
      <c r="B2285" s="1">
        <v>45784</v>
      </c>
      <c r="C2285" t="s">
        <v>22</v>
      </c>
      <c r="D2285" t="s">
        <v>24</v>
      </c>
      <c r="E2285" t="s">
        <v>34</v>
      </c>
      <c r="F2285" t="s">
        <v>51</v>
      </c>
      <c r="G2285" t="s">
        <v>72</v>
      </c>
      <c r="H2285" t="s">
        <v>73</v>
      </c>
      <c r="I2285">
        <v>3</v>
      </c>
      <c r="J2285">
        <v>364</v>
      </c>
      <c r="K2285">
        <v>0.05</v>
      </c>
      <c r="L2285">
        <v>1037.4000000000001</v>
      </c>
      <c r="M2285">
        <v>719.88</v>
      </c>
      <c r="N2285">
        <v>317.52</v>
      </c>
      <c r="O2285" t="s">
        <v>80</v>
      </c>
      <c r="P2285" t="s">
        <v>81</v>
      </c>
    </row>
    <row r="2286" spans="1:16" x14ac:dyDescent="0.25">
      <c r="A2286">
        <v>2285</v>
      </c>
      <c r="B2286" s="1">
        <v>45931</v>
      </c>
      <c r="C2286" t="s">
        <v>23</v>
      </c>
      <c r="D2286" t="s">
        <v>27</v>
      </c>
      <c r="E2286" t="s">
        <v>30</v>
      </c>
      <c r="F2286" t="s">
        <v>56</v>
      </c>
      <c r="G2286" t="s">
        <v>72</v>
      </c>
      <c r="H2286" t="s">
        <v>74</v>
      </c>
      <c r="I2286">
        <v>2</v>
      </c>
      <c r="J2286">
        <v>24316</v>
      </c>
      <c r="K2286">
        <v>0.15</v>
      </c>
      <c r="L2286">
        <v>41337.199999999997</v>
      </c>
      <c r="M2286">
        <v>30581.08</v>
      </c>
      <c r="N2286">
        <v>10756.12</v>
      </c>
      <c r="O2286" t="s">
        <v>78</v>
      </c>
      <c r="P2286" t="s">
        <v>87</v>
      </c>
    </row>
    <row r="2287" spans="1:16" x14ac:dyDescent="0.25">
      <c r="A2287">
        <v>2286</v>
      </c>
      <c r="B2287" s="1">
        <v>45927</v>
      </c>
      <c r="C2287" t="s">
        <v>21</v>
      </c>
      <c r="D2287" t="s">
        <v>24</v>
      </c>
      <c r="E2287" t="s">
        <v>32</v>
      </c>
      <c r="F2287" t="s">
        <v>66</v>
      </c>
      <c r="G2287" t="s">
        <v>72</v>
      </c>
      <c r="H2287" t="s">
        <v>74</v>
      </c>
      <c r="I2287">
        <v>3</v>
      </c>
      <c r="J2287">
        <v>22926</v>
      </c>
      <c r="K2287">
        <v>0</v>
      </c>
      <c r="L2287">
        <v>68778</v>
      </c>
      <c r="M2287">
        <v>55217.86</v>
      </c>
      <c r="N2287">
        <v>13560.14</v>
      </c>
      <c r="O2287" t="s">
        <v>78</v>
      </c>
      <c r="P2287" t="s">
        <v>87</v>
      </c>
    </row>
    <row r="2288" spans="1:16" x14ac:dyDescent="0.25">
      <c r="A2288">
        <v>2287</v>
      </c>
      <c r="B2288" s="1">
        <v>45963</v>
      </c>
      <c r="C2288" t="s">
        <v>18</v>
      </c>
      <c r="D2288" t="s">
        <v>26</v>
      </c>
      <c r="E2288" t="s">
        <v>28</v>
      </c>
      <c r="F2288" t="s">
        <v>63</v>
      </c>
      <c r="G2288" t="s">
        <v>71</v>
      </c>
      <c r="H2288" t="s">
        <v>73</v>
      </c>
      <c r="I2288">
        <v>5</v>
      </c>
      <c r="J2288">
        <v>522</v>
      </c>
      <c r="K2288">
        <v>0.15</v>
      </c>
      <c r="L2288">
        <v>2218.5</v>
      </c>
      <c r="M2288">
        <v>1530.46</v>
      </c>
      <c r="N2288">
        <v>688.04</v>
      </c>
      <c r="O2288" t="s">
        <v>78</v>
      </c>
      <c r="P2288" t="s">
        <v>81</v>
      </c>
    </row>
    <row r="2289" spans="1:16" x14ac:dyDescent="0.25">
      <c r="A2289">
        <v>2288</v>
      </c>
      <c r="B2289" s="1">
        <v>45903</v>
      </c>
      <c r="C2289" t="s">
        <v>22</v>
      </c>
      <c r="D2289" t="s">
        <v>24</v>
      </c>
      <c r="E2289" t="s">
        <v>31</v>
      </c>
      <c r="F2289" t="s">
        <v>69</v>
      </c>
      <c r="G2289" t="s">
        <v>70</v>
      </c>
      <c r="H2289" t="s">
        <v>74</v>
      </c>
      <c r="I2289">
        <v>8</v>
      </c>
      <c r="J2289">
        <v>1364</v>
      </c>
      <c r="K2289">
        <v>0.1</v>
      </c>
      <c r="L2289">
        <v>9820.7999999999993</v>
      </c>
      <c r="M2289">
        <v>8250.42</v>
      </c>
      <c r="N2289">
        <v>1570.38</v>
      </c>
      <c r="O2289" t="s">
        <v>76</v>
      </c>
      <c r="P2289" t="s">
        <v>83</v>
      </c>
    </row>
    <row r="2290" spans="1:16" x14ac:dyDescent="0.25">
      <c r="A2290">
        <v>2289</v>
      </c>
      <c r="B2290" s="1">
        <v>45944</v>
      </c>
      <c r="C2290" t="s">
        <v>18</v>
      </c>
      <c r="D2290" t="s">
        <v>26</v>
      </c>
      <c r="E2290" t="s">
        <v>31</v>
      </c>
      <c r="F2290" t="s">
        <v>69</v>
      </c>
      <c r="G2290" t="s">
        <v>70</v>
      </c>
      <c r="H2290" t="s">
        <v>73</v>
      </c>
      <c r="I2290">
        <v>7</v>
      </c>
      <c r="J2290">
        <v>2276</v>
      </c>
      <c r="K2290">
        <v>0</v>
      </c>
      <c r="L2290">
        <v>15932</v>
      </c>
      <c r="M2290">
        <v>13751.34</v>
      </c>
      <c r="N2290">
        <v>2180.66</v>
      </c>
      <c r="O2290" t="s">
        <v>77</v>
      </c>
      <c r="P2290" t="s">
        <v>85</v>
      </c>
    </row>
    <row r="2291" spans="1:16" x14ac:dyDescent="0.25">
      <c r="A2291">
        <v>2290</v>
      </c>
      <c r="B2291" s="1">
        <v>45977</v>
      </c>
      <c r="C2291" t="s">
        <v>17</v>
      </c>
      <c r="D2291" t="s">
        <v>25</v>
      </c>
      <c r="E2291" t="s">
        <v>29</v>
      </c>
      <c r="F2291" t="s">
        <v>57</v>
      </c>
      <c r="G2291" t="s">
        <v>72</v>
      </c>
      <c r="H2291" t="s">
        <v>73</v>
      </c>
      <c r="I2291">
        <v>2</v>
      </c>
      <c r="J2291">
        <v>9427</v>
      </c>
      <c r="K2291">
        <v>0.05</v>
      </c>
      <c r="L2291">
        <v>17911.3</v>
      </c>
      <c r="M2291">
        <v>15659.87</v>
      </c>
      <c r="N2291">
        <v>2251.4299999999998</v>
      </c>
      <c r="O2291" t="s">
        <v>76</v>
      </c>
      <c r="P2291" t="s">
        <v>88</v>
      </c>
    </row>
    <row r="2292" spans="1:16" x14ac:dyDescent="0.25">
      <c r="A2292">
        <v>2291</v>
      </c>
      <c r="B2292" s="1">
        <v>45885</v>
      </c>
      <c r="C2292" t="s">
        <v>20</v>
      </c>
      <c r="D2292" t="s">
        <v>26</v>
      </c>
      <c r="E2292" t="s">
        <v>33</v>
      </c>
      <c r="F2292" t="s">
        <v>59</v>
      </c>
      <c r="G2292" t="s">
        <v>72</v>
      </c>
      <c r="H2292" t="s">
        <v>74</v>
      </c>
      <c r="I2292">
        <v>4</v>
      </c>
      <c r="J2292">
        <v>43759</v>
      </c>
      <c r="K2292">
        <v>0.05</v>
      </c>
      <c r="L2292">
        <v>166284.20000000001</v>
      </c>
      <c r="M2292">
        <v>110245.88</v>
      </c>
      <c r="N2292">
        <v>56038.32</v>
      </c>
      <c r="O2292" t="s">
        <v>78</v>
      </c>
      <c r="P2292" t="s">
        <v>88</v>
      </c>
    </row>
    <row r="2293" spans="1:16" x14ac:dyDescent="0.25">
      <c r="A2293">
        <v>2292</v>
      </c>
      <c r="B2293" s="1">
        <v>45749</v>
      </c>
      <c r="C2293" t="s">
        <v>23</v>
      </c>
      <c r="D2293" t="s">
        <v>27</v>
      </c>
      <c r="E2293" t="s">
        <v>30</v>
      </c>
      <c r="F2293" t="s">
        <v>40</v>
      </c>
      <c r="G2293" t="s">
        <v>72</v>
      </c>
      <c r="H2293" t="s">
        <v>73</v>
      </c>
      <c r="I2293">
        <v>3</v>
      </c>
      <c r="J2293">
        <v>10395</v>
      </c>
      <c r="K2293">
        <v>0.15</v>
      </c>
      <c r="L2293">
        <v>26507.25</v>
      </c>
      <c r="M2293">
        <v>20300.599999999999</v>
      </c>
      <c r="N2293">
        <v>6206.65</v>
      </c>
      <c r="O2293" t="s">
        <v>80</v>
      </c>
      <c r="P2293" t="s">
        <v>88</v>
      </c>
    </row>
    <row r="2294" spans="1:16" x14ac:dyDescent="0.25">
      <c r="A2294">
        <v>2293</v>
      </c>
      <c r="B2294" s="1">
        <v>45980</v>
      </c>
      <c r="C2294" t="s">
        <v>20</v>
      </c>
      <c r="D2294" t="s">
        <v>26</v>
      </c>
      <c r="E2294" t="s">
        <v>28</v>
      </c>
      <c r="F2294" t="s">
        <v>35</v>
      </c>
      <c r="G2294" t="s">
        <v>70</v>
      </c>
      <c r="H2294" t="s">
        <v>73</v>
      </c>
      <c r="I2294">
        <v>2</v>
      </c>
      <c r="J2294">
        <v>1099</v>
      </c>
      <c r="K2294">
        <v>0</v>
      </c>
      <c r="L2294">
        <v>2198</v>
      </c>
      <c r="M2294">
        <v>1253.6500000000001</v>
      </c>
      <c r="N2294">
        <v>944.35</v>
      </c>
      <c r="O2294" t="s">
        <v>80</v>
      </c>
      <c r="P2294" t="s">
        <v>83</v>
      </c>
    </row>
    <row r="2295" spans="1:16" x14ac:dyDescent="0.25">
      <c r="A2295">
        <v>2294</v>
      </c>
      <c r="B2295" s="1">
        <v>45778</v>
      </c>
      <c r="C2295" t="s">
        <v>22</v>
      </c>
      <c r="D2295" t="s">
        <v>24</v>
      </c>
      <c r="E2295" t="s">
        <v>32</v>
      </c>
      <c r="F2295" t="s">
        <v>49</v>
      </c>
      <c r="G2295" t="s">
        <v>72</v>
      </c>
      <c r="H2295" t="s">
        <v>74</v>
      </c>
      <c r="I2295">
        <v>1</v>
      </c>
      <c r="J2295">
        <v>20288</v>
      </c>
      <c r="K2295">
        <v>0.05</v>
      </c>
      <c r="L2295">
        <v>19273.599999999999</v>
      </c>
      <c r="M2295">
        <v>16560.259999999998</v>
      </c>
      <c r="N2295">
        <v>2713.34</v>
      </c>
      <c r="O2295" t="s">
        <v>80</v>
      </c>
      <c r="P2295" t="s">
        <v>83</v>
      </c>
    </row>
    <row r="2296" spans="1:16" x14ac:dyDescent="0.25">
      <c r="A2296">
        <v>2295</v>
      </c>
      <c r="B2296" s="1">
        <v>45829</v>
      </c>
      <c r="C2296" t="s">
        <v>23</v>
      </c>
      <c r="D2296" t="s">
        <v>27</v>
      </c>
      <c r="E2296" t="s">
        <v>34</v>
      </c>
      <c r="F2296" t="s">
        <v>43</v>
      </c>
      <c r="G2296" t="s">
        <v>70</v>
      </c>
      <c r="H2296" t="s">
        <v>74</v>
      </c>
      <c r="I2296">
        <v>5</v>
      </c>
      <c r="J2296">
        <v>3057</v>
      </c>
      <c r="K2296">
        <v>0.05</v>
      </c>
      <c r="L2296">
        <v>14520.75</v>
      </c>
      <c r="M2296">
        <v>8611.1</v>
      </c>
      <c r="N2296">
        <v>5909.65</v>
      </c>
      <c r="O2296" t="s">
        <v>76</v>
      </c>
      <c r="P2296" t="s">
        <v>81</v>
      </c>
    </row>
    <row r="2297" spans="1:16" x14ac:dyDescent="0.25">
      <c r="A2297">
        <v>2296</v>
      </c>
      <c r="B2297" s="1">
        <v>45814</v>
      </c>
      <c r="C2297" t="s">
        <v>22</v>
      </c>
      <c r="D2297" t="s">
        <v>24</v>
      </c>
      <c r="E2297" t="s">
        <v>31</v>
      </c>
      <c r="F2297" t="s">
        <v>38</v>
      </c>
      <c r="G2297" t="s">
        <v>71</v>
      </c>
      <c r="H2297" t="s">
        <v>75</v>
      </c>
      <c r="I2297">
        <v>3</v>
      </c>
      <c r="J2297">
        <v>837</v>
      </c>
      <c r="K2297">
        <v>0.2</v>
      </c>
      <c r="L2297">
        <v>2008.8</v>
      </c>
      <c r="M2297">
        <v>1267.1099999999999</v>
      </c>
      <c r="N2297">
        <v>741.69</v>
      </c>
      <c r="O2297" t="s">
        <v>78</v>
      </c>
      <c r="P2297" t="s">
        <v>81</v>
      </c>
    </row>
    <row r="2298" spans="1:16" x14ac:dyDescent="0.25">
      <c r="A2298">
        <v>2297</v>
      </c>
      <c r="B2298" s="1">
        <v>45790</v>
      </c>
      <c r="C2298" t="s">
        <v>20</v>
      </c>
      <c r="D2298" t="s">
        <v>26</v>
      </c>
      <c r="E2298" t="s">
        <v>32</v>
      </c>
      <c r="F2298" t="s">
        <v>62</v>
      </c>
      <c r="G2298" t="s">
        <v>70</v>
      </c>
      <c r="H2298" t="s">
        <v>75</v>
      </c>
      <c r="I2298">
        <v>7</v>
      </c>
      <c r="J2298">
        <v>16555</v>
      </c>
      <c r="K2298">
        <v>0.05</v>
      </c>
      <c r="L2298">
        <v>110090.75</v>
      </c>
      <c r="M2298">
        <v>68979.710000000006</v>
      </c>
      <c r="N2298">
        <v>41111.040000000001</v>
      </c>
      <c r="O2298" t="s">
        <v>79</v>
      </c>
      <c r="P2298" t="s">
        <v>82</v>
      </c>
    </row>
    <row r="2299" spans="1:16" x14ac:dyDescent="0.25">
      <c r="A2299">
        <v>2298</v>
      </c>
      <c r="B2299" s="1">
        <v>45736</v>
      </c>
      <c r="C2299" t="s">
        <v>23</v>
      </c>
      <c r="D2299" t="s">
        <v>27</v>
      </c>
      <c r="E2299" t="s">
        <v>34</v>
      </c>
      <c r="F2299" t="s">
        <v>55</v>
      </c>
      <c r="G2299" t="s">
        <v>70</v>
      </c>
      <c r="H2299" t="s">
        <v>74</v>
      </c>
      <c r="I2299">
        <v>2</v>
      </c>
      <c r="J2299">
        <v>4506</v>
      </c>
      <c r="K2299">
        <v>0.1</v>
      </c>
      <c r="L2299">
        <v>8110.8</v>
      </c>
      <c r="M2299">
        <v>6347.5</v>
      </c>
      <c r="N2299">
        <v>1763.3</v>
      </c>
      <c r="O2299" t="s">
        <v>77</v>
      </c>
      <c r="P2299" t="s">
        <v>86</v>
      </c>
    </row>
    <row r="2300" spans="1:16" x14ac:dyDescent="0.25">
      <c r="A2300">
        <v>2299</v>
      </c>
      <c r="B2300" s="1">
        <v>45692</v>
      </c>
      <c r="C2300" t="s">
        <v>20</v>
      </c>
      <c r="D2300" t="s">
        <v>26</v>
      </c>
      <c r="E2300" t="s">
        <v>28</v>
      </c>
      <c r="F2300" t="s">
        <v>58</v>
      </c>
      <c r="G2300" t="s">
        <v>70</v>
      </c>
      <c r="H2300" t="s">
        <v>75</v>
      </c>
      <c r="I2300">
        <v>2</v>
      </c>
      <c r="J2300">
        <v>1303</v>
      </c>
      <c r="K2300">
        <v>0.1</v>
      </c>
      <c r="L2300">
        <v>2345.4</v>
      </c>
      <c r="M2300">
        <v>1709.12</v>
      </c>
      <c r="N2300">
        <v>636.28</v>
      </c>
      <c r="O2300" t="s">
        <v>76</v>
      </c>
      <c r="P2300" t="s">
        <v>81</v>
      </c>
    </row>
    <row r="2301" spans="1:16" x14ac:dyDescent="0.25">
      <c r="A2301">
        <v>2300</v>
      </c>
      <c r="B2301" s="1">
        <v>45838</v>
      </c>
      <c r="C2301" t="s">
        <v>16</v>
      </c>
      <c r="D2301" t="s">
        <v>24</v>
      </c>
      <c r="E2301" t="s">
        <v>29</v>
      </c>
      <c r="F2301" t="s">
        <v>57</v>
      </c>
      <c r="G2301" t="s">
        <v>70</v>
      </c>
      <c r="H2301" t="s">
        <v>73</v>
      </c>
      <c r="I2301">
        <v>4</v>
      </c>
      <c r="J2301">
        <v>9909</v>
      </c>
      <c r="K2301">
        <v>0</v>
      </c>
      <c r="L2301">
        <v>39636</v>
      </c>
      <c r="M2301">
        <v>30658.6</v>
      </c>
      <c r="N2301">
        <v>8977.4</v>
      </c>
      <c r="O2301" t="s">
        <v>78</v>
      </c>
      <c r="P2301" t="s">
        <v>85</v>
      </c>
    </row>
    <row r="2302" spans="1:16" x14ac:dyDescent="0.25">
      <c r="A2302">
        <v>2301</v>
      </c>
      <c r="B2302" s="1">
        <v>45762</v>
      </c>
      <c r="C2302" t="s">
        <v>20</v>
      </c>
      <c r="D2302" t="s">
        <v>26</v>
      </c>
      <c r="E2302" t="s">
        <v>32</v>
      </c>
      <c r="F2302" t="s">
        <v>66</v>
      </c>
      <c r="G2302" t="s">
        <v>70</v>
      </c>
      <c r="H2302" t="s">
        <v>73</v>
      </c>
      <c r="I2302">
        <v>5</v>
      </c>
      <c r="J2302">
        <v>5049</v>
      </c>
      <c r="K2302">
        <v>0.05</v>
      </c>
      <c r="L2302">
        <v>23982.75</v>
      </c>
      <c r="M2302">
        <v>18199.740000000002</v>
      </c>
      <c r="N2302">
        <v>5783.01</v>
      </c>
      <c r="O2302" t="s">
        <v>78</v>
      </c>
      <c r="P2302" t="s">
        <v>88</v>
      </c>
    </row>
    <row r="2303" spans="1:16" x14ac:dyDescent="0.25">
      <c r="A2303">
        <v>2302</v>
      </c>
      <c r="B2303" s="1">
        <v>45893</v>
      </c>
      <c r="C2303" t="s">
        <v>20</v>
      </c>
      <c r="D2303" t="s">
        <v>26</v>
      </c>
      <c r="E2303" t="s">
        <v>28</v>
      </c>
      <c r="F2303" t="s">
        <v>58</v>
      </c>
      <c r="G2303" t="s">
        <v>70</v>
      </c>
      <c r="H2303" t="s">
        <v>74</v>
      </c>
      <c r="I2303">
        <v>1</v>
      </c>
      <c r="J2303">
        <v>2379</v>
      </c>
      <c r="K2303">
        <v>0.05</v>
      </c>
      <c r="L2303">
        <v>2260.0500000000002</v>
      </c>
      <c r="M2303">
        <v>1918.42</v>
      </c>
      <c r="N2303">
        <v>341.63</v>
      </c>
      <c r="O2303" t="s">
        <v>79</v>
      </c>
      <c r="P2303" t="s">
        <v>87</v>
      </c>
    </row>
    <row r="2304" spans="1:16" x14ac:dyDescent="0.25">
      <c r="A2304">
        <v>2303</v>
      </c>
      <c r="B2304" s="1">
        <v>45969</v>
      </c>
      <c r="C2304" t="s">
        <v>22</v>
      </c>
      <c r="D2304" t="s">
        <v>24</v>
      </c>
      <c r="E2304" t="s">
        <v>32</v>
      </c>
      <c r="F2304" t="s">
        <v>49</v>
      </c>
      <c r="G2304" t="s">
        <v>70</v>
      </c>
      <c r="H2304" t="s">
        <v>75</v>
      </c>
      <c r="I2304">
        <v>6</v>
      </c>
      <c r="J2304">
        <v>15782</v>
      </c>
      <c r="K2304">
        <v>0.1</v>
      </c>
      <c r="L2304">
        <v>85222.8</v>
      </c>
      <c r="M2304">
        <v>71704.7</v>
      </c>
      <c r="N2304">
        <v>13518.1</v>
      </c>
      <c r="O2304" t="s">
        <v>79</v>
      </c>
      <c r="P2304" t="s">
        <v>87</v>
      </c>
    </row>
    <row r="2305" spans="1:16" x14ac:dyDescent="0.25">
      <c r="A2305">
        <v>2304</v>
      </c>
      <c r="B2305" s="1">
        <v>46015</v>
      </c>
      <c r="C2305" t="s">
        <v>17</v>
      </c>
      <c r="D2305" t="s">
        <v>25</v>
      </c>
      <c r="E2305" t="s">
        <v>32</v>
      </c>
      <c r="F2305" t="s">
        <v>62</v>
      </c>
      <c r="G2305" t="s">
        <v>70</v>
      </c>
      <c r="H2305" t="s">
        <v>74</v>
      </c>
      <c r="I2305">
        <v>7</v>
      </c>
      <c r="J2305">
        <v>3558</v>
      </c>
      <c r="K2305">
        <v>0.1</v>
      </c>
      <c r="L2305">
        <v>22415.4</v>
      </c>
      <c r="M2305">
        <v>13169.03</v>
      </c>
      <c r="N2305">
        <v>9246.3700000000008</v>
      </c>
      <c r="O2305" t="s">
        <v>80</v>
      </c>
      <c r="P2305" t="s">
        <v>81</v>
      </c>
    </row>
    <row r="2306" spans="1:16" x14ac:dyDescent="0.25">
      <c r="A2306">
        <v>2305</v>
      </c>
      <c r="B2306" s="1">
        <v>45802</v>
      </c>
      <c r="C2306" t="s">
        <v>20</v>
      </c>
      <c r="D2306" t="s">
        <v>26</v>
      </c>
      <c r="E2306" t="s">
        <v>33</v>
      </c>
      <c r="F2306" t="s">
        <v>46</v>
      </c>
      <c r="G2306" t="s">
        <v>72</v>
      </c>
      <c r="H2306" t="s">
        <v>75</v>
      </c>
      <c r="I2306">
        <v>5</v>
      </c>
      <c r="J2306">
        <v>3055</v>
      </c>
      <c r="K2306">
        <v>0</v>
      </c>
      <c r="L2306">
        <v>15275</v>
      </c>
      <c r="M2306">
        <v>11895.79</v>
      </c>
      <c r="N2306">
        <v>3379.21</v>
      </c>
      <c r="O2306" t="s">
        <v>77</v>
      </c>
      <c r="P2306" t="s">
        <v>88</v>
      </c>
    </row>
    <row r="2307" spans="1:16" x14ac:dyDescent="0.25">
      <c r="A2307">
        <v>2306</v>
      </c>
      <c r="B2307" s="1">
        <v>45751</v>
      </c>
      <c r="C2307" t="s">
        <v>18</v>
      </c>
      <c r="D2307" t="s">
        <v>26</v>
      </c>
      <c r="E2307" t="s">
        <v>30</v>
      </c>
      <c r="F2307" t="s">
        <v>56</v>
      </c>
      <c r="G2307" t="s">
        <v>72</v>
      </c>
      <c r="H2307" t="s">
        <v>74</v>
      </c>
      <c r="I2307">
        <v>8</v>
      </c>
      <c r="J2307">
        <v>14365</v>
      </c>
      <c r="K2307">
        <v>0.05</v>
      </c>
      <c r="L2307">
        <v>109174</v>
      </c>
      <c r="M2307">
        <v>85396.81</v>
      </c>
      <c r="N2307">
        <v>23777.19</v>
      </c>
      <c r="O2307" t="s">
        <v>80</v>
      </c>
      <c r="P2307" t="s">
        <v>86</v>
      </c>
    </row>
    <row r="2308" spans="1:16" x14ac:dyDescent="0.25">
      <c r="A2308">
        <v>2307</v>
      </c>
      <c r="B2308" s="1">
        <v>45978</v>
      </c>
      <c r="C2308" t="s">
        <v>16</v>
      </c>
      <c r="D2308" t="s">
        <v>24</v>
      </c>
      <c r="E2308" t="s">
        <v>29</v>
      </c>
      <c r="F2308" t="s">
        <v>36</v>
      </c>
      <c r="G2308" t="s">
        <v>70</v>
      </c>
      <c r="H2308" t="s">
        <v>75</v>
      </c>
      <c r="I2308">
        <v>3</v>
      </c>
      <c r="J2308">
        <v>9819</v>
      </c>
      <c r="K2308">
        <v>0.1</v>
      </c>
      <c r="L2308">
        <v>26511.3</v>
      </c>
      <c r="M2308">
        <v>18493.98</v>
      </c>
      <c r="N2308">
        <v>8017.32</v>
      </c>
      <c r="O2308" t="s">
        <v>77</v>
      </c>
      <c r="P2308" t="s">
        <v>83</v>
      </c>
    </row>
    <row r="2309" spans="1:16" x14ac:dyDescent="0.25">
      <c r="A2309">
        <v>2308</v>
      </c>
      <c r="B2309" s="1">
        <v>45710</v>
      </c>
      <c r="C2309" t="s">
        <v>23</v>
      </c>
      <c r="D2309" t="s">
        <v>27</v>
      </c>
      <c r="E2309" t="s">
        <v>28</v>
      </c>
      <c r="F2309" t="s">
        <v>35</v>
      </c>
      <c r="G2309" t="s">
        <v>71</v>
      </c>
      <c r="H2309" t="s">
        <v>73</v>
      </c>
      <c r="I2309">
        <v>6</v>
      </c>
      <c r="J2309">
        <v>273</v>
      </c>
      <c r="K2309">
        <v>0</v>
      </c>
      <c r="L2309">
        <v>1638</v>
      </c>
      <c r="M2309">
        <v>912.62</v>
      </c>
      <c r="N2309">
        <v>725.38</v>
      </c>
      <c r="O2309" t="s">
        <v>77</v>
      </c>
      <c r="P2309" t="s">
        <v>82</v>
      </c>
    </row>
    <row r="2310" spans="1:16" x14ac:dyDescent="0.25">
      <c r="A2310">
        <v>2309</v>
      </c>
      <c r="B2310" s="1">
        <v>45718</v>
      </c>
      <c r="C2310" t="s">
        <v>21</v>
      </c>
      <c r="D2310" t="s">
        <v>24</v>
      </c>
      <c r="E2310" t="s">
        <v>33</v>
      </c>
      <c r="F2310" t="s">
        <v>60</v>
      </c>
      <c r="G2310" t="s">
        <v>71</v>
      </c>
      <c r="H2310" t="s">
        <v>73</v>
      </c>
      <c r="I2310">
        <v>2</v>
      </c>
      <c r="J2310">
        <v>21631</v>
      </c>
      <c r="K2310">
        <v>0</v>
      </c>
      <c r="L2310">
        <v>43262</v>
      </c>
      <c r="M2310">
        <v>30875.43</v>
      </c>
      <c r="N2310">
        <v>12386.57</v>
      </c>
      <c r="O2310" t="s">
        <v>76</v>
      </c>
      <c r="P2310" t="s">
        <v>82</v>
      </c>
    </row>
    <row r="2311" spans="1:16" x14ac:dyDescent="0.25">
      <c r="A2311">
        <v>2310</v>
      </c>
      <c r="B2311" s="1">
        <v>45865</v>
      </c>
      <c r="C2311" t="s">
        <v>20</v>
      </c>
      <c r="D2311" t="s">
        <v>26</v>
      </c>
      <c r="E2311" t="s">
        <v>32</v>
      </c>
      <c r="F2311" t="s">
        <v>49</v>
      </c>
      <c r="G2311" t="s">
        <v>72</v>
      </c>
      <c r="H2311" t="s">
        <v>73</v>
      </c>
      <c r="I2311">
        <v>5</v>
      </c>
      <c r="J2311">
        <v>5758</v>
      </c>
      <c r="K2311">
        <v>0.05</v>
      </c>
      <c r="L2311">
        <v>27350.5</v>
      </c>
      <c r="M2311">
        <v>22188.68</v>
      </c>
      <c r="N2311">
        <v>5161.82</v>
      </c>
      <c r="O2311" t="s">
        <v>79</v>
      </c>
      <c r="P2311" t="s">
        <v>86</v>
      </c>
    </row>
    <row r="2312" spans="1:16" x14ac:dyDescent="0.25">
      <c r="A2312">
        <v>2311</v>
      </c>
      <c r="B2312" s="1">
        <v>45972</v>
      </c>
      <c r="C2312" t="s">
        <v>17</v>
      </c>
      <c r="D2312" t="s">
        <v>25</v>
      </c>
      <c r="E2312" t="s">
        <v>28</v>
      </c>
      <c r="F2312" t="s">
        <v>61</v>
      </c>
      <c r="G2312" t="s">
        <v>71</v>
      </c>
      <c r="H2312" t="s">
        <v>74</v>
      </c>
      <c r="I2312">
        <v>2</v>
      </c>
      <c r="J2312">
        <v>1955</v>
      </c>
      <c r="K2312">
        <v>0.1</v>
      </c>
      <c r="L2312">
        <v>3519</v>
      </c>
      <c r="M2312">
        <v>2448.6799999999998</v>
      </c>
      <c r="N2312">
        <v>1070.32</v>
      </c>
      <c r="O2312" t="s">
        <v>78</v>
      </c>
      <c r="P2312" t="s">
        <v>83</v>
      </c>
    </row>
    <row r="2313" spans="1:16" x14ac:dyDescent="0.25">
      <c r="A2313">
        <v>2312</v>
      </c>
      <c r="B2313" s="1">
        <v>45714</v>
      </c>
      <c r="C2313" t="s">
        <v>16</v>
      </c>
      <c r="D2313" t="s">
        <v>24</v>
      </c>
      <c r="E2313" t="s">
        <v>34</v>
      </c>
      <c r="F2313" t="s">
        <v>55</v>
      </c>
      <c r="G2313" t="s">
        <v>71</v>
      </c>
      <c r="H2313" t="s">
        <v>73</v>
      </c>
      <c r="I2313">
        <v>2</v>
      </c>
      <c r="J2313">
        <v>2223</v>
      </c>
      <c r="K2313">
        <v>0.05</v>
      </c>
      <c r="L2313">
        <v>4223.7</v>
      </c>
      <c r="M2313">
        <v>2637.79</v>
      </c>
      <c r="N2313">
        <v>1585.91</v>
      </c>
      <c r="O2313" t="s">
        <v>79</v>
      </c>
      <c r="P2313" t="s">
        <v>81</v>
      </c>
    </row>
    <row r="2314" spans="1:16" x14ac:dyDescent="0.25">
      <c r="A2314">
        <v>2313</v>
      </c>
      <c r="B2314" s="1">
        <v>45761</v>
      </c>
      <c r="C2314" t="s">
        <v>18</v>
      </c>
      <c r="D2314" t="s">
        <v>26</v>
      </c>
      <c r="E2314" t="s">
        <v>34</v>
      </c>
      <c r="F2314" t="s">
        <v>51</v>
      </c>
      <c r="G2314" t="s">
        <v>72</v>
      </c>
      <c r="H2314" t="s">
        <v>74</v>
      </c>
      <c r="I2314">
        <v>8</v>
      </c>
      <c r="J2314">
        <v>2850</v>
      </c>
      <c r="K2314">
        <v>0.1</v>
      </c>
      <c r="L2314">
        <v>20520</v>
      </c>
      <c r="M2314">
        <v>12996.95</v>
      </c>
      <c r="N2314">
        <v>7523.05</v>
      </c>
      <c r="O2314" t="s">
        <v>76</v>
      </c>
      <c r="P2314" t="s">
        <v>83</v>
      </c>
    </row>
    <row r="2315" spans="1:16" x14ac:dyDescent="0.25">
      <c r="A2315">
        <v>2314</v>
      </c>
      <c r="B2315" s="1">
        <v>45713</v>
      </c>
      <c r="C2315" t="s">
        <v>16</v>
      </c>
      <c r="D2315" t="s">
        <v>24</v>
      </c>
      <c r="E2315" t="s">
        <v>31</v>
      </c>
      <c r="F2315" t="s">
        <v>38</v>
      </c>
      <c r="G2315" t="s">
        <v>70</v>
      </c>
      <c r="H2315" t="s">
        <v>73</v>
      </c>
      <c r="I2315">
        <v>6</v>
      </c>
      <c r="J2315">
        <v>317</v>
      </c>
      <c r="K2315">
        <v>0.05</v>
      </c>
      <c r="L2315">
        <v>1806.9</v>
      </c>
      <c r="M2315">
        <v>1127.1199999999999</v>
      </c>
      <c r="N2315">
        <v>679.78</v>
      </c>
      <c r="O2315" t="s">
        <v>78</v>
      </c>
      <c r="P2315" t="s">
        <v>82</v>
      </c>
    </row>
    <row r="2316" spans="1:16" x14ac:dyDescent="0.25">
      <c r="A2316">
        <v>2315</v>
      </c>
      <c r="B2316" s="1">
        <v>45719</v>
      </c>
      <c r="C2316" t="s">
        <v>23</v>
      </c>
      <c r="D2316" t="s">
        <v>27</v>
      </c>
      <c r="E2316" t="s">
        <v>30</v>
      </c>
      <c r="F2316" t="s">
        <v>37</v>
      </c>
      <c r="G2316" t="s">
        <v>70</v>
      </c>
      <c r="H2316" t="s">
        <v>74</v>
      </c>
      <c r="I2316">
        <v>2</v>
      </c>
      <c r="J2316">
        <v>67657</v>
      </c>
      <c r="K2316">
        <v>0.05</v>
      </c>
      <c r="L2316">
        <v>128548.3</v>
      </c>
      <c r="M2316">
        <v>89540.88</v>
      </c>
      <c r="N2316">
        <v>39007.42</v>
      </c>
      <c r="O2316" t="s">
        <v>77</v>
      </c>
      <c r="P2316" t="s">
        <v>86</v>
      </c>
    </row>
    <row r="2317" spans="1:16" x14ac:dyDescent="0.25">
      <c r="A2317">
        <v>2316</v>
      </c>
      <c r="B2317" s="1">
        <v>45871</v>
      </c>
      <c r="C2317" t="s">
        <v>22</v>
      </c>
      <c r="D2317" t="s">
        <v>24</v>
      </c>
      <c r="E2317" t="s">
        <v>29</v>
      </c>
      <c r="F2317" t="s">
        <v>53</v>
      </c>
      <c r="G2317" t="s">
        <v>71</v>
      </c>
      <c r="H2317" t="s">
        <v>73</v>
      </c>
      <c r="I2317">
        <v>1</v>
      </c>
      <c r="J2317">
        <v>6964</v>
      </c>
      <c r="K2317">
        <v>0.1</v>
      </c>
      <c r="L2317">
        <v>6267.6</v>
      </c>
      <c r="M2317">
        <v>4094.34</v>
      </c>
      <c r="N2317">
        <v>2173.2600000000002</v>
      </c>
      <c r="O2317" t="s">
        <v>80</v>
      </c>
      <c r="P2317" t="s">
        <v>83</v>
      </c>
    </row>
    <row r="2318" spans="1:16" x14ac:dyDescent="0.25">
      <c r="A2318">
        <v>2317</v>
      </c>
      <c r="B2318" s="1">
        <v>45973</v>
      </c>
      <c r="C2318" t="s">
        <v>18</v>
      </c>
      <c r="D2318" t="s">
        <v>26</v>
      </c>
      <c r="E2318" t="s">
        <v>30</v>
      </c>
      <c r="F2318" t="s">
        <v>64</v>
      </c>
      <c r="G2318" t="s">
        <v>72</v>
      </c>
      <c r="H2318" t="s">
        <v>75</v>
      </c>
      <c r="I2318">
        <v>2</v>
      </c>
      <c r="J2318">
        <v>49240</v>
      </c>
      <c r="K2318">
        <v>0</v>
      </c>
      <c r="L2318">
        <v>98480</v>
      </c>
      <c r="M2318">
        <v>55146.68</v>
      </c>
      <c r="N2318">
        <v>43333.32</v>
      </c>
      <c r="O2318" t="s">
        <v>76</v>
      </c>
      <c r="P2318" t="s">
        <v>85</v>
      </c>
    </row>
    <row r="2319" spans="1:16" x14ac:dyDescent="0.25">
      <c r="A2319">
        <v>2318</v>
      </c>
      <c r="B2319" s="1">
        <v>45828</v>
      </c>
      <c r="C2319" t="s">
        <v>21</v>
      </c>
      <c r="D2319" t="s">
        <v>24</v>
      </c>
      <c r="E2319" t="s">
        <v>28</v>
      </c>
      <c r="F2319" t="s">
        <v>35</v>
      </c>
      <c r="G2319" t="s">
        <v>71</v>
      </c>
      <c r="H2319" t="s">
        <v>75</v>
      </c>
      <c r="I2319">
        <v>8</v>
      </c>
      <c r="J2319">
        <v>1952</v>
      </c>
      <c r="K2319">
        <v>0.1</v>
      </c>
      <c r="L2319">
        <v>14054.4</v>
      </c>
      <c r="M2319">
        <v>9519.7199999999993</v>
      </c>
      <c r="N2319">
        <v>4534.68</v>
      </c>
      <c r="O2319" t="s">
        <v>77</v>
      </c>
      <c r="P2319" t="s">
        <v>82</v>
      </c>
    </row>
    <row r="2320" spans="1:16" x14ac:dyDescent="0.25">
      <c r="A2320">
        <v>2319</v>
      </c>
      <c r="B2320" s="1">
        <v>45806</v>
      </c>
      <c r="C2320" t="s">
        <v>19</v>
      </c>
      <c r="D2320" t="s">
        <v>26</v>
      </c>
      <c r="E2320" t="s">
        <v>31</v>
      </c>
      <c r="F2320" t="s">
        <v>69</v>
      </c>
      <c r="G2320" t="s">
        <v>70</v>
      </c>
      <c r="H2320" t="s">
        <v>73</v>
      </c>
      <c r="I2320">
        <v>6</v>
      </c>
      <c r="J2320">
        <v>591</v>
      </c>
      <c r="K2320">
        <v>0.2</v>
      </c>
      <c r="L2320">
        <v>2836.8</v>
      </c>
      <c r="M2320">
        <v>2107.41</v>
      </c>
      <c r="N2320">
        <v>729.39</v>
      </c>
      <c r="O2320" t="s">
        <v>78</v>
      </c>
      <c r="P2320" t="s">
        <v>87</v>
      </c>
    </row>
    <row r="2321" spans="1:16" x14ac:dyDescent="0.25">
      <c r="A2321">
        <v>2320</v>
      </c>
      <c r="B2321" s="1">
        <v>45900</v>
      </c>
      <c r="C2321" t="s">
        <v>21</v>
      </c>
      <c r="D2321" t="s">
        <v>24</v>
      </c>
      <c r="E2321" t="s">
        <v>29</v>
      </c>
      <c r="F2321" t="s">
        <v>53</v>
      </c>
      <c r="G2321" t="s">
        <v>71</v>
      </c>
      <c r="H2321" t="s">
        <v>73</v>
      </c>
      <c r="I2321">
        <v>2</v>
      </c>
      <c r="J2321">
        <v>9800</v>
      </c>
      <c r="K2321">
        <v>0.15</v>
      </c>
      <c r="L2321">
        <v>16660</v>
      </c>
      <c r="M2321">
        <v>11293.82</v>
      </c>
      <c r="N2321">
        <v>5366.18</v>
      </c>
      <c r="O2321" t="s">
        <v>78</v>
      </c>
      <c r="P2321" t="s">
        <v>85</v>
      </c>
    </row>
    <row r="2322" spans="1:16" x14ac:dyDescent="0.25">
      <c r="A2322">
        <v>2321</v>
      </c>
      <c r="B2322" s="1">
        <v>45962</v>
      </c>
      <c r="C2322" t="s">
        <v>17</v>
      </c>
      <c r="D2322" t="s">
        <v>25</v>
      </c>
      <c r="E2322" t="s">
        <v>29</v>
      </c>
      <c r="F2322" t="s">
        <v>36</v>
      </c>
      <c r="G2322" t="s">
        <v>70</v>
      </c>
      <c r="H2322" t="s">
        <v>73</v>
      </c>
      <c r="I2322">
        <v>5</v>
      </c>
      <c r="J2322">
        <v>11314</v>
      </c>
      <c r="K2322">
        <v>0.1</v>
      </c>
      <c r="L2322">
        <v>50913</v>
      </c>
      <c r="M2322">
        <v>42099.75</v>
      </c>
      <c r="N2322">
        <v>8813.25</v>
      </c>
      <c r="O2322" t="s">
        <v>77</v>
      </c>
      <c r="P2322" t="s">
        <v>81</v>
      </c>
    </row>
    <row r="2323" spans="1:16" x14ac:dyDescent="0.25">
      <c r="A2323">
        <v>2322</v>
      </c>
      <c r="B2323" s="1">
        <v>45808</v>
      </c>
      <c r="C2323" t="s">
        <v>17</v>
      </c>
      <c r="D2323" t="s">
        <v>25</v>
      </c>
      <c r="E2323" t="s">
        <v>34</v>
      </c>
      <c r="F2323" t="s">
        <v>65</v>
      </c>
      <c r="G2323" t="s">
        <v>70</v>
      </c>
      <c r="H2323" t="s">
        <v>74</v>
      </c>
      <c r="I2323">
        <v>3</v>
      </c>
      <c r="J2323">
        <v>3993</v>
      </c>
      <c r="K2323">
        <v>0</v>
      </c>
      <c r="L2323">
        <v>11979</v>
      </c>
      <c r="M2323">
        <v>8323.94</v>
      </c>
      <c r="N2323">
        <v>3655.06</v>
      </c>
      <c r="O2323" t="s">
        <v>79</v>
      </c>
      <c r="P2323" t="s">
        <v>86</v>
      </c>
    </row>
    <row r="2324" spans="1:16" x14ac:dyDescent="0.25">
      <c r="A2324">
        <v>2323</v>
      </c>
      <c r="B2324" s="1">
        <v>45664</v>
      </c>
      <c r="C2324" t="s">
        <v>20</v>
      </c>
      <c r="D2324" t="s">
        <v>26</v>
      </c>
      <c r="E2324" t="s">
        <v>28</v>
      </c>
      <c r="F2324" t="s">
        <v>35</v>
      </c>
      <c r="G2324" t="s">
        <v>72</v>
      </c>
      <c r="H2324" t="s">
        <v>75</v>
      </c>
      <c r="I2324">
        <v>8</v>
      </c>
      <c r="J2324">
        <v>1859</v>
      </c>
      <c r="K2324">
        <v>0.05</v>
      </c>
      <c r="L2324">
        <v>14128.4</v>
      </c>
      <c r="M2324">
        <v>9648.6</v>
      </c>
      <c r="N2324">
        <v>4479.8</v>
      </c>
      <c r="O2324" t="s">
        <v>78</v>
      </c>
      <c r="P2324" t="s">
        <v>85</v>
      </c>
    </row>
    <row r="2325" spans="1:16" x14ac:dyDescent="0.25">
      <c r="A2325">
        <v>2324</v>
      </c>
      <c r="B2325" s="1">
        <v>46014</v>
      </c>
      <c r="C2325" t="s">
        <v>20</v>
      </c>
      <c r="D2325" t="s">
        <v>26</v>
      </c>
      <c r="E2325" t="s">
        <v>34</v>
      </c>
      <c r="F2325" t="s">
        <v>43</v>
      </c>
      <c r="G2325" t="s">
        <v>72</v>
      </c>
      <c r="H2325" t="s">
        <v>73</v>
      </c>
      <c r="I2325">
        <v>4</v>
      </c>
      <c r="J2325">
        <v>4939</v>
      </c>
      <c r="K2325">
        <v>0</v>
      </c>
      <c r="L2325">
        <v>19756</v>
      </c>
      <c r="M2325">
        <v>16714.61</v>
      </c>
      <c r="N2325">
        <v>3041.39</v>
      </c>
      <c r="O2325" t="s">
        <v>79</v>
      </c>
      <c r="P2325" t="s">
        <v>82</v>
      </c>
    </row>
    <row r="2326" spans="1:16" x14ac:dyDescent="0.25">
      <c r="A2326">
        <v>2325</v>
      </c>
      <c r="B2326" s="1">
        <v>45838</v>
      </c>
      <c r="C2326" t="s">
        <v>20</v>
      </c>
      <c r="D2326" t="s">
        <v>26</v>
      </c>
      <c r="E2326" t="s">
        <v>32</v>
      </c>
      <c r="F2326" t="s">
        <v>66</v>
      </c>
      <c r="G2326" t="s">
        <v>72</v>
      </c>
      <c r="H2326" t="s">
        <v>75</v>
      </c>
      <c r="I2326">
        <v>4</v>
      </c>
      <c r="J2326">
        <v>23641</v>
      </c>
      <c r="K2326">
        <v>0.2</v>
      </c>
      <c r="L2326">
        <v>75651.199999999997</v>
      </c>
      <c r="M2326">
        <v>54467.82</v>
      </c>
      <c r="N2326">
        <v>21183.38</v>
      </c>
      <c r="O2326" t="s">
        <v>76</v>
      </c>
      <c r="P2326" t="s">
        <v>85</v>
      </c>
    </row>
    <row r="2327" spans="1:16" x14ac:dyDescent="0.25">
      <c r="A2327">
        <v>2326</v>
      </c>
      <c r="B2327" s="1">
        <v>45923</v>
      </c>
      <c r="C2327" t="s">
        <v>20</v>
      </c>
      <c r="D2327" t="s">
        <v>26</v>
      </c>
      <c r="E2327" t="s">
        <v>29</v>
      </c>
      <c r="F2327" t="s">
        <v>53</v>
      </c>
      <c r="G2327" t="s">
        <v>70</v>
      </c>
      <c r="H2327" t="s">
        <v>75</v>
      </c>
      <c r="I2327">
        <v>2</v>
      </c>
      <c r="J2327">
        <v>7461</v>
      </c>
      <c r="K2327">
        <v>0.1</v>
      </c>
      <c r="L2327">
        <v>13429.8</v>
      </c>
      <c r="M2327">
        <v>8267.65</v>
      </c>
      <c r="N2327">
        <v>5162.1499999999996</v>
      </c>
      <c r="O2327" t="s">
        <v>77</v>
      </c>
      <c r="P2327" t="s">
        <v>81</v>
      </c>
    </row>
    <row r="2328" spans="1:16" x14ac:dyDescent="0.25">
      <c r="A2328">
        <v>2327</v>
      </c>
      <c r="B2328" s="1">
        <v>45909</v>
      </c>
      <c r="C2328" t="s">
        <v>20</v>
      </c>
      <c r="D2328" t="s">
        <v>26</v>
      </c>
      <c r="E2328" t="s">
        <v>31</v>
      </c>
      <c r="F2328" t="s">
        <v>50</v>
      </c>
      <c r="G2328" t="s">
        <v>72</v>
      </c>
      <c r="H2328" t="s">
        <v>75</v>
      </c>
      <c r="I2328">
        <v>7</v>
      </c>
      <c r="J2328">
        <v>2034</v>
      </c>
      <c r="K2328">
        <v>0.15</v>
      </c>
      <c r="L2328">
        <v>12102.3</v>
      </c>
      <c r="M2328">
        <v>8882.49</v>
      </c>
      <c r="N2328">
        <v>3219.81</v>
      </c>
      <c r="O2328" t="s">
        <v>78</v>
      </c>
      <c r="P2328" t="s">
        <v>87</v>
      </c>
    </row>
    <row r="2329" spans="1:16" x14ac:dyDescent="0.25">
      <c r="A2329">
        <v>2328</v>
      </c>
      <c r="B2329" s="1">
        <v>45981</v>
      </c>
      <c r="C2329" t="s">
        <v>20</v>
      </c>
      <c r="D2329" t="s">
        <v>26</v>
      </c>
      <c r="E2329" t="s">
        <v>34</v>
      </c>
      <c r="F2329" t="s">
        <v>51</v>
      </c>
      <c r="G2329" t="s">
        <v>70</v>
      </c>
      <c r="H2329" t="s">
        <v>73</v>
      </c>
      <c r="I2329">
        <v>1</v>
      </c>
      <c r="J2329">
        <v>3562</v>
      </c>
      <c r="K2329">
        <v>0</v>
      </c>
      <c r="L2329">
        <v>3562</v>
      </c>
      <c r="M2329">
        <v>2977.69</v>
      </c>
      <c r="N2329">
        <v>584.30999999999995</v>
      </c>
      <c r="O2329" t="s">
        <v>80</v>
      </c>
      <c r="P2329" t="s">
        <v>84</v>
      </c>
    </row>
    <row r="2330" spans="1:16" x14ac:dyDescent="0.25">
      <c r="A2330">
        <v>2329</v>
      </c>
      <c r="B2330" s="1">
        <v>45703</v>
      </c>
      <c r="C2330" t="s">
        <v>23</v>
      </c>
      <c r="D2330" t="s">
        <v>27</v>
      </c>
      <c r="E2330" t="s">
        <v>32</v>
      </c>
      <c r="F2330" t="s">
        <v>62</v>
      </c>
      <c r="G2330" t="s">
        <v>72</v>
      </c>
      <c r="H2330" t="s">
        <v>73</v>
      </c>
      <c r="I2330">
        <v>5</v>
      </c>
      <c r="J2330">
        <v>14554</v>
      </c>
      <c r="K2330">
        <v>0.05</v>
      </c>
      <c r="L2330">
        <v>69131.5</v>
      </c>
      <c r="M2330">
        <v>47628.35</v>
      </c>
      <c r="N2330">
        <v>21503.15</v>
      </c>
      <c r="O2330" t="s">
        <v>79</v>
      </c>
      <c r="P2330" t="s">
        <v>86</v>
      </c>
    </row>
    <row r="2331" spans="1:16" x14ac:dyDescent="0.25">
      <c r="A2331">
        <v>2330</v>
      </c>
      <c r="B2331" s="1">
        <v>45965</v>
      </c>
      <c r="C2331" t="s">
        <v>19</v>
      </c>
      <c r="D2331" t="s">
        <v>26</v>
      </c>
      <c r="E2331" t="s">
        <v>33</v>
      </c>
      <c r="F2331" t="s">
        <v>60</v>
      </c>
      <c r="G2331" t="s">
        <v>70</v>
      </c>
      <c r="H2331" t="s">
        <v>74</v>
      </c>
      <c r="I2331">
        <v>3</v>
      </c>
      <c r="J2331">
        <v>49022</v>
      </c>
      <c r="K2331">
        <v>0</v>
      </c>
      <c r="L2331">
        <v>147066</v>
      </c>
      <c r="M2331">
        <v>116927.93</v>
      </c>
      <c r="N2331">
        <v>30138.07</v>
      </c>
      <c r="O2331" t="s">
        <v>79</v>
      </c>
      <c r="P2331" t="s">
        <v>81</v>
      </c>
    </row>
    <row r="2332" spans="1:16" x14ac:dyDescent="0.25">
      <c r="A2332">
        <v>2331</v>
      </c>
      <c r="B2332" s="1">
        <v>45926</v>
      </c>
      <c r="C2332" t="s">
        <v>18</v>
      </c>
      <c r="D2332" t="s">
        <v>26</v>
      </c>
      <c r="E2332" t="s">
        <v>30</v>
      </c>
      <c r="F2332" t="s">
        <v>44</v>
      </c>
      <c r="G2332" t="s">
        <v>70</v>
      </c>
      <c r="H2332" t="s">
        <v>73</v>
      </c>
      <c r="I2332">
        <v>8</v>
      </c>
      <c r="J2332">
        <v>9224</v>
      </c>
      <c r="K2332">
        <v>0.2</v>
      </c>
      <c r="L2332">
        <v>59033.599999999999</v>
      </c>
      <c r="M2332">
        <v>41373.47</v>
      </c>
      <c r="N2332">
        <v>17660.13</v>
      </c>
      <c r="O2332" t="s">
        <v>78</v>
      </c>
      <c r="P2332" t="s">
        <v>82</v>
      </c>
    </row>
    <row r="2333" spans="1:16" x14ac:dyDescent="0.25">
      <c r="A2333">
        <v>2332</v>
      </c>
      <c r="B2333" s="1">
        <v>45995</v>
      </c>
      <c r="C2333" t="s">
        <v>20</v>
      </c>
      <c r="D2333" t="s">
        <v>26</v>
      </c>
      <c r="E2333" t="s">
        <v>30</v>
      </c>
      <c r="F2333" t="s">
        <v>37</v>
      </c>
      <c r="G2333" t="s">
        <v>72</v>
      </c>
      <c r="H2333" t="s">
        <v>74</v>
      </c>
      <c r="I2333">
        <v>6</v>
      </c>
      <c r="J2333">
        <v>12636</v>
      </c>
      <c r="K2333">
        <v>0.05</v>
      </c>
      <c r="L2333">
        <v>72025.2</v>
      </c>
      <c r="M2333">
        <v>44778.68</v>
      </c>
      <c r="N2333">
        <v>27246.52</v>
      </c>
      <c r="O2333" t="s">
        <v>80</v>
      </c>
      <c r="P2333" t="s">
        <v>81</v>
      </c>
    </row>
    <row r="2334" spans="1:16" x14ac:dyDescent="0.25">
      <c r="A2334">
        <v>2333</v>
      </c>
      <c r="B2334" s="1">
        <v>45767</v>
      </c>
      <c r="C2334" t="s">
        <v>19</v>
      </c>
      <c r="D2334" t="s">
        <v>26</v>
      </c>
      <c r="E2334" t="s">
        <v>29</v>
      </c>
      <c r="F2334" t="s">
        <v>53</v>
      </c>
      <c r="G2334" t="s">
        <v>71</v>
      </c>
      <c r="H2334" t="s">
        <v>73</v>
      </c>
      <c r="I2334">
        <v>4</v>
      </c>
      <c r="J2334">
        <v>7978</v>
      </c>
      <c r="K2334">
        <v>0.15</v>
      </c>
      <c r="L2334">
        <v>27125.200000000001</v>
      </c>
      <c r="M2334">
        <v>21515.67</v>
      </c>
      <c r="N2334">
        <v>5609.53</v>
      </c>
      <c r="O2334" t="s">
        <v>80</v>
      </c>
      <c r="P2334" t="s">
        <v>84</v>
      </c>
    </row>
    <row r="2335" spans="1:16" x14ac:dyDescent="0.25">
      <c r="A2335">
        <v>2334</v>
      </c>
      <c r="B2335" s="1">
        <v>45904</v>
      </c>
      <c r="C2335" t="s">
        <v>21</v>
      </c>
      <c r="D2335" t="s">
        <v>24</v>
      </c>
      <c r="E2335" t="s">
        <v>31</v>
      </c>
      <c r="F2335" t="s">
        <v>69</v>
      </c>
      <c r="G2335" t="s">
        <v>71</v>
      </c>
      <c r="H2335" t="s">
        <v>73</v>
      </c>
      <c r="I2335">
        <v>1</v>
      </c>
      <c r="J2335">
        <v>2250</v>
      </c>
      <c r="K2335">
        <v>0.15</v>
      </c>
      <c r="L2335">
        <v>1912.5</v>
      </c>
      <c r="M2335">
        <v>1477.89</v>
      </c>
      <c r="N2335">
        <v>434.61</v>
      </c>
      <c r="O2335" t="s">
        <v>80</v>
      </c>
      <c r="P2335" t="s">
        <v>88</v>
      </c>
    </row>
    <row r="2336" spans="1:16" x14ac:dyDescent="0.25">
      <c r="A2336">
        <v>2335</v>
      </c>
      <c r="B2336" s="1">
        <v>45910</v>
      </c>
      <c r="C2336" t="s">
        <v>17</v>
      </c>
      <c r="D2336" t="s">
        <v>25</v>
      </c>
      <c r="E2336" t="s">
        <v>30</v>
      </c>
      <c r="F2336" t="s">
        <v>64</v>
      </c>
      <c r="G2336" t="s">
        <v>71</v>
      </c>
      <c r="H2336" t="s">
        <v>74</v>
      </c>
      <c r="I2336">
        <v>1</v>
      </c>
      <c r="J2336">
        <v>40569</v>
      </c>
      <c r="K2336">
        <v>0.1</v>
      </c>
      <c r="L2336">
        <v>36512.1</v>
      </c>
      <c r="M2336">
        <v>24481.58</v>
      </c>
      <c r="N2336">
        <v>12030.52</v>
      </c>
      <c r="O2336" t="s">
        <v>76</v>
      </c>
      <c r="P2336" t="s">
        <v>85</v>
      </c>
    </row>
    <row r="2337" spans="1:16" x14ac:dyDescent="0.25">
      <c r="A2337">
        <v>2336</v>
      </c>
      <c r="B2337" s="1">
        <v>45770</v>
      </c>
      <c r="C2337" t="s">
        <v>20</v>
      </c>
      <c r="D2337" t="s">
        <v>26</v>
      </c>
      <c r="E2337" t="s">
        <v>34</v>
      </c>
      <c r="F2337" t="s">
        <v>51</v>
      </c>
      <c r="G2337" t="s">
        <v>72</v>
      </c>
      <c r="H2337" t="s">
        <v>73</v>
      </c>
      <c r="I2337">
        <v>8</v>
      </c>
      <c r="J2337">
        <v>1429</v>
      </c>
      <c r="K2337">
        <v>0.05</v>
      </c>
      <c r="L2337">
        <v>10860.4</v>
      </c>
      <c r="M2337">
        <v>7433.16</v>
      </c>
      <c r="N2337">
        <v>3427.24</v>
      </c>
      <c r="O2337" t="s">
        <v>76</v>
      </c>
      <c r="P2337" t="s">
        <v>84</v>
      </c>
    </row>
    <row r="2338" spans="1:16" x14ac:dyDescent="0.25">
      <c r="A2338">
        <v>2337</v>
      </c>
      <c r="B2338" s="1">
        <v>45828</v>
      </c>
      <c r="C2338" t="s">
        <v>18</v>
      </c>
      <c r="D2338" t="s">
        <v>26</v>
      </c>
      <c r="E2338" t="s">
        <v>28</v>
      </c>
      <c r="F2338" t="s">
        <v>63</v>
      </c>
      <c r="G2338" t="s">
        <v>71</v>
      </c>
      <c r="H2338" t="s">
        <v>73</v>
      </c>
      <c r="I2338">
        <v>2</v>
      </c>
      <c r="J2338">
        <v>1065</v>
      </c>
      <c r="K2338">
        <v>0.1</v>
      </c>
      <c r="L2338">
        <v>1917</v>
      </c>
      <c r="M2338">
        <v>1630.53</v>
      </c>
      <c r="N2338">
        <v>286.47000000000003</v>
      </c>
      <c r="O2338" t="s">
        <v>79</v>
      </c>
      <c r="P2338" t="s">
        <v>86</v>
      </c>
    </row>
    <row r="2339" spans="1:16" x14ac:dyDescent="0.25">
      <c r="A2339">
        <v>2338</v>
      </c>
      <c r="B2339" s="1">
        <v>45794</v>
      </c>
      <c r="C2339" t="s">
        <v>21</v>
      </c>
      <c r="D2339" t="s">
        <v>24</v>
      </c>
      <c r="E2339" t="s">
        <v>34</v>
      </c>
      <c r="F2339" t="s">
        <v>55</v>
      </c>
      <c r="G2339" t="s">
        <v>71</v>
      </c>
      <c r="H2339" t="s">
        <v>75</v>
      </c>
      <c r="I2339">
        <v>8</v>
      </c>
      <c r="J2339">
        <v>1923</v>
      </c>
      <c r="K2339">
        <v>0.1</v>
      </c>
      <c r="L2339">
        <v>13845.6</v>
      </c>
      <c r="M2339">
        <v>10752</v>
      </c>
      <c r="N2339">
        <v>3093.6</v>
      </c>
      <c r="O2339" t="s">
        <v>79</v>
      </c>
      <c r="P2339" t="s">
        <v>83</v>
      </c>
    </row>
    <row r="2340" spans="1:16" x14ac:dyDescent="0.25">
      <c r="A2340">
        <v>2339</v>
      </c>
      <c r="B2340" s="1">
        <v>45728</v>
      </c>
      <c r="C2340" t="s">
        <v>19</v>
      </c>
      <c r="D2340" t="s">
        <v>26</v>
      </c>
      <c r="E2340" t="s">
        <v>31</v>
      </c>
      <c r="F2340" t="s">
        <v>47</v>
      </c>
      <c r="G2340" t="s">
        <v>71</v>
      </c>
      <c r="H2340" t="s">
        <v>74</v>
      </c>
      <c r="I2340">
        <v>8</v>
      </c>
      <c r="J2340">
        <v>1516</v>
      </c>
      <c r="K2340">
        <v>0.05</v>
      </c>
      <c r="L2340">
        <v>11521.6</v>
      </c>
      <c r="M2340">
        <v>6630.5</v>
      </c>
      <c r="N2340">
        <v>4891.1000000000004</v>
      </c>
      <c r="O2340" t="s">
        <v>79</v>
      </c>
      <c r="P2340" t="s">
        <v>83</v>
      </c>
    </row>
    <row r="2341" spans="1:16" x14ac:dyDescent="0.25">
      <c r="A2341">
        <v>2340</v>
      </c>
      <c r="B2341" s="1">
        <v>45763</v>
      </c>
      <c r="C2341" t="s">
        <v>20</v>
      </c>
      <c r="D2341" t="s">
        <v>26</v>
      </c>
      <c r="E2341" t="s">
        <v>34</v>
      </c>
      <c r="F2341" t="s">
        <v>43</v>
      </c>
      <c r="G2341" t="s">
        <v>72</v>
      </c>
      <c r="H2341" t="s">
        <v>73</v>
      </c>
      <c r="I2341">
        <v>5</v>
      </c>
      <c r="J2341">
        <v>1902</v>
      </c>
      <c r="K2341">
        <v>0</v>
      </c>
      <c r="L2341">
        <v>9510</v>
      </c>
      <c r="M2341">
        <v>6529.83</v>
      </c>
      <c r="N2341">
        <v>2980.17</v>
      </c>
      <c r="O2341" t="s">
        <v>78</v>
      </c>
      <c r="P2341" t="s">
        <v>82</v>
      </c>
    </row>
    <row r="2342" spans="1:16" x14ac:dyDescent="0.25">
      <c r="A2342">
        <v>2341</v>
      </c>
      <c r="B2342" s="1">
        <v>45979</v>
      </c>
      <c r="C2342" t="s">
        <v>20</v>
      </c>
      <c r="D2342" t="s">
        <v>26</v>
      </c>
      <c r="E2342" t="s">
        <v>33</v>
      </c>
      <c r="F2342" t="s">
        <v>59</v>
      </c>
      <c r="G2342" t="s">
        <v>72</v>
      </c>
      <c r="H2342" t="s">
        <v>73</v>
      </c>
      <c r="I2342">
        <v>5</v>
      </c>
      <c r="J2342">
        <v>11876</v>
      </c>
      <c r="K2342">
        <v>0.15</v>
      </c>
      <c r="L2342">
        <v>50473</v>
      </c>
      <c r="M2342">
        <v>41494.67</v>
      </c>
      <c r="N2342">
        <v>8978.33</v>
      </c>
      <c r="O2342" t="s">
        <v>76</v>
      </c>
      <c r="P2342" t="s">
        <v>81</v>
      </c>
    </row>
    <row r="2343" spans="1:16" x14ac:dyDescent="0.25">
      <c r="A2343">
        <v>2342</v>
      </c>
      <c r="B2343" s="1">
        <v>45890</v>
      </c>
      <c r="C2343" t="s">
        <v>16</v>
      </c>
      <c r="D2343" t="s">
        <v>24</v>
      </c>
      <c r="E2343" t="s">
        <v>28</v>
      </c>
      <c r="F2343" t="s">
        <v>61</v>
      </c>
      <c r="G2343" t="s">
        <v>70</v>
      </c>
      <c r="H2343" t="s">
        <v>74</v>
      </c>
      <c r="I2343">
        <v>3</v>
      </c>
      <c r="J2343">
        <v>635</v>
      </c>
      <c r="K2343">
        <v>0</v>
      </c>
      <c r="L2343">
        <v>1905</v>
      </c>
      <c r="M2343">
        <v>1334.7</v>
      </c>
      <c r="N2343">
        <v>570.29999999999995</v>
      </c>
      <c r="O2343" t="s">
        <v>79</v>
      </c>
      <c r="P2343" t="s">
        <v>82</v>
      </c>
    </row>
    <row r="2344" spans="1:16" x14ac:dyDescent="0.25">
      <c r="A2344">
        <v>2343</v>
      </c>
      <c r="B2344" s="1">
        <v>45911</v>
      </c>
      <c r="C2344" t="s">
        <v>20</v>
      </c>
      <c r="D2344" t="s">
        <v>26</v>
      </c>
      <c r="E2344" t="s">
        <v>28</v>
      </c>
      <c r="F2344" t="s">
        <v>35</v>
      </c>
      <c r="G2344" t="s">
        <v>72</v>
      </c>
      <c r="H2344" t="s">
        <v>74</v>
      </c>
      <c r="I2344">
        <v>4</v>
      </c>
      <c r="J2344">
        <v>1294</v>
      </c>
      <c r="K2344">
        <v>0</v>
      </c>
      <c r="L2344">
        <v>5176</v>
      </c>
      <c r="M2344">
        <v>3228.25</v>
      </c>
      <c r="N2344">
        <v>1947.75</v>
      </c>
      <c r="O2344" t="s">
        <v>80</v>
      </c>
      <c r="P2344" t="s">
        <v>86</v>
      </c>
    </row>
    <row r="2345" spans="1:16" x14ac:dyDescent="0.25">
      <c r="A2345">
        <v>2344</v>
      </c>
      <c r="B2345" s="1">
        <v>45802</v>
      </c>
      <c r="C2345" t="s">
        <v>23</v>
      </c>
      <c r="D2345" t="s">
        <v>27</v>
      </c>
      <c r="E2345" t="s">
        <v>31</v>
      </c>
      <c r="F2345" t="s">
        <v>69</v>
      </c>
      <c r="G2345" t="s">
        <v>72</v>
      </c>
      <c r="H2345" t="s">
        <v>73</v>
      </c>
      <c r="I2345">
        <v>1</v>
      </c>
      <c r="J2345">
        <v>1730</v>
      </c>
      <c r="K2345">
        <v>0.05</v>
      </c>
      <c r="L2345">
        <v>1643.5</v>
      </c>
      <c r="M2345">
        <v>1002.01</v>
      </c>
      <c r="N2345">
        <v>641.49</v>
      </c>
      <c r="O2345" t="s">
        <v>79</v>
      </c>
      <c r="P2345" t="s">
        <v>87</v>
      </c>
    </row>
    <row r="2346" spans="1:16" x14ac:dyDescent="0.25">
      <c r="A2346">
        <v>2345</v>
      </c>
      <c r="B2346" s="1">
        <v>45956</v>
      </c>
      <c r="C2346" t="s">
        <v>20</v>
      </c>
      <c r="D2346" t="s">
        <v>26</v>
      </c>
      <c r="E2346" t="s">
        <v>34</v>
      </c>
      <c r="F2346" t="s">
        <v>51</v>
      </c>
      <c r="G2346" t="s">
        <v>72</v>
      </c>
      <c r="H2346" t="s">
        <v>74</v>
      </c>
      <c r="I2346">
        <v>8</v>
      </c>
      <c r="J2346">
        <v>5756</v>
      </c>
      <c r="K2346">
        <v>0.1</v>
      </c>
      <c r="L2346">
        <v>41443.199999999997</v>
      </c>
      <c r="M2346">
        <v>24154.43</v>
      </c>
      <c r="N2346">
        <v>17288.77</v>
      </c>
      <c r="O2346" t="s">
        <v>79</v>
      </c>
      <c r="P2346" t="s">
        <v>82</v>
      </c>
    </row>
    <row r="2347" spans="1:16" x14ac:dyDescent="0.25">
      <c r="A2347">
        <v>2346</v>
      </c>
      <c r="B2347" s="1">
        <v>45721</v>
      </c>
      <c r="C2347" t="s">
        <v>23</v>
      </c>
      <c r="D2347" t="s">
        <v>27</v>
      </c>
      <c r="E2347" t="s">
        <v>34</v>
      </c>
      <c r="F2347" t="s">
        <v>68</v>
      </c>
      <c r="G2347" t="s">
        <v>70</v>
      </c>
      <c r="H2347" t="s">
        <v>75</v>
      </c>
      <c r="I2347">
        <v>4</v>
      </c>
      <c r="J2347">
        <v>825</v>
      </c>
      <c r="K2347">
        <v>0.1</v>
      </c>
      <c r="L2347">
        <v>2970</v>
      </c>
      <c r="M2347">
        <v>2398.71</v>
      </c>
      <c r="N2347">
        <v>571.29</v>
      </c>
      <c r="O2347" t="s">
        <v>77</v>
      </c>
      <c r="P2347" t="s">
        <v>88</v>
      </c>
    </row>
    <row r="2348" spans="1:16" x14ac:dyDescent="0.25">
      <c r="A2348">
        <v>2347</v>
      </c>
      <c r="B2348" s="1">
        <v>45946</v>
      </c>
      <c r="C2348" t="s">
        <v>21</v>
      </c>
      <c r="D2348" t="s">
        <v>24</v>
      </c>
      <c r="E2348" t="s">
        <v>29</v>
      </c>
      <c r="F2348" t="s">
        <v>53</v>
      </c>
      <c r="G2348" t="s">
        <v>72</v>
      </c>
      <c r="H2348" t="s">
        <v>73</v>
      </c>
      <c r="I2348">
        <v>3</v>
      </c>
      <c r="J2348">
        <v>8477</v>
      </c>
      <c r="K2348">
        <v>0</v>
      </c>
      <c r="L2348">
        <v>25431</v>
      </c>
      <c r="M2348">
        <v>20493.63</v>
      </c>
      <c r="N2348">
        <v>4937.37</v>
      </c>
      <c r="O2348" t="s">
        <v>78</v>
      </c>
      <c r="P2348" t="s">
        <v>82</v>
      </c>
    </row>
    <row r="2349" spans="1:16" x14ac:dyDescent="0.25">
      <c r="A2349">
        <v>2348</v>
      </c>
      <c r="B2349" s="1">
        <v>45717</v>
      </c>
      <c r="C2349" t="s">
        <v>16</v>
      </c>
      <c r="D2349" t="s">
        <v>24</v>
      </c>
      <c r="E2349" t="s">
        <v>28</v>
      </c>
      <c r="F2349" t="s">
        <v>54</v>
      </c>
      <c r="G2349" t="s">
        <v>72</v>
      </c>
      <c r="H2349" t="s">
        <v>73</v>
      </c>
      <c r="I2349">
        <v>8</v>
      </c>
      <c r="J2349">
        <v>533</v>
      </c>
      <c r="K2349">
        <v>0.05</v>
      </c>
      <c r="L2349">
        <v>4050.8</v>
      </c>
      <c r="M2349">
        <v>2354.08</v>
      </c>
      <c r="N2349">
        <v>1696.72</v>
      </c>
      <c r="O2349" t="s">
        <v>78</v>
      </c>
      <c r="P2349" t="s">
        <v>83</v>
      </c>
    </row>
    <row r="2350" spans="1:16" x14ac:dyDescent="0.25">
      <c r="A2350">
        <v>2349</v>
      </c>
      <c r="B2350" s="1">
        <v>45878</v>
      </c>
      <c r="C2350" t="s">
        <v>23</v>
      </c>
      <c r="D2350" t="s">
        <v>27</v>
      </c>
      <c r="E2350" t="s">
        <v>33</v>
      </c>
      <c r="F2350" t="s">
        <v>59</v>
      </c>
      <c r="G2350" t="s">
        <v>70</v>
      </c>
      <c r="H2350" t="s">
        <v>73</v>
      </c>
      <c r="I2350">
        <v>2</v>
      </c>
      <c r="J2350">
        <v>27795</v>
      </c>
      <c r="K2350">
        <v>0.05</v>
      </c>
      <c r="L2350">
        <v>52810.5</v>
      </c>
      <c r="M2350">
        <v>40934</v>
      </c>
      <c r="N2350">
        <v>11876.5</v>
      </c>
      <c r="O2350" t="s">
        <v>79</v>
      </c>
      <c r="P2350" t="s">
        <v>86</v>
      </c>
    </row>
    <row r="2351" spans="1:16" x14ac:dyDescent="0.25">
      <c r="A2351">
        <v>2350</v>
      </c>
      <c r="B2351" s="1">
        <v>45991</v>
      </c>
      <c r="C2351" t="s">
        <v>21</v>
      </c>
      <c r="D2351" t="s">
        <v>24</v>
      </c>
      <c r="E2351" t="s">
        <v>32</v>
      </c>
      <c r="F2351" t="s">
        <v>39</v>
      </c>
      <c r="G2351" t="s">
        <v>71</v>
      </c>
      <c r="H2351" t="s">
        <v>73</v>
      </c>
      <c r="I2351">
        <v>7</v>
      </c>
      <c r="J2351">
        <v>16336</v>
      </c>
      <c r="K2351">
        <v>0.05</v>
      </c>
      <c r="L2351">
        <v>108634.4</v>
      </c>
      <c r="M2351">
        <v>85048.81</v>
      </c>
      <c r="N2351">
        <v>23585.59</v>
      </c>
      <c r="O2351" t="s">
        <v>77</v>
      </c>
      <c r="P2351" t="s">
        <v>84</v>
      </c>
    </row>
    <row r="2352" spans="1:16" x14ac:dyDescent="0.25">
      <c r="A2352">
        <v>2351</v>
      </c>
      <c r="B2352" s="1">
        <v>45932</v>
      </c>
      <c r="C2352" t="s">
        <v>20</v>
      </c>
      <c r="D2352" t="s">
        <v>26</v>
      </c>
      <c r="E2352" t="s">
        <v>28</v>
      </c>
      <c r="F2352" t="s">
        <v>58</v>
      </c>
      <c r="G2352" t="s">
        <v>70</v>
      </c>
      <c r="H2352" t="s">
        <v>75</v>
      </c>
      <c r="I2352">
        <v>1</v>
      </c>
      <c r="J2352">
        <v>1797</v>
      </c>
      <c r="K2352">
        <v>0.05</v>
      </c>
      <c r="L2352">
        <v>1707.15</v>
      </c>
      <c r="M2352">
        <v>1419.96</v>
      </c>
      <c r="N2352">
        <v>287.19</v>
      </c>
      <c r="O2352" t="s">
        <v>76</v>
      </c>
      <c r="P2352" t="s">
        <v>82</v>
      </c>
    </row>
    <row r="2353" spans="1:16" x14ac:dyDescent="0.25">
      <c r="A2353">
        <v>2352</v>
      </c>
      <c r="B2353" s="1">
        <v>45665</v>
      </c>
      <c r="C2353" t="s">
        <v>19</v>
      </c>
      <c r="D2353" t="s">
        <v>26</v>
      </c>
      <c r="E2353" t="s">
        <v>32</v>
      </c>
      <c r="F2353" t="s">
        <v>49</v>
      </c>
      <c r="G2353" t="s">
        <v>71</v>
      </c>
      <c r="H2353" t="s">
        <v>73</v>
      </c>
      <c r="I2353">
        <v>2</v>
      </c>
      <c r="J2353">
        <v>5867</v>
      </c>
      <c r="K2353">
        <v>0.15</v>
      </c>
      <c r="L2353">
        <v>9973.9</v>
      </c>
      <c r="M2353">
        <v>5777.6</v>
      </c>
      <c r="N2353">
        <v>4196.3</v>
      </c>
      <c r="O2353" t="s">
        <v>77</v>
      </c>
      <c r="P2353" t="s">
        <v>87</v>
      </c>
    </row>
    <row r="2354" spans="1:16" x14ac:dyDescent="0.25">
      <c r="A2354">
        <v>2353</v>
      </c>
      <c r="B2354" s="1">
        <v>45726</v>
      </c>
      <c r="C2354" t="s">
        <v>18</v>
      </c>
      <c r="D2354" t="s">
        <v>26</v>
      </c>
      <c r="E2354" t="s">
        <v>31</v>
      </c>
      <c r="F2354" t="s">
        <v>47</v>
      </c>
      <c r="G2354" t="s">
        <v>72</v>
      </c>
      <c r="H2354" t="s">
        <v>73</v>
      </c>
      <c r="I2354">
        <v>8</v>
      </c>
      <c r="J2354">
        <v>466</v>
      </c>
      <c r="K2354">
        <v>0.15</v>
      </c>
      <c r="L2354">
        <v>3168.8</v>
      </c>
      <c r="M2354">
        <v>2149.38</v>
      </c>
      <c r="N2354">
        <v>1019.42</v>
      </c>
      <c r="O2354" t="s">
        <v>79</v>
      </c>
      <c r="P2354" t="s">
        <v>86</v>
      </c>
    </row>
    <row r="2355" spans="1:16" x14ac:dyDescent="0.25">
      <c r="A2355">
        <v>2354</v>
      </c>
      <c r="B2355" s="1">
        <v>45723</v>
      </c>
      <c r="C2355" t="s">
        <v>22</v>
      </c>
      <c r="D2355" t="s">
        <v>24</v>
      </c>
      <c r="E2355" t="s">
        <v>33</v>
      </c>
      <c r="F2355" t="s">
        <v>59</v>
      </c>
      <c r="G2355" t="s">
        <v>70</v>
      </c>
      <c r="H2355" t="s">
        <v>73</v>
      </c>
      <c r="I2355">
        <v>3</v>
      </c>
      <c r="J2355">
        <v>19488</v>
      </c>
      <c r="K2355">
        <v>0.05</v>
      </c>
      <c r="L2355">
        <v>55540.800000000003</v>
      </c>
      <c r="M2355">
        <v>32651.93</v>
      </c>
      <c r="N2355">
        <v>22888.87</v>
      </c>
      <c r="O2355" t="s">
        <v>79</v>
      </c>
      <c r="P2355" t="s">
        <v>82</v>
      </c>
    </row>
    <row r="2356" spans="1:16" x14ac:dyDescent="0.25">
      <c r="A2356">
        <v>2355</v>
      </c>
      <c r="B2356" s="1">
        <v>45864</v>
      </c>
      <c r="C2356" t="s">
        <v>21</v>
      </c>
      <c r="D2356" t="s">
        <v>24</v>
      </c>
      <c r="E2356" t="s">
        <v>31</v>
      </c>
      <c r="F2356" t="s">
        <v>67</v>
      </c>
      <c r="G2356" t="s">
        <v>71</v>
      </c>
      <c r="H2356" t="s">
        <v>73</v>
      </c>
      <c r="I2356">
        <v>4</v>
      </c>
      <c r="J2356">
        <v>2057</v>
      </c>
      <c r="K2356">
        <v>0.05</v>
      </c>
      <c r="L2356">
        <v>7816.6</v>
      </c>
      <c r="M2356">
        <v>4324.17</v>
      </c>
      <c r="N2356">
        <v>3492.43</v>
      </c>
      <c r="O2356" t="s">
        <v>76</v>
      </c>
      <c r="P2356" t="s">
        <v>83</v>
      </c>
    </row>
    <row r="2357" spans="1:16" x14ac:dyDescent="0.25">
      <c r="A2357">
        <v>2356</v>
      </c>
      <c r="B2357" s="1">
        <v>45948</v>
      </c>
      <c r="C2357" t="s">
        <v>23</v>
      </c>
      <c r="D2357" t="s">
        <v>27</v>
      </c>
      <c r="E2357" t="s">
        <v>31</v>
      </c>
      <c r="F2357" t="s">
        <v>38</v>
      </c>
      <c r="G2357" t="s">
        <v>70</v>
      </c>
      <c r="H2357" t="s">
        <v>74</v>
      </c>
      <c r="I2357">
        <v>5</v>
      </c>
      <c r="J2357">
        <v>1644</v>
      </c>
      <c r="K2357">
        <v>0.05</v>
      </c>
      <c r="L2357">
        <v>7809</v>
      </c>
      <c r="M2357">
        <v>6697.14</v>
      </c>
      <c r="N2357">
        <v>1111.8599999999999</v>
      </c>
      <c r="O2357" t="s">
        <v>78</v>
      </c>
      <c r="P2357" t="s">
        <v>83</v>
      </c>
    </row>
    <row r="2358" spans="1:16" x14ac:dyDescent="0.25">
      <c r="A2358">
        <v>2357</v>
      </c>
      <c r="B2358" s="1">
        <v>45858</v>
      </c>
      <c r="C2358" t="s">
        <v>16</v>
      </c>
      <c r="D2358" t="s">
        <v>24</v>
      </c>
      <c r="E2358" t="s">
        <v>34</v>
      </c>
      <c r="F2358" t="s">
        <v>68</v>
      </c>
      <c r="G2358" t="s">
        <v>72</v>
      </c>
      <c r="H2358" t="s">
        <v>73</v>
      </c>
      <c r="I2358">
        <v>1</v>
      </c>
      <c r="J2358">
        <v>1617</v>
      </c>
      <c r="K2358">
        <v>0</v>
      </c>
      <c r="L2358">
        <v>1617</v>
      </c>
      <c r="M2358">
        <v>1315.33</v>
      </c>
      <c r="N2358">
        <v>301.67</v>
      </c>
      <c r="O2358" t="s">
        <v>80</v>
      </c>
      <c r="P2358" t="s">
        <v>84</v>
      </c>
    </row>
    <row r="2359" spans="1:16" x14ac:dyDescent="0.25">
      <c r="A2359">
        <v>2358</v>
      </c>
      <c r="B2359" s="1">
        <v>45821</v>
      </c>
      <c r="C2359" t="s">
        <v>21</v>
      </c>
      <c r="D2359" t="s">
        <v>24</v>
      </c>
      <c r="E2359" t="s">
        <v>31</v>
      </c>
      <c r="F2359" t="s">
        <v>47</v>
      </c>
      <c r="G2359" t="s">
        <v>70</v>
      </c>
      <c r="H2359" t="s">
        <v>73</v>
      </c>
      <c r="I2359">
        <v>4</v>
      </c>
      <c r="J2359">
        <v>1342</v>
      </c>
      <c r="K2359">
        <v>0.05</v>
      </c>
      <c r="L2359">
        <v>5099.6000000000004</v>
      </c>
      <c r="M2359">
        <v>2892.74</v>
      </c>
      <c r="N2359">
        <v>2206.86</v>
      </c>
      <c r="O2359" t="s">
        <v>80</v>
      </c>
      <c r="P2359" t="s">
        <v>84</v>
      </c>
    </row>
    <row r="2360" spans="1:16" x14ac:dyDescent="0.25">
      <c r="A2360">
        <v>2359</v>
      </c>
      <c r="B2360" s="1">
        <v>45663</v>
      </c>
      <c r="C2360" t="s">
        <v>16</v>
      </c>
      <c r="D2360" t="s">
        <v>24</v>
      </c>
      <c r="E2360" t="s">
        <v>29</v>
      </c>
      <c r="F2360" t="s">
        <v>36</v>
      </c>
      <c r="G2360" t="s">
        <v>70</v>
      </c>
      <c r="H2360" t="s">
        <v>73</v>
      </c>
      <c r="I2360">
        <v>7</v>
      </c>
      <c r="J2360">
        <v>973</v>
      </c>
      <c r="K2360">
        <v>0</v>
      </c>
      <c r="L2360">
        <v>6811</v>
      </c>
      <c r="M2360">
        <v>5264.85</v>
      </c>
      <c r="N2360">
        <v>1546.15</v>
      </c>
      <c r="O2360" t="s">
        <v>80</v>
      </c>
      <c r="P2360" t="s">
        <v>87</v>
      </c>
    </row>
    <row r="2361" spans="1:16" x14ac:dyDescent="0.25">
      <c r="A2361">
        <v>2360</v>
      </c>
      <c r="B2361" s="1">
        <v>45717</v>
      </c>
      <c r="C2361" t="s">
        <v>20</v>
      </c>
      <c r="D2361" t="s">
        <v>26</v>
      </c>
      <c r="E2361" t="s">
        <v>29</v>
      </c>
      <c r="F2361" t="s">
        <v>42</v>
      </c>
      <c r="G2361" t="s">
        <v>70</v>
      </c>
      <c r="H2361" t="s">
        <v>75</v>
      </c>
      <c r="I2361">
        <v>2</v>
      </c>
      <c r="J2361">
        <v>11899</v>
      </c>
      <c r="K2361">
        <v>0</v>
      </c>
      <c r="L2361">
        <v>23798</v>
      </c>
      <c r="M2361">
        <v>17489.5</v>
      </c>
      <c r="N2361">
        <v>6308.5</v>
      </c>
      <c r="O2361" t="s">
        <v>79</v>
      </c>
      <c r="P2361" t="s">
        <v>88</v>
      </c>
    </row>
    <row r="2362" spans="1:16" x14ac:dyDescent="0.25">
      <c r="A2362">
        <v>2361</v>
      </c>
      <c r="B2362" s="1">
        <v>45946</v>
      </c>
      <c r="C2362" t="s">
        <v>16</v>
      </c>
      <c r="D2362" t="s">
        <v>24</v>
      </c>
      <c r="E2362" t="s">
        <v>28</v>
      </c>
      <c r="F2362" t="s">
        <v>35</v>
      </c>
      <c r="G2362" t="s">
        <v>71</v>
      </c>
      <c r="H2362" t="s">
        <v>75</v>
      </c>
      <c r="I2362">
        <v>1</v>
      </c>
      <c r="J2362">
        <v>2275</v>
      </c>
      <c r="K2362">
        <v>0.05</v>
      </c>
      <c r="L2362">
        <v>2161.25</v>
      </c>
      <c r="M2362">
        <v>1325.43</v>
      </c>
      <c r="N2362">
        <v>835.82</v>
      </c>
      <c r="O2362" t="s">
        <v>76</v>
      </c>
      <c r="P2362" t="s">
        <v>85</v>
      </c>
    </row>
    <row r="2363" spans="1:16" x14ac:dyDescent="0.25">
      <c r="A2363">
        <v>2362</v>
      </c>
      <c r="B2363" s="1">
        <v>45816</v>
      </c>
      <c r="C2363" t="s">
        <v>23</v>
      </c>
      <c r="D2363" t="s">
        <v>27</v>
      </c>
      <c r="E2363" t="s">
        <v>34</v>
      </c>
      <c r="F2363" t="s">
        <v>65</v>
      </c>
      <c r="G2363" t="s">
        <v>70</v>
      </c>
      <c r="H2363" t="s">
        <v>74</v>
      </c>
      <c r="I2363">
        <v>8</v>
      </c>
      <c r="J2363">
        <v>948</v>
      </c>
      <c r="K2363">
        <v>0.05</v>
      </c>
      <c r="L2363">
        <v>7204.8</v>
      </c>
      <c r="M2363">
        <v>4564.6000000000004</v>
      </c>
      <c r="N2363">
        <v>2640.2</v>
      </c>
      <c r="O2363" t="s">
        <v>76</v>
      </c>
      <c r="P2363" t="s">
        <v>81</v>
      </c>
    </row>
    <row r="2364" spans="1:16" x14ac:dyDescent="0.25">
      <c r="A2364">
        <v>2363</v>
      </c>
      <c r="B2364" s="1">
        <v>45669</v>
      </c>
      <c r="C2364" t="s">
        <v>20</v>
      </c>
      <c r="D2364" t="s">
        <v>26</v>
      </c>
      <c r="E2364" t="s">
        <v>28</v>
      </c>
      <c r="F2364" t="s">
        <v>61</v>
      </c>
      <c r="G2364" t="s">
        <v>72</v>
      </c>
      <c r="H2364" t="s">
        <v>73</v>
      </c>
      <c r="I2364">
        <v>5</v>
      </c>
      <c r="J2364">
        <v>947</v>
      </c>
      <c r="K2364">
        <v>0.1</v>
      </c>
      <c r="L2364">
        <v>4261.5</v>
      </c>
      <c r="M2364">
        <v>3221.38</v>
      </c>
      <c r="N2364">
        <v>1040.1199999999999</v>
      </c>
      <c r="O2364" t="s">
        <v>77</v>
      </c>
      <c r="P2364" t="s">
        <v>82</v>
      </c>
    </row>
    <row r="2365" spans="1:16" x14ac:dyDescent="0.25">
      <c r="A2365">
        <v>2364</v>
      </c>
      <c r="B2365" s="1">
        <v>45704</v>
      </c>
      <c r="C2365" t="s">
        <v>23</v>
      </c>
      <c r="D2365" t="s">
        <v>27</v>
      </c>
      <c r="E2365" t="s">
        <v>30</v>
      </c>
      <c r="F2365" t="s">
        <v>40</v>
      </c>
      <c r="G2365" t="s">
        <v>72</v>
      </c>
      <c r="H2365" t="s">
        <v>75</v>
      </c>
      <c r="I2365">
        <v>4</v>
      </c>
      <c r="J2365">
        <v>37007</v>
      </c>
      <c r="K2365">
        <v>0.1</v>
      </c>
      <c r="L2365">
        <v>133225.20000000001</v>
      </c>
      <c r="M2365">
        <v>73705.02</v>
      </c>
      <c r="N2365">
        <v>59520.18</v>
      </c>
      <c r="O2365" t="s">
        <v>77</v>
      </c>
      <c r="P2365" t="s">
        <v>88</v>
      </c>
    </row>
    <row r="2366" spans="1:16" x14ac:dyDescent="0.25">
      <c r="A2366">
        <v>2365</v>
      </c>
      <c r="B2366" s="1">
        <v>45674</v>
      </c>
      <c r="C2366" t="s">
        <v>23</v>
      </c>
      <c r="D2366" t="s">
        <v>27</v>
      </c>
      <c r="E2366" t="s">
        <v>31</v>
      </c>
      <c r="F2366" t="s">
        <v>50</v>
      </c>
      <c r="G2366" t="s">
        <v>71</v>
      </c>
      <c r="H2366" t="s">
        <v>74</v>
      </c>
      <c r="I2366">
        <v>8</v>
      </c>
      <c r="J2366">
        <v>1590</v>
      </c>
      <c r="K2366">
        <v>0.15</v>
      </c>
      <c r="L2366">
        <v>10812</v>
      </c>
      <c r="M2366">
        <v>9376.2800000000007</v>
      </c>
      <c r="N2366">
        <v>1435.72</v>
      </c>
      <c r="O2366" t="s">
        <v>79</v>
      </c>
      <c r="P2366" t="s">
        <v>85</v>
      </c>
    </row>
    <row r="2367" spans="1:16" x14ac:dyDescent="0.25">
      <c r="A2367">
        <v>2366</v>
      </c>
      <c r="B2367" s="1">
        <v>45999</v>
      </c>
      <c r="C2367" t="s">
        <v>16</v>
      </c>
      <c r="D2367" t="s">
        <v>24</v>
      </c>
      <c r="E2367" t="s">
        <v>30</v>
      </c>
      <c r="F2367" t="s">
        <v>37</v>
      </c>
      <c r="G2367" t="s">
        <v>72</v>
      </c>
      <c r="H2367" t="s">
        <v>75</v>
      </c>
      <c r="I2367">
        <v>6</v>
      </c>
      <c r="J2367">
        <v>14264</v>
      </c>
      <c r="K2367">
        <v>0.2</v>
      </c>
      <c r="L2367">
        <v>68467.199999999997</v>
      </c>
      <c r="M2367">
        <v>52005.78</v>
      </c>
      <c r="N2367">
        <v>16461.419999999998</v>
      </c>
      <c r="O2367" t="s">
        <v>78</v>
      </c>
      <c r="P2367" t="s">
        <v>82</v>
      </c>
    </row>
    <row r="2368" spans="1:16" x14ac:dyDescent="0.25">
      <c r="A2368">
        <v>2367</v>
      </c>
      <c r="B2368" s="1">
        <v>45731</v>
      </c>
      <c r="C2368" t="s">
        <v>20</v>
      </c>
      <c r="D2368" t="s">
        <v>26</v>
      </c>
      <c r="E2368" t="s">
        <v>32</v>
      </c>
      <c r="F2368" t="s">
        <v>39</v>
      </c>
      <c r="G2368" t="s">
        <v>72</v>
      </c>
      <c r="H2368" t="s">
        <v>74</v>
      </c>
      <c r="I2368">
        <v>1</v>
      </c>
      <c r="J2368">
        <v>14710</v>
      </c>
      <c r="K2368">
        <v>0</v>
      </c>
      <c r="L2368">
        <v>14710</v>
      </c>
      <c r="M2368">
        <v>11139.4</v>
      </c>
      <c r="N2368">
        <v>3570.6</v>
      </c>
      <c r="O2368" t="s">
        <v>79</v>
      </c>
      <c r="P2368" t="s">
        <v>84</v>
      </c>
    </row>
    <row r="2369" spans="1:16" x14ac:dyDescent="0.25">
      <c r="A2369">
        <v>2368</v>
      </c>
      <c r="B2369" s="1">
        <v>45946</v>
      </c>
      <c r="C2369" t="s">
        <v>18</v>
      </c>
      <c r="D2369" t="s">
        <v>26</v>
      </c>
      <c r="E2369" t="s">
        <v>29</v>
      </c>
      <c r="F2369" t="s">
        <v>45</v>
      </c>
      <c r="G2369" t="s">
        <v>71</v>
      </c>
      <c r="H2369" t="s">
        <v>75</v>
      </c>
      <c r="I2369">
        <v>5</v>
      </c>
      <c r="J2369">
        <v>2439</v>
      </c>
      <c r="K2369">
        <v>0.05</v>
      </c>
      <c r="L2369">
        <v>11585.25</v>
      </c>
      <c r="M2369">
        <v>8180.25</v>
      </c>
      <c r="N2369">
        <v>3405</v>
      </c>
      <c r="O2369" t="s">
        <v>77</v>
      </c>
      <c r="P2369" t="s">
        <v>86</v>
      </c>
    </row>
    <row r="2370" spans="1:16" x14ac:dyDescent="0.25">
      <c r="A2370">
        <v>2369</v>
      </c>
      <c r="B2370" s="1">
        <v>45984</v>
      </c>
      <c r="C2370" t="s">
        <v>17</v>
      </c>
      <c r="D2370" t="s">
        <v>25</v>
      </c>
      <c r="E2370" t="s">
        <v>34</v>
      </c>
      <c r="F2370" t="s">
        <v>51</v>
      </c>
      <c r="G2370" t="s">
        <v>70</v>
      </c>
      <c r="H2370" t="s">
        <v>75</v>
      </c>
      <c r="I2370">
        <v>6</v>
      </c>
      <c r="J2370">
        <v>545</v>
      </c>
      <c r="K2370">
        <v>0.1</v>
      </c>
      <c r="L2370">
        <v>2943</v>
      </c>
      <c r="M2370">
        <v>2100.16</v>
      </c>
      <c r="N2370">
        <v>842.84</v>
      </c>
      <c r="O2370" t="s">
        <v>80</v>
      </c>
      <c r="P2370" t="s">
        <v>83</v>
      </c>
    </row>
    <row r="2371" spans="1:16" x14ac:dyDescent="0.25">
      <c r="A2371">
        <v>2370</v>
      </c>
      <c r="B2371" s="1">
        <v>45698</v>
      </c>
      <c r="C2371" t="s">
        <v>20</v>
      </c>
      <c r="D2371" t="s">
        <v>26</v>
      </c>
      <c r="E2371" t="s">
        <v>28</v>
      </c>
      <c r="F2371" t="s">
        <v>63</v>
      </c>
      <c r="G2371" t="s">
        <v>72</v>
      </c>
      <c r="H2371" t="s">
        <v>74</v>
      </c>
      <c r="I2371">
        <v>5</v>
      </c>
      <c r="J2371">
        <v>1104</v>
      </c>
      <c r="K2371">
        <v>0.1</v>
      </c>
      <c r="L2371">
        <v>4968</v>
      </c>
      <c r="M2371">
        <v>3288.99</v>
      </c>
      <c r="N2371">
        <v>1679.01</v>
      </c>
      <c r="O2371" t="s">
        <v>77</v>
      </c>
      <c r="P2371" t="s">
        <v>85</v>
      </c>
    </row>
    <row r="2372" spans="1:16" x14ac:dyDescent="0.25">
      <c r="A2372">
        <v>2371</v>
      </c>
      <c r="B2372" s="1">
        <v>45676</v>
      </c>
      <c r="C2372" t="s">
        <v>21</v>
      </c>
      <c r="D2372" t="s">
        <v>24</v>
      </c>
      <c r="E2372" t="s">
        <v>33</v>
      </c>
      <c r="F2372" t="s">
        <v>60</v>
      </c>
      <c r="G2372" t="s">
        <v>71</v>
      </c>
      <c r="H2372" t="s">
        <v>73</v>
      </c>
      <c r="I2372">
        <v>3</v>
      </c>
      <c r="J2372">
        <v>27547</v>
      </c>
      <c r="K2372">
        <v>0.05</v>
      </c>
      <c r="L2372">
        <v>78508.95</v>
      </c>
      <c r="M2372">
        <v>68932.91</v>
      </c>
      <c r="N2372">
        <v>9576.0400000000009</v>
      </c>
      <c r="O2372" t="s">
        <v>80</v>
      </c>
      <c r="P2372" t="s">
        <v>83</v>
      </c>
    </row>
    <row r="2373" spans="1:16" x14ac:dyDescent="0.25">
      <c r="A2373">
        <v>2372</v>
      </c>
      <c r="B2373" s="1">
        <v>45799</v>
      </c>
      <c r="C2373" t="s">
        <v>22</v>
      </c>
      <c r="D2373" t="s">
        <v>24</v>
      </c>
      <c r="E2373" t="s">
        <v>30</v>
      </c>
      <c r="F2373" t="s">
        <v>56</v>
      </c>
      <c r="G2373" t="s">
        <v>71</v>
      </c>
      <c r="H2373" t="s">
        <v>73</v>
      </c>
      <c r="I2373">
        <v>8</v>
      </c>
      <c r="J2373">
        <v>25764</v>
      </c>
      <c r="K2373">
        <v>0.1</v>
      </c>
      <c r="L2373">
        <v>185500.79999999999</v>
      </c>
      <c r="M2373">
        <v>154048.48000000001</v>
      </c>
      <c r="N2373">
        <v>31452.32</v>
      </c>
      <c r="O2373" t="s">
        <v>76</v>
      </c>
      <c r="P2373" t="s">
        <v>82</v>
      </c>
    </row>
    <row r="2374" spans="1:16" x14ac:dyDescent="0.25">
      <c r="A2374">
        <v>2373</v>
      </c>
      <c r="B2374" s="1">
        <v>45740</v>
      </c>
      <c r="C2374" t="s">
        <v>22</v>
      </c>
      <c r="D2374" t="s">
        <v>24</v>
      </c>
      <c r="E2374" t="s">
        <v>34</v>
      </c>
      <c r="F2374" t="s">
        <v>51</v>
      </c>
      <c r="G2374" t="s">
        <v>72</v>
      </c>
      <c r="H2374" t="s">
        <v>74</v>
      </c>
      <c r="I2374">
        <v>3</v>
      </c>
      <c r="J2374">
        <v>4483</v>
      </c>
      <c r="K2374">
        <v>0.15</v>
      </c>
      <c r="L2374">
        <v>11431.65</v>
      </c>
      <c r="M2374">
        <v>9691.16</v>
      </c>
      <c r="N2374">
        <v>1740.49</v>
      </c>
      <c r="O2374" t="s">
        <v>80</v>
      </c>
      <c r="P2374" t="s">
        <v>87</v>
      </c>
    </row>
    <row r="2375" spans="1:16" x14ac:dyDescent="0.25">
      <c r="A2375">
        <v>2374</v>
      </c>
      <c r="B2375" s="1">
        <v>46009</v>
      </c>
      <c r="C2375" t="s">
        <v>21</v>
      </c>
      <c r="D2375" t="s">
        <v>24</v>
      </c>
      <c r="E2375" t="s">
        <v>34</v>
      </c>
      <c r="F2375" t="s">
        <v>55</v>
      </c>
      <c r="G2375" t="s">
        <v>70</v>
      </c>
      <c r="H2375" t="s">
        <v>74</v>
      </c>
      <c r="I2375">
        <v>7</v>
      </c>
      <c r="J2375">
        <v>2422</v>
      </c>
      <c r="K2375">
        <v>0</v>
      </c>
      <c r="L2375">
        <v>16954</v>
      </c>
      <c r="M2375">
        <v>10604.25</v>
      </c>
      <c r="N2375">
        <v>6349.75</v>
      </c>
      <c r="O2375" t="s">
        <v>76</v>
      </c>
      <c r="P2375" t="s">
        <v>87</v>
      </c>
    </row>
    <row r="2376" spans="1:16" x14ac:dyDescent="0.25">
      <c r="A2376">
        <v>2375</v>
      </c>
      <c r="B2376" s="1">
        <v>45965</v>
      </c>
      <c r="C2376" t="s">
        <v>17</v>
      </c>
      <c r="D2376" t="s">
        <v>25</v>
      </c>
      <c r="E2376" t="s">
        <v>34</v>
      </c>
      <c r="F2376" t="s">
        <v>51</v>
      </c>
      <c r="G2376" t="s">
        <v>70</v>
      </c>
      <c r="H2376" t="s">
        <v>73</v>
      </c>
      <c r="I2376">
        <v>7</v>
      </c>
      <c r="J2376">
        <v>5570</v>
      </c>
      <c r="K2376">
        <v>0.05</v>
      </c>
      <c r="L2376">
        <v>37040.5</v>
      </c>
      <c r="M2376">
        <v>24540.39</v>
      </c>
      <c r="N2376">
        <v>12500.11</v>
      </c>
      <c r="O2376" t="s">
        <v>80</v>
      </c>
      <c r="P2376" t="s">
        <v>87</v>
      </c>
    </row>
    <row r="2377" spans="1:16" x14ac:dyDescent="0.25">
      <c r="A2377">
        <v>2376</v>
      </c>
      <c r="B2377" s="1">
        <v>45909</v>
      </c>
      <c r="C2377" t="s">
        <v>20</v>
      </c>
      <c r="D2377" t="s">
        <v>26</v>
      </c>
      <c r="E2377" t="s">
        <v>33</v>
      </c>
      <c r="F2377" t="s">
        <v>46</v>
      </c>
      <c r="G2377" t="s">
        <v>71</v>
      </c>
      <c r="H2377" t="s">
        <v>75</v>
      </c>
      <c r="I2377">
        <v>7</v>
      </c>
      <c r="J2377">
        <v>35068</v>
      </c>
      <c r="K2377">
        <v>0.05</v>
      </c>
      <c r="L2377">
        <v>233202.2</v>
      </c>
      <c r="M2377">
        <v>183017.55</v>
      </c>
      <c r="N2377">
        <v>50184.65</v>
      </c>
      <c r="O2377" t="s">
        <v>80</v>
      </c>
      <c r="P2377" t="s">
        <v>88</v>
      </c>
    </row>
    <row r="2378" spans="1:16" x14ac:dyDescent="0.25">
      <c r="A2378">
        <v>2377</v>
      </c>
      <c r="B2378" s="1">
        <v>45849</v>
      </c>
      <c r="C2378" t="s">
        <v>23</v>
      </c>
      <c r="D2378" t="s">
        <v>27</v>
      </c>
      <c r="E2378" t="s">
        <v>33</v>
      </c>
      <c r="F2378" t="s">
        <v>46</v>
      </c>
      <c r="G2378" t="s">
        <v>72</v>
      </c>
      <c r="H2378" t="s">
        <v>75</v>
      </c>
      <c r="I2378">
        <v>4</v>
      </c>
      <c r="J2378">
        <v>4553</v>
      </c>
      <c r="K2378">
        <v>0.15</v>
      </c>
      <c r="L2378">
        <v>15480.2</v>
      </c>
      <c r="M2378">
        <v>11681.23</v>
      </c>
      <c r="N2378">
        <v>3798.97</v>
      </c>
      <c r="O2378" t="s">
        <v>78</v>
      </c>
      <c r="P2378" t="s">
        <v>83</v>
      </c>
    </row>
    <row r="2379" spans="1:16" x14ac:dyDescent="0.25">
      <c r="A2379">
        <v>2378</v>
      </c>
      <c r="B2379" s="1">
        <v>45748</v>
      </c>
      <c r="C2379" t="s">
        <v>19</v>
      </c>
      <c r="D2379" t="s">
        <v>26</v>
      </c>
      <c r="E2379" t="s">
        <v>30</v>
      </c>
      <c r="F2379" t="s">
        <v>40</v>
      </c>
      <c r="G2379" t="s">
        <v>72</v>
      </c>
      <c r="H2379" t="s">
        <v>73</v>
      </c>
      <c r="I2379">
        <v>6</v>
      </c>
      <c r="J2379">
        <v>42999</v>
      </c>
      <c r="K2379">
        <v>0.1</v>
      </c>
      <c r="L2379">
        <v>232194.6</v>
      </c>
      <c r="M2379">
        <v>164262.96</v>
      </c>
      <c r="N2379">
        <v>67931.64</v>
      </c>
      <c r="O2379" t="s">
        <v>77</v>
      </c>
      <c r="P2379" t="s">
        <v>81</v>
      </c>
    </row>
    <row r="2380" spans="1:16" x14ac:dyDescent="0.25">
      <c r="A2380">
        <v>2379</v>
      </c>
      <c r="B2380" s="1">
        <v>45860</v>
      </c>
      <c r="C2380" t="s">
        <v>22</v>
      </c>
      <c r="D2380" t="s">
        <v>24</v>
      </c>
      <c r="E2380" t="s">
        <v>34</v>
      </c>
      <c r="F2380" t="s">
        <v>68</v>
      </c>
      <c r="G2380" t="s">
        <v>70</v>
      </c>
      <c r="H2380" t="s">
        <v>74</v>
      </c>
      <c r="I2380">
        <v>7</v>
      </c>
      <c r="J2380">
        <v>5755</v>
      </c>
      <c r="K2380">
        <v>0.1</v>
      </c>
      <c r="L2380">
        <v>36256.5</v>
      </c>
      <c r="M2380">
        <v>30043.89</v>
      </c>
      <c r="N2380">
        <v>6212.61</v>
      </c>
      <c r="O2380" t="s">
        <v>77</v>
      </c>
      <c r="P2380" t="s">
        <v>83</v>
      </c>
    </row>
    <row r="2381" spans="1:16" x14ac:dyDescent="0.25">
      <c r="A2381">
        <v>2380</v>
      </c>
      <c r="B2381" s="1">
        <v>45823</v>
      </c>
      <c r="C2381" t="s">
        <v>23</v>
      </c>
      <c r="D2381" t="s">
        <v>27</v>
      </c>
      <c r="E2381" t="s">
        <v>32</v>
      </c>
      <c r="F2381" t="s">
        <v>66</v>
      </c>
      <c r="G2381" t="s">
        <v>72</v>
      </c>
      <c r="H2381" t="s">
        <v>73</v>
      </c>
      <c r="I2381">
        <v>3</v>
      </c>
      <c r="J2381">
        <v>2596</v>
      </c>
      <c r="K2381">
        <v>0</v>
      </c>
      <c r="L2381">
        <v>7788</v>
      </c>
      <c r="M2381">
        <v>5769.32</v>
      </c>
      <c r="N2381">
        <v>2018.68</v>
      </c>
      <c r="O2381" t="s">
        <v>80</v>
      </c>
      <c r="P2381" t="s">
        <v>85</v>
      </c>
    </row>
    <row r="2382" spans="1:16" x14ac:dyDescent="0.25">
      <c r="A2382">
        <v>2381</v>
      </c>
      <c r="B2382" s="1">
        <v>45695</v>
      </c>
      <c r="C2382" t="s">
        <v>18</v>
      </c>
      <c r="D2382" t="s">
        <v>26</v>
      </c>
      <c r="E2382" t="s">
        <v>32</v>
      </c>
      <c r="F2382" t="s">
        <v>49</v>
      </c>
      <c r="G2382" t="s">
        <v>72</v>
      </c>
      <c r="H2382" t="s">
        <v>73</v>
      </c>
      <c r="I2382">
        <v>1</v>
      </c>
      <c r="J2382">
        <v>19573</v>
      </c>
      <c r="K2382">
        <v>0.05</v>
      </c>
      <c r="L2382">
        <v>18594.349999999999</v>
      </c>
      <c r="M2382">
        <v>14136.33</v>
      </c>
      <c r="N2382">
        <v>4458.0200000000004</v>
      </c>
      <c r="O2382" t="s">
        <v>78</v>
      </c>
      <c r="P2382" t="s">
        <v>86</v>
      </c>
    </row>
    <row r="2383" spans="1:16" x14ac:dyDescent="0.25">
      <c r="A2383">
        <v>2382</v>
      </c>
      <c r="B2383" s="1">
        <v>45879</v>
      </c>
      <c r="C2383" t="s">
        <v>19</v>
      </c>
      <c r="D2383" t="s">
        <v>26</v>
      </c>
      <c r="E2383" t="s">
        <v>34</v>
      </c>
      <c r="F2383" t="s">
        <v>55</v>
      </c>
      <c r="G2383" t="s">
        <v>72</v>
      </c>
      <c r="H2383" t="s">
        <v>74</v>
      </c>
      <c r="I2383">
        <v>7</v>
      </c>
      <c r="J2383">
        <v>5892</v>
      </c>
      <c r="K2383">
        <v>0.05</v>
      </c>
      <c r="L2383">
        <v>39181.800000000003</v>
      </c>
      <c r="M2383">
        <v>32342.32</v>
      </c>
      <c r="N2383">
        <v>6839.48</v>
      </c>
      <c r="O2383" t="s">
        <v>79</v>
      </c>
      <c r="P2383" t="s">
        <v>87</v>
      </c>
    </row>
    <row r="2384" spans="1:16" x14ac:dyDescent="0.25">
      <c r="A2384">
        <v>2383</v>
      </c>
      <c r="B2384" s="1">
        <v>46005</v>
      </c>
      <c r="C2384" t="s">
        <v>23</v>
      </c>
      <c r="D2384" t="s">
        <v>27</v>
      </c>
      <c r="E2384" t="s">
        <v>28</v>
      </c>
      <c r="F2384" t="s">
        <v>54</v>
      </c>
      <c r="G2384" t="s">
        <v>72</v>
      </c>
      <c r="H2384" t="s">
        <v>73</v>
      </c>
      <c r="I2384">
        <v>6</v>
      </c>
      <c r="J2384">
        <v>1813</v>
      </c>
      <c r="K2384">
        <v>0.05</v>
      </c>
      <c r="L2384">
        <v>10334.1</v>
      </c>
      <c r="M2384">
        <v>6255.13</v>
      </c>
      <c r="N2384">
        <v>4078.97</v>
      </c>
      <c r="O2384" t="s">
        <v>77</v>
      </c>
      <c r="P2384" t="s">
        <v>85</v>
      </c>
    </row>
    <row r="2385" spans="1:16" x14ac:dyDescent="0.25">
      <c r="A2385">
        <v>2384</v>
      </c>
      <c r="B2385" s="1">
        <v>45776</v>
      </c>
      <c r="C2385" t="s">
        <v>16</v>
      </c>
      <c r="D2385" t="s">
        <v>24</v>
      </c>
      <c r="E2385" t="s">
        <v>29</v>
      </c>
      <c r="F2385" t="s">
        <v>45</v>
      </c>
      <c r="G2385" t="s">
        <v>70</v>
      </c>
      <c r="H2385" t="s">
        <v>74</v>
      </c>
      <c r="I2385">
        <v>2</v>
      </c>
      <c r="J2385">
        <v>8355</v>
      </c>
      <c r="K2385">
        <v>0.05</v>
      </c>
      <c r="L2385">
        <v>15874.5</v>
      </c>
      <c r="M2385">
        <v>12471.6</v>
      </c>
      <c r="N2385">
        <v>3402.9</v>
      </c>
      <c r="O2385" t="s">
        <v>78</v>
      </c>
      <c r="P2385" t="s">
        <v>86</v>
      </c>
    </row>
    <row r="2386" spans="1:16" x14ac:dyDescent="0.25">
      <c r="A2386">
        <v>2385</v>
      </c>
      <c r="B2386" s="1">
        <v>45815</v>
      </c>
      <c r="C2386" t="s">
        <v>17</v>
      </c>
      <c r="D2386" t="s">
        <v>25</v>
      </c>
      <c r="E2386" t="s">
        <v>32</v>
      </c>
      <c r="F2386" t="s">
        <v>49</v>
      </c>
      <c r="G2386" t="s">
        <v>72</v>
      </c>
      <c r="H2386" t="s">
        <v>73</v>
      </c>
      <c r="I2386">
        <v>7</v>
      </c>
      <c r="J2386">
        <v>7217</v>
      </c>
      <c r="K2386">
        <v>0.15</v>
      </c>
      <c r="L2386">
        <v>42941.15</v>
      </c>
      <c r="M2386">
        <v>24552.83</v>
      </c>
      <c r="N2386">
        <v>18388.32</v>
      </c>
      <c r="O2386" t="s">
        <v>79</v>
      </c>
      <c r="P2386" t="s">
        <v>86</v>
      </c>
    </row>
    <row r="2387" spans="1:16" x14ac:dyDescent="0.25">
      <c r="A2387">
        <v>2386</v>
      </c>
      <c r="B2387" s="1">
        <v>45868</v>
      </c>
      <c r="C2387" t="s">
        <v>21</v>
      </c>
      <c r="D2387" t="s">
        <v>24</v>
      </c>
      <c r="E2387" t="s">
        <v>33</v>
      </c>
      <c r="F2387" t="s">
        <v>60</v>
      </c>
      <c r="G2387" t="s">
        <v>72</v>
      </c>
      <c r="H2387" t="s">
        <v>73</v>
      </c>
      <c r="I2387">
        <v>3</v>
      </c>
      <c r="J2387">
        <v>24841</v>
      </c>
      <c r="K2387">
        <v>0</v>
      </c>
      <c r="L2387">
        <v>74523</v>
      </c>
      <c r="M2387">
        <v>62113</v>
      </c>
      <c r="N2387">
        <v>12410</v>
      </c>
      <c r="O2387" t="s">
        <v>77</v>
      </c>
      <c r="P2387" t="s">
        <v>85</v>
      </c>
    </row>
    <row r="2388" spans="1:16" x14ac:dyDescent="0.25">
      <c r="A2388">
        <v>2387</v>
      </c>
      <c r="B2388" s="1">
        <v>45752</v>
      </c>
      <c r="C2388" t="s">
        <v>20</v>
      </c>
      <c r="D2388" t="s">
        <v>26</v>
      </c>
      <c r="E2388" t="s">
        <v>31</v>
      </c>
      <c r="F2388" t="s">
        <v>47</v>
      </c>
      <c r="G2388" t="s">
        <v>72</v>
      </c>
      <c r="H2388" t="s">
        <v>74</v>
      </c>
      <c r="I2388">
        <v>4</v>
      </c>
      <c r="J2388">
        <v>455</v>
      </c>
      <c r="K2388">
        <v>0</v>
      </c>
      <c r="L2388">
        <v>1820</v>
      </c>
      <c r="M2388">
        <v>1457.31</v>
      </c>
      <c r="N2388">
        <v>362.69</v>
      </c>
      <c r="O2388" t="s">
        <v>77</v>
      </c>
      <c r="P2388" t="s">
        <v>83</v>
      </c>
    </row>
    <row r="2389" spans="1:16" x14ac:dyDescent="0.25">
      <c r="A2389">
        <v>2388</v>
      </c>
      <c r="B2389" s="1">
        <v>45756</v>
      </c>
      <c r="C2389" t="s">
        <v>20</v>
      </c>
      <c r="D2389" t="s">
        <v>26</v>
      </c>
      <c r="E2389" t="s">
        <v>33</v>
      </c>
      <c r="F2389" t="s">
        <v>46</v>
      </c>
      <c r="G2389" t="s">
        <v>71</v>
      </c>
      <c r="H2389" t="s">
        <v>73</v>
      </c>
      <c r="I2389">
        <v>6</v>
      </c>
      <c r="J2389">
        <v>46537</v>
      </c>
      <c r="K2389">
        <v>0.1</v>
      </c>
      <c r="L2389">
        <v>251299.8</v>
      </c>
      <c r="M2389">
        <v>201332.8</v>
      </c>
      <c r="N2389">
        <v>49967</v>
      </c>
      <c r="O2389" t="s">
        <v>78</v>
      </c>
      <c r="P2389" t="s">
        <v>86</v>
      </c>
    </row>
    <row r="2390" spans="1:16" x14ac:dyDescent="0.25">
      <c r="A2390">
        <v>2389</v>
      </c>
      <c r="B2390" s="1">
        <v>45885</v>
      </c>
      <c r="C2390" t="s">
        <v>20</v>
      </c>
      <c r="D2390" t="s">
        <v>26</v>
      </c>
      <c r="E2390" t="s">
        <v>34</v>
      </c>
      <c r="F2390" t="s">
        <v>55</v>
      </c>
      <c r="G2390" t="s">
        <v>72</v>
      </c>
      <c r="H2390" t="s">
        <v>73</v>
      </c>
      <c r="I2390">
        <v>8</v>
      </c>
      <c r="J2390">
        <v>3237</v>
      </c>
      <c r="K2390">
        <v>0.15</v>
      </c>
      <c r="L2390">
        <v>22011.599999999999</v>
      </c>
      <c r="M2390">
        <v>12322.91</v>
      </c>
      <c r="N2390">
        <v>9688.69</v>
      </c>
      <c r="O2390" t="s">
        <v>76</v>
      </c>
      <c r="P2390" t="s">
        <v>84</v>
      </c>
    </row>
    <row r="2391" spans="1:16" x14ac:dyDescent="0.25">
      <c r="A2391">
        <v>2390</v>
      </c>
      <c r="B2391" s="1">
        <v>45975</v>
      </c>
      <c r="C2391" t="s">
        <v>17</v>
      </c>
      <c r="D2391" t="s">
        <v>25</v>
      </c>
      <c r="E2391" t="s">
        <v>30</v>
      </c>
      <c r="F2391" t="s">
        <v>44</v>
      </c>
      <c r="G2391" t="s">
        <v>71</v>
      </c>
      <c r="H2391" t="s">
        <v>73</v>
      </c>
      <c r="I2391">
        <v>7</v>
      </c>
      <c r="J2391">
        <v>47083</v>
      </c>
      <c r="K2391">
        <v>0.1</v>
      </c>
      <c r="L2391">
        <v>296622.90000000002</v>
      </c>
      <c r="M2391">
        <v>181626.2</v>
      </c>
      <c r="N2391">
        <v>114996.7</v>
      </c>
      <c r="O2391" t="s">
        <v>79</v>
      </c>
      <c r="P2391" t="s">
        <v>88</v>
      </c>
    </row>
    <row r="2392" spans="1:16" x14ac:dyDescent="0.25">
      <c r="A2392">
        <v>2391</v>
      </c>
      <c r="B2392" s="1">
        <v>45983</v>
      </c>
      <c r="C2392" t="s">
        <v>20</v>
      </c>
      <c r="D2392" t="s">
        <v>26</v>
      </c>
      <c r="E2392" t="s">
        <v>31</v>
      </c>
      <c r="F2392" t="s">
        <v>38</v>
      </c>
      <c r="G2392" t="s">
        <v>70</v>
      </c>
      <c r="H2392" t="s">
        <v>73</v>
      </c>
      <c r="I2392">
        <v>4</v>
      </c>
      <c r="J2392">
        <v>732</v>
      </c>
      <c r="K2392">
        <v>0.15</v>
      </c>
      <c r="L2392">
        <v>2488.8000000000002</v>
      </c>
      <c r="M2392">
        <v>1890.25</v>
      </c>
      <c r="N2392">
        <v>598.54999999999995</v>
      </c>
      <c r="O2392" t="s">
        <v>78</v>
      </c>
      <c r="P2392" t="s">
        <v>88</v>
      </c>
    </row>
    <row r="2393" spans="1:16" x14ac:dyDescent="0.25">
      <c r="A2393">
        <v>2392</v>
      </c>
      <c r="B2393" s="1">
        <v>46006</v>
      </c>
      <c r="C2393" t="s">
        <v>17</v>
      </c>
      <c r="D2393" t="s">
        <v>25</v>
      </c>
      <c r="E2393" t="s">
        <v>32</v>
      </c>
      <c r="F2393" t="s">
        <v>48</v>
      </c>
      <c r="G2393" t="s">
        <v>71</v>
      </c>
      <c r="H2393" t="s">
        <v>74</v>
      </c>
      <c r="I2393">
        <v>8</v>
      </c>
      <c r="J2393">
        <v>3897</v>
      </c>
      <c r="K2393">
        <v>0.1</v>
      </c>
      <c r="L2393">
        <v>28058.400000000001</v>
      </c>
      <c r="M2393">
        <v>23061.13</v>
      </c>
      <c r="N2393">
        <v>4997.2700000000004</v>
      </c>
      <c r="O2393" t="s">
        <v>80</v>
      </c>
      <c r="P2393" t="s">
        <v>87</v>
      </c>
    </row>
    <row r="2394" spans="1:16" x14ac:dyDescent="0.25">
      <c r="A2394">
        <v>2393</v>
      </c>
      <c r="B2394" s="1">
        <v>45797</v>
      </c>
      <c r="C2394" t="s">
        <v>16</v>
      </c>
      <c r="D2394" t="s">
        <v>24</v>
      </c>
      <c r="E2394" t="s">
        <v>31</v>
      </c>
      <c r="F2394" t="s">
        <v>67</v>
      </c>
      <c r="G2394" t="s">
        <v>72</v>
      </c>
      <c r="H2394" t="s">
        <v>75</v>
      </c>
      <c r="I2394">
        <v>2</v>
      </c>
      <c r="J2394">
        <v>1855</v>
      </c>
      <c r="K2394">
        <v>0.15</v>
      </c>
      <c r="L2394">
        <v>3153.5</v>
      </c>
      <c r="M2394">
        <v>1877.46</v>
      </c>
      <c r="N2394">
        <v>1276.04</v>
      </c>
      <c r="O2394" t="s">
        <v>76</v>
      </c>
      <c r="P2394" t="s">
        <v>84</v>
      </c>
    </row>
    <row r="2395" spans="1:16" x14ac:dyDescent="0.25">
      <c r="A2395">
        <v>2394</v>
      </c>
      <c r="B2395" s="1">
        <v>45832</v>
      </c>
      <c r="C2395" t="s">
        <v>17</v>
      </c>
      <c r="D2395" t="s">
        <v>25</v>
      </c>
      <c r="E2395" t="s">
        <v>29</v>
      </c>
      <c r="F2395" t="s">
        <v>53</v>
      </c>
      <c r="G2395" t="s">
        <v>72</v>
      </c>
      <c r="H2395" t="s">
        <v>73</v>
      </c>
      <c r="I2395">
        <v>5</v>
      </c>
      <c r="J2395">
        <v>2450</v>
      </c>
      <c r="K2395">
        <v>0.1</v>
      </c>
      <c r="L2395">
        <v>11025</v>
      </c>
      <c r="M2395">
        <v>6546.16</v>
      </c>
      <c r="N2395">
        <v>4478.84</v>
      </c>
      <c r="O2395" t="s">
        <v>77</v>
      </c>
      <c r="P2395" t="s">
        <v>86</v>
      </c>
    </row>
    <row r="2396" spans="1:16" x14ac:dyDescent="0.25">
      <c r="A2396">
        <v>2395</v>
      </c>
      <c r="B2396" s="1">
        <v>45679</v>
      </c>
      <c r="C2396" t="s">
        <v>18</v>
      </c>
      <c r="D2396" t="s">
        <v>26</v>
      </c>
      <c r="E2396" t="s">
        <v>29</v>
      </c>
      <c r="F2396" t="s">
        <v>42</v>
      </c>
      <c r="G2396" t="s">
        <v>70</v>
      </c>
      <c r="H2396" t="s">
        <v>74</v>
      </c>
      <c r="I2396">
        <v>4</v>
      </c>
      <c r="J2396">
        <v>9477</v>
      </c>
      <c r="K2396">
        <v>0.1</v>
      </c>
      <c r="L2396">
        <v>34117.199999999997</v>
      </c>
      <c r="M2396">
        <v>20545.54</v>
      </c>
      <c r="N2396">
        <v>13571.66</v>
      </c>
      <c r="O2396" t="s">
        <v>77</v>
      </c>
      <c r="P2396" t="s">
        <v>81</v>
      </c>
    </row>
    <row r="2397" spans="1:16" x14ac:dyDescent="0.25">
      <c r="A2397">
        <v>2396</v>
      </c>
      <c r="B2397" s="1">
        <v>45994</v>
      </c>
      <c r="C2397" t="s">
        <v>19</v>
      </c>
      <c r="D2397" t="s">
        <v>26</v>
      </c>
      <c r="E2397" t="s">
        <v>34</v>
      </c>
      <c r="F2397" t="s">
        <v>55</v>
      </c>
      <c r="G2397" t="s">
        <v>70</v>
      </c>
      <c r="H2397" t="s">
        <v>75</v>
      </c>
      <c r="I2397">
        <v>4</v>
      </c>
      <c r="J2397">
        <v>5810</v>
      </c>
      <c r="K2397">
        <v>0</v>
      </c>
      <c r="L2397">
        <v>23240</v>
      </c>
      <c r="M2397">
        <v>19420.36</v>
      </c>
      <c r="N2397">
        <v>3819.64</v>
      </c>
      <c r="O2397" t="s">
        <v>78</v>
      </c>
      <c r="P2397" t="s">
        <v>81</v>
      </c>
    </row>
    <row r="2398" spans="1:16" x14ac:dyDescent="0.25">
      <c r="A2398">
        <v>2397</v>
      </c>
      <c r="B2398" s="1">
        <v>45841</v>
      </c>
      <c r="C2398" t="s">
        <v>22</v>
      </c>
      <c r="D2398" t="s">
        <v>24</v>
      </c>
      <c r="E2398" t="s">
        <v>30</v>
      </c>
      <c r="F2398" t="s">
        <v>37</v>
      </c>
      <c r="G2398" t="s">
        <v>70</v>
      </c>
      <c r="H2398" t="s">
        <v>74</v>
      </c>
      <c r="I2398">
        <v>1</v>
      </c>
      <c r="J2398">
        <v>35050</v>
      </c>
      <c r="K2398">
        <v>0.1</v>
      </c>
      <c r="L2398">
        <v>31545</v>
      </c>
      <c r="M2398">
        <v>19745.400000000001</v>
      </c>
      <c r="N2398">
        <v>11799.6</v>
      </c>
      <c r="O2398" t="s">
        <v>79</v>
      </c>
      <c r="P2398" t="s">
        <v>81</v>
      </c>
    </row>
    <row r="2399" spans="1:16" x14ac:dyDescent="0.25">
      <c r="A2399">
        <v>2398</v>
      </c>
      <c r="B2399" s="1">
        <v>45795</v>
      </c>
      <c r="C2399" t="s">
        <v>21</v>
      </c>
      <c r="D2399" t="s">
        <v>24</v>
      </c>
      <c r="E2399" t="s">
        <v>31</v>
      </c>
      <c r="F2399" t="s">
        <v>69</v>
      </c>
      <c r="G2399" t="s">
        <v>70</v>
      </c>
      <c r="H2399" t="s">
        <v>74</v>
      </c>
      <c r="I2399">
        <v>4</v>
      </c>
      <c r="J2399">
        <v>773</v>
      </c>
      <c r="K2399">
        <v>0.2</v>
      </c>
      <c r="L2399">
        <v>2473.6</v>
      </c>
      <c r="M2399">
        <v>1405.76</v>
      </c>
      <c r="N2399">
        <v>1067.8399999999999</v>
      </c>
      <c r="O2399" t="s">
        <v>76</v>
      </c>
      <c r="P2399" t="s">
        <v>86</v>
      </c>
    </row>
    <row r="2400" spans="1:16" x14ac:dyDescent="0.25">
      <c r="A2400">
        <v>2399</v>
      </c>
      <c r="B2400" s="1">
        <v>45926</v>
      </c>
      <c r="C2400" t="s">
        <v>22</v>
      </c>
      <c r="D2400" t="s">
        <v>24</v>
      </c>
      <c r="E2400" t="s">
        <v>34</v>
      </c>
      <c r="F2400" t="s">
        <v>55</v>
      </c>
      <c r="G2400" t="s">
        <v>70</v>
      </c>
      <c r="H2400" t="s">
        <v>74</v>
      </c>
      <c r="I2400">
        <v>8</v>
      </c>
      <c r="J2400">
        <v>3312</v>
      </c>
      <c r="K2400">
        <v>0.2</v>
      </c>
      <c r="L2400">
        <v>21196.799999999999</v>
      </c>
      <c r="M2400">
        <v>18517.71</v>
      </c>
      <c r="N2400">
        <v>2679.09</v>
      </c>
      <c r="O2400" t="s">
        <v>80</v>
      </c>
      <c r="P2400" t="s">
        <v>87</v>
      </c>
    </row>
    <row r="2401" spans="1:16" x14ac:dyDescent="0.25">
      <c r="A2401">
        <v>2400</v>
      </c>
      <c r="B2401" s="1">
        <v>45829</v>
      </c>
      <c r="C2401" t="s">
        <v>18</v>
      </c>
      <c r="D2401" t="s">
        <v>26</v>
      </c>
      <c r="E2401" t="s">
        <v>34</v>
      </c>
      <c r="F2401" t="s">
        <v>68</v>
      </c>
      <c r="G2401" t="s">
        <v>71</v>
      </c>
      <c r="H2401" t="s">
        <v>74</v>
      </c>
      <c r="I2401">
        <v>8</v>
      </c>
      <c r="J2401">
        <v>3407</v>
      </c>
      <c r="K2401">
        <v>0.15</v>
      </c>
      <c r="L2401">
        <v>23167.599999999999</v>
      </c>
      <c r="M2401">
        <v>17021.599999999999</v>
      </c>
      <c r="N2401">
        <v>6146</v>
      </c>
      <c r="O2401" t="s">
        <v>77</v>
      </c>
      <c r="P2401" t="s">
        <v>81</v>
      </c>
    </row>
    <row r="2402" spans="1:16" x14ac:dyDescent="0.25">
      <c r="A2402">
        <v>2401</v>
      </c>
      <c r="B2402" s="1">
        <v>45878</v>
      </c>
      <c r="C2402" t="s">
        <v>23</v>
      </c>
      <c r="D2402" t="s">
        <v>27</v>
      </c>
      <c r="E2402" t="s">
        <v>32</v>
      </c>
      <c r="F2402" t="s">
        <v>62</v>
      </c>
      <c r="G2402" t="s">
        <v>72</v>
      </c>
      <c r="H2402" t="s">
        <v>74</v>
      </c>
      <c r="I2402">
        <v>8</v>
      </c>
      <c r="J2402">
        <v>12357</v>
      </c>
      <c r="K2402">
        <v>0.05</v>
      </c>
      <c r="L2402">
        <v>93913.2</v>
      </c>
      <c r="M2402">
        <v>64768.99</v>
      </c>
      <c r="N2402">
        <v>29144.21</v>
      </c>
      <c r="O2402" t="s">
        <v>79</v>
      </c>
      <c r="P2402" t="s">
        <v>84</v>
      </c>
    </row>
    <row r="2403" spans="1:16" x14ac:dyDescent="0.25">
      <c r="A2403">
        <v>2402</v>
      </c>
      <c r="B2403" s="1">
        <v>45915</v>
      </c>
      <c r="C2403" t="s">
        <v>16</v>
      </c>
      <c r="D2403" t="s">
        <v>24</v>
      </c>
      <c r="E2403" t="s">
        <v>30</v>
      </c>
      <c r="F2403" t="s">
        <v>64</v>
      </c>
      <c r="G2403" t="s">
        <v>72</v>
      </c>
      <c r="H2403" t="s">
        <v>73</v>
      </c>
      <c r="I2403">
        <v>2</v>
      </c>
      <c r="J2403">
        <v>19173</v>
      </c>
      <c r="K2403">
        <v>0.1</v>
      </c>
      <c r="L2403">
        <v>34511.4</v>
      </c>
      <c r="M2403">
        <v>23659.01</v>
      </c>
      <c r="N2403">
        <v>10852.39</v>
      </c>
      <c r="O2403" t="s">
        <v>77</v>
      </c>
      <c r="P2403" t="s">
        <v>85</v>
      </c>
    </row>
    <row r="2404" spans="1:16" x14ac:dyDescent="0.25">
      <c r="A2404">
        <v>2403</v>
      </c>
      <c r="B2404" s="1">
        <v>45726</v>
      </c>
      <c r="C2404" t="s">
        <v>23</v>
      </c>
      <c r="D2404" t="s">
        <v>27</v>
      </c>
      <c r="E2404" t="s">
        <v>29</v>
      </c>
      <c r="F2404" t="s">
        <v>57</v>
      </c>
      <c r="G2404" t="s">
        <v>72</v>
      </c>
      <c r="H2404" t="s">
        <v>73</v>
      </c>
      <c r="I2404">
        <v>3</v>
      </c>
      <c r="J2404">
        <v>4259</v>
      </c>
      <c r="K2404">
        <v>0</v>
      </c>
      <c r="L2404">
        <v>12777</v>
      </c>
      <c r="M2404">
        <v>10406.91</v>
      </c>
      <c r="N2404">
        <v>2370.09</v>
      </c>
      <c r="O2404" t="s">
        <v>76</v>
      </c>
      <c r="P2404" t="s">
        <v>81</v>
      </c>
    </row>
    <row r="2405" spans="1:16" x14ac:dyDescent="0.25">
      <c r="A2405">
        <v>2404</v>
      </c>
      <c r="B2405" s="1">
        <v>45811</v>
      </c>
      <c r="C2405" t="s">
        <v>16</v>
      </c>
      <c r="D2405" t="s">
        <v>24</v>
      </c>
      <c r="E2405" t="s">
        <v>29</v>
      </c>
      <c r="F2405" t="s">
        <v>42</v>
      </c>
      <c r="G2405" t="s">
        <v>70</v>
      </c>
      <c r="H2405" t="s">
        <v>74</v>
      </c>
      <c r="I2405">
        <v>3</v>
      </c>
      <c r="J2405">
        <v>1238</v>
      </c>
      <c r="K2405">
        <v>0.2</v>
      </c>
      <c r="L2405">
        <v>2971.2</v>
      </c>
      <c r="M2405">
        <v>2126.23</v>
      </c>
      <c r="N2405">
        <v>844.97</v>
      </c>
      <c r="O2405" t="s">
        <v>80</v>
      </c>
      <c r="P2405" t="s">
        <v>81</v>
      </c>
    </row>
    <row r="2406" spans="1:16" x14ac:dyDescent="0.25">
      <c r="A2406">
        <v>2405</v>
      </c>
      <c r="B2406" s="1">
        <v>45788</v>
      </c>
      <c r="C2406" t="s">
        <v>21</v>
      </c>
      <c r="D2406" t="s">
        <v>24</v>
      </c>
      <c r="E2406" t="s">
        <v>31</v>
      </c>
      <c r="F2406" t="s">
        <v>47</v>
      </c>
      <c r="G2406" t="s">
        <v>71</v>
      </c>
      <c r="H2406" t="s">
        <v>75</v>
      </c>
      <c r="I2406">
        <v>5</v>
      </c>
      <c r="J2406">
        <v>2362</v>
      </c>
      <c r="K2406">
        <v>0.1</v>
      </c>
      <c r="L2406">
        <v>10629</v>
      </c>
      <c r="M2406">
        <v>6164.95</v>
      </c>
      <c r="N2406">
        <v>4464.05</v>
      </c>
      <c r="O2406" t="s">
        <v>77</v>
      </c>
      <c r="P2406" t="s">
        <v>83</v>
      </c>
    </row>
    <row r="2407" spans="1:16" x14ac:dyDescent="0.25">
      <c r="A2407">
        <v>2406</v>
      </c>
      <c r="B2407" s="1">
        <v>45698</v>
      </c>
      <c r="C2407" t="s">
        <v>20</v>
      </c>
      <c r="D2407" t="s">
        <v>26</v>
      </c>
      <c r="E2407" t="s">
        <v>28</v>
      </c>
      <c r="F2407" t="s">
        <v>54</v>
      </c>
      <c r="G2407" t="s">
        <v>72</v>
      </c>
      <c r="H2407" t="s">
        <v>73</v>
      </c>
      <c r="I2407">
        <v>7</v>
      </c>
      <c r="J2407">
        <v>2241</v>
      </c>
      <c r="K2407">
        <v>0.15</v>
      </c>
      <c r="L2407">
        <v>13333.95</v>
      </c>
      <c r="M2407">
        <v>10624.38</v>
      </c>
      <c r="N2407">
        <v>2709.57</v>
      </c>
      <c r="O2407" t="s">
        <v>76</v>
      </c>
      <c r="P2407" t="s">
        <v>87</v>
      </c>
    </row>
    <row r="2408" spans="1:16" x14ac:dyDescent="0.25">
      <c r="A2408">
        <v>2407</v>
      </c>
      <c r="B2408" s="1">
        <v>45824</v>
      </c>
      <c r="C2408" t="s">
        <v>20</v>
      </c>
      <c r="D2408" t="s">
        <v>26</v>
      </c>
      <c r="E2408" t="s">
        <v>29</v>
      </c>
      <c r="F2408" t="s">
        <v>45</v>
      </c>
      <c r="G2408" t="s">
        <v>71</v>
      </c>
      <c r="H2408" t="s">
        <v>73</v>
      </c>
      <c r="I2408">
        <v>8</v>
      </c>
      <c r="J2408">
        <v>6180</v>
      </c>
      <c r="K2408">
        <v>0.15</v>
      </c>
      <c r="L2408">
        <v>42024</v>
      </c>
      <c r="M2408">
        <v>28265.55</v>
      </c>
      <c r="N2408">
        <v>13758.45</v>
      </c>
      <c r="O2408" t="s">
        <v>77</v>
      </c>
      <c r="P2408" t="s">
        <v>83</v>
      </c>
    </row>
    <row r="2409" spans="1:16" x14ac:dyDescent="0.25">
      <c r="A2409">
        <v>2408</v>
      </c>
      <c r="B2409" s="1">
        <v>45973</v>
      </c>
      <c r="C2409" t="s">
        <v>20</v>
      </c>
      <c r="D2409" t="s">
        <v>26</v>
      </c>
      <c r="E2409" t="s">
        <v>34</v>
      </c>
      <c r="F2409" t="s">
        <v>55</v>
      </c>
      <c r="G2409" t="s">
        <v>70</v>
      </c>
      <c r="H2409" t="s">
        <v>74</v>
      </c>
      <c r="I2409">
        <v>3</v>
      </c>
      <c r="J2409">
        <v>3126</v>
      </c>
      <c r="K2409">
        <v>0.05</v>
      </c>
      <c r="L2409">
        <v>8909.1</v>
      </c>
      <c r="M2409">
        <v>5129.63</v>
      </c>
      <c r="N2409">
        <v>3779.47</v>
      </c>
      <c r="O2409" t="s">
        <v>77</v>
      </c>
      <c r="P2409" t="s">
        <v>81</v>
      </c>
    </row>
    <row r="2410" spans="1:16" x14ac:dyDescent="0.25">
      <c r="A2410">
        <v>2409</v>
      </c>
      <c r="B2410" s="1">
        <v>45978</v>
      </c>
      <c r="C2410" t="s">
        <v>20</v>
      </c>
      <c r="D2410" t="s">
        <v>26</v>
      </c>
      <c r="E2410" t="s">
        <v>34</v>
      </c>
      <c r="F2410" t="s">
        <v>68</v>
      </c>
      <c r="G2410" t="s">
        <v>71</v>
      </c>
      <c r="H2410" t="s">
        <v>75</v>
      </c>
      <c r="I2410">
        <v>5</v>
      </c>
      <c r="J2410">
        <v>5795</v>
      </c>
      <c r="K2410">
        <v>0.1</v>
      </c>
      <c r="L2410">
        <v>26077.5</v>
      </c>
      <c r="M2410">
        <v>14379.47</v>
      </c>
      <c r="N2410">
        <v>11698.03</v>
      </c>
      <c r="O2410" t="s">
        <v>78</v>
      </c>
      <c r="P2410" t="s">
        <v>81</v>
      </c>
    </row>
    <row r="2411" spans="1:16" x14ac:dyDescent="0.25">
      <c r="A2411">
        <v>2410</v>
      </c>
      <c r="B2411" s="1">
        <v>45980</v>
      </c>
      <c r="C2411" t="s">
        <v>23</v>
      </c>
      <c r="D2411" t="s">
        <v>27</v>
      </c>
      <c r="E2411" t="s">
        <v>29</v>
      </c>
      <c r="F2411" t="s">
        <v>57</v>
      </c>
      <c r="G2411" t="s">
        <v>72</v>
      </c>
      <c r="H2411" t="s">
        <v>74</v>
      </c>
      <c r="I2411">
        <v>1</v>
      </c>
      <c r="J2411">
        <v>1442</v>
      </c>
      <c r="K2411">
        <v>0.15</v>
      </c>
      <c r="L2411">
        <v>1225.7</v>
      </c>
      <c r="M2411">
        <v>1013.51</v>
      </c>
      <c r="N2411">
        <v>212.19</v>
      </c>
      <c r="O2411" t="s">
        <v>76</v>
      </c>
      <c r="P2411" t="s">
        <v>82</v>
      </c>
    </row>
    <row r="2412" spans="1:16" x14ac:dyDescent="0.25">
      <c r="A2412">
        <v>2411</v>
      </c>
      <c r="B2412" s="1">
        <v>45686</v>
      </c>
      <c r="C2412" t="s">
        <v>19</v>
      </c>
      <c r="D2412" t="s">
        <v>26</v>
      </c>
      <c r="E2412" t="s">
        <v>32</v>
      </c>
      <c r="F2412" t="s">
        <v>39</v>
      </c>
      <c r="G2412" t="s">
        <v>70</v>
      </c>
      <c r="H2412" t="s">
        <v>75</v>
      </c>
      <c r="I2412">
        <v>7</v>
      </c>
      <c r="J2412">
        <v>17486</v>
      </c>
      <c r="K2412">
        <v>0.1</v>
      </c>
      <c r="L2412">
        <v>110161.8</v>
      </c>
      <c r="M2412">
        <v>93122.95</v>
      </c>
      <c r="N2412">
        <v>17038.849999999999</v>
      </c>
      <c r="O2412" t="s">
        <v>77</v>
      </c>
      <c r="P2412" t="s">
        <v>83</v>
      </c>
    </row>
    <row r="2413" spans="1:16" x14ac:dyDescent="0.25">
      <c r="A2413">
        <v>2412</v>
      </c>
      <c r="B2413" s="1">
        <v>45909</v>
      </c>
      <c r="C2413" t="s">
        <v>18</v>
      </c>
      <c r="D2413" t="s">
        <v>26</v>
      </c>
      <c r="E2413" t="s">
        <v>29</v>
      </c>
      <c r="F2413" t="s">
        <v>42</v>
      </c>
      <c r="G2413" t="s">
        <v>71</v>
      </c>
      <c r="H2413" t="s">
        <v>73</v>
      </c>
      <c r="I2413">
        <v>1</v>
      </c>
      <c r="J2413">
        <v>9602</v>
      </c>
      <c r="K2413">
        <v>0.05</v>
      </c>
      <c r="L2413">
        <v>9121.9</v>
      </c>
      <c r="M2413">
        <v>6168.96</v>
      </c>
      <c r="N2413">
        <v>2952.94</v>
      </c>
      <c r="O2413" t="s">
        <v>80</v>
      </c>
      <c r="P2413" t="s">
        <v>84</v>
      </c>
    </row>
    <row r="2414" spans="1:16" x14ac:dyDescent="0.25">
      <c r="A2414">
        <v>2413</v>
      </c>
      <c r="B2414" s="1">
        <v>45720</v>
      </c>
      <c r="C2414" t="s">
        <v>23</v>
      </c>
      <c r="D2414" t="s">
        <v>27</v>
      </c>
      <c r="E2414" t="s">
        <v>32</v>
      </c>
      <c r="F2414" t="s">
        <v>49</v>
      </c>
      <c r="G2414" t="s">
        <v>71</v>
      </c>
      <c r="H2414" t="s">
        <v>74</v>
      </c>
      <c r="I2414">
        <v>2</v>
      </c>
      <c r="J2414">
        <v>7243</v>
      </c>
      <c r="K2414">
        <v>0</v>
      </c>
      <c r="L2414">
        <v>14486</v>
      </c>
      <c r="M2414">
        <v>8690.92</v>
      </c>
      <c r="N2414">
        <v>5795.08</v>
      </c>
      <c r="O2414" t="s">
        <v>78</v>
      </c>
      <c r="P2414" t="s">
        <v>84</v>
      </c>
    </row>
    <row r="2415" spans="1:16" x14ac:dyDescent="0.25">
      <c r="A2415">
        <v>2414</v>
      </c>
      <c r="B2415" s="1">
        <v>45713</v>
      </c>
      <c r="C2415" t="s">
        <v>22</v>
      </c>
      <c r="D2415" t="s">
        <v>24</v>
      </c>
      <c r="E2415" t="s">
        <v>31</v>
      </c>
      <c r="F2415" t="s">
        <v>50</v>
      </c>
      <c r="G2415" t="s">
        <v>70</v>
      </c>
      <c r="H2415" t="s">
        <v>74</v>
      </c>
      <c r="I2415">
        <v>6</v>
      </c>
      <c r="J2415">
        <v>1644</v>
      </c>
      <c r="K2415">
        <v>0.15</v>
      </c>
      <c r="L2415">
        <v>8384.4</v>
      </c>
      <c r="M2415">
        <v>5456.05</v>
      </c>
      <c r="N2415">
        <v>2928.35</v>
      </c>
      <c r="O2415" t="s">
        <v>77</v>
      </c>
      <c r="P2415" t="s">
        <v>84</v>
      </c>
    </row>
    <row r="2416" spans="1:16" x14ac:dyDescent="0.25">
      <c r="A2416">
        <v>2415</v>
      </c>
      <c r="B2416" s="1">
        <v>45935</v>
      </c>
      <c r="C2416" t="s">
        <v>18</v>
      </c>
      <c r="D2416" t="s">
        <v>26</v>
      </c>
      <c r="E2416" t="s">
        <v>32</v>
      </c>
      <c r="F2416" t="s">
        <v>62</v>
      </c>
      <c r="G2416" t="s">
        <v>70</v>
      </c>
      <c r="H2416" t="s">
        <v>75</v>
      </c>
      <c r="I2416">
        <v>6</v>
      </c>
      <c r="J2416">
        <v>18904</v>
      </c>
      <c r="K2416">
        <v>0.2</v>
      </c>
      <c r="L2416">
        <v>90739.199999999997</v>
      </c>
      <c r="M2416">
        <v>79192.600000000006</v>
      </c>
      <c r="N2416">
        <v>11546.6</v>
      </c>
      <c r="O2416" t="s">
        <v>77</v>
      </c>
      <c r="P2416" t="s">
        <v>88</v>
      </c>
    </row>
    <row r="2417" spans="1:16" x14ac:dyDescent="0.25">
      <c r="A2417">
        <v>2416</v>
      </c>
      <c r="B2417" s="1">
        <v>45661</v>
      </c>
      <c r="C2417" t="s">
        <v>23</v>
      </c>
      <c r="D2417" t="s">
        <v>27</v>
      </c>
      <c r="E2417" t="s">
        <v>29</v>
      </c>
      <c r="F2417" t="s">
        <v>42</v>
      </c>
      <c r="G2417" t="s">
        <v>71</v>
      </c>
      <c r="H2417" t="s">
        <v>73</v>
      </c>
      <c r="I2417">
        <v>4</v>
      </c>
      <c r="J2417">
        <v>10628</v>
      </c>
      <c r="K2417">
        <v>0.1</v>
      </c>
      <c r="L2417">
        <v>38260.800000000003</v>
      </c>
      <c r="M2417">
        <v>29941.53</v>
      </c>
      <c r="N2417">
        <v>8319.27</v>
      </c>
      <c r="O2417" t="s">
        <v>78</v>
      </c>
      <c r="P2417" t="s">
        <v>81</v>
      </c>
    </row>
    <row r="2418" spans="1:16" x14ac:dyDescent="0.25">
      <c r="A2418">
        <v>2417</v>
      </c>
      <c r="B2418" s="1">
        <v>45988</v>
      </c>
      <c r="C2418" t="s">
        <v>20</v>
      </c>
      <c r="D2418" t="s">
        <v>26</v>
      </c>
      <c r="E2418" t="s">
        <v>34</v>
      </c>
      <c r="F2418" t="s">
        <v>65</v>
      </c>
      <c r="G2418" t="s">
        <v>72</v>
      </c>
      <c r="H2418" t="s">
        <v>73</v>
      </c>
      <c r="I2418">
        <v>8</v>
      </c>
      <c r="J2418">
        <v>3837</v>
      </c>
      <c r="K2418">
        <v>0</v>
      </c>
      <c r="L2418">
        <v>30696</v>
      </c>
      <c r="M2418">
        <v>22871.47</v>
      </c>
      <c r="N2418">
        <v>7824.53</v>
      </c>
      <c r="O2418" t="s">
        <v>78</v>
      </c>
      <c r="P2418" t="s">
        <v>84</v>
      </c>
    </row>
    <row r="2419" spans="1:16" x14ac:dyDescent="0.25">
      <c r="A2419">
        <v>2418</v>
      </c>
      <c r="B2419" s="1">
        <v>45758</v>
      </c>
      <c r="C2419" t="s">
        <v>22</v>
      </c>
      <c r="D2419" t="s">
        <v>24</v>
      </c>
      <c r="E2419" t="s">
        <v>33</v>
      </c>
      <c r="F2419" t="s">
        <v>46</v>
      </c>
      <c r="G2419" t="s">
        <v>71</v>
      </c>
      <c r="H2419" t="s">
        <v>74</v>
      </c>
      <c r="I2419">
        <v>7</v>
      </c>
      <c r="J2419">
        <v>18084</v>
      </c>
      <c r="K2419">
        <v>0.1</v>
      </c>
      <c r="L2419">
        <v>113929.2</v>
      </c>
      <c r="M2419">
        <v>93867.36</v>
      </c>
      <c r="N2419">
        <v>20061.84</v>
      </c>
      <c r="O2419" t="s">
        <v>80</v>
      </c>
      <c r="P2419" t="s">
        <v>86</v>
      </c>
    </row>
    <row r="2420" spans="1:16" x14ac:dyDescent="0.25">
      <c r="A2420">
        <v>2419</v>
      </c>
      <c r="B2420" s="1">
        <v>45855</v>
      </c>
      <c r="C2420" t="s">
        <v>21</v>
      </c>
      <c r="D2420" t="s">
        <v>24</v>
      </c>
      <c r="E2420" t="s">
        <v>32</v>
      </c>
      <c r="F2420" t="s">
        <v>39</v>
      </c>
      <c r="G2420" t="s">
        <v>71</v>
      </c>
      <c r="H2420" t="s">
        <v>73</v>
      </c>
      <c r="I2420">
        <v>8</v>
      </c>
      <c r="J2420">
        <v>1200</v>
      </c>
      <c r="K2420">
        <v>0.2</v>
      </c>
      <c r="L2420">
        <v>7680</v>
      </c>
      <c r="M2420">
        <v>6448.72</v>
      </c>
      <c r="N2420">
        <v>1231.28</v>
      </c>
      <c r="O2420" t="s">
        <v>77</v>
      </c>
      <c r="P2420" t="s">
        <v>81</v>
      </c>
    </row>
    <row r="2421" spans="1:16" x14ac:dyDescent="0.25">
      <c r="A2421">
        <v>2420</v>
      </c>
      <c r="B2421" s="1">
        <v>45947</v>
      </c>
      <c r="C2421" t="s">
        <v>18</v>
      </c>
      <c r="D2421" t="s">
        <v>26</v>
      </c>
      <c r="E2421" t="s">
        <v>31</v>
      </c>
      <c r="F2421" t="s">
        <v>47</v>
      </c>
      <c r="G2421" t="s">
        <v>71</v>
      </c>
      <c r="H2421" t="s">
        <v>75</v>
      </c>
      <c r="I2421">
        <v>8</v>
      </c>
      <c r="J2421">
        <v>1420</v>
      </c>
      <c r="K2421">
        <v>0.1</v>
      </c>
      <c r="L2421">
        <v>10224</v>
      </c>
      <c r="M2421">
        <v>8940.15</v>
      </c>
      <c r="N2421">
        <v>1283.8499999999999</v>
      </c>
      <c r="O2421" t="s">
        <v>77</v>
      </c>
      <c r="P2421" t="s">
        <v>87</v>
      </c>
    </row>
    <row r="2422" spans="1:16" x14ac:dyDescent="0.25">
      <c r="A2422">
        <v>2421</v>
      </c>
      <c r="B2422" s="1">
        <v>45749</v>
      </c>
      <c r="C2422" t="s">
        <v>18</v>
      </c>
      <c r="D2422" t="s">
        <v>26</v>
      </c>
      <c r="E2422" t="s">
        <v>34</v>
      </c>
      <c r="F2422" t="s">
        <v>51</v>
      </c>
      <c r="G2422" t="s">
        <v>70</v>
      </c>
      <c r="H2422" t="s">
        <v>74</v>
      </c>
      <c r="I2422">
        <v>3</v>
      </c>
      <c r="J2422">
        <v>5251</v>
      </c>
      <c r="K2422">
        <v>0.1</v>
      </c>
      <c r="L2422">
        <v>14177.7</v>
      </c>
      <c r="M2422">
        <v>10500.97</v>
      </c>
      <c r="N2422">
        <v>3676.73</v>
      </c>
      <c r="O2422" t="s">
        <v>79</v>
      </c>
      <c r="P2422" t="s">
        <v>87</v>
      </c>
    </row>
    <row r="2423" spans="1:16" x14ac:dyDescent="0.25">
      <c r="A2423">
        <v>2422</v>
      </c>
      <c r="B2423" s="1">
        <v>45684</v>
      </c>
      <c r="C2423" t="s">
        <v>21</v>
      </c>
      <c r="D2423" t="s">
        <v>24</v>
      </c>
      <c r="E2423" t="s">
        <v>31</v>
      </c>
      <c r="F2423" t="s">
        <v>50</v>
      </c>
      <c r="G2423" t="s">
        <v>70</v>
      </c>
      <c r="H2423" t="s">
        <v>74</v>
      </c>
      <c r="I2423">
        <v>3</v>
      </c>
      <c r="J2423">
        <v>1132</v>
      </c>
      <c r="K2423">
        <v>0.05</v>
      </c>
      <c r="L2423">
        <v>3226.2</v>
      </c>
      <c r="M2423">
        <v>1999.96</v>
      </c>
      <c r="N2423">
        <v>1226.24</v>
      </c>
      <c r="O2423" t="s">
        <v>77</v>
      </c>
      <c r="P2423" t="s">
        <v>86</v>
      </c>
    </row>
    <row r="2424" spans="1:16" x14ac:dyDescent="0.25">
      <c r="A2424">
        <v>2423</v>
      </c>
      <c r="B2424" s="1">
        <v>45722</v>
      </c>
      <c r="C2424" t="s">
        <v>20</v>
      </c>
      <c r="D2424" t="s">
        <v>26</v>
      </c>
      <c r="E2424" t="s">
        <v>29</v>
      </c>
      <c r="F2424" t="s">
        <v>45</v>
      </c>
      <c r="G2424" t="s">
        <v>71</v>
      </c>
      <c r="H2424" t="s">
        <v>74</v>
      </c>
      <c r="I2424">
        <v>2</v>
      </c>
      <c r="J2424">
        <v>8899</v>
      </c>
      <c r="K2424">
        <v>0.1</v>
      </c>
      <c r="L2424">
        <v>16018.2</v>
      </c>
      <c r="M2424">
        <v>10428.52</v>
      </c>
      <c r="N2424">
        <v>5589.68</v>
      </c>
      <c r="O2424" t="s">
        <v>80</v>
      </c>
      <c r="P2424" t="s">
        <v>87</v>
      </c>
    </row>
    <row r="2425" spans="1:16" x14ac:dyDescent="0.25">
      <c r="A2425">
        <v>2424</v>
      </c>
      <c r="B2425" s="1">
        <v>45800</v>
      </c>
      <c r="C2425" t="s">
        <v>18</v>
      </c>
      <c r="D2425" t="s">
        <v>26</v>
      </c>
      <c r="E2425" t="s">
        <v>28</v>
      </c>
      <c r="F2425" t="s">
        <v>61</v>
      </c>
      <c r="G2425" t="s">
        <v>70</v>
      </c>
      <c r="H2425" t="s">
        <v>73</v>
      </c>
      <c r="I2425">
        <v>3</v>
      </c>
      <c r="J2425">
        <v>1935</v>
      </c>
      <c r="K2425">
        <v>0.05</v>
      </c>
      <c r="L2425">
        <v>5514.75</v>
      </c>
      <c r="M2425">
        <v>4647.4799999999996</v>
      </c>
      <c r="N2425">
        <v>867.27</v>
      </c>
      <c r="O2425" t="s">
        <v>78</v>
      </c>
      <c r="P2425" t="s">
        <v>87</v>
      </c>
    </row>
    <row r="2426" spans="1:16" x14ac:dyDescent="0.25">
      <c r="A2426">
        <v>2425</v>
      </c>
      <c r="B2426" s="1">
        <v>45950</v>
      </c>
      <c r="C2426" t="s">
        <v>23</v>
      </c>
      <c r="D2426" t="s">
        <v>27</v>
      </c>
      <c r="E2426" t="s">
        <v>34</v>
      </c>
      <c r="F2426" t="s">
        <v>55</v>
      </c>
      <c r="G2426" t="s">
        <v>71</v>
      </c>
      <c r="H2426" t="s">
        <v>73</v>
      </c>
      <c r="I2426">
        <v>8</v>
      </c>
      <c r="J2426">
        <v>2505</v>
      </c>
      <c r="K2426">
        <v>0.1</v>
      </c>
      <c r="L2426">
        <v>18036</v>
      </c>
      <c r="M2426">
        <v>14456.98</v>
      </c>
      <c r="N2426">
        <v>3579.02</v>
      </c>
      <c r="O2426" t="s">
        <v>79</v>
      </c>
      <c r="P2426" t="s">
        <v>86</v>
      </c>
    </row>
    <row r="2427" spans="1:16" x14ac:dyDescent="0.25">
      <c r="A2427">
        <v>2426</v>
      </c>
      <c r="B2427" s="1">
        <v>45784</v>
      </c>
      <c r="C2427" t="s">
        <v>22</v>
      </c>
      <c r="D2427" t="s">
        <v>24</v>
      </c>
      <c r="E2427" t="s">
        <v>29</v>
      </c>
      <c r="F2427" t="s">
        <v>53</v>
      </c>
      <c r="G2427" t="s">
        <v>70</v>
      </c>
      <c r="H2427" t="s">
        <v>74</v>
      </c>
      <c r="I2427">
        <v>1</v>
      </c>
      <c r="J2427">
        <v>4466</v>
      </c>
      <c r="K2427">
        <v>0</v>
      </c>
      <c r="L2427">
        <v>4466</v>
      </c>
      <c r="M2427">
        <v>3487.64</v>
      </c>
      <c r="N2427">
        <v>978.36</v>
      </c>
      <c r="O2427" t="s">
        <v>79</v>
      </c>
      <c r="P2427" t="s">
        <v>86</v>
      </c>
    </row>
    <row r="2428" spans="1:16" x14ac:dyDescent="0.25">
      <c r="A2428">
        <v>2427</v>
      </c>
      <c r="B2428" s="1">
        <v>45833</v>
      </c>
      <c r="C2428" t="s">
        <v>19</v>
      </c>
      <c r="D2428" t="s">
        <v>26</v>
      </c>
      <c r="E2428" t="s">
        <v>29</v>
      </c>
      <c r="F2428" t="s">
        <v>57</v>
      </c>
      <c r="G2428" t="s">
        <v>70</v>
      </c>
      <c r="H2428" t="s">
        <v>73</v>
      </c>
      <c r="I2428">
        <v>1</v>
      </c>
      <c r="J2428">
        <v>5142</v>
      </c>
      <c r="K2428">
        <v>0.05</v>
      </c>
      <c r="L2428">
        <v>4884.8999999999996</v>
      </c>
      <c r="M2428">
        <v>3765.8</v>
      </c>
      <c r="N2428">
        <v>1119.0999999999999</v>
      </c>
      <c r="O2428" t="s">
        <v>78</v>
      </c>
      <c r="P2428" t="s">
        <v>88</v>
      </c>
    </row>
    <row r="2429" spans="1:16" x14ac:dyDescent="0.25">
      <c r="A2429">
        <v>2428</v>
      </c>
      <c r="B2429" s="1">
        <v>45835</v>
      </c>
      <c r="C2429" t="s">
        <v>18</v>
      </c>
      <c r="D2429" t="s">
        <v>26</v>
      </c>
      <c r="E2429" t="s">
        <v>30</v>
      </c>
      <c r="F2429" t="s">
        <v>40</v>
      </c>
      <c r="G2429" t="s">
        <v>70</v>
      </c>
      <c r="H2429" t="s">
        <v>74</v>
      </c>
      <c r="I2429">
        <v>4</v>
      </c>
      <c r="J2429">
        <v>5166</v>
      </c>
      <c r="K2429">
        <v>0.05</v>
      </c>
      <c r="L2429">
        <v>19630.8</v>
      </c>
      <c r="M2429">
        <v>11914.42</v>
      </c>
      <c r="N2429">
        <v>7716.38</v>
      </c>
      <c r="O2429" t="s">
        <v>77</v>
      </c>
      <c r="P2429" t="s">
        <v>83</v>
      </c>
    </row>
    <row r="2430" spans="1:16" x14ac:dyDescent="0.25">
      <c r="A2430">
        <v>2429</v>
      </c>
      <c r="B2430" s="1">
        <v>45851</v>
      </c>
      <c r="C2430" t="s">
        <v>23</v>
      </c>
      <c r="D2430" t="s">
        <v>27</v>
      </c>
      <c r="E2430" t="s">
        <v>30</v>
      </c>
      <c r="F2430" t="s">
        <v>56</v>
      </c>
      <c r="G2430" t="s">
        <v>71</v>
      </c>
      <c r="H2430" t="s">
        <v>73</v>
      </c>
      <c r="I2430">
        <v>5</v>
      </c>
      <c r="J2430">
        <v>69907</v>
      </c>
      <c r="K2430">
        <v>0</v>
      </c>
      <c r="L2430">
        <v>349535</v>
      </c>
      <c r="M2430">
        <v>253634.96</v>
      </c>
      <c r="N2430">
        <v>95900.04</v>
      </c>
      <c r="O2430" t="s">
        <v>79</v>
      </c>
      <c r="P2430" t="s">
        <v>83</v>
      </c>
    </row>
    <row r="2431" spans="1:16" x14ac:dyDescent="0.25">
      <c r="A2431">
        <v>2430</v>
      </c>
      <c r="B2431" s="1">
        <v>45852</v>
      </c>
      <c r="C2431" t="s">
        <v>20</v>
      </c>
      <c r="D2431" t="s">
        <v>26</v>
      </c>
      <c r="E2431" t="s">
        <v>30</v>
      </c>
      <c r="F2431" t="s">
        <v>56</v>
      </c>
      <c r="G2431" t="s">
        <v>72</v>
      </c>
      <c r="H2431" t="s">
        <v>73</v>
      </c>
      <c r="I2431">
        <v>4</v>
      </c>
      <c r="J2431">
        <v>34291</v>
      </c>
      <c r="K2431">
        <v>0.15</v>
      </c>
      <c r="L2431">
        <v>116589.4</v>
      </c>
      <c r="M2431">
        <v>82237.149999999994</v>
      </c>
      <c r="N2431">
        <v>34352.25</v>
      </c>
      <c r="O2431" t="s">
        <v>76</v>
      </c>
      <c r="P2431" t="s">
        <v>81</v>
      </c>
    </row>
    <row r="2432" spans="1:16" x14ac:dyDescent="0.25">
      <c r="A2432">
        <v>2431</v>
      </c>
      <c r="B2432" s="1">
        <v>45814</v>
      </c>
      <c r="C2432" t="s">
        <v>21</v>
      </c>
      <c r="D2432" t="s">
        <v>24</v>
      </c>
      <c r="E2432" t="s">
        <v>28</v>
      </c>
      <c r="F2432" t="s">
        <v>58</v>
      </c>
      <c r="G2432" t="s">
        <v>71</v>
      </c>
      <c r="H2432" t="s">
        <v>74</v>
      </c>
      <c r="I2432">
        <v>5</v>
      </c>
      <c r="J2432">
        <v>2312</v>
      </c>
      <c r="K2432">
        <v>0</v>
      </c>
      <c r="L2432">
        <v>11560</v>
      </c>
      <c r="M2432">
        <v>8081.17</v>
      </c>
      <c r="N2432">
        <v>3478.83</v>
      </c>
      <c r="O2432" t="s">
        <v>79</v>
      </c>
      <c r="P2432" t="s">
        <v>84</v>
      </c>
    </row>
    <row r="2433" spans="1:16" x14ac:dyDescent="0.25">
      <c r="A2433">
        <v>2432</v>
      </c>
      <c r="B2433" s="1">
        <v>45762</v>
      </c>
      <c r="C2433" t="s">
        <v>20</v>
      </c>
      <c r="D2433" t="s">
        <v>26</v>
      </c>
      <c r="E2433" t="s">
        <v>32</v>
      </c>
      <c r="F2433" t="s">
        <v>48</v>
      </c>
      <c r="G2433" t="s">
        <v>71</v>
      </c>
      <c r="H2433" t="s">
        <v>75</v>
      </c>
      <c r="I2433">
        <v>6</v>
      </c>
      <c r="J2433">
        <v>16428</v>
      </c>
      <c r="K2433">
        <v>0</v>
      </c>
      <c r="L2433">
        <v>98568</v>
      </c>
      <c r="M2433">
        <v>83140.639999999999</v>
      </c>
      <c r="N2433">
        <v>15427.36</v>
      </c>
      <c r="O2433" t="s">
        <v>80</v>
      </c>
      <c r="P2433" t="s">
        <v>83</v>
      </c>
    </row>
    <row r="2434" spans="1:16" x14ac:dyDescent="0.25">
      <c r="A2434">
        <v>2433</v>
      </c>
      <c r="B2434" s="1">
        <v>45702</v>
      </c>
      <c r="C2434" t="s">
        <v>19</v>
      </c>
      <c r="D2434" t="s">
        <v>26</v>
      </c>
      <c r="E2434" t="s">
        <v>32</v>
      </c>
      <c r="F2434" t="s">
        <v>48</v>
      </c>
      <c r="G2434" t="s">
        <v>72</v>
      </c>
      <c r="H2434" t="s">
        <v>75</v>
      </c>
      <c r="I2434">
        <v>1</v>
      </c>
      <c r="J2434">
        <v>1414</v>
      </c>
      <c r="K2434">
        <v>0</v>
      </c>
      <c r="L2434">
        <v>1414</v>
      </c>
      <c r="M2434">
        <v>1033.6300000000001</v>
      </c>
      <c r="N2434">
        <v>380.37</v>
      </c>
      <c r="O2434" t="s">
        <v>80</v>
      </c>
      <c r="P2434" t="s">
        <v>85</v>
      </c>
    </row>
    <row r="2435" spans="1:16" x14ac:dyDescent="0.25">
      <c r="A2435">
        <v>2434</v>
      </c>
      <c r="B2435" s="1">
        <v>45957</v>
      </c>
      <c r="C2435" t="s">
        <v>19</v>
      </c>
      <c r="D2435" t="s">
        <v>26</v>
      </c>
      <c r="E2435" t="s">
        <v>28</v>
      </c>
      <c r="F2435" t="s">
        <v>54</v>
      </c>
      <c r="G2435" t="s">
        <v>72</v>
      </c>
      <c r="H2435" t="s">
        <v>73</v>
      </c>
      <c r="I2435">
        <v>5</v>
      </c>
      <c r="J2435">
        <v>1311</v>
      </c>
      <c r="K2435">
        <v>0.1</v>
      </c>
      <c r="L2435">
        <v>5899.5</v>
      </c>
      <c r="M2435">
        <v>4328.1099999999997</v>
      </c>
      <c r="N2435">
        <v>1571.39</v>
      </c>
      <c r="O2435" t="s">
        <v>79</v>
      </c>
      <c r="P2435" t="s">
        <v>81</v>
      </c>
    </row>
    <row r="2436" spans="1:16" x14ac:dyDescent="0.25">
      <c r="A2436">
        <v>2435</v>
      </c>
      <c r="B2436" s="1">
        <v>45791</v>
      </c>
      <c r="C2436" t="s">
        <v>23</v>
      </c>
      <c r="D2436" t="s">
        <v>27</v>
      </c>
      <c r="E2436" t="s">
        <v>32</v>
      </c>
      <c r="F2436" t="s">
        <v>48</v>
      </c>
      <c r="G2436" t="s">
        <v>71</v>
      </c>
      <c r="H2436" t="s">
        <v>74</v>
      </c>
      <c r="I2436">
        <v>8</v>
      </c>
      <c r="J2436">
        <v>9293</v>
      </c>
      <c r="K2436">
        <v>0.2</v>
      </c>
      <c r="L2436">
        <v>59475.199999999997</v>
      </c>
      <c r="M2436">
        <v>36271.4</v>
      </c>
      <c r="N2436">
        <v>23203.8</v>
      </c>
      <c r="O2436" t="s">
        <v>78</v>
      </c>
      <c r="P2436" t="s">
        <v>81</v>
      </c>
    </row>
    <row r="2437" spans="1:16" x14ac:dyDescent="0.25">
      <c r="A2437">
        <v>2436</v>
      </c>
      <c r="B2437" s="1">
        <v>45727</v>
      </c>
      <c r="C2437" t="s">
        <v>23</v>
      </c>
      <c r="D2437" t="s">
        <v>27</v>
      </c>
      <c r="E2437" t="s">
        <v>34</v>
      </c>
      <c r="F2437" t="s">
        <v>68</v>
      </c>
      <c r="G2437" t="s">
        <v>70</v>
      </c>
      <c r="H2437" t="s">
        <v>75</v>
      </c>
      <c r="I2437">
        <v>7</v>
      </c>
      <c r="J2437">
        <v>5525</v>
      </c>
      <c r="K2437">
        <v>0</v>
      </c>
      <c r="L2437">
        <v>38675</v>
      </c>
      <c r="M2437">
        <v>31434.91</v>
      </c>
      <c r="N2437">
        <v>7240.09</v>
      </c>
      <c r="O2437" t="s">
        <v>79</v>
      </c>
      <c r="P2437" t="s">
        <v>81</v>
      </c>
    </row>
    <row r="2438" spans="1:16" x14ac:dyDescent="0.25">
      <c r="A2438">
        <v>2437</v>
      </c>
      <c r="B2438" s="1">
        <v>45772</v>
      </c>
      <c r="C2438" t="s">
        <v>21</v>
      </c>
      <c r="D2438" t="s">
        <v>24</v>
      </c>
      <c r="E2438" t="s">
        <v>32</v>
      </c>
      <c r="F2438" t="s">
        <v>39</v>
      </c>
      <c r="G2438" t="s">
        <v>72</v>
      </c>
      <c r="H2438" t="s">
        <v>75</v>
      </c>
      <c r="I2438">
        <v>2</v>
      </c>
      <c r="J2438">
        <v>9847</v>
      </c>
      <c r="K2438">
        <v>0</v>
      </c>
      <c r="L2438">
        <v>19694</v>
      </c>
      <c r="M2438">
        <v>15787.39</v>
      </c>
      <c r="N2438">
        <v>3906.61</v>
      </c>
      <c r="O2438" t="s">
        <v>78</v>
      </c>
      <c r="P2438" t="s">
        <v>83</v>
      </c>
    </row>
    <row r="2439" spans="1:16" x14ac:dyDescent="0.25">
      <c r="A2439">
        <v>2438</v>
      </c>
      <c r="B2439" s="1">
        <v>45894</v>
      </c>
      <c r="C2439" t="s">
        <v>18</v>
      </c>
      <c r="D2439" t="s">
        <v>26</v>
      </c>
      <c r="E2439" t="s">
        <v>31</v>
      </c>
      <c r="F2439" t="s">
        <v>38</v>
      </c>
      <c r="G2439" t="s">
        <v>72</v>
      </c>
      <c r="H2439" t="s">
        <v>74</v>
      </c>
      <c r="I2439">
        <v>2</v>
      </c>
      <c r="J2439">
        <v>1557</v>
      </c>
      <c r="K2439">
        <v>0</v>
      </c>
      <c r="L2439">
        <v>3114</v>
      </c>
      <c r="M2439">
        <v>2379.6999999999998</v>
      </c>
      <c r="N2439">
        <v>734.3</v>
      </c>
      <c r="O2439" t="s">
        <v>79</v>
      </c>
      <c r="P2439" t="s">
        <v>85</v>
      </c>
    </row>
    <row r="2440" spans="1:16" x14ac:dyDescent="0.25">
      <c r="A2440">
        <v>2439</v>
      </c>
      <c r="B2440" s="1">
        <v>45931</v>
      </c>
      <c r="C2440" t="s">
        <v>22</v>
      </c>
      <c r="D2440" t="s">
        <v>24</v>
      </c>
      <c r="E2440" t="s">
        <v>34</v>
      </c>
      <c r="F2440" t="s">
        <v>43</v>
      </c>
      <c r="G2440" t="s">
        <v>72</v>
      </c>
      <c r="H2440" t="s">
        <v>74</v>
      </c>
      <c r="I2440">
        <v>8</v>
      </c>
      <c r="J2440">
        <v>3943</v>
      </c>
      <c r="K2440">
        <v>0.05</v>
      </c>
      <c r="L2440">
        <v>29966.799999999999</v>
      </c>
      <c r="M2440">
        <v>16906.61</v>
      </c>
      <c r="N2440">
        <v>13060.19</v>
      </c>
      <c r="O2440" t="s">
        <v>78</v>
      </c>
      <c r="P2440" t="s">
        <v>85</v>
      </c>
    </row>
    <row r="2441" spans="1:16" x14ac:dyDescent="0.25">
      <c r="A2441">
        <v>2440</v>
      </c>
      <c r="B2441" s="1">
        <v>45668</v>
      </c>
      <c r="C2441" t="s">
        <v>20</v>
      </c>
      <c r="D2441" t="s">
        <v>26</v>
      </c>
      <c r="E2441" t="s">
        <v>33</v>
      </c>
      <c r="F2441" t="s">
        <v>59</v>
      </c>
      <c r="G2441" t="s">
        <v>72</v>
      </c>
      <c r="H2441" t="s">
        <v>74</v>
      </c>
      <c r="I2441">
        <v>1</v>
      </c>
      <c r="J2441">
        <v>44118</v>
      </c>
      <c r="K2441">
        <v>0.15</v>
      </c>
      <c r="L2441">
        <v>37500.300000000003</v>
      </c>
      <c r="M2441">
        <v>30770.59</v>
      </c>
      <c r="N2441">
        <v>6729.71</v>
      </c>
      <c r="O2441" t="s">
        <v>80</v>
      </c>
      <c r="P2441" t="s">
        <v>83</v>
      </c>
    </row>
    <row r="2442" spans="1:16" x14ac:dyDescent="0.25">
      <c r="A2442">
        <v>2441</v>
      </c>
      <c r="B2442" s="1">
        <v>45810</v>
      </c>
      <c r="C2442" t="s">
        <v>23</v>
      </c>
      <c r="D2442" t="s">
        <v>27</v>
      </c>
      <c r="E2442" t="s">
        <v>29</v>
      </c>
      <c r="F2442" t="s">
        <v>36</v>
      </c>
      <c r="G2442" t="s">
        <v>70</v>
      </c>
      <c r="H2442" t="s">
        <v>74</v>
      </c>
      <c r="I2442">
        <v>8</v>
      </c>
      <c r="J2442">
        <v>6494</v>
      </c>
      <c r="K2442">
        <v>0</v>
      </c>
      <c r="L2442">
        <v>51952</v>
      </c>
      <c r="M2442">
        <v>33499.86</v>
      </c>
      <c r="N2442">
        <v>18452.14</v>
      </c>
      <c r="O2442" t="s">
        <v>77</v>
      </c>
      <c r="P2442" t="s">
        <v>88</v>
      </c>
    </row>
    <row r="2443" spans="1:16" x14ac:dyDescent="0.25">
      <c r="A2443">
        <v>2442</v>
      </c>
      <c r="B2443" s="1">
        <v>45923</v>
      </c>
      <c r="C2443" t="s">
        <v>20</v>
      </c>
      <c r="D2443" t="s">
        <v>26</v>
      </c>
      <c r="E2443" t="s">
        <v>32</v>
      </c>
      <c r="F2443" t="s">
        <v>48</v>
      </c>
      <c r="G2443" t="s">
        <v>72</v>
      </c>
      <c r="H2443" t="s">
        <v>74</v>
      </c>
      <c r="I2443">
        <v>6</v>
      </c>
      <c r="J2443">
        <v>4233</v>
      </c>
      <c r="K2443">
        <v>0.05</v>
      </c>
      <c r="L2443">
        <v>24128.1</v>
      </c>
      <c r="M2443">
        <v>21077.33</v>
      </c>
      <c r="N2443">
        <v>3050.77</v>
      </c>
      <c r="O2443" t="s">
        <v>80</v>
      </c>
      <c r="P2443" t="s">
        <v>83</v>
      </c>
    </row>
    <row r="2444" spans="1:16" x14ac:dyDescent="0.25">
      <c r="A2444">
        <v>2443</v>
      </c>
      <c r="B2444" s="1">
        <v>45784</v>
      </c>
      <c r="C2444" t="s">
        <v>17</v>
      </c>
      <c r="D2444" t="s">
        <v>25</v>
      </c>
      <c r="E2444" t="s">
        <v>29</v>
      </c>
      <c r="F2444" t="s">
        <v>53</v>
      </c>
      <c r="G2444" t="s">
        <v>71</v>
      </c>
      <c r="H2444" t="s">
        <v>74</v>
      </c>
      <c r="I2444">
        <v>1</v>
      </c>
      <c r="J2444">
        <v>3736</v>
      </c>
      <c r="K2444">
        <v>0</v>
      </c>
      <c r="L2444">
        <v>3736</v>
      </c>
      <c r="M2444">
        <v>2550.4699999999998</v>
      </c>
      <c r="N2444">
        <v>1185.53</v>
      </c>
      <c r="O2444" t="s">
        <v>79</v>
      </c>
      <c r="P2444" t="s">
        <v>85</v>
      </c>
    </row>
    <row r="2445" spans="1:16" x14ac:dyDescent="0.25">
      <c r="A2445">
        <v>2444</v>
      </c>
      <c r="B2445" s="1">
        <v>45665</v>
      </c>
      <c r="C2445" t="s">
        <v>20</v>
      </c>
      <c r="D2445" t="s">
        <v>26</v>
      </c>
      <c r="E2445" t="s">
        <v>30</v>
      </c>
      <c r="F2445" t="s">
        <v>64</v>
      </c>
      <c r="G2445" t="s">
        <v>72</v>
      </c>
      <c r="H2445" t="s">
        <v>73</v>
      </c>
      <c r="I2445">
        <v>2</v>
      </c>
      <c r="J2445">
        <v>1846</v>
      </c>
      <c r="K2445">
        <v>0</v>
      </c>
      <c r="L2445">
        <v>3692</v>
      </c>
      <c r="M2445">
        <v>2036.04</v>
      </c>
      <c r="N2445">
        <v>1655.96</v>
      </c>
      <c r="O2445" t="s">
        <v>78</v>
      </c>
      <c r="P2445" t="s">
        <v>88</v>
      </c>
    </row>
    <row r="2446" spans="1:16" x14ac:dyDescent="0.25">
      <c r="A2446">
        <v>2445</v>
      </c>
      <c r="B2446" s="1">
        <v>45952</v>
      </c>
      <c r="C2446" t="s">
        <v>18</v>
      </c>
      <c r="D2446" t="s">
        <v>26</v>
      </c>
      <c r="E2446" t="s">
        <v>30</v>
      </c>
      <c r="F2446" t="s">
        <v>44</v>
      </c>
      <c r="G2446" t="s">
        <v>72</v>
      </c>
      <c r="H2446" t="s">
        <v>73</v>
      </c>
      <c r="I2446">
        <v>4</v>
      </c>
      <c r="J2446">
        <v>42670</v>
      </c>
      <c r="K2446">
        <v>0</v>
      </c>
      <c r="L2446">
        <v>170680</v>
      </c>
      <c r="M2446">
        <v>114815.51</v>
      </c>
      <c r="N2446">
        <v>55864.49</v>
      </c>
      <c r="O2446" t="s">
        <v>78</v>
      </c>
      <c r="P2446" t="s">
        <v>83</v>
      </c>
    </row>
    <row r="2447" spans="1:16" x14ac:dyDescent="0.25">
      <c r="A2447">
        <v>2446</v>
      </c>
      <c r="B2447" s="1">
        <v>45857</v>
      </c>
      <c r="C2447" t="s">
        <v>16</v>
      </c>
      <c r="D2447" t="s">
        <v>24</v>
      </c>
      <c r="E2447" t="s">
        <v>31</v>
      </c>
      <c r="F2447" t="s">
        <v>47</v>
      </c>
      <c r="G2447" t="s">
        <v>70</v>
      </c>
      <c r="H2447" t="s">
        <v>74</v>
      </c>
      <c r="I2447">
        <v>4</v>
      </c>
      <c r="J2447">
        <v>983</v>
      </c>
      <c r="K2447">
        <v>0.1</v>
      </c>
      <c r="L2447">
        <v>3538.8</v>
      </c>
      <c r="M2447">
        <v>2925.29</v>
      </c>
      <c r="N2447">
        <v>613.51</v>
      </c>
      <c r="O2447" t="s">
        <v>77</v>
      </c>
      <c r="P2447" t="s">
        <v>88</v>
      </c>
    </row>
    <row r="2448" spans="1:16" x14ac:dyDescent="0.25">
      <c r="A2448">
        <v>2447</v>
      </c>
      <c r="B2448" s="1">
        <v>45726</v>
      </c>
      <c r="C2448" t="s">
        <v>20</v>
      </c>
      <c r="D2448" t="s">
        <v>26</v>
      </c>
      <c r="E2448" t="s">
        <v>33</v>
      </c>
      <c r="F2448" t="s">
        <v>60</v>
      </c>
      <c r="G2448" t="s">
        <v>72</v>
      </c>
      <c r="H2448" t="s">
        <v>74</v>
      </c>
      <c r="I2448">
        <v>1</v>
      </c>
      <c r="J2448">
        <v>19087</v>
      </c>
      <c r="K2448">
        <v>0.1</v>
      </c>
      <c r="L2448">
        <v>17178.3</v>
      </c>
      <c r="M2448">
        <v>15032.88</v>
      </c>
      <c r="N2448">
        <v>2145.42</v>
      </c>
      <c r="O2448" t="s">
        <v>78</v>
      </c>
      <c r="P2448" t="s">
        <v>87</v>
      </c>
    </row>
    <row r="2449" spans="1:16" x14ac:dyDescent="0.25">
      <c r="A2449">
        <v>2448</v>
      </c>
      <c r="B2449" s="1">
        <v>45816</v>
      </c>
      <c r="C2449" t="s">
        <v>21</v>
      </c>
      <c r="D2449" t="s">
        <v>24</v>
      </c>
      <c r="E2449" t="s">
        <v>28</v>
      </c>
      <c r="F2449" t="s">
        <v>35</v>
      </c>
      <c r="G2449" t="s">
        <v>72</v>
      </c>
      <c r="H2449" t="s">
        <v>73</v>
      </c>
      <c r="I2449">
        <v>3</v>
      </c>
      <c r="J2449">
        <v>281</v>
      </c>
      <c r="K2449">
        <v>0.05</v>
      </c>
      <c r="L2449">
        <v>800.85</v>
      </c>
      <c r="M2449">
        <v>683.49</v>
      </c>
      <c r="N2449">
        <v>117.36</v>
      </c>
      <c r="O2449" t="s">
        <v>78</v>
      </c>
      <c r="P2449" t="s">
        <v>84</v>
      </c>
    </row>
    <row r="2450" spans="1:16" x14ac:dyDescent="0.25">
      <c r="A2450">
        <v>2449</v>
      </c>
      <c r="B2450" s="1">
        <v>45980</v>
      </c>
      <c r="C2450" t="s">
        <v>20</v>
      </c>
      <c r="D2450" t="s">
        <v>26</v>
      </c>
      <c r="E2450" t="s">
        <v>32</v>
      </c>
      <c r="F2450" t="s">
        <v>49</v>
      </c>
      <c r="G2450" t="s">
        <v>70</v>
      </c>
      <c r="H2450" t="s">
        <v>73</v>
      </c>
      <c r="I2450">
        <v>6</v>
      </c>
      <c r="J2450">
        <v>10198</v>
      </c>
      <c r="K2450">
        <v>0</v>
      </c>
      <c r="L2450">
        <v>61188</v>
      </c>
      <c r="M2450">
        <v>47481.03</v>
      </c>
      <c r="N2450">
        <v>13706.97</v>
      </c>
      <c r="O2450" t="s">
        <v>77</v>
      </c>
      <c r="P2450" t="s">
        <v>83</v>
      </c>
    </row>
    <row r="2451" spans="1:16" x14ac:dyDescent="0.25">
      <c r="A2451">
        <v>2450</v>
      </c>
      <c r="B2451" s="1">
        <v>45899</v>
      </c>
      <c r="C2451" t="s">
        <v>21</v>
      </c>
      <c r="D2451" t="s">
        <v>24</v>
      </c>
      <c r="E2451" t="s">
        <v>33</v>
      </c>
      <c r="F2451" t="s">
        <v>59</v>
      </c>
      <c r="G2451" t="s">
        <v>71</v>
      </c>
      <c r="H2451" t="s">
        <v>75</v>
      </c>
      <c r="I2451">
        <v>5</v>
      </c>
      <c r="J2451">
        <v>48472</v>
      </c>
      <c r="K2451">
        <v>0.1</v>
      </c>
      <c r="L2451">
        <v>218124</v>
      </c>
      <c r="M2451">
        <v>180814.4</v>
      </c>
      <c r="N2451">
        <v>37309.599999999999</v>
      </c>
      <c r="O2451" t="s">
        <v>80</v>
      </c>
      <c r="P2451" t="s">
        <v>86</v>
      </c>
    </row>
    <row r="2452" spans="1:16" x14ac:dyDescent="0.25">
      <c r="A2452">
        <v>2451</v>
      </c>
      <c r="B2452" s="1">
        <v>45934</v>
      </c>
      <c r="C2452" t="s">
        <v>19</v>
      </c>
      <c r="D2452" t="s">
        <v>26</v>
      </c>
      <c r="E2452" t="s">
        <v>33</v>
      </c>
      <c r="F2452" t="s">
        <v>41</v>
      </c>
      <c r="G2452" t="s">
        <v>70</v>
      </c>
      <c r="H2452" t="s">
        <v>74</v>
      </c>
      <c r="I2452">
        <v>2</v>
      </c>
      <c r="J2452">
        <v>17918</v>
      </c>
      <c r="K2452">
        <v>0.1</v>
      </c>
      <c r="L2452">
        <v>32252.400000000001</v>
      </c>
      <c r="M2452">
        <v>20494.97</v>
      </c>
      <c r="N2452">
        <v>11757.43</v>
      </c>
      <c r="O2452" t="s">
        <v>76</v>
      </c>
      <c r="P2452" t="s">
        <v>86</v>
      </c>
    </row>
    <row r="2453" spans="1:16" x14ac:dyDescent="0.25">
      <c r="A2453">
        <v>2452</v>
      </c>
      <c r="B2453" s="1">
        <v>45689</v>
      </c>
      <c r="C2453" t="s">
        <v>22</v>
      </c>
      <c r="D2453" t="s">
        <v>24</v>
      </c>
      <c r="E2453" t="s">
        <v>32</v>
      </c>
      <c r="F2453" t="s">
        <v>39</v>
      </c>
      <c r="G2453" t="s">
        <v>71</v>
      </c>
      <c r="H2453" t="s">
        <v>73</v>
      </c>
      <c r="I2453">
        <v>1</v>
      </c>
      <c r="J2453">
        <v>6790</v>
      </c>
      <c r="K2453">
        <v>0.1</v>
      </c>
      <c r="L2453">
        <v>6111</v>
      </c>
      <c r="M2453">
        <v>3436.85</v>
      </c>
      <c r="N2453">
        <v>2674.15</v>
      </c>
      <c r="O2453" t="s">
        <v>78</v>
      </c>
      <c r="P2453" t="s">
        <v>83</v>
      </c>
    </row>
    <row r="2454" spans="1:16" x14ac:dyDescent="0.25">
      <c r="A2454">
        <v>2453</v>
      </c>
      <c r="B2454" s="1">
        <v>45667</v>
      </c>
      <c r="C2454" t="s">
        <v>23</v>
      </c>
      <c r="D2454" t="s">
        <v>27</v>
      </c>
      <c r="E2454" t="s">
        <v>29</v>
      </c>
      <c r="F2454" t="s">
        <v>36</v>
      </c>
      <c r="G2454" t="s">
        <v>70</v>
      </c>
      <c r="H2454" t="s">
        <v>75</v>
      </c>
      <c r="I2454">
        <v>7</v>
      </c>
      <c r="J2454">
        <v>9900</v>
      </c>
      <c r="K2454">
        <v>0.15</v>
      </c>
      <c r="L2454">
        <v>58905</v>
      </c>
      <c r="M2454">
        <v>36641.269999999997</v>
      </c>
      <c r="N2454">
        <v>22263.73</v>
      </c>
      <c r="O2454" t="s">
        <v>76</v>
      </c>
      <c r="P2454" t="s">
        <v>81</v>
      </c>
    </row>
    <row r="2455" spans="1:16" x14ac:dyDescent="0.25">
      <c r="A2455">
        <v>2454</v>
      </c>
      <c r="B2455" s="1">
        <v>45988</v>
      </c>
      <c r="C2455" t="s">
        <v>21</v>
      </c>
      <c r="D2455" t="s">
        <v>24</v>
      </c>
      <c r="E2455" t="s">
        <v>33</v>
      </c>
      <c r="F2455" t="s">
        <v>52</v>
      </c>
      <c r="G2455" t="s">
        <v>70</v>
      </c>
      <c r="H2455" t="s">
        <v>74</v>
      </c>
      <c r="I2455">
        <v>6</v>
      </c>
      <c r="J2455">
        <v>28656</v>
      </c>
      <c r="K2455">
        <v>0.1</v>
      </c>
      <c r="L2455">
        <v>154742.39999999999</v>
      </c>
      <c r="M2455">
        <v>91272.26</v>
      </c>
      <c r="N2455">
        <v>63470.14</v>
      </c>
      <c r="O2455" t="s">
        <v>76</v>
      </c>
      <c r="P2455" t="s">
        <v>83</v>
      </c>
    </row>
    <row r="2456" spans="1:16" x14ac:dyDescent="0.25">
      <c r="A2456">
        <v>2455</v>
      </c>
      <c r="B2456" s="1">
        <v>45939</v>
      </c>
      <c r="C2456" t="s">
        <v>20</v>
      </c>
      <c r="D2456" t="s">
        <v>26</v>
      </c>
      <c r="E2456" t="s">
        <v>31</v>
      </c>
      <c r="F2456" t="s">
        <v>50</v>
      </c>
      <c r="G2456" t="s">
        <v>71</v>
      </c>
      <c r="H2456" t="s">
        <v>73</v>
      </c>
      <c r="I2456">
        <v>4</v>
      </c>
      <c r="J2456">
        <v>1741</v>
      </c>
      <c r="K2456">
        <v>0</v>
      </c>
      <c r="L2456">
        <v>6964</v>
      </c>
      <c r="M2456">
        <v>5454.79</v>
      </c>
      <c r="N2456">
        <v>1509.21</v>
      </c>
      <c r="O2456" t="s">
        <v>78</v>
      </c>
      <c r="P2456" t="s">
        <v>86</v>
      </c>
    </row>
    <row r="2457" spans="1:16" x14ac:dyDescent="0.25">
      <c r="A2457">
        <v>2456</v>
      </c>
      <c r="B2457" s="1">
        <v>45932</v>
      </c>
      <c r="C2457" t="s">
        <v>22</v>
      </c>
      <c r="D2457" t="s">
        <v>24</v>
      </c>
      <c r="E2457" t="s">
        <v>29</v>
      </c>
      <c r="F2457" t="s">
        <v>57</v>
      </c>
      <c r="G2457" t="s">
        <v>71</v>
      </c>
      <c r="H2457" t="s">
        <v>75</v>
      </c>
      <c r="I2457">
        <v>6</v>
      </c>
      <c r="J2457">
        <v>1557</v>
      </c>
      <c r="K2457">
        <v>0</v>
      </c>
      <c r="L2457">
        <v>9342</v>
      </c>
      <c r="M2457">
        <v>7781.95</v>
      </c>
      <c r="N2457">
        <v>1560.05</v>
      </c>
      <c r="O2457" t="s">
        <v>80</v>
      </c>
      <c r="P2457" t="s">
        <v>81</v>
      </c>
    </row>
    <row r="2458" spans="1:16" x14ac:dyDescent="0.25">
      <c r="A2458">
        <v>2457</v>
      </c>
      <c r="B2458" s="1">
        <v>45899</v>
      </c>
      <c r="C2458" t="s">
        <v>17</v>
      </c>
      <c r="D2458" t="s">
        <v>25</v>
      </c>
      <c r="E2458" t="s">
        <v>28</v>
      </c>
      <c r="F2458" t="s">
        <v>54</v>
      </c>
      <c r="G2458" t="s">
        <v>71</v>
      </c>
      <c r="H2458" t="s">
        <v>75</v>
      </c>
      <c r="I2458">
        <v>8</v>
      </c>
      <c r="J2458">
        <v>609</v>
      </c>
      <c r="K2458">
        <v>0.2</v>
      </c>
      <c r="L2458">
        <v>3897.6</v>
      </c>
      <c r="M2458">
        <v>2298.2199999999998</v>
      </c>
      <c r="N2458">
        <v>1599.38</v>
      </c>
      <c r="O2458" t="s">
        <v>77</v>
      </c>
      <c r="P2458" t="s">
        <v>86</v>
      </c>
    </row>
    <row r="2459" spans="1:16" x14ac:dyDescent="0.25">
      <c r="A2459">
        <v>2458</v>
      </c>
      <c r="B2459" s="1">
        <v>45821</v>
      </c>
      <c r="C2459" t="s">
        <v>19</v>
      </c>
      <c r="D2459" t="s">
        <v>26</v>
      </c>
      <c r="E2459" t="s">
        <v>32</v>
      </c>
      <c r="F2459" t="s">
        <v>39</v>
      </c>
      <c r="G2459" t="s">
        <v>72</v>
      </c>
      <c r="H2459" t="s">
        <v>75</v>
      </c>
      <c r="I2459">
        <v>5</v>
      </c>
      <c r="J2459">
        <v>7984</v>
      </c>
      <c r="K2459">
        <v>0.05</v>
      </c>
      <c r="L2459">
        <v>37924</v>
      </c>
      <c r="M2459">
        <v>32735.41</v>
      </c>
      <c r="N2459">
        <v>5188.59</v>
      </c>
      <c r="O2459" t="s">
        <v>79</v>
      </c>
      <c r="P2459" t="s">
        <v>81</v>
      </c>
    </row>
    <row r="2460" spans="1:16" x14ac:dyDescent="0.25">
      <c r="A2460">
        <v>2459</v>
      </c>
      <c r="B2460" s="1">
        <v>45803</v>
      </c>
      <c r="C2460" t="s">
        <v>18</v>
      </c>
      <c r="D2460" t="s">
        <v>26</v>
      </c>
      <c r="E2460" t="s">
        <v>30</v>
      </c>
      <c r="F2460" t="s">
        <v>64</v>
      </c>
      <c r="G2460" t="s">
        <v>71</v>
      </c>
      <c r="H2460" t="s">
        <v>73</v>
      </c>
      <c r="I2460">
        <v>7</v>
      </c>
      <c r="J2460">
        <v>2883</v>
      </c>
      <c r="K2460">
        <v>0.05</v>
      </c>
      <c r="L2460">
        <v>19171.95</v>
      </c>
      <c r="M2460">
        <v>10686.13</v>
      </c>
      <c r="N2460">
        <v>8485.82</v>
      </c>
      <c r="O2460" t="s">
        <v>80</v>
      </c>
      <c r="P2460" t="s">
        <v>85</v>
      </c>
    </row>
    <row r="2461" spans="1:16" x14ac:dyDescent="0.25">
      <c r="A2461">
        <v>2460</v>
      </c>
      <c r="B2461" s="1">
        <v>45977</v>
      </c>
      <c r="C2461" t="s">
        <v>20</v>
      </c>
      <c r="D2461" t="s">
        <v>26</v>
      </c>
      <c r="E2461" t="s">
        <v>33</v>
      </c>
      <c r="F2461" t="s">
        <v>41</v>
      </c>
      <c r="G2461" t="s">
        <v>70</v>
      </c>
      <c r="H2461" t="s">
        <v>74</v>
      </c>
      <c r="I2461">
        <v>7</v>
      </c>
      <c r="J2461">
        <v>37881</v>
      </c>
      <c r="K2461">
        <v>0.1</v>
      </c>
      <c r="L2461">
        <v>238650.3</v>
      </c>
      <c r="M2461">
        <v>140592.44</v>
      </c>
      <c r="N2461">
        <v>98057.86</v>
      </c>
      <c r="O2461" t="s">
        <v>79</v>
      </c>
      <c r="P2461" t="s">
        <v>86</v>
      </c>
    </row>
    <row r="2462" spans="1:16" x14ac:dyDescent="0.25">
      <c r="A2462">
        <v>2461</v>
      </c>
      <c r="B2462" s="1">
        <v>45682</v>
      </c>
      <c r="C2462" t="s">
        <v>20</v>
      </c>
      <c r="D2462" t="s">
        <v>26</v>
      </c>
      <c r="E2462" t="s">
        <v>34</v>
      </c>
      <c r="F2462" t="s">
        <v>68</v>
      </c>
      <c r="G2462" t="s">
        <v>71</v>
      </c>
      <c r="H2462" t="s">
        <v>75</v>
      </c>
      <c r="I2462">
        <v>2</v>
      </c>
      <c r="J2462">
        <v>869</v>
      </c>
      <c r="K2462">
        <v>0.1</v>
      </c>
      <c r="L2462">
        <v>1564.2</v>
      </c>
      <c r="M2462">
        <v>1153.06</v>
      </c>
      <c r="N2462">
        <v>411.14</v>
      </c>
      <c r="O2462" t="s">
        <v>76</v>
      </c>
      <c r="P2462" t="s">
        <v>83</v>
      </c>
    </row>
    <row r="2463" spans="1:16" x14ac:dyDescent="0.25">
      <c r="A2463">
        <v>2462</v>
      </c>
      <c r="B2463" s="1">
        <v>45922</v>
      </c>
      <c r="C2463" t="s">
        <v>18</v>
      </c>
      <c r="D2463" t="s">
        <v>26</v>
      </c>
      <c r="E2463" t="s">
        <v>34</v>
      </c>
      <c r="F2463" t="s">
        <v>65</v>
      </c>
      <c r="G2463" t="s">
        <v>70</v>
      </c>
      <c r="H2463" t="s">
        <v>73</v>
      </c>
      <c r="I2463">
        <v>6</v>
      </c>
      <c r="J2463">
        <v>5175</v>
      </c>
      <c r="K2463">
        <v>0</v>
      </c>
      <c r="L2463">
        <v>31050</v>
      </c>
      <c r="M2463">
        <v>22025.75</v>
      </c>
      <c r="N2463">
        <v>9024.25</v>
      </c>
      <c r="O2463" t="s">
        <v>76</v>
      </c>
      <c r="P2463" t="s">
        <v>84</v>
      </c>
    </row>
    <row r="2464" spans="1:16" x14ac:dyDescent="0.25">
      <c r="A2464">
        <v>2463</v>
      </c>
      <c r="B2464" s="1">
        <v>45915</v>
      </c>
      <c r="C2464" t="s">
        <v>20</v>
      </c>
      <c r="D2464" t="s">
        <v>26</v>
      </c>
      <c r="E2464" t="s">
        <v>30</v>
      </c>
      <c r="F2464" t="s">
        <v>56</v>
      </c>
      <c r="G2464" t="s">
        <v>71</v>
      </c>
      <c r="H2464" t="s">
        <v>74</v>
      </c>
      <c r="I2464">
        <v>2</v>
      </c>
      <c r="J2464">
        <v>41934</v>
      </c>
      <c r="K2464">
        <v>0.1</v>
      </c>
      <c r="L2464">
        <v>75481.2</v>
      </c>
      <c r="M2464">
        <v>43701.16</v>
      </c>
      <c r="N2464">
        <v>31780.04</v>
      </c>
      <c r="O2464" t="s">
        <v>78</v>
      </c>
      <c r="P2464" t="s">
        <v>87</v>
      </c>
    </row>
    <row r="2465" spans="1:16" x14ac:dyDescent="0.25">
      <c r="A2465">
        <v>2464</v>
      </c>
      <c r="B2465" s="1">
        <v>45873</v>
      </c>
      <c r="C2465" t="s">
        <v>23</v>
      </c>
      <c r="D2465" t="s">
        <v>27</v>
      </c>
      <c r="E2465" t="s">
        <v>31</v>
      </c>
      <c r="F2465" t="s">
        <v>38</v>
      </c>
      <c r="G2465" t="s">
        <v>72</v>
      </c>
      <c r="H2465" t="s">
        <v>73</v>
      </c>
      <c r="I2465">
        <v>5</v>
      </c>
      <c r="J2465">
        <v>1498</v>
      </c>
      <c r="K2465">
        <v>0</v>
      </c>
      <c r="L2465">
        <v>7490</v>
      </c>
      <c r="M2465">
        <v>4436.0200000000004</v>
      </c>
      <c r="N2465">
        <v>3053.98</v>
      </c>
      <c r="O2465" t="s">
        <v>79</v>
      </c>
      <c r="P2465" t="s">
        <v>84</v>
      </c>
    </row>
    <row r="2466" spans="1:16" x14ac:dyDescent="0.25">
      <c r="A2466">
        <v>2465</v>
      </c>
      <c r="B2466" s="1">
        <v>45898</v>
      </c>
      <c r="C2466" t="s">
        <v>21</v>
      </c>
      <c r="D2466" t="s">
        <v>24</v>
      </c>
      <c r="E2466" t="s">
        <v>33</v>
      </c>
      <c r="F2466" t="s">
        <v>41</v>
      </c>
      <c r="G2466" t="s">
        <v>71</v>
      </c>
      <c r="H2466" t="s">
        <v>75</v>
      </c>
      <c r="I2466">
        <v>4</v>
      </c>
      <c r="J2466">
        <v>24268</v>
      </c>
      <c r="K2466">
        <v>0.15</v>
      </c>
      <c r="L2466">
        <v>82511.199999999997</v>
      </c>
      <c r="M2466">
        <v>54747.06</v>
      </c>
      <c r="N2466">
        <v>27764.14</v>
      </c>
      <c r="O2466" t="s">
        <v>78</v>
      </c>
      <c r="P2466" t="s">
        <v>86</v>
      </c>
    </row>
    <row r="2467" spans="1:16" x14ac:dyDescent="0.25">
      <c r="A2467">
        <v>2466</v>
      </c>
      <c r="B2467" s="1">
        <v>45691</v>
      </c>
      <c r="C2467" t="s">
        <v>21</v>
      </c>
      <c r="D2467" t="s">
        <v>24</v>
      </c>
      <c r="E2467" t="s">
        <v>28</v>
      </c>
      <c r="F2467" t="s">
        <v>35</v>
      </c>
      <c r="G2467" t="s">
        <v>70</v>
      </c>
      <c r="H2467" t="s">
        <v>74</v>
      </c>
      <c r="I2467">
        <v>4</v>
      </c>
      <c r="J2467">
        <v>823</v>
      </c>
      <c r="K2467">
        <v>0.1</v>
      </c>
      <c r="L2467">
        <v>2962.8</v>
      </c>
      <c r="M2467">
        <v>1667.16</v>
      </c>
      <c r="N2467">
        <v>1295.6400000000001</v>
      </c>
      <c r="O2467" t="s">
        <v>79</v>
      </c>
      <c r="P2467" t="s">
        <v>82</v>
      </c>
    </row>
    <row r="2468" spans="1:16" x14ac:dyDescent="0.25">
      <c r="A2468">
        <v>2467</v>
      </c>
      <c r="B2468" s="1">
        <v>45743</v>
      </c>
      <c r="C2468" t="s">
        <v>21</v>
      </c>
      <c r="D2468" t="s">
        <v>24</v>
      </c>
      <c r="E2468" t="s">
        <v>28</v>
      </c>
      <c r="F2468" t="s">
        <v>54</v>
      </c>
      <c r="G2468" t="s">
        <v>70</v>
      </c>
      <c r="H2468" t="s">
        <v>74</v>
      </c>
      <c r="I2468">
        <v>7</v>
      </c>
      <c r="J2468">
        <v>1009</v>
      </c>
      <c r="K2468">
        <v>0.05</v>
      </c>
      <c r="L2468">
        <v>6709.85</v>
      </c>
      <c r="M2468">
        <v>4487.41</v>
      </c>
      <c r="N2468">
        <v>2222.44</v>
      </c>
      <c r="O2468" t="s">
        <v>77</v>
      </c>
      <c r="P2468" t="s">
        <v>81</v>
      </c>
    </row>
    <row r="2469" spans="1:16" x14ac:dyDescent="0.25">
      <c r="A2469">
        <v>2468</v>
      </c>
      <c r="B2469" s="1">
        <v>45728</v>
      </c>
      <c r="C2469" t="s">
        <v>17</v>
      </c>
      <c r="D2469" t="s">
        <v>25</v>
      </c>
      <c r="E2469" t="s">
        <v>33</v>
      </c>
      <c r="F2469" t="s">
        <v>41</v>
      </c>
      <c r="G2469" t="s">
        <v>72</v>
      </c>
      <c r="H2469" t="s">
        <v>74</v>
      </c>
      <c r="I2469">
        <v>6</v>
      </c>
      <c r="J2469">
        <v>31264</v>
      </c>
      <c r="K2469">
        <v>0.15</v>
      </c>
      <c r="L2469">
        <v>159446.39999999999</v>
      </c>
      <c r="M2469">
        <v>138396.97</v>
      </c>
      <c r="N2469">
        <v>21049.43</v>
      </c>
      <c r="O2469" t="s">
        <v>77</v>
      </c>
      <c r="P2469" t="s">
        <v>82</v>
      </c>
    </row>
    <row r="2470" spans="1:16" x14ac:dyDescent="0.25">
      <c r="A2470">
        <v>2469</v>
      </c>
      <c r="B2470" s="1">
        <v>45879</v>
      </c>
      <c r="C2470" t="s">
        <v>20</v>
      </c>
      <c r="D2470" t="s">
        <v>26</v>
      </c>
      <c r="E2470" t="s">
        <v>33</v>
      </c>
      <c r="F2470" t="s">
        <v>41</v>
      </c>
      <c r="G2470" t="s">
        <v>71</v>
      </c>
      <c r="H2470" t="s">
        <v>75</v>
      </c>
      <c r="I2470">
        <v>6</v>
      </c>
      <c r="J2470">
        <v>5728</v>
      </c>
      <c r="K2470">
        <v>0.05</v>
      </c>
      <c r="L2470">
        <v>32649.599999999999</v>
      </c>
      <c r="M2470">
        <v>20432.96</v>
      </c>
      <c r="N2470">
        <v>12216.64</v>
      </c>
      <c r="O2470" t="s">
        <v>80</v>
      </c>
      <c r="P2470" t="s">
        <v>85</v>
      </c>
    </row>
    <row r="2471" spans="1:16" x14ac:dyDescent="0.25">
      <c r="A2471">
        <v>2470</v>
      </c>
      <c r="B2471" s="1">
        <v>45798</v>
      </c>
      <c r="C2471" t="s">
        <v>19</v>
      </c>
      <c r="D2471" t="s">
        <v>26</v>
      </c>
      <c r="E2471" t="s">
        <v>34</v>
      </c>
      <c r="F2471" t="s">
        <v>55</v>
      </c>
      <c r="G2471" t="s">
        <v>70</v>
      </c>
      <c r="H2471" t="s">
        <v>75</v>
      </c>
      <c r="I2471">
        <v>5</v>
      </c>
      <c r="J2471">
        <v>5850</v>
      </c>
      <c r="K2471">
        <v>0.1</v>
      </c>
      <c r="L2471">
        <v>26325</v>
      </c>
      <c r="M2471">
        <v>15486.91</v>
      </c>
      <c r="N2471">
        <v>10838.09</v>
      </c>
      <c r="O2471" t="s">
        <v>78</v>
      </c>
      <c r="P2471" t="s">
        <v>87</v>
      </c>
    </row>
    <row r="2472" spans="1:16" x14ac:dyDescent="0.25">
      <c r="A2472">
        <v>2471</v>
      </c>
      <c r="B2472" s="1">
        <v>45955</v>
      </c>
      <c r="C2472" t="s">
        <v>22</v>
      </c>
      <c r="D2472" t="s">
        <v>24</v>
      </c>
      <c r="E2472" t="s">
        <v>33</v>
      </c>
      <c r="F2472" t="s">
        <v>59</v>
      </c>
      <c r="G2472" t="s">
        <v>72</v>
      </c>
      <c r="H2472" t="s">
        <v>73</v>
      </c>
      <c r="I2472">
        <v>4</v>
      </c>
      <c r="J2472">
        <v>6349</v>
      </c>
      <c r="K2472">
        <v>0.1</v>
      </c>
      <c r="L2472">
        <v>22856.400000000001</v>
      </c>
      <c r="M2472">
        <v>13644.51</v>
      </c>
      <c r="N2472">
        <v>9211.89</v>
      </c>
      <c r="O2472" t="s">
        <v>80</v>
      </c>
      <c r="P2472" t="s">
        <v>86</v>
      </c>
    </row>
    <row r="2473" spans="1:16" x14ac:dyDescent="0.25">
      <c r="A2473">
        <v>2472</v>
      </c>
      <c r="B2473" s="1">
        <v>45877</v>
      </c>
      <c r="C2473" t="s">
        <v>18</v>
      </c>
      <c r="D2473" t="s">
        <v>26</v>
      </c>
      <c r="E2473" t="s">
        <v>28</v>
      </c>
      <c r="F2473" t="s">
        <v>54</v>
      </c>
      <c r="G2473" t="s">
        <v>72</v>
      </c>
      <c r="H2473" t="s">
        <v>75</v>
      </c>
      <c r="I2473">
        <v>5</v>
      </c>
      <c r="J2473">
        <v>1203</v>
      </c>
      <c r="K2473">
        <v>0.05</v>
      </c>
      <c r="L2473">
        <v>5714.25</v>
      </c>
      <c r="M2473">
        <v>3753.23</v>
      </c>
      <c r="N2473">
        <v>1961.02</v>
      </c>
      <c r="O2473" t="s">
        <v>78</v>
      </c>
      <c r="P2473" t="s">
        <v>87</v>
      </c>
    </row>
    <row r="2474" spans="1:16" x14ac:dyDescent="0.25">
      <c r="A2474">
        <v>2473</v>
      </c>
      <c r="B2474" s="1">
        <v>45795</v>
      </c>
      <c r="C2474" t="s">
        <v>20</v>
      </c>
      <c r="D2474" t="s">
        <v>26</v>
      </c>
      <c r="E2474" t="s">
        <v>33</v>
      </c>
      <c r="F2474" t="s">
        <v>59</v>
      </c>
      <c r="G2474" t="s">
        <v>70</v>
      </c>
      <c r="H2474" t="s">
        <v>74</v>
      </c>
      <c r="I2474">
        <v>8</v>
      </c>
      <c r="J2474">
        <v>47495</v>
      </c>
      <c r="K2474">
        <v>0</v>
      </c>
      <c r="L2474">
        <v>379960</v>
      </c>
      <c r="M2474">
        <v>222223.76</v>
      </c>
      <c r="N2474">
        <v>157736.24</v>
      </c>
      <c r="O2474" t="s">
        <v>76</v>
      </c>
      <c r="P2474" t="s">
        <v>81</v>
      </c>
    </row>
    <row r="2475" spans="1:16" x14ac:dyDescent="0.25">
      <c r="A2475">
        <v>2474</v>
      </c>
      <c r="B2475" s="1">
        <v>45805</v>
      </c>
      <c r="C2475" t="s">
        <v>16</v>
      </c>
      <c r="D2475" t="s">
        <v>24</v>
      </c>
      <c r="E2475" t="s">
        <v>28</v>
      </c>
      <c r="F2475" t="s">
        <v>35</v>
      </c>
      <c r="G2475" t="s">
        <v>71</v>
      </c>
      <c r="H2475" t="s">
        <v>73</v>
      </c>
      <c r="I2475">
        <v>6</v>
      </c>
      <c r="J2475">
        <v>1934</v>
      </c>
      <c r="K2475">
        <v>0.1</v>
      </c>
      <c r="L2475">
        <v>10443.6</v>
      </c>
      <c r="M2475">
        <v>7944.8</v>
      </c>
      <c r="N2475">
        <v>2498.8000000000002</v>
      </c>
      <c r="O2475" t="s">
        <v>77</v>
      </c>
      <c r="P2475" t="s">
        <v>84</v>
      </c>
    </row>
    <row r="2476" spans="1:16" x14ac:dyDescent="0.25">
      <c r="A2476">
        <v>2475</v>
      </c>
      <c r="B2476" s="1">
        <v>45784</v>
      </c>
      <c r="C2476" t="s">
        <v>19</v>
      </c>
      <c r="D2476" t="s">
        <v>26</v>
      </c>
      <c r="E2476" t="s">
        <v>29</v>
      </c>
      <c r="F2476" t="s">
        <v>57</v>
      </c>
      <c r="G2476" t="s">
        <v>70</v>
      </c>
      <c r="H2476" t="s">
        <v>75</v>
      </c>
      <c r="I2476">
        <v>6</v>
      </c>
      <c r="J2476">
        <v>5961</v>
      </c>
      <c r="K2476">
        <v>0</v>
      </c>
      <c r="L2476">
        <v>35766</v>
      </c>
      <c r="M2476">
        <v>30232.61</v>
      </c>
      <c r="N2476">
        <v>5533.39</v>
      </c>
      <c r="O2476" t="s">
        <v>77</v>
      </c>
      <c r="P2476" t="s">
        <v>87</v>
      </c>
    </row>
    <row r="2477" spans="1:16" x14ac:dyDescent="0.25">
      <c r="A2477">
        <v>2476</v>
      </c>
      <c r="B2477" s="1">
        <v>45715</v>
      </c>
      <c r="C2477" t="s">
        <v>19</v>
      </c>
      <c r="D2477" t="s">
        <v>26</v>
      </c>
      <c r="E2477" t="s">
        <v>31</v>
      </c>
      <c r="F2477" t="s">
        <v>67</v>
      </c>
      <c r="G2477" t="s">
        <v>72</v>
      </c>
      <c r="H2477" t="s">
        <v>75</v>
      </c>
      <c r="I2477">
        <v>7</v>
      </c>
      <c r="J2477">
        <v>1910</v>
      </c>
      <c r="K2477">
        <v>0.1</v>
      </c>
      <c r="L2477">
        <v>12033</v>
      </c>
      <c r="M2477">
        <v>8903.92</v>
      </c>
      <c r="N2477">
        <v>3129.08</v>
      </c>
      <c r="O2477" t="s">
        <v>79</v>
      </c>
      <c r="P2477" t="s">
        <v>88</v>
      </c>
    </row>
    <row r="2478" spans="1:16" x14ac:dyDescent="0.25">
      <c r="A2478">
        <v>2477</v>
      </c>
      <c r="B2478" s="1">
        <v>45994</v>
      </c>
      <c r="C2478" t="s">
        <v>16</v>
      </c>
      <c r="D2478" t="s">
        <v>24</v>
      </c>
      <c r="E2478" t="s">
        <v>31</v>
      </c>
      <c r="F2478" t="s">
        <v>47</v>
      </c>
      <c r="G2478" t="s">
        <v>71</v>
      </c>
      <c r="H2478" t="s">
        <v>75</v>
      </c>
      <c r="I2478">
        <v>4</v>
      </c>
      <c r="J2478">
        <v>1407</v>
      </c>
      <c r="K2478">
        <v>0.05</v>
      </c>
      <c r="L2478">
        <v>5346.6</v>
      </c>
      <c r="M2478">
        <v>3523.56</v>
      </c>
      <c r="N2478">
        <v>1823.04</v>
      </c>
      <c r="O2478" t="s">
        <v>78</v>
      </c>
      <c r="P2478" t="s">
        <v>82</v>
      </c>
    </row>
    <row r="2479" spans="1:16" x14ac:dyDescent="0.25">
      <c r="A2479">
        <v>2478</v>
      </c>
      <c r="B2479" s="1">
        <v>45745</v>
      </c>
      <c r="C2479" t="s">
        <v>17</v>
      </c>
      <c r="D2479" t="s">
        <v>25</v>
      </c>
      <c r="E2479" t="s">
        <v>31</v>
      </c>
      <c r="F2479" t="s">
        <v>47</v>
      </c>
      <c r="G2479" t="s">
        <v>71</v>
      </c>
      <c r="H2479" t="s">
        <v>74</v>
      </c>
      <c r="I2479">
        <v>3</v>
      </c>
      <c r="J2479">
        <v>156</v>
      </c>
      <c r="K2479">
        <v>0</v>
      </c>
      <c r="L2479">
        <v>468</v>
      </c>
      <c r="M2479">
        <v>384.19</v>
      </c>
      <c r="N2479">
        <v>83.81</v>
      </c>
      <c r="O2479" t="s">
        <v>76</v>
      </c>
      <c r="P2479" t="s">
        <v>85</v>
      </c>
    </row>
    <row r="2480" spans="1:16" x14ac:dyDescent="0.25">
      <c r="A2480">
        <v>2479</v>
      </c>
      <c r="B2480" s="1">
        <v>45947</v>
      </c>
      <c r="C2480" t="s">
        <v>20</v>
      </c>
      <c r="D2480" t="s">
        <v>26</v>
      </c>
      <c r="E2480" t="s">
        <v>32</v>
      </c>
      <c r="F2480" t="s">
        <v>39</v>
      </c>
      <c r="G2480" t="s">
        <v>72</v>
      </c>
      <c r="H2480" t="s">
        <v>74</v>
      </c>
      <c r="I2480">
        <v>6</v>
      </c>
      <c r="J2480">
        <v>16147</v>
      </c>
      <c r="K2480">
        <v>0.1</v>
      </c>
      <c r="L2480">
        <v>87193.8</v>
      </c>
      <c r="M2480">
        <v>74311.58</v>
      </c>
      <c r="N2480">
        <v>12882.22</v>
      </c>
      <c r="O2480" t="s">
        <v>79</v>
      </c>
      <c r="P2480" t="s">
        <v>87</v>
      </c>
    </row>
    <row r="2481" spans="1:16" x14ac:dyDescent="0.25">
      <c r="A2481">
        <v>2480</v>
      </c>
      <c r="B2481" s="1">
        <v>45778</v>
      </c>
      <c r="C2481" t="s">
        <v>19</v>
      </c>
      <c r="D2481" t="s">
        <v>26</v>
      </c>
      <c r="E2481" t="s">
        <v>31</v>
      </c>
      <c r="F2481" t="s">
        <v>69</v>
      </c>
      <c r="G2481" t="s">
        <v>70</v>
      </c>
      <c r="H2481" t="s">
        <v>74</v>
      </c>
      <c r="I2481">
        <v>8</v>
      </c>
      <c r="J2481">
        <v>2186</v>
      </c>
      <c r="K2481">
        <v>0.1</v>
      </c>
      <c r="L2481">
        <v>15739.2</v>
      </c>
      <c r="M2481">
        <v>11542.93</v>
      </c>
      <c r="N2481">
        <v>4196.2700000000004</v>
      </c>
      <c r="O2481" t="s">
        <v>77</v>
      </c>
      <c r="P2481" t="s">
        <v>82</v>
      </c>
    </row>
    <row r="2482" spans="1:16" x14ac:dyDescent="0.25">
      <c r="A2482">
        <v>2481</v>
      </c>
      <c r="B2482" s="1">
        <v>45894</v>
      </c>
      <c r="C2482" t="s">
        <v>22</v>
      </c>
      <c r="D2482" t="s">
        <v>24</v>
      </c>
      <c r="E2482" t="s">
        <v>32</v>
      </c>
      <c r="F2482" t="s">
        <v>62</v>
      </c>
      <c r="G2482" t="s">
        <v>72</v>
      </c>
      <c r="H2482" t="s">
        <v>74</v>
      </c>
      <c r="I2482">
        <v>1</v>
      </c>
      <c r="J2482">
        <v>21147</v>
      </c>
      <c r="K2482">
        <v>0.2</v>
      </c>
      <c r="L2482">
        <v>16917.599999999999</v>
      </c>
      <c r="M2482">
        <v>13800.47</v>
      </c>
      <c r="N2482">
        <v>3117.13</v>
      </c>
      <c r="O2482" t="s">
        <v>79</v>
      </c>
      <c r="P2482" t="s">
        <v>84</v>
      </c>
    </row>
    <row r="2483" spans="1:16" x14ac:dyDescent="0.25">
      <c r="A2483">
        <v>2482</v>
      </c>
      <c r="B2483" s="1">
        <v>45978</v>
      </c>
      <c r="C2483" t="s">
        <v>19</v>
      </c>
      <c r="D2483" t="s">
        <v>26</v>
      </c>
      <c r="E2483" t="s">
        <v>31</v>
      </c>
      <c r="F2483" t="s">
        <v>67</v>
      </c>
      <c r="G2483" t="s">
        <v>71</v>
      </c>
      <c r="H2483" t="s">
        <v>75</v>
      </c>
      <c r="I2483">
        <v>5</v>
      </c>
      <c r="J2483">
        <v>1651</v>
      </c>
      <c r="K2483">
        <v>0.1</v>
      </c>
      <c r="L2483">
        <v>7429.5</v>
      </c>
      <c r="M2483">
        <v>4805.37</v>
      </c>
      <c r="N2483">
        <v>2624.13</v>
      </c>
      <c r="O2483" t="s">
        <v>80</v>
      </c>
      <c r="P2483" t="s">
        <v>83</v>
      </c>
    </row>
    <row r="2484" spans="1:16" x14ac:dyDescent="0.25">
      <c r="A2484">
        <v>2483</v>
      </c>
      <c r="B2484" s="1">
        <v>46016</v>
      </c>
      <c r="C2484" t="s">
        <v>22</v>
      </c>
      <c r="D2484" t="s">
        <v>24</v>
      </c>
      <c r="E2484" t="s">
        <v>32</v>
      </c>
      <c r="F2484" t="s">
        <v>49</v>
      </c>
      <c r="G2484" t="s">
        <v>72</v>
      </c>
      <c r="H2484" t="s">
        <v>73</v>
      </c>
      <c r="I2484">
        <v>3</v>
      </c>
      <c r="J2484">
        <v>21969</v>
      </c>
      <c r="K2484">
        <v>0.1</v>
      </c>
      <c r="L2484">
        <v>59316.3</v>
      </c>
      <c r="M2484">
        <v>39577.9</v>
      </c>
      <c r="N2484">
        <v>19738.400000000001</v>
      </c>
      <c r="O2484" t="s">
        <v>77</v>
      </c>
      <c r="P2484" t="s">
        <v>88</v>
      </c>
    </row>
    <row r="2485" spans="1:16" x14ac:dyDescent="0.25">
      <c r="A2485">
        <v>2484</v>
      </c>
      <c r="B2485" s="1">
        <v>45752</v>
      </c>
      <c r="C2485" t="s">
        <v>17</v>
      </c>
      <c r="D2485" t="s">
        <v>25</v>
      </c>
      <c r="E2485" t="s">
        <v>30</v>
      </c>
      <c r="F2485" t="s">
        <v>40</v>
      </c>
      <c r="G2485" t="s">
        <v>70</v>
      </c>
      <c r="H2485" t="s">
        <v>75</v>
      </c>
      <c r="I2485">
        <v>3</v>
      </c>
      <c r="J2485">
        <v>66822</v>
      </c>
      <c r="K2485">
        <v>0.1</v>
      </c>
      <c r="L2485">
        <v>180419.4</v>
      </c>
      <c r="M2485">
        <v>115091.53</v>
      </c>
      <c r="N2485">
        <v>65327.87</v>
      </c>
      <c r="O2485" t="s">
        <v>76</v>
      </c>
      <c r="P2485" t="s">
        <v>86</v>
      </c>
    </row>
    <row r="2486" spans="1:16" x14ac:dyDescent="0.25">
      <c r="A2486">
        <v>2485</v>
      </c>
      <c r="B2486" s="1">
        <v>45729</v>
      </c>
      <c r="C2486" t="s">
        <v>22</v>
      </c>
      <c r="D2486" t="s">
        <v>24</v>
      </c>
      <c r="E2486" t="s">
        <v>30</v>
      </c>
      <c r="F2486" t="s">
        <v>56</v>
      </c>
      <c r="G2486" t="s">
        <v>72</v>
      </c>
      <c r="H2486" t="s">
        <v>74</v>
      </c>
      <c r="I2486">
        <v>6</v>
      </c>
      <c r="J2486">
        <v>12157</v>
      </c>
      <c r="K2486">
        <v>0</v>
      </c>
      <c r="L2486">
        <v>72942</v>
      </c>
      <c r="M2486">
        <v>49403.38</v>
      </c>
      <c r="N2486">
        <v>23538.62</v>
      </c>
      <c r="O2486" t="s">
        <v>79</v>
      </c>
      <c r="P2486" t="s">
        <v>81</v>
      </c>
    </row>
    <row r="2487" spans="1:16" x14ac:dyDescent="0.25">
      <c r="A2487">
        <v>2486</v>
      </c>
      <c r="B2487" s="1">
        <v>45715</v>
      </c>
      <c r="C2487" t="s">
        <v>18</v>
      </c>
      <c r="D2487" t="s">
        <v>26</v>
      </c>
      <c r="E2487" t="s">
        <v>33</v>
      </c>
      <c r="F2487" t="s">
        <v>41</v>
      </c>
      <c r="G2487" t="s">
        <v>70</v>
      </c>
      <c r="H2487" t="s">
        <v>73</v>
      </c>
      <c r="I2487">
        <v>7</v>
      </c>
      <c r="J2487">
        <v>3058</v>
      </c>
      <c r="K2487">
        <v>0.05</v>
      </c>
      <c r="L2487">
        <v>20335.7</v>
      </c>
      <c r="M2487">
        <v>13316.57</v>
      </c>
      <c r="N2487">
        <v>7019.13</v>
      </c>
      <c r="O2487" t="s">
        <v>77</v>
      </c>
      <c r="P2487" t="s">
        <v>88</v>
      </c>
    </row>
    <row r="2488" spans="1:16" x14ac:dyDescent="0.25">
      <c r="A2488">
        <v>2487</v>
      </c>
      <c r="B2488" s="1">
        <v>45702</v>
      </c>
      <c r="C2488" t="s">
        <v>20</v>
      </c>
      <c r="D2488" t="s">
        <v>26</v>
      </c>
      <c r="E2488" t="s">
        <v>28</v>
      </c>
      <c r="F2488" t="s">
        <v>58</v>
      </c>
      <c r="G2488" t="s">
        <v>70</v>
      </c>
      <c r="H2488" t="s">
        <v>73</v>
      </c>
      <c r="I2488">
        <v>7</v>
      </c>
      <c r="J2488">
        <v>801</v>
      </c>
      <c r="K2488">
        <v>0.05</v>
      </c>
      <c r="L2488">
        <v>5326.65</v>
      </c>
      <c r="M2488">
        <v>3299.9</v>
      </c>
      <c r="N2488">
        <v>2026.75</v>
      </c>
      <c r="O2488" t="s">
        <v>76</v>
      </c>
      <c r="P2488" t="s">
        <v>81</v>
      </c>
    </row>
    <row r="2489" spans="1:16" x14ac:dyDescent="0.25">
      <c r="A2489">
        <v>2488</v>
      </c>
      <c r="B2489" s="1">
        <v>45802</v>
      </c>
      <c r="C2489" t="s">
        <v>21</v>
      </c>
      <c r="D2489" t="s">
        <v>24</v>
      </c>
      <c r="E2489" t="s">
        <v>32</v>
      </c>
      <c r="F2489" t="s">
        <v>49</v>
      </c>
      <c r="G2489" t="s">
        <v>72</v>
      </c>
      <c r="H2489" t="s">
        <v>75</v>
      </c>
      <c r="I2489">
        <v>8</v>
      </c>
      <c r="J2489">
        <v>18797</v>
      </c>
      <c r="K2489">
        <v>0.05</v>
      </c>
      <c r="L2489">
        <v>142857.20000000001</v>
      </c>
      <c r="M2489">
        <v>97295.25</v>
      </c>
      <c r="N2489">
        <v>45561.95</v>
      </c>
      <c r="O2489" t="s">
        <v>80</v>
      </c>
      <c r="P2489" t="s">
        <v>83</v>
      </c>
    </row>
    <row r="2490" spans="1:16" x14ac:dyDescent="0.25">
      <c r="A2490">
        <v>2489</v>
      </c>
      <c r="B2490" s="1">
        <v>45762</v>
      </c>
      <c r="C2490" t="s">
        <v>20</v>
      </c>
      <c r="D2490" t="s">
        <v>26</v>
      </c>
      <c r="E2490" t="s">
        <v>32</v>
      </c>
      <c r="F2490" t="s">
        <v>48</v>
      </c>
      <c r="G2490" t="s">
        <v>70</v>
      </c>
      <c r="H2490" t="s">
        <v>73</v>
      </c>
      <c r="I2490">
        <v>2</v>
      </c>
      <c r="J2490">
        <v>24194</v>
      </c>
      <c r="K2490">
        <v>0.05</v>
      </c>
      <c r="L2490">
        <v>45968.6</v>
      </c>
      <c r="M2490">
        <v>40198.160000000003</v>
      </c>
      <c r="N2490">
        <v>5770.44</v>
      </c>
      <c r="O2490" t="s">
        <v>76</v>
      </c>
      <c r="P2490" t="s">
        <v>88</v>
      </c>
    </row>
    <row r="2491" spans="1:16" x14ac:dyDescent="0.25">
      <c r="A2491">
        <v>2490</v>
      </c>
      <c r="B2491" s="1">
        <v>45956</v>
      </c>
      <c r="C2491" t="s">
        <v>23</v>
      </c>
      <c r="D2491" t="s">
        <v>27</v>
      </c>
      <c r="E2491" t="s">
        <v>32</v>
      </c>
      <c r="F2491" t="s">
        <v>66</v>
      </c>
      <c r="G2491" t="s">
        <v>71</v>
      </c>
      <c r="H2491" t="s">
        <v>75</v>
      </c>
      <c r="I2491">
        <v>8</v>
      </c>
      <c r="J2491">
        <v>7402</v>
      </c>
      <c r="K2491">
        <v>0.1</v>
      </c>
      <c r="L2491">
        <v>53294.400000000001</v>
      </c>
      <c r="M2491">
        <v>42972.160000000003</v>
      </c>
      <c r="N2491">
        <v>10322.24</v>
      </c>
      <c r="O2491" t="s">
        <v>77</v>
      </c>
      <c r="P2491" t="s">
        <v>87</v>
      </c>
    </row>
    <row r="2492" spans="1:16" x14ac:dyDescent="0.25">
      <c r="A2492">
        <v>2491</v>
      </c>
      <c r="B2492" s="1">
        <v>45940</v>
      </c>
      <c r="C2492" t="s">
        <v>17</v>
      </c>
      <c r="D2492" t="s">
        <v>25</v>
      </c>
      <c r="E2492" t="s">
        <v>30</v>
      </c>
      <c r="F2492" t="s">
        <v>64</v>
      </c>
      <c r="G2492" t="s">
        <v>70</v>
      </c>
      <c r="H2492" t="s">
        <v>75</v>
      </c>
      <c r="I2492">
        <v>1</v>
      </c>
      <c r="J2492">
        <v>33442</v>
      </c>
      <c r="K2492">
        <v>0.1</v>
      </c>
      <c r="L2492">
        <v>30097.8</v>
      </c>
      <c r="M2492">
        <v>25723.1</v>
      </c>
      <c r="N2492">
        <v>4374.7</v>
      </c>
      <c r="O2492" t="s">
        <v>77</v>
      </c>
      <c r="P2492" t="s">
        <v>85</v>
      </c>
    </row>
    <row r="2493" spans="1:16" x14ac:dyDescent="0.25">
      <c r="A2493">
        <v>2492</v>
      </c>
      <c r="B2493" s="1">
        <v>45703</v>
      </c>
      <c r="C2493" t="s">
        <v>19</v>
      </c>
      <c r="D2493" t="s">
        <v>26</v>
      </c>
      <c r="E2493" t="s">
        <v>33</v>
      </c>
      <c r="F2493" t="s">
        <v>41</v>
      </c>
      <c r="G2493" t="s">
        <v>71</v>
      </c>
      <c r="H2493" t="s">
        <v>73</v>
      </c>
      <c r="I2493">
        <v>6</v>
      </c>
      <c r="J2493">
        <v>22252</v>
      </c>
      <c r="K2493">
        <v>0</v>
      </c>
      <c r="L2493">
        <v>133512</v>
      </c>
      <c r="M2493">
        <v>108878.62</v>
      </c>
      <c r="N2493">
        <v>24633.38</v>
      </c>
      <c r="O2493" t="s">
        <v>76</v>
      </c>
      <c r="P2493" t="s">
        <v>83</v>
      </c>
    </row>
    <row r="2494" spans="1:16" x14ac:dyDescent="0.25">
      <c r="A2494">
        <v>2493</v>
      </c>
      <c r="B2494" s="1">
        <v>45935</v>
      </c>
      <c r="C2494" t="s">
        <v>19</v>
      </c>
      <c r="D2494" t="s">
        <v>26</v>
      </c>
      <c r="E2494" t="s">
        <v>34</v>
      </c>
      <c r="F2494" t="s">
        <v>55</v>
      </c>
      <c r="G2494" t="s">
        <v>71</v>
      </c>
      <c r="H2494" t="s">
        <v>74</v>
      </c>
      <c r="I2494">
        <v>3</v>
      </c>
      <c r="J2494">
        <v>2833</v>
      </c>
      <c r="K2494">
        <v>0.05</v>
      </c>
      <c r="L2494">
        <v>8074.05</v>
      </c>
      <c r="M2494">
        <v>5673.4</v>
      </c>
      <c r="N2494">
        <v>2400.65</v>
      </c>
      <c r="O2494" t="s">
        <v>78</v>
      </c>
      <c r="P2494" t="s">
        <v>82</v>
      </c>
    </row>
    <row r="2495" spans="1:16" x14ac:dyDescent="0.25">
      <c r="A2495">
        <v>2494</v>
      </c>
      <c r="B2495" s="1">
        <v>45704</v>
      </c>
      <c r="C2495" t="s">
        <v>20</v>
      </c>
      <c r="D2495" t="s">
        <v>26</v>
      </c>
      <c r="E2495" t="s">
        <v>33</v>
      </c>
      <c r="F2495" t="s">
        <v>59</v>
      </c>
      <c r="G2495" t="s">
        <v>72</v>
      </c>
      <c r="H2495" t="s">
        <v>75</v>
      </c>
      <c r="I2495">
        <v>6</v>
      </c>
      <c r="J2495">
        <v>9734</v>
      </c>
      <c r="K2495">
        <v>0.1</v>
      </c>
      <c r="L2495">
        <v>52563.6</v>
      </c>
      <c r="M2495">
        <v>31236.2</v>
      </c>
      <c r="N2495">
        <v>21327.4</v>
      </c>
      <c r="O2495" t="s">
        <v>76</v>
      </c>
      <c r="P2495" t="s">
        <v>88</v>
      </c>
    </row>
    <row r="2496" spans="1:16" x14ac:dyDescent="0.25">
      <c r="A2496">
        <v>2495</v>
      </c>
      <c r="B2496" s="1">
        <v>45850</v>
      </c>
      <c r="C2496" t="s">
        <v>20</v>
      </c>
      <c r="D2496" t="s">
        <v>26</v>
      </c>
      <c r="E2496" t="s">
        <v>34</v>
      </c>
      <c r="F2496" t="s">
        <v>68</v>
      </c>
      <c r="G2496" t="s">
        <v>70</v>
      </c>
      <c r="H2496" t="s">
        <v>74</v>
      </c>
      <c r="I2496">
        <v>2</v>
      </c>
      <c r="J2496">
        <v>3093</v>
      </c>
      <c r="K2496">
        <v>0.1</v>
      </c>
      <c r="L2496">
        <v>5567.4</v>
      </c>
      <c r="M2496">
        <v>4315.92</v>
      </c>
      <c r="N2496">
        <v>1251.48</v>
      </c>
      <c r="O2496" t="s">
        <v>79</v>
      </c>
      <c r="P2496" t="s">
        <v>83</v>
      </c>
    </row>
    <row r="2497" spans="1:16" x14ac:dyDescent="0.25">
      <c r="A2497">
        <v>2496</v>
      </c>
      <c r="B2497" s="1">
        <v>45958</v>
      </c>
      <c r="C2497" t="s">
        <v>23</v>
      </c>
      <c r="D2497" t="s">
        <v>27</v>
      </c>
      <c r="E2497" t="s">
        <v>32</v>
      </c>
      <c r="F2497" t="s">
        <v>39</v>
      </c>
      <c r="G2497" t="s">
        <v>71</v>
      </c>
      <c r="H2497" t="s">
        <v>73</v>
      </c>
      <c r="I2497">
        <v>4</v>
      </c>
      <c r="J2497">
        <v>4762</v>
      </c>
      <c r="K2497">
        <v>0.1</v>
      </c>
      <c r="L2497">
        <v>17143.2</v>
      </c>
      <c r="M2497">
        <v>12465.33</v>
      </c>
      <c r="N2497">
        <v>4677.87</v>
      </c>
      <c r="O2497" t="s">
        <v>78</v>
      </c>
      <c r="P2497" t="s">
        <v>82</v>
      </c>
    </row>
    <row r="2498" spans="1:16" x14ac:dyDescent="0.25">
      <c r="A2498">
        <v>2497</v>
      </c>
      <c r="B2498" s="1">
        <v>45833</v>
      </c>
      <c r="C2498" t="s">
        <v>16</v>
      </c>
      <c r="D2498" t="s">
        <v>24</v>
      </c>
      <c r="E2498" t="s">
        <v>33</v>
      </c>
      <c r="F2498" t="s">
        <v>60</v>
      </c>
      <c r="G2498" t="s">
        <v>71</v>
      </c>
      <c r="H2498" t="s">
        <v>73</v>
      </c>
      <c r="I2498">
        <v>5</v>
      </c>
      <c r="J2498">
        <v>6860</v>
      </c>
      <c r="K2498">
        <v>0.1</v>
      </c>
      <c r="L2498">
        <v>30870</v>
      </c>
      <c r="M2498">
        <v>27025.73</v>
      </c>
      <c r="N2498">
        <v>3844.27</v>
      </c>
      <c r="O2498" t="s">
        <v>77</v>
      </c>
      <c r="P2498" t="s">
        <v>82</v>
      </c>
    </row>
    <row r="2499" spans="1:16" x14ac:dyDescent="0.25">
      <c r="A2499">
        <v>2498</v>
      </c>
      <c r="B2499" s="1">
        <v>45888</v>
      </c>
      <c r="C2499" t="s">
        <v>16</v>
      </c>
      <c r="D2499" t="s">
        <v>24</v>
      </c>
      <c r="E2499" t="s">
        <v>34</v>
      </c>
      <c r="F2499" t="s">
        <v>43</v>
      </c>
      <c r="G2499" t="s">
        <v>71</v>
      </c>
      <c r="H2499" t="s">
        <v>75</v>
      </c>
      <c r="I2499">
        <v>6</v>
      </c>
      <c r="J2499">
        <v>2467</v>
      </c>
      <c r="K2499">
        <v>0.1</v>
      </c>
      <c r="L2499">
        <v>13321.8</v>
      </c>
      <c r="M2499">
        <v>11175.33</v>
      </c>
      <c r="N2499">
        <v>2146.4699999999998</v>
      </c>
      <c r="O2499" t="s">
        <v>78</v>
      </c>
      <c r="P2499" t="s">
        <v>88</v>
      </c>
    </row>
    <row r="2500" spans="1:16" x14ac:dyDescent="0.25">
      <c r="A2500">
        <v>2499</v>
      </c>
      <c r="B2500" s="1">
        <v>45742</v>
      </c>
      <c r="C2500" t="s">
        <v>22</v>
      </c>
      <c r="D2500" t="s">
        <v>24</v>
      </c>
      <c r="E2500" t="s">
        <v>33</v>
      </c>
      <c r="F2500" t="s">
        <v>59</v>
      </c>
      <c r="G2500" t="s">
        <v>72</v>
      </c>
      <c r="H2500" t="s">
        <v>75</v>
      </c>
      <c r="I2500">
        <v>5</v>
      </c>
      <c r="J2500">
        <v>28047</v>
      </c>
      <c r="K2500">
        <v>0.05</v>
      </c>
      <c r="L2500">
        <v>133223.25</v>
      </c>
      <c r="M2500">
        <v>80141.63</v>
      </c>
      <c r="N2500">
        <v>53081.62</v>
      </c>
      <c r="O2500" t="s">
        <v>77</v>
      </c>
      <c r="P2500" t="s">
        <v>87</v>
      </c>
    </row>
    <row r="2501" spans="1:16" x14ac:dyDescent="0.25">
      <c r="A2501">
        <v>2500</v>
      </c>
      <c r="B2501" s="1">
        <v>46000</v>
      </c>
      <c r="C2501" t="s">
        <v>23</v>
      </c>
      <c r="D2501" t="s">
        <v>27</v>
      </c>
      <c r="E2501" t="s">
        <v>34</v>
      </c>
      <c r="F2501" t="s">
        <v>43</v>
      </c>
      <c r="G2501" t="s">
        <v>72</v>
      </c>
      <c r="H2501" t="s">
        <v>74</v>
      </c>
      <c r="I2501">
        <v>1</v>
      </c>
      <c r="J2501">
        <v>4540</v>
      </c>
      <c r="K2501">
        <v>0.1</v>
      </c>
      <c r="L2501">
        <v>4086</v>
      </c>
      <c r="M2501">
        <v>2746.97</v>
      </c>
      <c r="N2501">
        <v>1339.03</v>
      </c>
      <c r="O2501" t="s">
        <v>77</v>
      </c>
      <c r="P2501" t="s">
        <v>88</v>
      </c>
    </row>
    <row r="2502" spans="1:16" x14ac:dyDescent="0.25">
      <c r="A2502">
        <v>2501</v>
      </c>
      <c r="B2502" s="1">
        <v>45794</v>
      </c>
      <c r="C2502" t="s">
        <v>18</v>
      </c>
      <c r="D2502" t="s">
        <v>26</v>
      </c>
      <c r="E2502" t="s">
        <v>30</v>
      </c>
      <c r="F2502" t="s">
        <v>56</v>
      </c>
      <c r="G2502" t="s">
        <v>70</v>
      </c>
      <c r="H2502" t="s">
        <v>75</v>
      </c>
      <c r="I2502">
        <v>1</v>
      </c>
      <c r="J2502">
        <v>65163</v>
      </c>
      <c r="K2502">
        <v>0.1</v>
      </c>
      <c r="L2502">
        <v>58646.7</v>
      </c>
      <c r="M2502">
        <v>32903</v>
      </c>
      <c r="N2502">
        <v>25743.7</v>
      </c>
      <c r="O2502" t="s">
        <v>79</v>
      </c>
      <c r="P2502" t="s">
        <v>86</v>
      </c>
    </row>
    <row r="2503" spans="1:16" x14ac:dyDescent="0.25">
      <c r="A2503">
        <v>2502</v>
      </c>
      <c r="B2503" s="1">
        <v>45851</v>
      </c>
      <c r="C2503" t="s">
        <v>22</v>
      </c>
      <c r="D2503" t="s">
        <v>24</v>
      </c>
      <c r="E2503" t="s">
        <v>31</v>
      </c>
      <c r="F2503" t="s">
        <v>50</v>
      </c>
      <c r="G2503" t="s">
        <v>72</v>
      </c>
      <c r="H2503" t="s">
        <v>74</v>
      </c>
      <c r="I2503">
        <v>3</v>
      </c>
      <c r="J2503">
        <v>1061</v>
      </c>
      <c r="K2503">
        <v>0.15</v>
      </c>
      <c r="L2503">
        <v>2705.55</v>
      </c>
      <c r="M2503">
        <v>1856.36</v>
      </c>
      <c r="N2503">
        <v>849.19</v>
      </c>
      <c r="O2503" t="s">
        <v>80</v>
      </c>
      <c r="P2503" t="s">
        <v>81</v>
      </c>
    </row>
    <row r="2504" spans="1:16" x14ac:dyDescent="0.25">
      <c r="A2504">
        <v>2503</v>
      </c>
      <c r="B2504" s="1">
        <v>45931</v>
      </c>
      <c r="C2504" t="s">
        <v>17</v>
      </c>
      <c r="D2504" t="s">
        <v>25</v>
      </c>
      <c r="E2504" t="s">
        <v>33</v>
      </c>
      <c r="F2504" t="s">
        <v>60</v>
      </c>
      <c r="G2504" t="s">
        <v>70</v>
      </c>
      <c r="H2504" t="s">
        <v>73</v>
      </c>
      <c r="I2504">
        <v>6</v>
      </c>
      <c r="J2504">
        <v>29282</v>
      </c>
      <c r="K2504">
        <v>0.1</v>
      </c>
      <c r="L2504">
        <v>158122.79999999999</v>
      </c>
      <c r="M2504">
        <v>101497.8</v>
      </c>
      <c r="N2504">
        <v>56625</v>
      </c>
      <c r="O2504" t="s">
        <v>78</v>
      </c>
      <c r="P2504" t="s">
        <v>84</v>
      </c>
    </row>
    <row r="2505" spans="1:16" x14ac:dyDescent="0.25">
      <c r="A2505">
        <v>2504</v>
      </c>
      <c r="B2505" s="1">
        <v>45913</v>
      </c>
      <c r="C2505" t="s">
        <v>17</v>
      </c>
      <c r="D2505" t="s">
        <v>25</v>
      </c>
      <c r="E2505" t="s">
        <v>30</v>
      </c>
      <c r="F2505" t="s">
        <v>44</v>
      </c>
      <c r="G2505" t="s">
        <v>70</v>
      </c>
      <c r="H2505" t="s">
        <v>73</v>
      </c>
      <c r="I2505">
        <v>3</v>
      </c>
      <c r="J2505">
        <v>21942</v>
      </c>
      <c r="K2505">
        <v>0.1</v>
      </c>
      <c r="L2505">
        <v>59243.4</v>
      </c>
      <c r="M2505">
        <v>39868.03</v>
      </c>
      <c r="N2505">
        <v>19375.37</v>
      </c>
      <c r="O2505" t="s">
        <v>78</v>
      </c>
      <c r="P2505" t="s">
        <v>84</v>
      </c>
    </row>
    <row r="2506" spans="1:16" x14ac:dyDescent="0.25">
      <c r="A2506">
        <v>2505</v>
      </c>
      <c r="B2506" s="1">
        <v>45958</v>
      </c>
      <c r="C2506" t="s">
        <v>16</v>
      </c>
      <c r="D2506" t="s">
        <v>24</v>
      </c>
      <c r="E2506" t="s">
        <v>31</v>
      </c>
      <c r="F2506" t="s">
        <v>50</v>
      </c>
      <c r="G2506" t="s">
        <v>72</v>
      </c>
      <c r="H2506" t="s">
        <v>74</v>
      </c>
      <c r="I2506">
        <v>4</v>
      </c>
      <c r="J2506">
        <v>2459</v>
      </c>
      <c r="K2506">
        <v>0.1</v>
      </c>
      <c r="L2506">
        <v>8852.4</v>
      </c>
      <c r="M2506">
        <v>5328.38</v>
      </c>
      <c r="N2506">
        <v>3524.02</v>
      </c>
      <c r="O2506" t="s">
        <v>76</v>
      </c>
      <c r="P2506" t="s">
        <v>83</v>
      </c>
    </row>
    <row r="2507" spans="1:16" x14ac:dyDescent="0.25">
      <c r="A2507">
        <v>2506</v>
      </c>
      <c r="B2507" s="1">
        <v>45986</v>
      </c>
      <c r="C2507" t="s">
        <v>18</v>
      </c>
      <c r="D2507" t="s">
        <v>26</v>
      </c>
      <c r="E2507" t="s">
        <v>32</v>
      </c>
      <c r="F2507" t="s">
        <v>49</v>
      </c>
      <c r="G2507" t="s">
        <v>71</v>
      </c>
      <c r="H2507" t="s">
        <v>73</v>
      </c>
      <c r="I2507">
        <v>2</v>
      </c>
      <c r="J2507">
        <v>11627</v>
      </c>
      <c r="K2507">
        <v>0</v>
      </c>
      <c r="L2507">
        <v>23254</v>
      </c>
      <c r="M2507">
        <v>13929.86</v>
      </c>
      <c r="N2507">
        <v>9324.14</v>
      </c>
      <c r="O2507" t="s">
        <v>78</v>
      </c>
      <c r="P2507" t="s">
        <v>85</v>
      </c>
    </row>
    <row r="2508" spans="1:16" x14ac:dyDescent="0.25">
      <c r="A2508">
        <v>2507</v>
      </c>
      <c r="B2508" s="1">
        <v>45914</v>
      </c>
      <c r="C2508" t="s">
        <v>16</v>
      </c>
      <c r="D2508" t="s">
        <v>24</v>
      </c>
      <c r="E2508" t="s">
        <v>32</v>
      </c>
      <c r="F2508" t="s">
        <v>66</v>
      </c>
      <c r="G2508" t="s">
        <v>71</v>
      </c>
      <c r="H2508" t="s">
        <v>73</v>
      </c>
      <c r="I2508">
        <v>5</v>
      </c>
      <c r="J2508">
        <v>15006</v>
      </c>
      <c r="K2508">
        <v>0.15</v>
      </c>
      <c r="L2508">
        <v>63775.5</v>
      </c>
      <c r="M2508">
        <v>38472.660000000003</v>
      </c>
      <c r="N2508">
        <v>25302.84</v>
      </c>
      <c r="O2508" t="s">
        <v>80</v>
      </c>
      <c r="P2508" t="s">
        <v>82</v>
      </c>
    </row>
    <row r="2509" spans="1:16" x14ac:dyDescent="0.25">
      <c r="A2509">
        <v>2508</v>
      </c>
      <c r="B2509" s="1">
        <v>45697</v>
      </c>
      <c r="C2509" t="s">
        <v>16</v>
      </c>
      <c r="D2509" t="s">
        <v>24</v>
      </c>
      <c r="E2509" t="s">
        <v>33</v>
      </c>
      <c r="F2509" t="s">
        <v>60</v>
      </c>
      <c r="G2509" t="s">
        <v>70</v>
      </c>
      <c r="H2509" t="s">
        <v>75</v>
      </c>
      <c r="I2509">
        <v>2</v>
      </c>
      <c r="J2509">
        <v>38132</v>
      </c>
      <c r="K2509">
        <v>0.1</v>
      </c>
      <c r="L2509">
        <v>68637.600000000006</v>
      </c>
      <c r="M2509">
        <v>43522.61</v>
      </c>
      <c r="N2509">
        <v>25114.99</v>
      </c>
      <c r="O2509" t="s">
        <v>80</v>
      </c>
      <c r="P2509" t="s">
        <v>82</v>
      </c>
    </row>
    <row r="2510" spans="1:16" x14ac:dyDescent="0.25">
      <c r="A2510">
        <v>2509</v>
      </c>
      <c r="B2510" s="1">
        <v>45753</v>
      </c>
      <c r="C2510" t="s">
        <v>20</v>
      </c>
      <c r="D2510" t="s">
        <v>26</v>
      </c>
      <c r="E2510" t="s">
        <v>29</v>
      </c>
      <c r="F2510" t="s">
        <v>42</v>
      </c>
      <c r="G2510" t="s">
        <v>70</v>
      </c>
      <c r="H2510" t="s">
        <v>74</v>
      </c>
      <c r="I2510">
        <v>1</v>
      </c>
      <c r="J2510">
        <v>10896</v>
      </c>
      <c r="K2510">
        <v>0.15</v>
      </c>
      <c r="L2510">
        <v>9261.6</v>
      </c>
      <c r="M2510">
        <v>6154.76</v>
      </c>
      <c r="N2510">
        <v>3106.84</v>
      </c>
      <c r="O2510" t="s">
        <v>77</v>
      </c>
      <c r="P2510" t="s">
        <v>86</v>
      </c>
    </row>
    <row r="2511" spans="1:16" x14ac:dyDescent="0.25">
      <c r="A2511">
        <v>2510</v>
      </c>
      <c r="B2511" s="1">
        <v>45972</v>
      </c>
      <c r="C2511" t="s">
        <v>23</v>
      </c>
      <c r="D2511" t="s">
        <v>27</v>
      </c>
      <c r="E2511" t="s">
        <v>34</v>
      </c>
      <c r="F2511" t="s">
        <v>65</v>
      </c>
      <c r="G2511" t="s">
        <v>72</v>
      </c>
      <c r="H2511" t="s">
        <v>73</v>
      </c>
      <c r="I2511">
        <v>2</v>
      </c>
      <c r="J2511">
        <v>4619</v>
      </c>
      <c r="K2511">
        <v>0.05</v>
      </c>
      <c r="L2511">
        <v>8776.1</v>
      </c>
      <c r="M2511">
        <v>7602.57</v>
      </c>
      <c r="N2511">
        <v>1173.53</v>
      </c>
      <c r="O2511" t="s">
        <v>76</v>
      </c>
      <c r="P2511" t="s">
        <v>88</v>
      </c>
    </row>
    <row r="2512" spans="1:16" x14ac:dyDescent="0.25">
      <c r="A2512">
        <v>2511</v>
      </c>
      <c r="B2512" s="1">
        <v>45784</v>
      </c>
      <c r="C2512" t="s">
        <v>19</v>
      </c>
      <c r="D2512" t="s">
        <v>26</v>
      </c>
      <c r="E2512" t="s">
        <v>33</v>
      </c>
      <c r="F2512" t="s">
        <v>46</v>
      </c>
      <c r="G2512" t="s">
        <v>72</v>
      </c>
      <c r="H2512" t="s">
        <v>74</v>
      </c>
      <c r="I2512">
        <v>8</v>
      </c>
      <c r="J2512">
        <v>4396</v>
      </c>
      <c r="K2512">
        <v>0.05</v>
      </c>
      <c r="L2512">
        <v>33409.599999999999</v>
      </c>
      <c r="M2512">
        <v>24866.93</v>
      </c>
      <c r="N2512">
        <v>8542.67</v>
      </c>
      <c r="O2512" t="s">
        <v>79</v>
      </c>
      <c r="P2512" t="s">
        <v>86</v>
      </c>
    </row>
    <row r="2513" spans="1:16" x14ac:dyDescent="0.25">
      <c r="A2513">
        <v>2512</v>
      </c>
      <c r="B2513" s="1">
        <v>45754</v>
      </c>
      <c r="C2513" t="s">
        <v>17</v>
      </c>
      <c r="D2513" t="s">
        <v>25</v>
      </c>
      <c r="E2513" t="s">
        <v>31</v>
      </c>
      <c r="F2513" t="s">
        <v>69</v>
      </c>
      <c r="G2513" t="s">
        <v>70</v>
      </c>
      <c r="H2513" t="s">
        <v>74</v>
      </c>
      <c r="I2513">
        <v>6</v>
      </c>
      <c r="J2513">
        <v>1193</v>
      </c>
      <c r="K2513">
        <v>0.15</v>
      </c>
      <c r="L2513">
        <v>6084.3</v>
      </c>
      <c r="M2513">
        <v>4469.0600000000004</v>
      </c>
      <c r="N2513">
        <v>1615.24</v>
      </c>
      <c r="O2513" t="s">
        <v>76</v>
      </c>
      <c r="P2513" t="s">
        <v>88</v>
      </c>
    </row>
    <row r="2514" spans="1:16" x14ac:dyDescent="0.25">
      <c r="A2514">
        <v>2513</v>
      </c>
      <c r="B2514" s="1">
        <v>45980</v>
      </c>
      <c r="C2514" t="s">
        <v>17</v>
      </c>
      <c r="D2514" t="s">
        <v>25</v>
      </c>
      <c r="E2514" t="s">
        <v>34</v>
      </c>
      <c r="F2514" t="s">
        <v>65</v>
      </c>
      <c r="G2514" t="s">
        <v>71</v>
      </c>
      <c r="H2514" t="s">
        <v>74</v>
      </c>
      <c r="I2514">
        <v>5</v>
      </c>
      <c r="J2514">
        <v>5153</v>
      </c>
      <c r="K2514">
        <v>0.2</v>
      </c>
      <c r="L2514">
        <v>20612</v>
      </c>
      <c r="M2514">
        <v>17548.990000000002</v>
      </c>
      <c r="N2514">
        <v>3063.01</v>
      </c>
      <c r="O2514" t="s">
        <v>80</v>
      </c>
      <c r="P2514" t="s">
        <v>81</v>
      </c>
    </row>
    <row r="2515" spans="1:16" x14ac:dyDescent="0.25">
      <c r="A2515">
        <v>2514</v>
      </c>
      <c r="B2515" s="1">
        <v>45806</v>
      </c>
      <c r="C2515" t="s">
        <v>23</v>
      </c>
      <c r="D2515" t="s">
        <v>27</v>
      </c>
      <c r="E2515" t="s">
        <v>33</v>
      </c>
      <c r="F2515" t="s">
        <v>46</v>
      </c>
      <c r="G2515" t="s">
        <v>72</v>
      </c>
      <c r="H2515" t="s">
        <v>75</v>
      </c>
      <c r="I2515">
        <v>2</v>
      </c>
      <c r="J2515">
        <v>12967</v>
      </c>
      <c r="K2515">
        <v>0.05</v>
      </c>
      <c r="L2515">
        <v>24637.3</v>
      </c>
      <c r="M2515">
        <v>17582.310000000001</v>
      </c>
      <c r="N2515">
        <v>7054.99</v>
      </c>
      <c r="O2515" t="s">
        <v>79</v>
      </c>
      <c r="P2515" t="s">
        <v>84</v>
      </c>
    </row>
    <row r="2516" spans="1:16" x14ac:dyDescent="0.25">
      <c r="A2516">
        <v>2515</v>
      </c>
      <c r="B2516" s="1">
        <v>45693</v>
      </c>
      <c r="C2516" t="s">
        <v>23</v>
      </c>
      <c r="D2516" t="s">
        <v>27</v>
      </c>
      <c r="E2516" t="s">
        <v>33</v>
      </c>
      <c r="F2516" t="s">
        <v>52</v>
      </c>
      <c r="G2516" t="s">
        <v>72</v>
      </c>
      <c r="H2516" t="s">
        <v>75</v>
      </c>
      <c r="I2516">
        <v>3</v>
      </c>
      <c r="J2516">
        <v>6817</v>
      </c>
      <c r="K2516">
        <v>0</v>
      </c>
      <c r="L2516">
        <v>20451</v>
      </c>
      <c r="M2516">
        <v>17059.45</v>
      </c>
      <c r="N2516">
        <v>3391.55</v>
      </c>
      <c r="O2516" t="s">
        <v>76</v>
      </c>
      <c r="P2516" t="s">
        <v>83</v>
      </c>
    </row>
    <row r="2517" spans="1:16" x14ac:dyDescent="0.25">
      <c r="A2517">
        <v>2516</v>
      </c>
      <c r="B2517" s="1">
        <v>45969</v>
      </c>
      <c r="C2517" t="s">
        <v>20</v>
      </c>
      <c r="D2517" t="s">
        <v>26</v>
      </c>
      <c r="E2517" t="s">
        <v>33</v>
      </c>
      <c r="F2517" t="s">
        <v>60</v>
      </c>
      <c r="G2517" t="s">
        <v>71</v>
      </c>
      <c r="H2517" t="s">
        <v>73</v>
      </c>
      <c r="I2517">
        <v>1</v>
      </c>
      <c r="J2517">
        <v>18003</v>
      </c>
      <c r="K2517">
        <v>0</v>
      </c>
      <c r="L2517">
        <v>18003</v>
      </c>
      <c r="M2517">
        <v>12560.62</v>
      </c>
      <c r="N2517">
        <v>5442.38</v>
      </c>
      <c r="O2517" t="s">
        <v>76</v>
      </c>
      <c r="P2517" t="s">
        <v>83</v>
      </c>
    </row>
    <row r="2518" spans="1:16" x14ac:dyDescent="0.25">
      <c r="A2518">
        <v>2517</v>
      </c>
      <c r="B2518" s="1">
        <v>45728</v>
      </c>
      <c r="C2518" t="s">
        <v>20</v>
      </c>
      <c r="D2518" t="s">
        <v>26</v>
      </c>
      <c r="E2518" t="s">
        <v>32</v>
      </c>
      <c r="F2518" t="s">
        <v>49</v>
      </c>
      <c r="G2518" t="s">
        <v>71</v>
      </c>
      <c r="H2518" t="s">
        <v>75</v>
      </c>
      <c r="I2518">
        <v>7</v>
      </c>
      <c r="J2518">
        <v>4490</v>
      </c>
      <c r="K2518">
        <v>0.15</v>
      </c>
      <c r="L2518">
        <v>26715.5</v>
      </c>
      <c r="M2518">
        <v>22038.45</v>
      </c>
      <c r="N2518">
        <v>4677.05</v>
      </c>
      <c r="O2518" t="s">
        <v>79</v>
      </c>
      <c r="P2518" t="s">
        <v>82</v>
      </c>
    </row>
    <row r="2519" spans="1:16" x14ac:dyDescent="0.25">
      <c r="A2519">
        <v>2518</v>
      </c>
      <c r="B2519" s="1">
        <v>45667</v>
      </c>
      <c r="C2519" t="s">
        <v>22</v>
      </c>
      <c r="D2519" t="s">
        <v>24</v>
      </c>
      <c r="E2519" t="s">
        <v>33</v>
      </c>
      <c r="F2519" t="s">
        <v>41</v>
      </c>
      <c r="G2519" t="s">
        <v>70</v>
      </c>
      <c r="H2519" t="s">
        <v>74</v>
      </c>
      <c r="I2519">
        <v>1</v>
      </c>
      <c r="J2519">
        <v>10750</v>
      </c>
      <c r="K2519">
        <v>0.05</v>
      </c>
      <c r="L2519">
        <v>10212.5</v>
      </c>
      <c r="M2519">
        <v>7994.01</v>
      </c>
      <c r="N2519">
        <v>2218.4899999999998</v>
      </c>
      <c r="O2519" t="s">
        <v>80</v>
      </c>
      <c r="P2519" t="s">
        <v>86</v>
      </c>
    </row>
    <row r="2520" spans="1:16" x14ac:dyDescent="0.25">
      <c r="A2520">
        <v>2519</v>
      </c>
      <c r="B2520" s="1">
        <v>45778</v>
      </c>
      <c r="C2520" t="s">
        <v>20</v>
      </c>
      <c r="D2520" t="s">
        <v>26</v>
      </c>
      <c r="E2520" t="s">
        <v>34</v>
      </c>
      <c r="F2520" t="s">
        <v>43</v>
      </c>
      <c r="G2520" t="s">
        <v>72</v>
      </c>
      <c r="H2520" t="s">
        <v>75</v>
      </c>
      <c r="I2520">
        <v>2</v>
      </c>
      <c r="J2520">
        <v>2180</v>
      </c>
      <c r="K2520">
        <v>0.1</v>
      </c>
      <c r="L2520">
        <v>3924</v>
      </c>
      <c r="M2520">
        <v>3087.83</v>
      </c>
      <c r="N2520">
        <v>836.17</v>
      </c>
      <c r="O2520" t="s">
        <v>77</v>
      </c>
      <c r="P2520" t="s">
        <v>82</v>
      </c>
    </row>
    <row r="2521" spans="1:16" x14ac:dyDescent="0.25">
      <c r="A2521">
        <v>2520</v>
      </c>
      <c r="B2521" s="1">
        <v>45978</v>
      </c>
      <c r="C2521" t="s">
        <v>21</v>
      </c>
      <c r="D2521" t="s">
        <v>24</v>
      </c>
      <c r="E2521" t="s">
        <v>33</v>
      </c>
      <c r="F2521" t="s">
        <v>46</v>
      </c>
      <c r="G2521" t="s">
        <v>72</v>
      </c>
      <c r="H2521" t="s">
        <v>74</v>
      </c>
      <c r="I2521">
        <v>5</v>
      </c>
      <c r="J2521">
        <v>17084</v>
      </c>
      <c r="K2521">
        <v>0.1</v>
      </c>
      <c r="L2521">
        <v>76878</v>
      </c>
      <c r="M2521">
        <v>48583.34</v>
      </c>
      <c r="N2521">
        <v>28294.66</v>
      </c>
      <c r="O2521" t="s">
        <v>80</v>
      </c>
      <c r="P2521" t="s">
        <v>82</v>
      </c>
    </row>
    <row r="2522" spans="1:16" x14ac:dyDescent="0.25">
      <c r="A2522">
        <v>2521</v>
      </c>
      <c r="B2522" s="1">
        <v>45925</v>
      </c>
      <c r="C2522" t="s">
        <v>18</v>
      </c>
      <c r="D2522" t="s">
        <v>26</v>
      </c>
      <c r="E2522" t="s">
        <v>31</v>
      </c>
      <c r="F2522" t="s">
        <v>69</v>
      </c>
      <c r="G2522" t="s">
        <v>70</v>
      </c>
      <c r="H2522" t="s">
        <v>74</v>
      </c>
      <c r="I2522">
        <v>8</v>
      </c>
      <c r="J2522">
        <v>298</v>
      </c>
      <c r="K2522">
        <v>0</v>
      </c>
      <c r="L2522">
        <v>2384</v>
      </c>
      <c r="M2522">
        <v>1806.82</v>
      </c>
      <c r="N2522">
        <v>577.17999999999995</v>
      </c>
      <c r="O2522" t="s">
        <v>78</v>
      </c>
      <c r="P2522" t="s">
        <v>85</v>
      </c>
    </row>
    <row r="2523" spans="1:16" x14ac:dyDescent="0.25">
      <c r="A2523">
        <v>2522</v>
      </c>
      <c r="B2523" s="1">
        <v>45684</v>
      </c>
      <c r="C2523" t="s">
        <v>20</v>
      </c>
      <c r="D2523" t="s">
        <v>26</v>
      </c>
      <c r="E2523" t="s">
        <v>32</v>
      </c>
      <c r="F2523" t="s">
        <v>49</v>
      </c>
      <c r="G2523" t="s">
        <v>72</v>
      </c>
      <c r="H2523" t="s">
        <v>73</v>
      </c>
      <c r="I2523">
        <v>4</v>
      </c>
      <c r="J2523">
        <v>20141</v>
      </c>
      <c r="K2523">
        <v>0.1</v>
      </c>
      <c r="L2523">
        <v>72507.600000000006</v>
      </c>
      <c r="M2523">
        <v>57717.38</v>
      </c>
      <c r="N2523">
        <v>14790.22</v>
      </c>
      <c r="O2523" t="s">
        <v>80</v>
      </c>
      <c r="P2523" t="s">
        <v>82</v>
      </c>
    </row>
    <row r="2524" spans="1:16" x14ac:dyDescent="0.25">
      <c r="A2524">
        <v>2523</v>
      </c>
      <c r="B2524" s="1">
        <v>45916</v>
      </c>
      <c r="C2524" t="s">
        <v>21</v>
      </c>
      <c r="D2524" t="s">
        <v>24</v>
      </c>
      <c r="E2524" t="s">
        <v>32</v>
      </c>
      <c r="F2524" t="s">
        <v>48</v>
      </c>
      <c r="G2524" t="s">
        <v>71</v>
      </c>
      <c r="H2524" t="s">
        <v>74</v>
      </c>
      <c r="I2524">
        <v>3</v>
      </c>
      <c r="J2524">
        <v>1942</v>
      </c>
      <c r="K2524">
        <v>0.1</v>
      </c>
      <c r="L2524">
        <v>5243.4</v>
      </c>
      <c r="M2524">
        <v>2988.11</v>
      </c>
      <c r="N2524">
        <v>2255.29</v>
      </c>
      <c r="O2524" t="s">
        <v>77</v>
      </c>
      <c r="P2524" t="s">
        <v>84</v>
      </c>
    </row>
    <row r="2525" spans="1:16" x14ac:dyDescent="0.25">
      <c r="A2525">
        <v>2524</v>
      </c>
      <c r="B2525" s="1">
        <v>45943</v>
      </c>
      <c r="C2525" t="s">
        <v>20</v>
      </c>
      <c r="D2525" t="s">
        <v>26</v>
      </c>
      <c r="E2525" t="s">
        <v>28</v>
      </c>
      <c r="F2525" t="s">
        <v>58</v>
      </c>
      <c r="G2525" t="s">
        <v>71</v>
      </c>
      <c r="H2525" t="s">
        <v>73</v>
      </c>
      <c r="I2525">
        <v>1</v>
      </c>
      <c r="J2525">
        <v>726</v>
      </c>
      <c r="K2525">
        <v>0.1</v>
      </c>
      <c r="L2525">
        <v>653.4</v>
      </c>
      <c r="M2525">
        <v>574.11</v>
      </c>
      <c r="N2525">
        <v>79.290000000000006</v>
      </c>
      <c r="O2525" t="s">
        <v>80</v>
      </c>
      <c r="P2525" t="s">
        <v>87</v>
      </c>
    </row>
    <row r="2526" spans="1:16" x14ac:dyDescent="0.25">
      <c r="A2526">
        <v>2525</v>
      </c>
      <c r="B2526" s="1">
        <v>46014</v>
      </c>
      <c r="C2526" t="s">
        <v>20</v>
      </c>
      <c r="D2526" t="s">
        <v>26</v>
      </c>
      <c r="E2526" t="s">
        <v>28</v>
      </c>
      <c r="F2526" t="s">
        <v>35</v>
      </c>
      <c r="G2526" t="s">
        <v>70</v>
      </c>
      <c r="H2526" t="s">
        <v>75</v>
      </c>
      <c r="I2526">
        <v>5</v>
      </c>
      <c r="J2526">
        <v>712</v>
      </c>
      <c r="K2526">
        <v>0</v>
      </c>
      <c r="L2526">
        <v>3560</v>
      </c>
      <c r="M2526">
        <v>2805.28</v>
      </c>
      <c r="N2526">
        <v>754.72</v>
      </c>
      <c r="O2526" t="s">
        <v>80</v>
      </c>
      <c r="P2526" t="s">
        <v>82</v>
      </c>
    </row>
    <row r="2527" spans="1:16" x14ac:dyDescent="0.25">
      <c r="A2527">
        <v>2526</v>
      </c>
      <c r="B2527" s="1">
        <v>45689</v>
      </c>
      <c r="C2527" t="s">
        <v>16</v>
      </c>
      <c r="D2527" t="s">
        <v>24</v>
      </c>
      <c r="E2527" t="s">
        <v>31</v>
      </c>
      <c r="F2527" t="s">
        <v>38</v>
      </c>
      <c r="G2527" t="s">
        <v>70</v>
      </c>
      <c r="H2527" t="s">
        <v>73</v>
      </c>
      <c r="I2527">
        <v>5</v>
      </c>
      <c r="J2527">
        <v>1193</v>
      </c>
      <c r="K2527">
        <v>0</v>
      </c>
      <c r="L2527">
        <v>5965</v>
      </c>
      <c r="M2527">
        <v>3411.79</v>
      </c>
      <c r="N2527">
        <v>2553.21</v>
      </c>
      <c r="O2527" t="s">
        <v>77</v>
      </c>
      <c r="P2527" t="s">
        <v>82</v>
      </c>
    </row>
    <row r="2528" spans="1:16" x14ac:dyDescent="0.25">
      <c r="A2528">
        <v>2527</v>
      </c>
      <c r="B2528" s="1">
        <v>45769</v>
      </c>
      <c r="C2528" t="s">
        <v>20</v>
      </c>
      <c r="D2528" t="s">
        <v>26</v>
      </c>
      <c r="E2528" t="s">
        <v>28</v>
      </c>
      <c r="F2528" t="s">
        <v>61</v>
      </c>
      <c r="G2528" t="s">
        <v>72</v>
      </c>
      <c r="H2528" t="s">
        <v>75</v>
      </c>
      <c r="I2528">
        <v>2</v>
      </c>
      <c r="J2528">
        <v>183</v>
      </c>
      <c r="K2528">
        <v>0.05</v>
      </c>
      <c r="L2528">
        <v>347.7</v>
      </c>
      <c r="M2528">
        <v>280.42</v>
      </c>
      <c r="N2528">
        <v>67.28</v>
      </c>
      <c r="O2528" t="s">
        <v>77</v>
      </c>
      <c r="P2528" t="s">
        <v>86</v>
      </c>
    </row>
    <row r="2529" spans="1:16" x14ac:dyDescent="0.25">
      <c r="A2529">
        <v>2528</v>
      </c>
      <c r="B2529" s="1">
        <v>45993</v>
      </c>
      <c r="C2529" t="s">
        <v>19</v>
      </c>
      <c r="D2529" t="s">
        <v>26</v>
      </c>
      <c r="E2529" t="s">
        <v>34</v>
      </c>
      <c r="F2529" t="s">
        <v>51</v>
      </c>
      <c r="G2529" t="s">
        <v>72</v>
      </c>
      <c r="H2529" t="s">
        <v>75</v>
      </c>
      <c r="I2529">
        <v>5</v>
      </c>
      <c r="J2529">
        <v>3123</v>
      </c>
      <c r="K2529">
        <v>0.15</v>
      </c>
      <c r="L2529">
        <v>13272.75</v>
      </c>
      <c r="M2529">
        <v>7983.97</v>
      </c>
      <c r="N2529">
        <v>5288.78</v>
      </c>
      <c r="O2529" t="s">
        <v>80</v>
      </c>
      <c r="P2529" t="s">
        <v>88</v>
      </c>
    </row>
    <row r="2530" spans="1:16" x14ac:dyDescent="0.25">
      <c r="A2530">
        <v>2529</v>
      </c>
      <c r="B2530" s="1">
        <v>45935</v>
      </c>
      <c r="C2530" t="s">
        <v>19</v>
      </c>
      <c r="D2530" t="s">
        <v>26</v>
      </c>
      <c r="E2530" t="s">
        <v>34</v>
      </c>
      <c r="F2530" t="s">
        <v>68</v>
      </c>
      <c r="G2530" t="s">
        <v>72</v>
      </c>
      <c r="H2530" t="s">
        <v>74</v>
      </c>
      <c r="I2530">
        <v>4</v>
      </c>
      <c r="J2530">
        <v>3545</v>
      </c>
      <c r="K2530">
        <v>0</v>
      </c>
      <c r="L2530">
        <v>14180</v>
      </c>
      <c r="M2530">
        <v>9109.18</v>
      </c>
      <c r="N2530">
        <v>5070.82</v>
      </c>
      <c r="O2530" t="s">
        <v>79</v>
      </c>
      <c r="P2530" t="s">
        <v>87</v>
      </c>
    </row>
    <row r="2531" spans="1:16" x14ac:dyDescent="0.25">
      <c r="A2531">
        <v>2530</v>
      </c>
      <c r="B2531" s="1">
        <v>45741</v>
      </c>
      <c r="C2531" t="s">
        <v>22</v>
      </c>
      <c r="D2531" t="s">
        <v>24</v>
      </c>
      <c r="E2531" t="s">
        <v>34</v>
      </c>
      <c r="F2531" t="s">
        <v>65</v>
      </c>
      <c r="G2531" t="s">
        <v>70</v>
      </c>
      <c r="H2531" t="s">
        <v>75</v>
      </c>
      <c r="I2531">
        <v>2</v>
      </c>
      <c r="J2531">
        <v>5831</v>
      </c>
      <c r="K2531">
        <v>0.1</v>
      </c>
      <c r="L2531">
        <v>10495.8</v>
      </c>
      <c r="M2531">
        <v>8870.56</v>
      </c>
      <c r="N2531">
        <v>1625.24</v>
      </c>
      <c r="O2531" t="s">
        <v>76</v>
      </c>
      <c r="P2531" t="s">
        <v>84</v>
      </c>
    </row>
    <row r="2532" spans="1:16" x14ac:dyDescent="0.25">
      <c r="A2532">
        <v>2531</v>
      </c>
      <c r="B2532" s="1">
        <v>45817</v>
      </c>
      <c r="C2532" t="s">
        <v>22</v>
      </c>
      <c r="D2532" t="s">
        <v>24</v>
      </c>
      <c r="E2532" t="s">
        <v>28</v>
      </c>
      <c r="F2532" t="s">
        <v>54</v>
      </c>
      <c r="G2532" t="s">
        <v>71</v>
      </c>
      <c r="H2532" t="s">
        <v>73</v>
      </c>
      <c r="I2532">
        <v>4</v>
      </c>
      <c r="J2532">
        <v>683</v>
      </c>
      <c r="K2532">
        <v>0</v>
      </c>
      <c r="L2532">
        <v>2732</v>
      </c>
      <c r="M2532">
        <v>2394.64</v>
      </c>
      <c r="N2532">
        <v>337.36</v>
      </c>
      <c r="O2532" t="s">
        <v>78</v>
      </c>
      <c r="P2532" t="s">
        <v>81</v>
      </c>
    </row>
    <row r="2533" spans="1:16" x14ac:dyDescent="0.25">
      <c r="A2533">
        <v>2532</v>
      </c>
      <c r="B2533" s="1">
        <v>45681</v>
      </c>
      <c r="C2533" t="s">
        <v>20</v>
      </c>
      <c r="D2533" t="s">
        <v>26</v>
      </c>
      <c r="E2533" t="s">
        <v>33</v>
      </c>
      <c r="F2533" t="s">
        <v>41</v>
      </c>
      <c r="G2533" t="s">
        <v>71</v>
      </c>
      <c r="H2533" t="s">
        <v>75</v>
      </c>
      <c r="I2533">
        <v>2</v>
      </c>
      <c r="J2533">
        <v>43813</v>
      </c>
      <c r="K2533">
        <v>0.05</v>
      </c>
      <c r="L2533">
        <v>83244.7</v>
      </c>
      <c r="M2533">
        <v>57019.42</v>
      </c>
      <c r="N2533">
        <v>26225.279999999999</v>
      </c>
      <c r="O2533" t="s">
        <v>76</v>
      </c>
      <c r="P2533" t="s">
        <v>81</v>
      </c>
    </row>
    <row r="2534" spans="1:16" x14ac:dyDescent="0.25">
      <c r="A2534">
        <v>2533</v>
      </c>
      <c r="B2534" s="1">
        <v>45933</v>
      </c>
      <c r="C2534" t="s">
        <v>18</v>
      </c>
      <c r="D2534" t="s">
        <v>26</v>
      </c>
      <c r="E2534" t="s">
        <v>32</v>
      </c>
      <c r="F2534" t="s">
        <v>39</v>
      </c>
      <c r="G2534" t="s">
        <v>72</v>
      </c>
      <c r="H2534" t="s">
        <v>75</v>
      </c>
      <c r="I2534">
        <v>3</v>
      </c>
      <c r="J2534">
        <v>22107</v>
      </c>
      <c r="K2534">
        <v>0.1</v>
      </c>
      <c r="L2534">
        <v>59688.9</v>
      </c>
      <c r="M2534">
        <v>51019.56</v>
      </c>
      <c r="N2534">
        <v>8669.34</v>
      </c>
      <c r="O2534" t="s">
        <v>76</v>
      </c>
      <c r="P2534" t="s">
        <v>81</v>
      </c>
    </row>
    <row r="2535" spans="1:16" x14ac:dyDescent="0.25">
      <c r="A2535">
        <v>2534</v>
      </c>
      <c r="B2535" s="1">
        <v>45887</v>
      </c>
      <c r="C2535" t="s">
        <v>22</v>
      </c>
      <c r="D2535" t="s">
        <v>24</v>
      </c>
      <c r="E2535" t="s">
        <v>28</v>
      </c>
      <c r="F2535" t="s">
        <v>63</v>
      </c>
      <c r="G2535" t="s">
        <v>70</v>
      </c>
      <c r="H2535" t="s">
        <v>73</v>
      </c>
      <c r="I2535">
        <v>3</v>
      </c>
      <c r="J2535">
        <v>541</v>
      </c>
      <c r="K2535">
        <v>0.05</v>
      </c>
      <c r="L2535">
        <v>1541.85</v>
      </c>
      <c r="M2535">
        <v>1276.8900000000001</v>
      </c>
      <c r="N2535">
        <v>264.95999999999998</v>
      </c>
      <c r="O2535" t="s">
        <v>80</v>
      </c>
      <c r="P2535" t="s">
        <v>85</v>
      </c>
    </row>
    <row r="2536" spans="1:16" x14ac:dyDescent="0.25">
      <c r="A2536">
        <v>2535</v>
      </c>
      <c r="B2536" s="1">
        <v>45960</v>
      </c>
      <c r="C2536" t="s">
        <v>23</v>
      </c>
      <c r="D2536" t="s">
        <v>27</v>
      </c>
      <c r="E2536" t="s">
        <v>32</v>
      </c>
      <c r="F2536" t="s">
        <v>62</v>
      </c>
      <c r="G2536" t="s">
        <v>72</v>
      </c>
      <c r="H2536" t="s">
        <v>75</v>
      </c>
      <c r="I2536">
        <v>7</v>
      </c>
      <c r="J2536">
        <v>17184</v>
      </c>
      <c r="K2536">
        <v>0.2</v>
      </c>
      <c r="L2536">
        <v>96230.399999999994</v>
      </c>
      <c r="M2536">
        <v>65084.43</v>
      </c>
      <c r="N2536">
        <v>31145.97</v>
      </c>
      <c r="O2536" t="s">
        <v>80</v>
      </c>
      <c r="P2536" t="s">
        <v>82</v>
      </c>
    </row>
    <row r="2537" spans="1:16" x14ac:dyDescent="0.25">
      <c r="A2537">
        <v>2536</v>
      </c>
      <c r="B2537" s="1">
        <v>45846</v>
      </c>
      <c r="C2537" t="s">
        <v>21</v>
      </c>
      <c r="D2537" t="s">
        <v>24</v>
      </c>
      <c r="E2537" t="s">
        <v>33</v>
      </c>
      <c r="F2537" t="s">
        <v>60</v>
      </c>
      <c r="G2537" t="s">
        <v>72</v>
      </c>
      <c r="H2537" t="s">
        <v>74</v>
      </c>
      <c r="I2537">
        <v>4</v>
      </c>
      <c r="J2537">
        <v>11845</v>
      </c>
      <c r="K2537">
        <v>0.1</v>
      </c>
      <c r="L2537">
        <v>42642</v>
      </c>
      <c r="M2537">
        <v>37378.17</v>
      </c>
      <c r="N2537">
        <v>5263.83</v>
      </c>
      <c r="O2537" t="s">
        <v>76</v>
      </c>
      <c r="P2537" t="s">
        <v>86</v>
      </c>
    </row>
    <row r="2538" spans="1:16" x14ac:dyDescent="0.25">
      <c r="A2538">
        <v>2537</v>
      </c>
      <c r="B2538" s="1">
        <v>45971</v>
      </c>
      <c r="C2538" t="s">
        <v>20</v>
      </c>
      <c r="D2538" t="s">
        <v>26</v>
      </c>
      <c r="E2538" t="s">
        <v>31</v>
      </c>
      <c r="F2538" t="s">
        <v>38</v>
      </c>
      <c r="G2538" t="s">
        <v>71</v>
      </c>
      <c r="H2538" t="s">
        <v>75</v>
      </c>
      <c r="I2538">
        <v>3</v>
      </c>
      <c r="J2538">
        <v>1734</v>
      </c>
      <c r="K2538">
        <v>0</v>
      </c>
      <c r="L2538">
        <v>5202</v>
      </c>
      <c r="M2538">
        <v>3337.68</v>
      </c>
      <c r="N2538">
        <v>1864.32</v>
      </c>
      <c r="O2538" t="s">
        <v>76</v>
      </c>
      <c r="P2538" t="s">
        <v>87</v>
      </c>
    </row>
    <row r="2539" spans="1:16" x14ac:dyDescent="0.25">
      <c r="A2539">
        <v>2538</v>
      </c>
      <c r="B2539" s="1">
        <v>45871</v>
      </c>
      <c r="C2539" t="s">
        <v>19</v>
      </c>
      <c r="D2539" t="s">
        <v>26</v>
      </c>
      <c r="E2539" t="s">
        <v>32</v>
      </c>
      <c r="F2539" t="s">
        <v>49</v>
      </c>
      <c r="G2539" t="s">
        <v>71</v>
      </c>
      <c r="H2539" t="s">
        <v>75</v>
      </c>
      <c r="I2539">
        <v>8</v>
      </c>
      <c r="J2539">
        <v>16054</v>
      </c>
      <c r="K2539">
        <v>0.05</v>
      </c>
      <c r="L2539">
        <v>122010.4</v>
      </c>
      <c r="M2539">
        <v>79619.72</v>
      </c>
      <c r="N2539">
        <v>42390.68</v>
      </c>
      <c r="O2539" t="s">
        <v>77</v>
      </c>
      <c r="P2539" t="s">
        <v>81</v>
      </c>
    </row>
    <row r="2540" spans="1:16" x14ac:dyDescent="0.25">
      <c r="A2540">
        <v>2539</v>
      </c>
      <c r="B2540" s="1">
        <v>45701</v>
      </c>
      <c r="C2540" t="s">
        <v>17</v>
      </c>
      <c r="D2540" t="s">
        <v>25</v>
      </c>
      <c r="E2540" t="s">
        <v>28</v>
      </c>
      <c r="F2540" t="s">
        <v>58</v>
      </c>
      <c r="G2540" t="s">
        <v>72</v>
      </c>
      <c r="H2540" t="s">
        <v>73</v>
      </c>
      <c r="I2540">
        <v>4</v>
      </c>
      <c r="J2540">
        <v>1006</v>
      </c>
      <c r="K2540">
        <v>0.15</v>
      </c>
      <c r="L2540">
        <v>3420.4</v>
      </c>
      <c r="M2540">
        <v>2825.9</v>
      </c>
      <c r="N2540">
        <v>594.5</v>
      </c>
      <c r="O2540" t="s">
        <v>80</v>
      </c>
      <c r="P2540" t="s">
        <v>85</v>
      </c>
    </row>
    <row r="2541" spans="1:16" x14ac:dyDescent="0.25">
      <c r="A2541">
        <v>2540</v>
      </c>
      <c r="B2541" s="1">
        <v>45714</v>
      </c>
      <c r="C2541" t="s">
        <v>22</v>
      </c>
      <c r="D2541" t="s">
        <v>24</v>
      </c>
      <c r="E2541" t="s">
        <v>33</v>
      </c>
      <c r="F2541" t="s">
        <v>60</v>
      </c>
      <c r="G2541" t="s">
        <v>70</v>
      </c>
      <c r="H2541" t="s">
        <v>73</v>
      </c>
      <c r="I2541">
        <v>1</v>
      </c>
      <c r="J2541">
        <v>9074</v>
      </c>
      <c r="K2541">
        <v>0.1</v>
      </c>
      <c r="L2541">
        <v>8166.6</v>
      </c>
      <c r="M2541">
        <v>7123.42</v>
      </c>
      <c r="N2541">
        <v>1043.18</v>
      </c>
      <c r="O2541" t="s">
        <v>78</v>
      </c>
      <c r="P2541" t="s">
        <v>84</v>
      </c>
    </row>
    <row r="2542" spans="1:16" x14ac:dyDescent="0.25">
      <c r="A2542">
        <v>2541</v>
      </c>
      <c r="B2542" s="1">
        <v>45794</v>
      </c>
      <c r="C2542" t="s">
        <v>22</v>
      </c>
      <c r="D2542" t="s">
        <v>24</v>
      </c>
      <c r="E2542" t="s">
        <v>29</v>
      </c>
      <c r="F2542" t="s">
        <v>53</v>
      </c>
      <c r="G2542" t="s">
        <v>71</v>
      </c>
      <c r="H2542" t="s">
        <v>75</v>
      </c>
      <c r="I2542">
        <v>5</v>
      </c>
      <c r="J2542">
        <v>1265</v>
      </c>
      <c r="K2542">
        <v>0.15</v>
      </c>
      <c r="L2542">
        <v>5376.25</v>
      </c>
      <c r="M2542">
        <v>3653.21</v>
      </c>
      <c r="N2542">
        <v>1723.04</v>
      </c>
      <c r="O2542" t="s">
        <v>80</v>
      </c>
      <c r="P2542" t="s">
        <v>82</v>
      </c>
    </row>
    <row r="2543" spans="1:16" x14ac:dyDescent="0.25">
      <c r="A2543">
        <v>2542</v>
      </c>
      <c r="B2543" s="1">
        <v>45669</v>
      </c>
      <c r="C2543" t="s">
        <v>18</v>
      </c>
      <c r="D2543" t="s">
        <v>26</v>
      </c>
      <c r="E2543" t="s">
        <v>33</v>
      </c>
      <c r="F2543" t="s">
        <v>60</v>
      </c>
      <c r="G2543" t="s">
        <v>71</v>
      </c>
      <c r="H2543" t="s">
        <v>75</v>
      </c>
      <c r="I2543">
        <v>7</v>
      </c>
      <c r="J2543">
        <v>35960</v>
      </c>
      <c r="K2543">
        <v>0.2</v>
      </c>
      <c r="L2543">
        <v>201376</v>
      </c>
      <c r="M2543">
        <v>163580.04999999999</v>
      </c>
      <c r="N2543">
        <v>37795.949999999997</v>
      </c>
      <c r="O2543" t="s">
        <v>80</v>
      </c>
      <c r="P2543" t="s">
        <v>86</v>
      </c>
    </row>
    <row r="2544" spans="1:16" x14ac:dyDescent="0.25">
      <c r="A2544">
        <v>2543</v>
      </c>
      <c r="B2544" s="1">
        <v>45709</v>
      </c>
      <c r="C2544" t="s">
        <v>18</v>
      </c>
      <c r="D2544" t="s">
        <v>26</v>
      </c>
      <c r="E2544" t="s">
        <v>29</v>
      </c>
      <c r="F2544" t="s">
        <v>36</v>
      </c>
      <c r="G2544" t="s">
        <v>71</v>
      </c>
      <c r="H2544" t="s">
        <v>73</v>
      </c>
      <c r="I2544">
        <v>7</v>
      </c>
      <c r="J2544">
        <v>8069</v>
      </c>
      <c r="K2544">
        <v>0</v>
      </c>
      <c r="L2544">
        <v>56483</v>
      </c>
      <c r="M2544">
        <v>44731.05</v>
      </c>
      <c r="N2544">
        <v>11751.95</v>
      </c>
      <c r="O2544" t="s">
        <v>78</v>
      </c>
      <c r="P2544" t="s">
        <v>81</v>
      </c>
    </row>
    <row r="2545" spans="1:16" x14ac:dyDescent="0.25">
      <c r="A2545">
        <v>2544</v>
      </c>
      <c r="B2545" s="1">
        <v>45950</v>
      </c>
      <c r="C2545" t="s">
        <v>17</v>
      </c>
      <c r="D2545" t="s">
        <v>25</v>
      </c>
      <c r="E2545" t="s">
        <v>29</v>
      </c>
      <c r="F2545" t="s">
        <v>57</v>
      </c>
      <c r="G2545" t="s">
        <v>70</v>
      </c>
      <c r="H2545" t="s">
        <v>74</v>
      </c>
      <c r="I2545">
        <v>8</v>
      </c>
      <c r="J2545">
        <v>5467</v>
      </c>
      <c r="K2545">
        <v>0.15</v>
      </c>
      <c r="L2545">
        <v>37175.599999999999</v>
      </c>
      <c r="M2545">
        <v>23740.12</v>
      </c>
      <c r="N2545">
        <v>13435.48</v>
      </c>
      <c r="O2545" t="s">
        <v>79</v>
      </c>
      <c r="P2545" t="s">
        <v>84</v>
      </c>
    </row>
    <row r="2546" spans="1:16" x14ac:dyDescent="0.25">
      <c r="A2546">
        <v>2545</v>
      </c>
      <c r="B2546" s="1">
        <v>45805</v>
      </c>
      <c r="C2546" t="s">
        <v>20</v>
      </c>
      <c r="D2546" t="s">
        <v>26</v>
      </c>
      <c r="E2546" t="s">
        <v>31</v>
      </c>
      <c r="F2546" t="s">
        <v>50</v>
      </c>
      <c r="G2546" t="s">
        <v>71</v>
      </c>
      <c r="H2546" t="s">
        <v>75</v>
      </c>
      <c r="I2546">
        <v>3</v>
      </c>
      <c r="J2546">
        <v>1756</v>
      </c>
      <c r="K2546">
        <v>0</v>
      </c>
      <c r="L2546">
        <v>5268</v>
      </c>
      <c r="M2546">
        <v>4266.8</v>
      </c>
      <c r="N2546">
        <v>1001.2</v>
      </c>
      <c r="O2546" t="s">
        <v>76</v>
      </c>
      <c r="P2546" t="s">
        <v>84</v>
      </c>
    </row>
    <row r="2547" spans="1:16" x14ac:dyDescent="0.25">
      <c r="A2547">
        <v>2546</v>
      </c>
      <c r="B2547" s="1">
        <v>45782</v>
      </c>
      <c r="C2547" t="s">
        <v>23</v>
      </c>
      <c r="D2547" t="s">
        <v>27</v>
      </c>
      <c r="E2547" t="s">
        <v>34</v>
      </c>
      <c r="F2547" t="s">
        <v>43</v>
      </c>
      <c r="G2547" t="s">
        <v>70</v>
      </c>
      <c r="H2547" t="s">
        <v>73</v>
      </c>
      <c r="I2547">
        <v>4</v>
      </c>
      <c r="J2547">
        <v>2471</v>
      </c>
      <c r="K2547">
        <v>0.15</v>
      </c>
      <c r="L2547">
        <v>8401.4</v>
      </c>
      <c r="M2547">
        <v>6999.01</v>
      </c>
      <c r="N2547">
        <v>1402.39</v>
      </c>
      <c r="O2547" t="s">
        <v>77</v>
      </c>
      <c r="P2547" t="s">
        <v>82</v>
      </c>
    </row>
    <row r="2548" spans="1:16" x14ac:dyDescent="0.25">
      <c r="A2548">
        <v>2547</v>
      </c>
      <c r="B2548" s="1">
        <v>45882</v>
      </c>
      <c r="C2548" t="s">
        <v>21</v>
      </c>
      <c r="D2548" t="s">
        <v>24</v>
      </c>
      <c r="E2548" t="s">
        <v>28</v>
      </c>
      <c r="F2548" t="s">
        <v>63</v>
      </c>
      <c r="G2548" t="s">
        <v>72</v>
      </c>
      <c r="H2548" t="s">
        <v>74</v>
      </c>
      <c r="I2548">
        <v>1</v>
      </c>
      <c r="J2548">
        <v>1795</v>
      </c>
      <c r="K2548">
        <v>0.15</v>
      </c>
      <c r="L2548">
        <v>1525.75</v>
      </c>
      <c r="M2548">
        <v>1094.67</v>
      </c>
      <c r="N2548">
        <v>431.08</v>
      </c>
      <c r="O2548" t="s">
        <v>79</v>
      </c>
      <c r="P2548" t="s">
        <v>84</v>
      </c>
    </row>
    <row r="2549" spans="1:16" x14ac:dyDescent="0.25">
      <c r="A2549">
        <v>2548</v>
      </c>
      <c r="B2549" s="1">
        <v>45878</v>
      </c>
      <c r="C2549" t="s">
        <v>23</v>
      </c>
      <c r="D2549" t="s">
        <v>27</v>
      </c>
      <c r="E2549" t="s">
        <v>31</v>
      </c>
      <c r="F2549" t="s">
        <v>50</v>
      </c>
      <c r="G2549" t="s">
        <v>70</v>
      </c>
      <c r="H2549" t="s">
        <v>74</v>
      </c>
      <c r="I2549">
        <v>5</v>
      </c>
      <c r="J2549">
        <v>1383</v>
      </c>
      <c r="K2549">
        <v>0</v>
      </c>
      <c r="L2549">
        <v>6915</v>
      </c>
      <c r="M2549">
        <v>5502.02</v>
      </c>
      <c r="N2549">
        <v>1412.98</v>
      </c>
      <c r="O2549" t="s">
        <v>76</v>
      </c>
      <c r="P2549" t="s">
        <v>82</v>
      </c>
    </row>
    <row r="2550" spans="1:16" x14ac:dyDescent="0.25">
      <c r="A2550">
        <v>2549</v>
      </c>
      <c r="B2550" s="1">
        <v>45965</v>
      </c>
      <c r="C2550" t="s">
        <v>23</v>
      </c>
      <c r="D2550" t="s">
        <v>27</v>
      </c>
      <c r="E2550" t="s">
        <v>30</v>
      </c>
      <c r="F2550" t="s">
        <v>64</v>
      </c>
      <c r="G2550" t="s">
        <v>72</v>
      </c>
      <c r="H2550" t="s">
        <v>74</v>
      </c>
      <c r="I2550">
        <v>1</v>
      </c>
      <c r="J2550">
        <v>64779</v>
      </c>
      <c r="K2550">
        <v>0.05</v>
      </c>
      <c r="L2550">
        <v>61540.05</v>
      </c>
      <c r="M2550">
        <v>48113.440000000002</v>
      </c>
      <c r="N2550">
        <v>13426.61</v>
      </c>
      <c r="O2550" t="s">
        <v>79</v>
      </c>
      <c r="P2550" t="s">
        <v>85</v>
      </c>
    </row>
    <row r="2551" spans="1:16" x14ac:dyDescent="0.25">
      <c r="A2551">
        <v>2550</v>
      </c>
      <c r="B2551" s="1">
        <v>45787</v>
      </c>
      <c r="C2551" t="s">
        <v>21</v>
      </c>
      <c r="D2551" t="s">
        <v>24</v>
      </c>
      <c r="E2551" t="s">
        <v>33</v>
      </c>
      <c r="F2551" t="s">
        <v>41</v>
      </c>
      <c r="G2551" t="s">
        <v>71</v>
      </c>
      <c r="H2551" t="s">
        <v>73</v>
      </c>
      <c r="I2551">
        <v>7</v>
      </c>
      <c r="J2551">
        <v>23209</v>
      </c>
      <c r="K2551">
        <v>0.15</v>
      </c>
      <c r="L2551">
        <v>138093.54999999999</v>
      </c>
      <c r="M2551">
        <v>91102.97</v>
      </c>
      <c r="N2551">
        <v>46990.58</v>
      </c>
      <c r="O2551" t="s">
        <v>80</v>
      </c>
      <c r="P2551" t="s">
        <v>84</v>
      </c>
    </row>
    <row r="2552" spans="1:16" x14ac:dyDescent="0.25">
      <c r="A2552">
        <v>2551</v>
      </c>
      <c r="B2552" s="1">
        <v>45905</v>
      </c>
      <c r="C2552" t="s">
        <v>23</v>
      </c>
      <c r="D2552" t="s">
        <v>27</v>
      </c>
      <c r="E2552" t="s">
        <v>29</v>
      </c>
      <c r="F2552" t="s">
        <v>42</v>
      </c>
      <c r="G2552" t="s">
        <v>72</v>
      </c>
      <c r="H2552" t="s">
        <v>73</v>
      </c>
      <c r="I2552">
        <v>5</v>
      </c>
      <c r="J2552">
        <v>8257</v>
      </c>
      <c r="K2552">
        <v>0.1</v>
      </c>
      <c r="L2552">
        <v>37156.5</v>
      </c>
      <c r="M2552">
        <v>31153.97</v>
      </c>
      <c r="N2552">
        <v>6002.53</v>
      </c>
      <c r="O2552" t="s">
        <v>77</v>
      </c>
      <c r="P2552" t="s">
        <v>83</v>
      </c>
    </row>
    <row r="2553" spans="1:16" x14ac:dyDescent="0.25">
      <c r="A2553">
        <v>2552</v>
      </c>
      <c r="B2553" s="1">
        <v>45799</v>
      </c>
      <c r="C2553" t="s">
        <v>20</v>
      </c>
      <c r="D2553" t="s">
        <v>26</v>
      </c>
      <c r="E2553" t="s">
        <v>29</v>
      </c>
      <c r="F2553" t="s">
        <v>53</v>
      </c>
      <c r="G2553" t="s">
        <v>72</v>
      </c>
      <c r="H2553" t="s">
        <v>73</v>
      </c>
      <c r="I2553">
        <v>7</v>
      </c>
      <c r="J2553">
        <v>9073</v>
      </c>
      <c r="K2553">
        <v>0</v>
      </c>
      <c r="L2553">
        <v>63511</v>
      </c>
      <c r="M2553">
        <v>50701.919999999998</v>
      </c>
      <c r="N2553">
        <v>12809.08</v>
      </c>
      <c r="O2553" t="s">
        <v>77</v>
      </c>
      <c r="P2553" t="s">
        <v>87</v>
      </c>
    </row>
    <row r="2554" spans="1:16" x14ac:dyDescent="0.25">
      <c r="A2554">
        <v>2553</v>
      </c>
      <c r="B2554" s="1">
        <v>45742</v>
      </c>
      <c r="C2554" t="s">
        <v>23</v>
      </c>
      <c r="D2554" t="s">
        <v>27</v>
      </c>
      <c r="E2554" t="s">
        <v>32</v>
      </c>
      <c r="F2554" t="s">
        <v>66</v>
      </c>
      <c r="G2554" t="s">
        <v>72</v>
      </c>
      <c r="H2554" t="s">
        <v>74</v>
      </c>
      <c r="I2554">
        <v>7</v>
      </c>
      <c r="J2554">
        <v>12330</v>
      </c>
      <c r="K2554">
        <v>0.05</v>
      </c>
      <c r="L2554">
        <v>81994.5</v>
      </c>
      <c r="M2554">
        <v>45330.86</v>
      </c>
      <c r="N2554">
        <v>36663.64</v>
      </c>
      <c r="O2554" t="s">
        <v>76</v>
      </c>
      <c r="P2554" t="s">
        <v>85</v>
      </c>
    </row>
    <row r="2555" spans="1:16" x14ac:dyDescent="0.25">
      <c r="A2555">
        <v>2554</v>
      </c>
      <c r="B2555" s="1">
        <v>45811</v>
      </c>
      <c r="C2555" t="s">
        <v>18</v>
      </c>
      <c r="D2555" t="s">
        <v>26</v>
      </c>
      <c r="E2555" t="s">
        <v>31</v>
      </c>
      <c r="F2555" t="s">
        <v>38</v>
      </c>
      <c r="G2555" t="s">
        <v>70</v>
      </c>
      <c r="H2555" t="s">
        <v>73</v>
      </c>
      <c r="I2555">
        <v>3</v>
      </c>
      <c r="J2555">
        <v>2255</v>
      </c>
      <c r="K2555">
        <v>0.15</v>
      </c>
      <c r="L2555">
        <v>5750.25</v>
      </c>
      <c r="M2555">
        <v>3402.85</v>
      </c>
      <c r="N2555">
        <v>2347.4</v>
      </c>
      <c r="O2555" t="s">
        <v>77</v>
      </c>
      <c r="P2555" t="s">
        <v>86</v>
      </c>
    </row>
    <row r="2556" spans="1:16" x14ac:dyDescent="0.25">
      <c r="A2556">
        <v>2555</v>
      </c>
      <c r="B2556" s="1">
        <v>45894</v>
      </c>
      <c r="C2556" t="s">
        <v>18</v>
      </c>
      <c r="D2556" t="s">
        <v>26</v>
      </c>
      <c r="E2556" t="s">
        <v>28</v>
      </c>
      <c r="F2556" t="s">
        <v>35</v>
      </c>
      <c r="G2556" t="s">
        <v>71</v>
      </c>
      <c r="H2556" t="s">
        <v>73</v>
      </c>
      <c r="I2556">
        <v>3</v>
      </c>
      <c r="J2556">
        <v>2306</v>
      </c>
      <c r="K2556">
        <v>0.1</v>
      </c>
      <c r="L2556">
        <v>6226.2</v>
      </c>
      <c r="M2556">
        <v>4223.1499999999996</v>
      </c>
      <c r="N2556">
        <v>2003.05</v>
      </c>
      <c r="O2556" t="s">
        <v>76</v>
      </c>
      <c r="P2556" t="s">
        <v>85</v>
      </c>
    </row>
    <row r="2557" spans="1:16" x14ac:dyDescent="0.25">
      <c r="A2557">
        <v>2556</v>
      </c>
      <c r="B2557" s="1">
        <v>45698</v>
      </c>
      <c r="C2557" t="s">
        <v>22</v>
      </c>
      <c r="D2557" t="s">
        <v>24</v>
      </c>
      <c r="E2557" t="s">
        <v>29</v>
      </c>
      <c r="F2557" t="s">
        <v>36</v>
      </c>
      <c r="G2557" t="s">
        <v>72</v>
      </c>
      <c r="H2557" t="s">
        <v>73</v>
      </c>
      <c r="I2557">
        <v>3</v>
      </c>
      <c r="J2557">
        <v>2884</v>
      </c>
      <c r="K2557">
        <v>0.2</v>
      </c>
      <c r="L2557">
        <v>6921.6</v>
      </c>
      <c r="M2557">
        <v>4393.8100000000004</v>
      </c>
      <c r="N2557">
        <v>2527.79</v>
      </c>
      <c r="O2557" t="s">
        <v>77</v>
      </c>
      <c r="P2557" t="s">
        <v>82</v>
      </c>
    </row>
    <row r="2558" spans="1:16" x14ac:dyDescent="0.25">
      <c r="A2558">
        <v>2557</v>
      </c>
      <c r="B2558" s="1">
        <v>45877</v>
      </c>
      <c r="C2558" t="s">
        <v>17</v>
      </c>
      <c r="D2558" t="s">
        <v>25</v>
      </c>
      <c r="E2558" t="s">
        <v>34</v>
      </c>
      <c r="F2558" t="s">
        <v>43</v>
      </c>
      <c r="G2558" t="s">
        <v>72</v>
      </c>
      <c r="H2558" t="s">
        <v>73</v>
      </c>
      <c r="I2558">
        <v>6</v>
      </c>
      <c r="J2558">
        <v>2077</v>
      </c>
      <c r="K2558">
        <v>0</v>
      </c>
      <c r="L2558">
        <v>12462</v>
      </c>
      <c r="M2558">
        <v>10286.780000000001</v>
      </c>
      <c r="N2558">
        <v>2175.2199999999998</v>
      </c>
      <c r="O2558" t="s">
        <v>76</v>
      </c>
      <c r="P2558" t="s">
        <v>84</v>
      </c>
    </row>
    <row r="2559" spans="1:16" x14ac:dyDescent="0.25">
      <c r="A2559">
        <v>2558</v>
      </c>
      <c r="B2559" s="1">
        <v>45697</v>
      </c>
      <c r="C2559" t="s">
        <v>19</v>
      </c>
      <c r="D2559" t="s">
        <v>26</v>
      </c>
      <c r="E2559" t="s">
        <v>28</v>
      </c>
      <c r="F2559" t="s">
        <v>35</v>
      </c>
      <c r="G2559" t="s">
        <v>71</v>
      </c>
      <c r="H2559" t="s">
        <v>74</v>
      </c>
      <c r="I2559">
        <v>3</v>
      </c>
      <c r="J2559">
        <v>1568</v>
      </c>
      <c r="K2559">
        <v>0.1</v>
      </c>
      <c r="L2559">
        <v>4233.6000000000004</v>
      </c>
      <c r="M2559">
        <v>3108.8</v>
      </c>
      <c r="N2559">
        <v>1124.8</v>
      </c>
      <c r="O2559" t="s">
        <v>77</v>
      </c>
      <c r="P2559" t="s">
        <v>85</v>
      </c>
    </row>
    <row r="2560" spans="1:16" x14ac:dyDescent="0.25">
      <c r="A2560">
        <v>2559</v>
      </c>
      <c r="B2560" s="1">
        <v>45692</v>
      </c>
      <c r="C2560" t="s">
        <v>23</v>
      </c>
      <c r="D2560" t="s">
        <v>27</v>
      </c>
      <c r="E2560" t="s">
        <v>34</v>
      </c>
      <c r="F2560" t="s">
        <v>65</v>
      </c>
      <c r="G2560" t="s">
        <v>71</v>
      </c>
      <c r="H2560" t="s">
        <v>73</v>
      </c>
      <c r="I2560">
        <v>5</v>
      </c>
      <c r="J2560">
        <v>4423</v>
      </c>
      <c r="K2560">
        <v>0</v>
      </c>
      <c r="L2560">
        <v>22115</v>
      </c>
      <c r="M2560">
        <v>16773.45</v>
      </c>
      <c r="N2560">
        <v>5341.55</v>
      </c>
      <c r="O2560" t="s">
        <v>76</v>
      </c>
      <c r="P2560" t="s">
        <v>87</v>
      </c>
    </row>
    <row r="2561" spans="1:16" x14ac:dyDescent="0.25">
      <c r="A2561">
        <v>2560</v>
      </c>
      <c r="B2561" s="1">
        <v>45867</v>
      </c>
      <c r="C2561" t="s">
        <v>20</v>
      </c>
      <c r="D2561" t="s">
        <v>26</v>
      </c>
      <c r="E2561" t="s">
        <v>34</v>
      </c>
      <c r="F2561" t="s">
        <v>68</v>
      </c>
      <c r="G2561" t="s">
        <v>70</v>
      </c>
      <c r="H2561" t="s">
        <v>75</v>
      </c>
      <c r="I2561">
        <v>4</v>
      </c>
      <c r="J2561">
        <v>1787</v>
      </c>
      <c r="K2561">
        <v>0.1</v>
      </c>
      <c r="L2561">
        <v>6433.2</v>
      </c>
      <c r="M2561">
        <v>5039.1899999999996</v>
      </c>
      <c r="N2561">
        <v>1394.01</v>
      </c>
      <c r="O2561" t="s">
        <v>78</v>
      </c>
      <c r="P2561" t="s">
        <v>85</v>
      </c>
    </row>
    <row r="2562" spans="1:16" x14ac:dyDescent="0.25">
      <c r="A2562">
        <v>2561</v>
      </c>
      <c r="B2562" s="1">
        <v>45765</v>
      </c>
      <c r="C2562" t="s">
        <v>20</v>
      </c>
      <c r="D2562" t="s">
        <v>26</v>
      </c>
      <c r="E2562" t="s">
        <v>31</v>
      </c>
      <c r="F2562" t="s">
        <v>47</v>
      </c>
      <c r="G2562" t="s">
        <v>70</v>
      </c>
      <c r="H2562" t="s">
        <v>73</v>
      </c>
      <c r="I2562">
        <v>3</v>
      </c>
      <c r="J2562">
        <v>1983</v>
      </c>
      <c r="K2562">
        <v>0.1</v>
      </c>
      <c r="L2562">
        <v>5354.1</v>
      </c>
      <c r="M2562">
        <v>3620.82</v>
      </c>
      <c r="N2562">
        <v>1733.28</v>
      </c>
      <c r="O2562" t="s">
        <v>79</v>
      </c>
      <c r="P2562" t="s">
        <v>84</v>
      </c>
    </row>
    <row r="2563" spans="1:16" x14ac:dyDescent="0.25">
      <c r="A2563">
        <v>2562</v>
      </c>
      <c r="B2563" s="1">
        <v>45772</v>
      </c>
      <c r="C2563" t="s">
        <v>23</v>
      </c>
      <c r="D2563" t="s">
        <v>27</v>
      </c>
      <c r="E2563" t="s">
        <v>28</v>
      </c>
      <c r="F2563" t="s">
        <v>63</v>
      </c>
      <c r="G2563" t="s">
        <v>72</v>
      </c>
      <c r="H2563" t="s">
        <v>74</v>
      </c>
      <c r="I2563">
        <v>2</v>
      </c>
      <c r="J2563">
        <v>130</v>
      </c>
      <c r="K2563">
        <v>0.05</v>
      </c>
      <c r="L2563">
        <v>247</v>
      </c>
      <c r="M2563">
        <v>170.98</v>
      </c>
      <c r="N2563">
        <v>76.02</v>
      </c>
      <c r="O2563" t="s">
        <v>77</v>
      </c>
      <c r="P2563" t="s">
        <v>87</v>
      </c>
    </row>
    <row r="2564" spans="1:16" x14ac:dyDescent="0.25">
      <c r="A2564">
        <v>2563</v>
      </c>
      <c r="B2564" s="1">
        <v>45827</v>
      </c>
      <c r="C2564" t="s">
        <v>19</v>
      </c>
      <c r="D2564" t="s">
        <v>26</v>
      </c>
      <c r="E2564" t="s">
        <v>34</v>
      </c>
      <c r="F2564" t="s">
        <v>43</v>
      </c>
      <c r="G2564" t="s">
        <v>72</v>
      </c>
      <c r="H2564" t="s">
        <v>75</v>
      </c>
      <c r="I2564">
        <v>3</v>
      </c>
      <c r="J2564">
        <v>1024</v>
      </c>
      <c r="K2564">
        <v>0.1</v>
      </c>
      <c r="L2564">
        <v>2764.8</v>
      </c>
      <c r="M2564">
        <v>1707.66</v>
      </c>
      <c r="N2564">
        <v>1057.1400000000001</v>
      </c>
      <c r="O2564" t="s">
        <v>77</v>
      </c>
      <c r="P2564" t="s">
        <v>88</v>
      </c>
    </row>
    <row r="2565" spans="1:16" x14ac:dyDescent="0.25">
      <c r="A2565">
        <v>2564</v>
      </c>
      <c r="B2565" s="1">
        <v>45940</v>
      </c>
      <c r="C2565" t="s">
        <v>20</v>
      </c>
      <c r="D2565" t="s">
        <v>26</v>
      </c>
      <c r="E2565" t="s">
        <v>30</v>
      </c>
      <c r="F2565" t="s">
        <v>40</v>
      </c>
      <c r="G2565" t="s">
        <v>71</v>
      </c>
      <c r="H2565" t="s">
        <v>74</v>
      </c>
      <c r="I2565">
        <v>8</v>
      </c>
      <c r="J2565">
        <v>8429</v>
      </c>
      <c r="K2565">
        <v>0.05</v>
      </c>
      <c r="L2565">
        <v>64060.4</v>
      </c>
      <c r="M2565">
        <v>55700.01</v>
      </c>
      <c r="N2565">
        <v>8360.39</v>
      </c>
      <c r="O2565" t="s">
        <v>76</v>
      </c>
      <c r="P2565" t="s">
        <v>86</v>
      </c>
    </row>
    <row r="2566" spans="1:16" x14ac:dyDescent="0.25">
      <c r="A2566">
        <v>2565</v>
      </c>
      <c r="B2566" s="1">
        <v>45735</v>
      </c>
      <c r="C2566" t="s">
        <v>19</v>
      </c>
      <c r="D2566" t="s">
        <v>26</v>
      </c>
      <c r="E2566" t="s">
        <v>32</v>
      </c>
      <c r="F2566" t="s">
        <v>66</v>
      </c>
      <c r="G2566" t="s">
        <v>70</v>
      </c>
      <c r="H2566" t="s">
        <v>75</v>
      </c>
      <c r="I2566">
        <v>4</v>
      </c>
      <c r="J2566">
        <v>1428</v>
      </c>
      <c r="K2566">
        <v>0</v>
      </c>
      <c r="L2566">
        <v>5712</v>
      </c>
      <c r="M2566">
        <v>3721.6</v>
      </c>
      <c r="N2566">
        <v>1990.4</v>
      </c>
      <c r="O2566" t="s">
        <v>78</v>
      </c>
      <c r="P2566" t="s">
        <v>87</v>
      </c>
    </row>
    <row r="2567" spans="1:16" x14ac:dyDescent="0.25">
      <c r="A2567">
        <v>2566</v>
      </c>
      <c r="B2567" s="1">
        <v>45707</v>
      </c>
      <c r="C2567" t="s">
        <v>21</v>
      </c>
      <c r="D2567" t="s">
        <v>24</v>
      </c>
      <c r="E2567" t="s">
        <v>30</v>
      </c>
      <c r="F2567" t="s">
        <v>40</v>
      </c>
      <c r="G2567" t="s">
        <v>72</v>
      </c>
      <c r="H2567" t="s">
        <v>75</v>
      </c>
      <c r="I2567">
        <v>4</v>
      </c>
      <c r="J2567">
        <v>65656</v>
      </c>
      <c r="K2567">
        <v>0.1</v>
      </c>
      <c r="L2567">
        <v>236361.60000000001</v>
      </c>
      <c r="M2567">
        <v>205251.55</v>
      </c>
      <c r="N2567">
        <v>31110.05</v>
      </c>
      <c r="O2567" t="s">
        <v>80</v>
      </c>
      <c r="P2567" t="s">
        <v>87</v>
      </c>
    </row>
    <row r="2568" spans="1:16" x14ac:dyDescent="0.25">
      <c r="A2568">
        <v>2567</v>
      </c>
      <c r="B2568" s="1">
        <v>45933</v>
      </c>
      <c r="C2568" t="s">
        <v>22</v>
      </c>
      <c r="D2568" t="s">
        <v>24</v>
      </c>
      <c r="E2568" t="s">
        <v>30</v>
      </c>
      <c r="F2568" t="s">
        <v>64</v>
      </c>
      <c r="G2568" t="s">
        <v>71</v>
      </c>
      <c r="H2568" t="s">
        <v>75</v>
      </c>
      <c r="I2568">
        <v>3</v>
      </c>
      <c r="J2568">
        <v>15393</v>
      </c>
      <c r="K2568">
        <v>0.05</v>
      </c>
      <c r="L2568">
        <v>43870.05</v>
      </c>
      <c r="M2568">
        <v>28036.19</v>
      </c>
      <c r="N2568">
        <v>15833.86</v>
      </c>
      <c r="O2568" t="s">
        <v>77</v>
      </c>
      <c r="P2568" t="s">
        <v>81</v>
      </c>
    </row>
    <row r="2569" spans="1:16" x14ac:dyDescent="0.25">
      <c r="A2569">
        <v>2568</v>
      </c>
      <c r="B2569" s="1">
        <v>45936</v>
      </c>
      <c r="C2569" t="s">
        <v>21</v>
      </c>
      <c r="D2569" t="s">
        <v>24</v>
      </c>
      <c r="E2569" t="s">
        <v>33</v>
      </c>
      <c r="F2569" t="s">
        <v>52</v>
      </c>
      <c r="G2569" t="s">
        <v>70</v>
      </c>
      <c r="H2569" t="s">
        <v>73</v>
      </c>
      <c r="I2569">
        <v>5</v>
      </c>
      <c r="J2569">
        <v>47964</v>
      </c>
      <c r="K2569">
        <v>0.1</v>
      </c>
      <c r="L2569">
        <v>215838</v>
      </c>
      <c r="M2569">
        <v>165807.85</v>
      </c>
      <c r="N2569">
        <v>50030.15</v>
      </c>
      <c r="O2569" t="s">
        <v>78</v>
      </c>
      <c r="P2569" t="s">
        <v>84</v>
      </c>
    </row>
    <row r="2570" spans="1:16" x14ac:dyDescent="0.25">
      <c r="A2570">
        <v>2569</v>
      </c>
      <c r="B2570" s="1">
        <v>45834</v>
      </c>
      <c r="C2570" t="s">
        <v>23</v>
      </c>
      <c r="D2570" t="s">
        <v>27</v>
      </c>
      <c r="E2570" t="s">
        <v>31</v>
      </c>
      <c r="F2570" t="s">
        <v>67</v>
      </c>
      <c r="G2570" t="s">
        <v>72</v>
      </c>
      <c r="H2570" t="s">
        <v>73</v>
      </c>
      <c r="I2570">
        <v>4</v>
      </c>
      <c r="J2570">
        <v>2123</v>
      </c>
      <c r="K2570">
        <v>0.1</v>
      </c>
      <c r="L2570">
        <v>7642.8</v>
      </c>
      <c r="M2570">
        <v>5187.3599999999997</v>
      </c>
      <c r="N2570">
        <v>2455.44</v>
      </c>
      <c r="O2570" t="s">
        <v>77</v>
      </c>
      <c r="P2570" t="s">
        <v>88</v>
      </c>
    </row>
    <row r="2571" spans="1:16" x14ac:dyDescent="0.25">
      <c r="A2571">
        <v>2570</v>
      </c>
      <c r="B2571" s="1">
        <v>45738</v>
      </c>
      <c r="C2571" t="s">
        <v>23</v>
      </c>
      <c r="D2571" t="s">
        <v>27</v>
      </c>
      <c r="E2571" t="s">
        <v>28</v>
      </c>
      <c r="F2571" t="s">
        <v>35</v>
      </c>
      <c r="G2571" t="s">
        <v>70</v>
      </c>
      <c r="H2571" t="s">
        <v>73</v>
      </c>
      <c r="I2571">
        <v>3</v>
      </c>
      <c r="J2571">
        <v>749</v>
      </c>
      <c r="K2571">
        <v>0</v>
      </c>
      <c r="L2571">
        <v>2247</v>
      </c>
      <c r="M2571">
        <v>1342.28</v>
      </c>
      <c r="N2571">
        <v>904.72</v>
      </c>
      <c r="O2571" t="s">
        <v>77</v>
      </c>
      <c r="P2571" t="s">
        <v>87</v>
      </c>
    </row>
    <row r="2572" spans="1:16" x14ac:dyDescent="0.25">
      <c r="A2572">
        <v>2571</v>
      </c>
      <c r="B2572" s="1">
        <v>45893</v>
      </c>
      <c r="C2572" t="s">
        <v>22</v>
      </c>
      <c r="D2572" t="s">
        <v>24</v>
      </c>
      <c r="E2572" t="s">
        <v>34</v>
      </c>
      <c r="F2572" t="s">
        <v>55</v>
      </c>
      <c r="G2572" t="s">
        <v>72</v>
      </c>
      <c r="H2572" t="s">
        <v>75</v>
      </c>
      <c r="I2572">
        <v>1</v>
      </c>
      <c r="J2572">
        <v>516</v>
      </c>
      <c r="K2572">
        <v>0.15</v>
      </c>
      <c r="L2572">
        <v>438.6</v>
      </c>
      <c r="M2572">
        <v>252.23</v>
      </c>
      <c r="N2572">
        <v>186.37</v>
      </c>
      <c r="O2572" t="s">
        <v>80</v>
      </c>
      <c r="P2572" t="s">
        <v>87</v>
      </c>
    </row>
    <row r="2573" spans="1:16" x14ac:dyDescent="0.25">
      <c r="A2573">
        <v>2572</v>
      </c>
      <c r="B2573" s="1">
        <v>45997</v>
      </c>
      <c r="C2573" t="s">
        <v>23</v>
      </c>
      <c r="D2573" t="s">
        <v>27</v>
      </c>
      <c r="E2573" t="s">
        <v>32</v>
      </c>
      <c r="F2573" t="s">
        <v>66</v>
      </c>
      <c r="G2573" t="s">
        <v>71</v>
      </c>
      <c r="H2573" t="s">
        <v>73</v>
      </c>
      <c r="I2573">
        <v>1</v>
      </c>
      <c r="J2573">
        <v>23309</v>
      </c>
      <c r="K2573">
        <v>0.05</v>
      </c>
      <c r="L2573">
        <v>22143.55</v>
      </c>
      <c r="M2573">
        <v>12627.18</v>
      </c>
      <c r="N2573">
        <v>9516.3700000000008</v>
      </c>
      <c r="O2573" t="s">
        <v>76</v>
      </c>
      <c r="P2573" t="s">
        <v>81</v>
      </c>
    </row>
    <row r="2574" spans="1:16" x14ac:dyDescent="0.25">
      <c r="A2574">
        <v>2573</v>
      </c>
      <c r="B2574" s="1">
        <v>45838</v>
      </c>
      <c r="C2574" t="s">
        <v>18</v>
      </c>
      <c r="D2574" t="s">
        <v>26</v>
      </c>
      <c r="E2574" t="s">
        <v>31</v>
      </c>
      <c r="F2574" t="s">
        <v>50</v>
      </c>
      <c r="G2574" t="s">
        <v>71</v>
      </c>
      <c r="H2574" t="s">
        <v>73</v>
      </c>
      <c r="I2574">
        <v>7</v>
      </c>
      <c r="J2574">
        <v>989</v>
      </c>
      <c r="K2574">
        <v>0</v>
      </c>
      <c r="L2574">
        <v>6923</v>
      </c>
      <c r="M2574">
        <v>3875.24</v>
      </c>
      <c r="N2574">
        <v>3047.76</v>
      </c>
      <c r="O2574" t="s">
        <v>77</v>
      </c>
      <c r="P2574" t="s">
        <v>86</v>
      </c>
    </row>
    <row r="2575" spans="1:16" x14ac:dyDescent="0.25">
      <c r="A2575">
        <v>2574</v>
      </c>
      <c r="B2575" s="1">
        <v>45876</v>
      </c>
      <c r="C2575" t="s">
        <v>20</v>
      </c>
      <c r="D2575" t="s">
        <v>26</v>
      </c>
      <c r="E2575" t="s">
        <v>28</v>
      </c>
      <c r="F2575" t="s">
        <v>61</v>
      </c>
      <c r="G2575" t="s">
        <v>70</v>
      </c>
      <c r="H2575" t="s">
        <v>74</v>
      </c>
      <c r="I2575">
        <v>6</v>
      </c>
      <c r="J2575">
        <v>1003</v>
      </c>
      <c r="K2575">
        <v>0.05</v>
      </c>
      <c r="L2575">
        <v>5717.1</v>
      </c>
      <c r="M2575">
        <v>4060.32</v>
      </c>
      <c r="N2575">
        <v>1656.78</v>
      </c>
      <c r="O2575" t="s">
        <v>78</v>
      </c>
      <c r="P2575" t="s">
        <v>83</v>
      </c>
    </row>
    <row r="2576" spans="1:16" x14ac:dyDescent="0.25">
      <c r="A2576">
        <v>2575</v>
      </c>
      <c r="B2576" s="1">
        <v>45660</v>
      </c>
      <c r="C2576" t="s">
        <v>20</v>
      </c>
      <c r="D2576" t="s">
        <v>26</v>
      </c>
      <c r="E2576" t="s">
        <v>29</v>
      </c>
      <c r="F2576" t="s">
        <v>53</v>
      </c>
      <c r="G2576" t="s">
        <v>71</v>
      </c>
      <c r="H2576" t="s">
        <v>73</v>
      </c>
      <c r="I2576">
        <v>6</v>
      </c>
      <c r="J2576">
        <v>9601</v>
      </c>
      <c r="K2576">
        <v>0.1</v>
      </c>
      <c r="L2576">
        <v>51845.4</v>
      </c>
      <c r="M2576">
        <v>44964.160000000003</v>
      </c>
      <c r="N2576">
        <v>6881.24</v>
      </c>
      <c r="O2576" t="s">
        <v>79</v>
      </c>
      <c r="P2576" t="s">
        <v>85</v>
      </c>
    </row>
    <row r="2577" spans="1:16" x14ac:dyDescent="0.25">
      <c r="A2577">
        <v>2576</v>
      </c>
      <c r="B2577" s="1">
        <v>46016</v>
      </c>
      <c r="C2577" t="s">
        <v>21</v>
      </c>
      <c r="D2577" t="s">
        <v>24</v>
      </c>
      <c r="E2577" t="s">
        <v>29</v>
      </c>
      <c r="F2577" t="s">
        <v>36</v>
      </c>
      <c r="G2577" t="s">
        <v>71</v>
      </c>
      <c r="H2577" t="s">
        <v>73</v>
      </c>
      <c r="I2577">
        <v>1</v>
      </c>
      <c r="J2577">
        <v>841</v>
      </c>
      <c r="K2577">
        <v>0.1</v>
      </c>
      <c r="L2577">
        <v>756.9</v>
      </c>
      <c r="M2577">
        <v>451.77</v>
      </c>
      <c r="N2577">
        <v>305.13</v>
      </c>
      <c r="O2577" t="s">
        <v>79</v>
      </c>
      <c r="P2577" t="s">
        <v>81</v>
      </c>
    </row>
    <row r="2578" spans="1:16" x14ac:dyDescent="0.25">
      <c r="A2578">
        <v>2577</v>
      </c>
      <c r="B2578" s="1">
        <v>45975</v>
      </c>
      <c r="C2578" t="s">
        <v>23</v>
      </c>
      <c r="D2578" t="s">
        <v>27</v>
      </c>
      <c r="E2578" t="s">
        <v>28</v>
      </c>
      <c r="F2578" t="s">
        <v>35</v>
      </c>
      <c r="G2578" t="s">
        <v>71</v>
      </c>
      <c r="H2578" t="s">
        <v>75</v>
      </c>
      <c r="I2578">
        <v>7</v>
      </c>
      <c r="J2578">
        <v>1590</v>
      </c>
      <c r="K2578">
        <v>0.05</v>
      </c>
      <c r="L2578">
        <v>10573.5</v>
      </c>
      <c r="M2578">
        <v>8095.06</v>
      </c>
      <c r="N2578">
        <v>2478.44</v>
      </c>
      <c r="O2578" t="s">
        <v>78</v>
      </c>
      <c r="P2578" t="s">
        <v>88</v>
      </c>
    </row>
    <row r="2579" spans="1:16" x14ac:dyDescent="0.25">
      <c r="A2579">
        <v>2578</v>
      </c>
      <c r="B2579" s="1">
        <v>45681</v>
      </c>
      <c r="C2579" t="s">
        <v>20</v>
      </c>
      <c r="D2579" t="s">
        <v>26</v>
      </c>
      <c r="E2579" t="s">
        <v>30</v>
      </c>
      <c r="F2579" t="s">
        <v>64</v>
      </c>
      <c r="G2579" t="s">
        <v>70</v>
      </c>
      <c r="H2579" t="s">
        <v>74</v>
      </c>
      <c r="I2579">
        <v>7</v>
      </c>
      <c r="J2579">
        <v>29681</v>
      </c>
      <c r="K2579">
        <v>0.05</v>
      </c>
      <c r="L2579">
        <v>197378.65</v>
      </c>
      <c r="M2579">
        <v>126705.05</v>
      </c>
      <c r="N2579">
        <v>70673.600000000006</v>
      </c>
      <c r="O2579" t="s">
        <v>77</v>
      </c>
      <c r="P2579" t="s">
        <v>88</v>
      </c>
    </row>
    <row r="2580" spans="1:16" x14ac:dyDescent="0.25">
      <c r="A2580">
        <v>2579</v>
      </c>
      <c r="B2580" s="1">
        <v>45896</v>
      </c>
      <c r="C2580" t="s">
        <v>19</v>
      </c>
      <c r="D2580" t="s">
        <v>26</v>
      </c>
      <c r="E2580" t="s">
        <v>29</v>
      </c>
      <c r="F2580" t="s">
        <v>42</v>
      </c>
      <c r="G2580" t="s">
        <v>72</v>
      </c>
      <c r="H2580" t="s">
        <v>73</v>
      </c>
      <c r="I2580">
        <v>8</v>
      </c>
      <c r="J2580">
        <v>10777</v>
      </c>
      <c r="K2580">
        <v>0.1</v>
      </c>
      <c r="L2580">
        <v>77594.399999999994</v>
      </c>
      <c r="M2580">
        <v>63103.26</v>
      </c>
      <c r="N2580">
        <v>14491.14</v>
      </c>
      <c r="O2580" t="s">
        <v>76</v>
      </c>
      <c r="P2580" t="s">
        <v>83</v>
      </c>
    </row>
    <row r="2581" spans="1:16" x14ac:dyDescent="0.25">
      <c r="A2581">
        <v>2580</v>
      </c>
      <c r="B2581" s="1">
        <v>45660</v>
      </c>
      <c r="C2581" t="s">
        <v>21</v>
      </c>
      <c r="D2581" t="s">
        <v>24</v>
      </c>
      <c r="E2581" t="s">
        <v>29</v>
      </c>
      <c r="F2581" t="s">
        <v>45</v>
      </c>
      <c r="G2581" t="s">
        <v>70</v>
      </c>
      <c r="H2581" t="s">
        <v>73</v>
      </c>
      <c r="I2581">
        <v>6</v>
      </c>
      <c r="J2581">
        <v>3717</v>
      </c>
      <c r="K2581">
        <v>0</v>
      </c>
      <c r="L2581">
        <v>22302</v>
      </c>
      <c r="M2581">
        <v>19075.71</v>
      </c>
      <c r="N2581">
        <v>3226.29</v>
      </c>
      <c r="O2581" t="s">
        <v>78</v>
      </c>
      <c r="P2581" t="s">
        <v>88</v>
      </c>
    </row>
    <row r="2582" spans="1:16" x14ac:dyDescent="0.25">
      <c r="A2582">
        <v>2581</v>
      </c>
      <c r="B2582" s="1">
        <v>45872</v>
      </c>
      <c r="C2582" t="s">
        <v>19</v>
      </c>
      <c r="D2582" t="s">
        <v>26</v>
      </c>
      <c r="E2582" t="s">
        <v>29</v>
      </c>
      <c r="F2582" t="s">
        <v>53</v>
      </c>
      <c r="G2582" t="s">
        <v>72</v>
      </c>
      <c r="H2582" t="s">
        <v>73</v>
      </c>
      <c r="I2582">
        <v>1</v>
      </c>
      <c r="J2582">
        <v>9478</v>
      </c>
      <c r="K2582">
        <v>0.1</v>
      </c>
      <c r="L2582">
        <v>8530.2000000000007</v>
      </c>
      <c r="M2582">
        <v>7184.6</v>
      </c>
      <c r="N2582">
        <v>1345.6</v>
      </c>
      <c r="O2582" t="s">
        <v>77</v>
      </c>
      <c r="P2582" t="s">
        <v>83</v>
      </c>
    </row>
    <row r="2583" spans="1:16" x14ac:dyDescent="0.25">
      <c r="A2583">
        <v>2582</v>
      </c>
      <c r="B2583" s="1">
        <v>45832</v>
      </c>
      <c r="C2583" t="s">
        <v>16</v>
      </c>
      <c r="D2583" t="s">
        <v>24</v>
      </c>
      <c r="E2583" t="s">
        <v>33</v>
      </c>
      <c r="F2583" t="s">
        <v>41</v>
      </c>
      <c r="G2583" t="s">
        <v>71</v>
      </c>
      <c r="H2583" t="s">
        <v>75</v>
      </c>
      <c r="I2583">
        <v>6</v>
      </c>
      <c r="J2583">
        <v>34172</v>
      </c>
      <c r="K2583">
        <v>0.05</v>
      </c>
      <c r="L2583">
        <v>194780.4</v>
      </c>
      <c r="M2583">
        <v>107599.29</v>
      </c>
      <c r="N2583">
        <v>87181.11</v>
      </c>
      <c r="O2583" t="s">
        <v>78</v>
      </c>
      <c r="P2583" t="s">
        <v>84</v>
      </c>
    </row>
    <row r="2584" spans="1:16" x14ac:dyDescent="0.25">
      <c r="A2584">
        <v>2583</v>
      </c>
      <c r="B2584" s="1">
        <v>45681</v>
      </c>
      <c r="C2584" t="s">
        <v>20</v>
      </c>
      <c r="D2584" t="s">
        <v>26</v>
      </c>
      <c r="E2584" t="s">
        <v>28</v>
      </c>
      <c r="F2584" t="s">
        <v>61</v>
      </c>
      <c r="G2584" t="s">
        <v>71</v>
      </c>
      <c r="H2584" t="s">
        <v>74</v>
      </c>
      <c r="I2584">
        <v>8</v>
      </c>
      <c r="J2584">
        <v>983</v>
      </c>
      <c r="K2584">
        <v>0.1</v>
      </c>
      <c r="L2584">
        <v>7077.6</v>
      </c>
      <c r="M2584">
        <v>5377.93</v>
      </c>
      <c r="N2584">
        <v>1699.67</v>
      </c>
      <c r="O2584" t="s">
        <v>78</v>
      </c>
      <c r="P2584" t="s">
        <v>82</v>
      </c>
    </row>
    <row r="2585" spans="1:16" x14ac:dyDescent="0.25">
      <c r="A2585">
        <v>2584</v>
      </c>
      <c r="B2585" s="1">
        <v>45952</v>
      </c>
      <c r="C2585" t="s">
        <v>16</v>
      </c>
      <c r="D2585" t="s">
        <v>24</v>
      </c>
      <c r="E2585" t="s">
        <v>30</v>
      </c>
      <c r="F2585" t="s">
        <v>40</v>
      </c>
      <c r="G2585" t="s">
        <v>71</v>
      </c>
      <c r="H2585" t="s">
        <v>75</v>
      </c>
      <c r="I2585">
        <v>8</v>
      </c>
      <c r="J2585">
        <v>22145</v>
      </c>
      <c r="K2585">
        <v>0.2</v>
      </c>
      <c r="L2585">
        <v>141728</v>
      </c>
      <c r="M2585">
        <v>81644.84</v>
      </c>
      <c r="N2585">
        <v>60083.16</v>
      </c>
      <c r="O2585" t="s">
        <v>77</v>
      </c>
      <c r="P2585" t="s">
        <v>83</v>
      </c>
    </row>
    <row r="2586" spans="1:16" x14ac:dyDescent="0.25">
      <c r="A2586">
        <v>2585</v>
      </c>
      <c r="B2586" s="1">
        <v>45721</v>
      </c>
      <c r="C2586" t="s">
        <v>18</v>
      </c>
      <c r="D2586" t="s">
        <v>26</v>
      </c>
      <c r="E2586" t="s">
        <v>30</v>
      </c>
      <c r="F2586" t="s">
        <v>37</v>
      </c>
      <c r="G2586" t="s">
        <v>72</v>
      </c>
      <c r="H2586" t="s">
        <v>74</v>
      </c>
      <c r="I2586">
        <v>2</v>
      </c>
      <c r="J2586">
        <v>9168</v>
      </c>
      <c r="K2586">
        <v>0.1</v>
      </c>
      <c r="L2586">
        <v>16502.400000000001</v>
      </c>
      <c r="M2586">
        <v>13203.31</v>
      </c>
      <c r="N2586">
        <v>3299.09</v>
      </c>
      <c r="O2586" t="s">
        <v>77</v>
      </c>
      <c r="P2586" t="s">
        <v>85</v>
      </c>
    </row>
    <row r="2587" spans="1:16" x14ac:dyDescent="0.25">
      <c r="A2587">
        <v>2586</v>
      </c>
      <c r="B2587" s="1">
        <v>45876</v>
      </c>
      <c r="C2587" t="s">
        <v>20</v>
      </c>
      <c r="D2587" t="s">
        <v>26</v>
      </c>
      <c r="E2587" t="s">
        <v>29</v>
      </c>
      <c r="F2587" t="s">
        <v>36</v>
      </c>
      <c r="G2587" t="s">
        <v>71</v>
      </c>
      <c r="H2587" t="s">
        <v>74</v>
      </c>
      <c r="I2587">
        <v>7</v>
      </c>
      <c r="J2587">
        <v>776</v>
      </c>
      <c r="K2587">
        <v>0.1</v>
      </c>
      <c r="L2587">
        <v>4888.8</v>
      </c>
      <c r="M2587">
        <v>2973.72</v>
      </c>
      <c r="N2587">
        <v>1915.08</v>
      </c>
      <c r="O2587" t="s">
        <v>79</v>
      </c>
      <c r="P2587" t="s">
        <v>85</v>
      </c>
    </row>
    <row r="2588" spans="1:16" x14ac:dyDescent="0.25">
      <c r="A2588">
        <v>2587</v>
      </c>
      <c r="B2588" s="1">
        <v>45974</v>
      </c>
      <c r="C2588" t="s">
        <v>19</v>
      </c>
      <c r="D2588" t="s">
        <v>26</v>
      </c>
      <c r="E2588" t="s">
        <v>34</v>
      </c>
      <c r="F2588" t="s">
        <v>68</v>
      </c>
      <c r="G2588" t="s">
        <v>71</v>
      </c>
      <c r="H2588" t="s">
        <v>74</v>
      </c>
      <c r="I2588">
        <v>1</v>
      </c>
      <c r="J2588">
        <v>4176</v>
      </c>
      <c r="K2588">
        <v>0</v>
      </c>
      <c r="L2588">
        <v>4176</v>
      </c>
      <c r="M2588">
        <v>3203.79</v>
      </c>
      <c r="N2588">
        <v>972.21</v>
      </c>
      <c r="O2588" t="s">
        <v>80</v>
      </c>
      <c r="P2588" t="s">
        <v>84</v>
      </c>
    </row>
    <row r="2589" spans="1:16" x14ac:dyDescent="0.25">
      <c r="A2589">
        <v>2588</v>
      </c>
      <c r="B2589" s="1">
        <v>45661</v>
      </c>
      <c r="C2589" t="s">
        <v>18</v>
      </c>
      <c r="D2589" t="s">
        <v>26</v>
      </c>
      <c r="E2589" t="s">
        <v>32</v>
      </c>
      <c r="F2589" t="s">
        <v>39</v>
      </c>
      <c r="G2589" t="s">
        <v>72</v>
      </c>
      <c r="H2589" t="s">
        <v>75</v>
      </c>
      <c r="I2589">
        <v>3</v>
      </c>
      <c r="J2589">
        <v>10553</v>
      </c>
      <c r="K2589">
        <v>0.05</v>
      </c>
      <c r="L2589">
        <v>30076.05</v>
      </c>
      <c r="M2589">
        <v>24163.43</v>
      </c>
      <c r="N2589">
        <v>5912.62</v>
      </c>
      <c r="O2589" t="s">
        <v>78</v>
      </c>
      <c r="P2589" t="s">
        <v>88</v>
      </c>
    </row>
    <row r="2590" spans="1:16" x14ac:dyDescent="0.25">
      <c r="A2590">
        <v>2589</v>
      </c>
      <c r="B2590" s="1">
        <v>45829</v>
      </c>
      <c r="C2590" t="s">
        <v>21</v>
      </c>
      <c r="D2590" t="s">
        <v>24</v>
      </c>
      <c r="E2590" t="s">
        <v>28</v>
      </c>
      <c r="F2590" t="s">
        <v>63</v>
      </c>
      <c r="G2590" t="s">
        <v>71</v>
      </c>
      <c r="H2590" t="s">
        <v>73</v>
      </c>
      <c r="I2590">
        <v>1</v>
      </c>
      <c r="J2590">
        <v>1291</v>
      </c>
      <c r="K2590">
        <v>0.15</v>
      </c>
      <c r="L2590">
        <v>1097.3499999999999</v>
      </c>
      <c r="M2590">
        <v>829.71</v>
      </c>
      <c r="N2590">
        <v>267.64</v>
      </c>
      <c r="O2590" t="s">
        <v>77</v>
      </c>
      <c r="P2590" t="s">
        <v>87</v>
      </c>
    </row>
    <row r="2591" spans="1:16" x14ac:dyDescent="0.25">
      <c r="A2591">
        <v>2590</v>
      </c>
      <c r="B2591" s="1">
        <v>45713</v>
      </c>
      <c r="C2591" t="s">
        <v>20</v>
      </c>
      <c r="D2591" t="s">
        <v>26</v>
      </c>
      <c r="E2591" t="s">
        <v>33</v>
      </c>
      <c r="F2591" t="s">
        <v>46</v>
      </c>
      <c r="G2591" t="s">
        <v>71</v>
      </c>
      <c r="H2591" t="s">
        <v>73</v>
      </c>
      <c r="I2591">
        <v>1</v>
      </c>
      <c r="J2591">
        <v>34100</v>
      </c>
      <c r="K2591">
        <v>0.05</v>
      </c>
      <c r="L2591">
        <v>32395</v>
      </c>
      <c r="M2591">
        <v>24484.240000000002</v>
      </c>
      <c r="N2591">
        <v>7910.76</v>
      </c>
      <c r="O2591" t="s">
        <v>80</v>
      </c>
      <c r="P2591" t="s">
        <v>83</v>
      </c>
    </row>
    <row r="2592" spans="1:16" x14ac:dyDescent="0.25">
      <c r="A2592">
        <v>2591</v>
      </c>
      <c r="B2592" s="1">
        <v>46015</v>
      </c>
      <c r="C2592" t="s">
        <v>16</v>
      </c>
      <c r="D2592" t="s">
        <v>24</v>
      </c>
      <c r="E2592" t="s">
        <v>29</v>
      </c>
      <c r="F2592" t="s">
        <v>45</v>
      </c>
      <c r="G2592" t="s">
        <v>71</v>
      </c>
      <c r="H2592" t="s">
        <v>74</v>
      </c>
      <c r="I2592">
        <v>1</v>
      </c>
      <c r="J2592">
        <v>5435</v>
      </c>
      <c r="K2592">
        <v>0.1</v>
      </c>
      <c r="L2592">
        <v>4891.5</v>
      </c>
      <c r="M2592">
        <v>2980.63</v>
      </c>
      <c r="N2592">
        <v>1910.87</v>
      </c>
      <c r="O2592" t="s">
        <v>80</v>
      </c>
      <c r="P2592" t="s">
        <v>82</v>
      </c>
    </row>
    <row r="2593" spans="1:16" x14ac:dyDescent="0.25">
      <c r="A2593">
        <v>2592</v>
      </c>
      <c r="B2593" s="1">
        <v>45902</v>
      </c>
      <c r="C2593" t="s">
        <v>23</v>
      </c>
      <c r="D2593" t="s">
        <v>27</v>
      </c>
      <c r="E2593" t="s">
        <v>31</v>
      </c>
      <c r="F2593" t="s">
        <v>47</v>
      </c>
      <c r="G2593" t="s">
        <v>72</v>
      </c>
      <c r="H2593" t="s">
        <v>75</v>
      </c>
      <c r="I2593">
        <v>8</v>
      </c>
      <c r="J2593">
        <v>587</v>
      </c>
      <c r="K2593">
        <v>0.15</v>
      </c>
      <c r="L2593">
        <v>3991.6</v>
      </c>
      <c r="M2593">
        <v>2205.8000000000002</v>
      </c>
      <c r="N2593">
        <v>1785.8</v>
      </c>
      <c r="O2593" t="s">
        <v>80</v>
      </c>
      <c r="P2593" t="s">
        <v>85</v>
      </c>
    </row>
    <row r="2594" spans="1:16" x14ac:dyDescent="0.25">
      <c r="A2594">
        <v>2593</v>
      </c>
      <c r="B2594" s="1">
        <v>45818</v>
      </c>
      <c r="C2594" t="s">
        <v>20</v>
      </c>
      <c r="D2594" t="s">
        <v>26</v>
      </c>
      <c r="E2594" t="s">
        <v>31</v>
      </c>
      <c r="F2594" t="s">
        <v>67</v>
      </c>
      <c r="G2594" t="s">
        <v>70</v>
      </c>
      <c r="H2594" t="s">
        <v>73</v>
      </c>
      <c r="I2594">
        <v>8</v>
      </c>
      <c r="J2594">
        <v>2012</v>
      </c>
      <c r="K2594">
        <v>0</v>
      </c>
      <c r="L2594">
        <v>16096</v>
      </c>
      <c r="M2594">
        <v>12227.02</v>
      </c>
      <c r="N2594">
        <v>3868.98</v>
      </c>
      <c r="O2594" t="s">
        <v>78</v>
      </c>
      <c r="P2594" t="s">
        <v>84</v>
      </c>
    </row>
    <row r="2595" spans="1:16" x14ac:dyDescent="0.25">
      <c r="A2595">
        <v>2594</v>
      </c>
      <c r="B2595" s="1">
        <v>45746</v>
      </c>
      <c r="C2595" t="s">
        <v>20</v>
      </c>
      <c r="D2595" t="s">
        <v>26</v>
      </c>
      <c r="E2595" t="s">
        <v>32</v>
      </c>
      <c r="F2595" t="s">
        <v>49</v>
      </c>
      <c r="G2595" t="s">
        <v>72</v>
      </c>
      <c r="H2595" t="s">
        <v>74</v>
      </c>
      <c r="I2595">
        <v>3</v>
      </c>
      <c r="J2595">
        <v>16488</v>
      </c>
      <c r="K2595">
        <v>0</v>
      </c>
      <c r="L2595">
        <v>49464</v>
      </c>
      <c r="M2595">
        <v>38537.599999999999</v>
      </c>
      <c r="N2595">
        <v>10926.4</v>
      </c>
      <c r="O2595" t="s">
        <v>77</v>
      </c>
      <c r="P2595" t="s">
        <v>85</v>
      </c>
    </row>
    <row r="2596" spans="1:16" x14ac:dyDescent="0.25">
      <c r="A2596">
        <v>2595</v>
      </c>
      <c r="B2596" s="1">
        <v>45772</v>
      </c>
      <c r="C2596" t="s">
        <v>20</v>
      </c>
      <c r="D2596" t="s">
        <v>26</v>
      </c>
      <c r="E2596" t="s">
        <v>32</v>
      </c>
      <c r="F2596" t="s">
        <v>62</v>
      </c>
      <c r="G2596" t="s">
        <v>72</v>
      </c>
      <c r="H2596" t="s">
        <v>73</v>
      </c>
      <c r="I2596">
        <v>8</v>
      </c>
      <c r="J2596">
        <v>8765</v>
      </c>
      <c r="K2596">
        <v>0.15</v>
      </c>
      <c r="L2596">
        <v>59602</v>
      </c>
      <c r="M2596">
        <v>46568.71</v>
      </c>
      <c r="N2596">
        <v>13033.29</v>
      </c>
      <c r="O2596" t="s">
        <v>78</v>
      </c>
      <c r="P2596" t="s">
        <v>85</v>
      </c>
    </row>
    <row r="2597" spans="1:16" x14ac:dyDescent="0.25">
      <c r="A2597">
        <v>2596</v>
      </c>
      <c r="B2597" s="1">
        <v>45897</v>
      </c>
      <c r="C2597" t="s">
        <v>17</v>
      </c>
      <c r="D2597" t="s">
        <v>25</v>
      </c>
      <c r="E2597" t="s">
        <v>29</v>
      </c>
      <c r="F2597" t="s">
        <v>36</v>
      </c>
      <c r="G2597" t="s">
        <v>70</v>
      </c>
      <c r="H2597" t="s">
        <v>75</v>
      </c>
      <c r="I2597">
        <v>7</v>
      </c>
      <c r="J2597">
        <v>5851</v>
      </c>
      <c r="K2597">
        <v>0.1</v>
      </c>
      <c r="L2597">
        <v>36861.300000000003</v>
      </c>
      <c r="M2597">
        <v>32399.01</v>
      </c>
      <c r="N2597">
        <v>4462.29</v>
      </c>
      <c r="O2597" t="s">
        <v>77</v>
      </c>
      <c r="P2597" t="s">
        <v>83</v>
      </c>
    </row>
    <row r="2598" spans="1:16" x14ac:dyDescent="0.25">
      <c r="A2598">
        <v>2597</v>
      </c>
      <c r="B2598" s="1">
        <v>45967</v>
      </c>
      <c r="C2598" t="s">
        <v>19</v>
      </c>
      <c r="D2598" t="s">
        <v>26</v>
      </c>
      <c r="E2598" t="s">
        <v>29</v>
      </c>
      <c r="F2598" t="s">
        <v>45</v>
      </c>
      <c r="G2598" t="s">
        <v>70</v>
      </c>
      <c r="H2598" t="s">
        <v>74</v>
      </c>
      <c r="I2598">
        <v>1</v>
      </c>
      <c r="J2598">
        <v>9093</v>
      </c>
      <c r="K2598">
        <v>0.1</v>
      </c>
      <c r="L2598">
        <v>8183.7</v>
      </c>
      <c r="M2598">
        <v>6596.96</v>
      </c>
      <c r="N2598">
        <v>1586.74</v>
      </c>
      <c r="O2598" t="s">
        <v>76</v>
      </c>
      <c r="P2598" t="s">
        <v>86</v>
      </c>
    </row>
    <row r="2599" spans="1:16" x14ac:dyDescent="0.25">
      <c r="A2599">
        <v>2598</v>
      </c>
      <c r="B2599" s="1">
        <v>45880</v>
      </c>
      <c r="C2599" t="s">
        <v>20</v>
      </c>
      <c r="D2599" t="s">
        <v>26</v>
      </c>
      <c r="E2599" t="s">
        <v>30</v>
      </c>
      <c r="F2599" t="s">
        <v>64</v>
      </c>
      <c r="G2599" t="s">
        <v>71</v>
      </c>
      <c r="H2599" t="s">
        <v>75</v>
      </c>
      <c r="I2599">
        <v>1</v>
      </c>
      <c r="J2599">
        <v>2387</v>
      </c>
      <c r="K2599">
        <v>0.05</v>
      </c>
      <c r="L2599">
        <v>2267.65</v>
      </c>
      <c r="M2599">
        <v>1530.76</v>
      </c>
      <c r="N2599">
        <v>736.89</v>
      </c>
      <c r="O2599" t="s">
        <v>76</v>
      </c>
      <c r="P2599" t="s">
        <v>85</v>
      </c>
    </row>
    <row r="2600" spans="1:16" x14ac:dyDescent="0.25">
      <c r="A2600">
        <v>2599</v>
      </c>
      <c r="B2600" s="1">
        <v>45766</v>
      </c>
      <c r="C2600" t="s">
        <v>21</v>
      </c>
      <c r="D2600" t="s">
        <v>24</v>
      </c>
      <c r="E2600" t="s">
        <v>33</v>
      </c>
      <c r="F2600" t="s">
        <v>52</v>
      </c>
      <c r="G2600" t="s">
        <v>70</v>
      </c>
      <c r="H2600" t="s">
        <v>75</v>
      </c>
      <c r="I2600">
        <v>1</v>
      </c>
      <c r="J2600">
        <v>41805</v>
      </c>
      <c r="K2600">
        <v>0.1</v>
      </c>
      <c r="L2600">
        <v>37624.5</v>
      </c>
      <c r="M2600">
        <v>23261.51</v>
      </c>
      <c r="N2600">
        <v>14362.99</v>
      </c>
      <c r="O2600" t="s">
        <v>78</v>
      </c>
      <c r="P2600" t="s">
        <v>82</v>
      </c>
    </row>
    <row r="2601" spans="1:16" x14ac:dyDescent="0.25">
      <c r="A2601">
        <v>2600</v>
      </c>
      <c r="B2601" s="1">
        <v>45914</v>
      </c>
      <c r="C2601" t="s">
        <v>17</v>
      </c>
      <c r="D2601" t="s">
        <v>25</v>
      </c>
      <c r="E2601" t="s">
        <v>34</v>
      </c>
      <c r="F2601" t="s">
        <v>68</v>
      </c>
      <c r="G2601" t="s">
        <v>70</v>
      </c>
      <c r="H2601" t="s">
        <v>73</v>
      </c>
      <c r="I2601">
        <v>5</v>
      </c>
      <c r="J2601">
        <v>2798</v>
      </c>
      <c r="K2601">
        <v>0.2</v>
      </c>
      <c r="L2601">
        <v>11192</v>
      </c>
      <c r="M2601">
        <v>7657.94</v>
      </c>
      <c r="N2601">
        <v>3534.06</v>
      </c>
      <c r="O2601" t="s">
        <v>79</v>
      </c>
      <c r="P2601" t="s">
        <v>83</v>
      </c>
    </row>
    <row r="2602" spans="1:16" x14ac:dyDescent="0.25">
      <c r="A2602">
        <v>2601</v>
      </c>
      <c r="B2602" s="1">
        <v>45853</v>
      </c>
      <c r="C2602" t="s">
        <v>21</v>
      </c>
      <c r="D2602" t="s">
        <v>24</v>
      </c>
      <c r="E2602" t="s">
        <v>32</v>
      </c>
      <c r="F2602" t="s">
        <v>39</v>
      </c>
      <c r="G2602" t="s">
        <v>70</v>
      </c>
      <c r="H2602" t="s">
        <v>75</v>
      </c>
      <c r="I2602">
        <v>4</v>
      </c>
      <c r="J2602">
        <v>2432</v>
      </c>
      <c r="K2602">
        <v>0.1</v>
      </c>
      <c r="L2602">
        <v>8755.2000000000007</v>
      </c>
      <c r="M2602">
        <v>7642.12</v>
      </c>
      <c r="N2602">
        <v>1113.08</v>
      </c>
      <c r="O2602" t="s">
        <v>78</v>
      </c>
      <c r="P2602" t="s">
        <v>84</v>
      </c>
    </row>
    <row r="2603" spans="1:16" x14ac:dyDescent="0.25">
      <c r="A2603">
        <v>2602</v>
      </c>
      <c r="B2603" s="1">
        <v>45757</v>
      </c>
      <c r="C2603" t="s">
        <v>22</v>
      </c>
      <c r="D2603" t="s">
        <v>24</v>
      </c>
      <c r="E2603" t="s">
        <v>33</v>
      </c>
      <c r="F2603" t="s">
        <v>41</v>
      </c>
      <c r="G2603" t="s">
        <v>71</v>
      </c>
      <c r="H2603" t="s">
        <v>74</v>
      </c>
      <c r="I2603">
        <v>6</v>
      </c>
      <c r="J2603">
        <v>30480</v>
      </c>
      <c r="K2603">
        <v>0.1</v>
      </c>
      <c r="L2603">
        <v>164592</v>
      </c>
      <c r="M2603">
        <v>108884.85</v>
      </c>
      <c r="N2603">
        <v>55707.15</v>
      </c>
      <c r="O2603" t="s">
        <v>78</v>
      </c>
      <c r="P2603" t="s">
        <v>87</v>
      </c>
    </row>
    <row r="2604" spans="1:16" x14ac:dyDescent="0.25">
      <c r="A2604">
        <v>2603</v>
      </c>
      <c r="B2604" s="1">
        <v>45792</v>
      </c>
      <c r="C2604" t="s">
        <v>22</v>
      </c>
      <c r="D2604" t="s">
        <v>24</v>
      </c>
      <c r="E2604" t="s">
        <v>34</v>
      </c>
      <c r="F2604" t="s">
        <v>43</v>
      </c>
      <c r="G2604" t="s">
        <v>71</v>
      </c>
      <c r="H2604" t="s">
        <v>73</v>
      </c>
      <c r="I2604">
        <v>4</v>
      </c>
      <c r="J2604">
        <v>5708</v>
      </c>
      <c r="K2604">
        <v>0.1</v>
      </c>
      <c r="L2604">
        <v>20548.8</v>
      </c>
      <c r="M2604">
        <v>14075.69</v>
      </c>
      <c r="N2604">
        <v>6473.11</v>
      </c>
      <c r="O2604" t="s">
        <v>77</v>
      </c>
      <c r="P2604" t="s">
        <v>84</v>
      </c>
    </row>
    <row r="2605" spans="1:16" x14ac:dyDescent="0.25">
      <c r="A2605">
        <v>2604</v>
      </c>
      <c r="B2605" s="1">
        <v>45669</v>
      </c>
      <c r="C2605" t="s">
        <v>19</v>
      </c>
      <c r="D2605" t="s">
        <v>26</v>
      </c>
      <c r="E2605" t="s">
        <v>28</v>
      </c>
      <c r="F2605" t="s">
        <v>35</v>
      </c>
      <c r="G2605" t="s">
        <v>72</v>
      </c>
      <c r="H2605" t="s">
        <v>73</v>
      </c>
      <c r="I2605">
        <v>3</v>
      </c>
      <c r="J2605">
        <v>1641</v>
      </c>
      <c r="K2605">
        <v>0.2</v>
      </c>
      <c r="L2605">
        <v>3938.4</v>
      </c>
      <c r="M2605">
        <v>2378.13</v>
      </c>
      <c r="N2605">
        <v>1560.27</v>
      </c>
      <c r="O2605" t="s">
        <v>76</v>
      </c>
      <c r="P2605" t="s">
        <v>82</v>
      </c>
    </row>
    <row r="2606" spans="1:16" x14ac:dyDescent="0.25">
      <c r="A2606">
        <v>2605</v>
      </c>
      <c r="B2606" s="1">
        <v>45787</v>
      </c>
      <c r="C2606" t="s">
        <v>20</v>
      </c>
      <c r="D2606" t="s">
        <v>26</v>
      </c>
      <c r="E2606" t="s">
        <v>28</v>
      </c>
      <c r="F2606" t="s">
        <v>35</v>
      </c>
      <c r="G2606" t="s">
        <v>71</v>
      </c>
      <c r="H2606" t="s">
        <v>75</v>
      </c>
      <c r="I2606">
        <v>2</v>
      </c>
      <c r="J2606">
        <v>782</v>
      </c>
      <c r="K2606">
        <v>0.1</v>
      </c>
      <c r="L2606">
        <v>1407.6</v>
      </c>
      <c r="M2606">
        <v>969.59</v>
      </c>
      <c r="N2606">
        <v>438.01</v>
      </c>
      <c r="O2606" t="s">
        <v>79</v>
      </c>
      <c r="P2606" t="s">
        <v>81</v>
      </c>
    </row>
    <row r="2607" spans="1:16" x14ac:dyDescent="0.25">
      <c r="A2607">
        <v>2606</v>
      </c>
      <c r="B2607" s="1">
        <v>45690</v>
      </c>
      <c r="C2607" t="s">
        <v>16</v>
      </c>
      <c r="D2607" t="s">
        <v>24</v>
      </c>
      <c r="E2607" t="s">
        <v>31</v>
      </c>
      <c r="F2607" t="s">
        <v>69</v>
      </c>
      <c r="G2607" t="s">
        <v>72</v>
      </c>
      <c r="H2607" t="s">
        <v>75</v>
      </c>
      <c r="I2607">
        <v>4</v>
      </c>
      <c r="J2607">
        <v>1113</v>
      </c>
      <c r="K2607">
        <v>0.1</v>
      </c>
      <c r="L2607">
        <v>4006.8</v>
      </c>
      <c r="M2607">
        <v>2926.68</v>
      </c>
      <c r="N2607">
        <v>1080.1199999999999</v>
      </c>
      <c r="O2607" t="s">
        <v>78</v>
      </c>
      <c r="P2607" t="s">
        <v>86</v>
      </c>
    </row>
    <row r="2608" spans="1:16" x14ac:dyDescent="0.25">
      <c r="A2608">
        <v>2607</v>
      </c>
      <c r="B2608" s="1">
        <v>45670</v>
      </c>
      <c r="C2608" t="s">
        <v>21</v>
      </c>
      <c r="D2608" t="s">
        <v>24</v>
      </c>
      <c r="E2608" t="s">
        <v>30</v>
      </c>
      <c r="F2608" t="s">
        <v>37</v>
      </c>
      <c r="G2608" t="s">
        <v>71</v>
      </c>
      <c r="H2608" t="s">
        <v>74</v>
      </c>
      <c r="I2608">
        <v>7</v>
      </c>
      <c r="J2608">
        <v>56107</v>
      </c>
      <c r="K2608">
        <v>0.05</v>
      </c>
      <c r="L2608">
        <v>373111.55</v>
      </c>
      <c r="M2608">
        <v>237320.66</v>
      </c>
      <c r="N2608">
        <v>135790.89000000001</v>
      </c>
      <c r="O2608" t="s">
        <v>80</v>
      </c>
      <c r="P2608" t="s">
        <v>83</v>
      </c>
    </row>
    <row r="2609" spans="1:16" x14ac:dyDescent="0.25">
      <c r="A2609">
        <v>2608</v>
      </c>
      <c r="B2609" s="1">
        <v>45852</v>
      </c>
      <c r="C2609" t="s">
        <v>16</v>
      </c>
      <c r="D2609" t="s">
        <v>24</v>
      </c>
      <c r="E2609" t="s">
        <v>30</v>
      </c>
      <c r="F2609" t="s">
        <v>64</v>
      </c>
      <c r="G2609" t="s">
        <v>71</v>
      </c>
      <c r="H2609" t="s">
        <v>75</v>
      </c>
      <c r="I2609">
        <v>6</v>
      </c>
      <c r="J2609">
        <v>19701</v>
      </c>
      <c r="K2609">
        <v>0.1</v>
      </c>
      <c r="L2609">
        <v>106385.4</v>
      </c>
      <c r="M2609">
        <v>85794.16</v>
      </c>
      <c r="N2609">
        <v>20591.240000000002</v>
      </c>
      <c r="O2609" t="s">
        <v>77</v>
      </c>
      <c r="P2609" t="s">
        <v>84</v>
      </c>
    </row>
    <row r="2610" spans="1:16" x14ac:dyDescent="0.25">
      <c r="A2610">
        <v>2609</v>
      </c>
      <c r="B2610" s="1">
        <v>45678</v>
      </c>
      <c r="C2610" t="s">
        <v>23</v>
      </c>
      <c r="D2610" t="s">
        <v>27</v>
      </c>
      <c r="E2610" t="s">
        <v>28</v>
      </c>
      <c r="F2610" t="s">
        <v>35</v>
      </c>
      <c r="G2610" t="s">
        <v>72</v>
      </c>
      <c r="H2610" t="s">
        <v>73</v>
      </c>
      <c r="I2610">
        <v>4</v>
      </c>
      <c r="J2610">
        <v>945</v>
      </c>
      <c r="K2610">
        <v>0.1</v>
      </c>
      <c r="L2610">
        <v>3402</v>
      </c>
      <c r="M2610">
        <v>2075.61</v>
      </c>
      <c r="N2610">
        <v>1326.39</v>
      </c>
      <c r="O2610" t="s">
        <v>78</v>
      </c>
      <c r="P2610" t="s">
        <v>81</v>
      </c>
    </row>
    <row r="2611" spans="1:16" x14ac:dyDescent="0.25">
      <c r="A2611">
        <v>2610</v>
      </c>
      <c r="B2611" s="1">
        <v>45947</v>
      </c>
      <c r="C2611" t="s">
        <v>21</v>
      </c>
      <c r="D2611" t="s">
        <v>24</v>
      </c>
      <c r="E2611" t="s">
        <v>34</v>
      </c>
      <c r="F2611" t="s">
        <v>51</v>
      </c>
      <c r="G2611" t="s">
        <v>72</v>
      </c>
      <c r="H2611" t="s">
        <v>74</v>
      </c>
      <c r="I2611">
        <v>1</v>
      </c>
      <c r="J2611">
        <v>3851</v>
      </c>
      <c r="K2611">
        <v>0.15</v>
      </c>
      <c r="L2611">
        <v>3273.35</v>
      </c>
      <c r="M2611">
        <v>2188.4299999999998</v>
      </c>
      <c r="N2611">
        <v>1084.92</v>
      </c>
      <c r="O2611" t="s">
        <v>80</v>
      </c>
      <c r="P2611" t="s">
        <v>81</v>
      </c>
    </row>
    <row r="2612" spans="1:16" x14ac:dyDescent="0.25">
      <c r="A2612">
        <v>2611</v>
      </c>
      <c r="B2612" s="1">
        <v>45894</v>
      </c>
      <c r="C2612" t="s">
        <v>16</v>
      </c>
      <c r="D2612" t="s">
        <v>24</v>
      </c>
      <c r="E2612" t="s">
        <v>34</v>
      </c>
      <c r="F2612" t="s">
        <v>43</v>
      </c>
      <c r="G2612" t="s">
        <v>70</v>
      </c>
      <c r="H2612" t="s">
        <v>73</v>
      </c>
      <c r="I2612">
        <v>5</v>
      </c>
      <c r="J2612">
        <v>4694</v>
      </c>
      <c r="K2612">
        <v>0.05</v>
      </c>
      <c r="L2612">
        <v>22296.5</v>
      </c>
      <c r="M2612">
        <v>15860.42</v>
      </c>
      <c r="N2612">
        <v>6436.08</v>
      </c>
      <c r="O2612" t="s">
        <v>77</v>
      </c>
      <c r="P2612" t="s">
        <v>88</v>
      </c>
    </row>
    <row r="2613" spans="1:16" x14ac:dyDescent="0.25">
      <c r="A2613">
        <v>2612</v>
      </c>
      <c r="B2613" s="1">
        <v>45736</v>
      </c>
      <c r="C2613" t="s">
        <v>20</v>
      </c>
      <c r="D2613" t="s">
        <v>26</v>
      </c>
      <c r="E2613" t="s">
        <v>33</v>
      </c>
      <c r="F2613" t="s">
        <v>59</v>
      </c>
      <c r="G2613" t="s">
        <v>72</v>
      </c>
      <c r="H2613" t="s">
        <v>75</v>
      </c>
      <c r="I2613">
        <v>1</v>
      </c>
      <c r="J2613">
        <v>38100</v>
      </c>
      <c r="K2613">
        <v>0.05</v>
      </c>
      <c r="L2613">
        <v>36195</v>
      </c>
      <c r="M2613">
        <v>30961.14</v>
      </c>
      <c r="N2613">
        <v>5233.8599999999997</v>
      </c>
      <c r="O2613" t="s">
        <v>76</v>
      </c>
      <c r="P2613" t="s">
        <v>85</v>
      </c>
    </row>
    <row r="2614" spans="1:16" x14ac:dyDescent="0.25">
      <c r="A2614">
        <v>2613</v>
      </c>
      <c r="B2614" s="1">
        <v>45939</v>
      </c>
      <c r="C2614" t="s">
        <v>23</v>
      </c>
      <c r="D2614" t="s">
        <v>27</v>
      </c>
      <c r="E2614" t="s">
        <v>33</v>
      </c>
      <c r="F2614" t="s">
        <v>52</v>
      </c>
      <c r="G2614" t="s">
        <v>70</v>
      </c>
      <c r="H2614" t="s">
        <v>73</v>
      </c>
      <c r="I2614">
        <v>6</v>
      </c>
      <c r="J2614">
        <v>31562</v>
      </c>
      <c r="K2614">
        <v>0</v>
      </c>
      <c r="L2614">
        <v>189372</v>
      </c>
      <c r="M2614">
        <v>127290.48</v>
      </c>
      <c r="N2614">
        <v>62081.52</v>
      </c>
      <c r="O2614" t="s">
        <v>80</v>
      </c>
      <c r="P2614" t="s">
        <v>82</v>
      </c>
    </row>
    <row r="2615" spans="1:16" x14ac:dyDescent="0.25">
      <c r="A2615">
        <v>2614</v>
      </c>
      <c r="B2615" s="1">
        <v>45830</v>
      </c>
      <c r="C2615" t="s">
        <v>16</v>
      </c>
      <c r="D2615" t="s">
        <v>24</v>
      </c>
      <c r="E2615" t="s">
        <v>33</v>
      </c>
      <c r="F2615" t="s">
        <v>52</v>
      </c>
      <c r="G2615" t="s">
        <v>70</v>
      </c>
      <c r="H2615" t="s">
        <v>74</v>
      </c>
      <c r="I2615">
        <v>2</v>
      </c>
      <c r="J2615">
        <v>28308</v>
      </c>
      <c r="K2615">
        <v>0.05</v>
      </c>
      <c r="L2615">
        <v>53785.2</v>
      </c>
      <c r="M2615">
        <v>31043.55</v>
      </c>
      <c r="N2615">
        <v>22741.65</v>
      </c>
      <c r="O2615" t="s">
        <v>78</v>
      </c>
      <c r="P2615" t="s">
        <v>87</v>
      </c>
    </row>
    <row r="2616" spans="1:16" x14ac:dyDescent="0.25">
      <c r="A2616">
        <v>2615</v>
      </c>
      <c r="B2616" s="1">
        <v>45993</v>
      </c>
      <c r="C2616" t="s">
        <v>18</v>
      </c>
      <c r="D2616" t="s">
        <v>26</v>
      </c>
      <c r="E2616" t="s">
        <v>31</v>
      </c>
      <c r="F2616" t="s">
        <v>50</v>
      </c>
      <c r="G2616" t="s">
        <v>72</v>
      </c>
      <c r="H2616" t="s">
        <v>73</v>
      </c>
      <c r="I2616">
        <v>5</v>
      </c>
      <c r="J2616">
        <v>542</v>
      </c>
      <c r="K2616">
        <v>0.1</v>
      </c>
      <c r="L2616">
        <v>2439</v>
      </c>
      <c r="M2616">
        <v>1553.76</v>
      </c>
      <c r="N2616">
        <v>885.24</v>
      </c>
      <c r="O2616" t="s">
        <v>77</v>
      </c>
      <c r="P2616" t="s">
        <v>86</v>
      </c>
    </row>
    <row r="2617" spans="1:16" x14ac:dyDescent="0.25">
      <c r="A2617">
        <v>2616</v>
      </c>
      <c r="B2617" s="1">
        <v>45939</v>
      </c>
      <c r="C2617" t="s">
        <v>19</v>
      </c>
      <c r="D2617" t="s">
        <v>26</v>
      </c>
      <c r="E2617" t="s">
        <v>31</v>
      </c>
      <c r="F2617" t="s">
        <v>69</v>
      </c>
      <c r="G2617" t="s">
        <v>72</v>
      </c>
      <c r="H2617" t="s">
        <v>75</v>
      </c>
      <c r="I2617">
        <v>5</v>
      </c>
      <c r="J2617">
        <v>868</v>
      </c>
      <c r="K2617">
        <v>0.1</v>
      </c>
      <c r="L2617">
        <v>3906</v>
      </c>
      <c r="M2617">
        <v>2220.6999999999998</v>
      </c>
      <c r="N2617">
        <v>1685.3</v>
      </c>
      <c r="O2617" t="s">
        <v>77</v>
      </c>
      <c r="P2617" t="s">
        <v>85</v>
      </c>
    </row>
    <row r="2618" spans="1:16" x14ac:dyDescent="0.25">
      <c r="A2618">
        <v>2617</v>
      </c>
      <c r="B2618" s="1">
        <v>46019</v>
      </c>
      <c r="C2618" t="s">
        <v>20</v>
      </c>
      <c r="D2618" t="s">
        <v>26</v>
      </c>
      <c r="E2618" t="s">
        <v>32</v>
      </c>
      <c r="F2618" t="s">
        <v>39</v>
      </c>
      <c r="G2618" t="s">
        <v>72</v>
      </c>
      <c r="H2618" t="s">
        <v>74</v>
      </c>
      <c r="I2618">
        <v>6</v>
      </c>
      <c r="J2618">
        <v>4012</v>
      </c>
      <c r="K2618">
        <v>0.1</v>
      </c>
      <c r="L2618">
        <v>21664.799999999999</v>
      </c>
      <c r="M2618">
        <v>14922.2</v>
      </c>
      <c r="N2618">
        <v>6742.6</v>
      </c>
      <c r="O2618" t="s">
        <v>76</v>
      </c>
      <c r="P2618" t="s">
        <v>83</v>
      </c>
    </row>
    <row r="2619" spans="1:16" x14ac:dyDescent="0.25">
      <c r="A2619">
        <v>2618</v>
      </c>
      <c r="B2619" s="1">
        <v>45890</v>
      </c>
      <c r="C2619" t="s">
        <v>19</v>
      </c>
      <c r="D2619" t="s">
        <v>26</v>
      </c>
      <c r="E2619" t="s">
        <v>28</v>
      </c>
      <c r="F2619" t="s">
        <v>63</v>
      </c>
      <c r="G2619" t="s">
        <v>70</v>
      </c>
      <c r="H2619" t="s">
        <v>74</v>
      </c>
      <c r="I2619">
        <v>2</v>
      </c>
      <c r="J2619">
        <v>1926</v>
      </c>
      <c r="K2619">
        <v>0.05</v>
      </c>
      <c r="L2619">
        <v>3659.4</v>
      </c>
      <c r="M2619">
        <v>2239.15</v>
      </c>
      <c r="N2619">
        <v>1420.25</v>
      </c>
      <c r="O2619" t="s">
        <v>78</v>
      </c>
      <c r="P2619" t="s">
        <v>86</v>
      </c>
    </row>
    <row r="2620" spans="1:16" x14ac:dyDescent="0.25">
      <c r="A2620">
        <v>2619</v>
      </c>
      <c r="B2620" s="1">
        <v>45985</v>
      </c>
      <c r="C2620" t="s">
        <v>22</v>
      </c>
      <c r="D2620" t="s">
        <v>24</v>
      </c>
      <c r="E2620" t="s">
        <v>34</v>
      </c>
      <c r="F2620" t="s">
        <v>68</v>
      </c>
      <c r="G2620" t="s">
        <v>71</v>
      </c>
      <c r="H2620" t="s">
        <v>73</v>
      </c>
      <c r="I2620">
        <v>2</v>
      </c>
      <c r="J2620">
        <v>2426</v>
      </c>
      <c r="K2620">
        <v>0.05</v>
      </c>
      <c r="L2620">
        <v>4609.3999999999996</v>
      </c>
      <c r="M2620">
        <v>3194.6</v>
      </c>
      <c r="N2620">
        <v>1414.8</v>
      </c>
      <c r="O2620" t="s">
        <v>77</v>
      </c>
      <c r="P2620" t="s">
        <v>84</v>
      </c>
    </row>
    <row r="2621" spans="1:16" x14ac:dyDescent="0.25">
      <c r="A2621">
        <v>2620</v>
      </c>
      <c r="B2621" s="1">
        <v>45874</v>
      </c>
      <c r="C2621" t="s">
        <v>21</v>
      </c>
      <c r="D2621" t="s">
        <v>24</v>
      </c>
      <c r="E2621" t="s">
        <v>33</v>
      </c>
      <c r="F2621" t="s">
        <v>60</v>
      </c>
      <c r="G2621" t="s">
        <v>71</v>
      </c>
      <c r="H2621" t="s">
        <v>75</v>
      </c>
      <c r="I2621">
        <v>4</v>
      </c>
      <c r="J2621">
        <v>21060</v>
      </c>
      <c r="K2621">
        <v>0</v>
      </c>
      <c r="L2621">
        <v>84240</v>
      </c>
      <c r="M2621">
        <v>47292.46</v>
      </c>
      <c r="N2621">
        <v>36947.54</v>
      </c>
      <c r="O2621" t="s">
        <v>78</v>
      </c>
      <c r="P2621" t="s">
        <v>84</v>
      </c>
    </row>
    <row r="2622" spans="1:16" x14ac:dyDescent="0.25">
      <c r="A2622">
        <v>2621</v>
      </c>
      <c r="B2622" s="1">
        <v>45848</v>
      </c>
      <c r="C2622" t="s">
        <v>23</v>
      </c>
      <c r="D2622" t="s">
        <v>27</v>
      </c>
      <c r="E2622" t="s">
        <v>28</v>
      </c>
      <c r="F2622" t="s">
        <v>35</v>
      </c>
      <c r="G2622" t="s">
        <v>72</v>
      </c>
      <c r="H2622" t="s">
        <v>73</v>
      </c>
      <c r="I2622">
        <v>7</v>
      </c>
      <c r="J2622">
        <v>714</v>
      </c>
      <c r="K2622">
        <v>0</v>
      </c>
      <c r="L2622">
        <v>4998</v>
      </c>
      <c r="M2622">
        <v>3981.52</v>
      </c>
      <c r="N2622">
        <v>1016.48</v>
      </c>
      <c r="O2622" t="s">
        <v>76</v>
      </c>
      <c r="P2622" t="s">
        <v>88</v>
      </c>
    </row>
    <row r="2623" spans="1:16" x14ac:dyDescent="0.25">
      <c r="A2623">
        <v>2622</v>
      </c>
      <c r="B2623" s="1">
        <v>45847</v>
      </c>
      <c r="C2623" t="s">
        <v>20</v>
      </c>
      <c r="D2623" t="s">
        <v>26</v>
      </c>
      <c r="E2623" t="s">
        <v>31</v>
      </c>
      <c r="F2623" t="s">
        <v>69</v>
      </c>
      <c r="G2623" t="s">
        <v>71</v>
      </c>
      <c r="H2623" t="s">
        <v>74</v>
      </c>
      <c r="I2623">
        <v>8</v>
      </c>
      <c r="J2623">
        <v>1229</v>
      </c>
      <c r="K2623">
        <v>0.15</v>
      </c>
      <c r="L2623">
        <v>8357.2000000000007</v>
      </c>
      <c r="M2623">
        <v>5536.12</v>
      </c>
      <c r="N2623">
        <v>2821.08</v>
      </c>
      <c r="O2623" t="s">
        <v>79</v>
      </c>
      <c r="P2623" t="s">
        <v>84</v>
      </c>
    </row>
    <row r="2624" spans="1:16" x14ac:dyDescent="0.25">
      <c r="A2624">
        <v>2623</v>
      </c>
      <c r="B2624" s="1">
        <v>45976</v>
      </c>
      <c r="C2624" t="s">
        <v>20</v>
      </c>
      <c r="D2624" t="s">
        <v>26</v>
      </c>
      <c r="E2624" t="s">
        <v>31</v>
      </c>
      <c r="F2624" t="s">
        <v>47</v>
      </c>
      <c r="G2624" t="s">
        <v>72</v>
      </c>
      <c r="H2624" t="s">
        <v>74</v>
      </c>
      <c r="I2624">
        <v>5</v>
      </c>
      <c r="J2624">
        <v>644</v>
      </c>
      <c r="K2624">
        <v>0.15</v>
      </c>
      <c r="L2624">
        <v>2737</v>
      </c>
      <c r="M2624">
        <v>1762.54</v>
      </c>
      <c r="N2624">
        <v>974.46</v>
      </c>
      <c r="O2624" t="s">
        <v>76</v>
      </c>
      <c r="P2624" t="s">
        <v>83</v>
      </c>
    </row>
    <row r="2625" spans="1:16" x14ac:dyDescent="0.25">
      <c r="A2625">
        <v>2624</v>
      </c>
      <c r="B2625" s="1">
        <v>45672</v>
      </c>
      <c r="C2625" t="s">
        <v>23</v>
      </c>
      <c r="D2625" t="s">
        <v>27</v>
      </c>
      <c r="E2625" t="s">
        <v>28</v>
      </c>
      <c r="F2625" t="s">
        <v>63</v>
      </c>
      <c r="G2625" t="s">
        <v>70</v>
      </c>
      <c r="H2625" t="s">
        <v>75</v>
      </c>
      <c r="I2625">
        <v>8</v>
      </c>
      <c r="J2625">
        <v>83</v>
      </c>
      <c r="K2625">
        <v>0.05</v>
      </c>
      <c r="L2625">
        <v>630.79999999999995</v>
      </c>
      <c r="M2625">
        <v>431.77</v>
      </c>
      <c r="N2625">
        <v>199.03</v>
      </c>
      <c r="O2625" t="s">
        <v>77</v>
      </c>
      <c r="P2625" t="s">
        <v>84</v>
      </c>
    </row>
    <row r="2626" spans="1:16" x14ac:dyDescent="0.25">
      <c r="A2626">
        <v>2625</v>
      </c>
      <c r="B2626" s="1">
        <v>45879</v>
      </c>
      <c r="C2626" t="s">
        <v>20</v>
      </c>
      <c r="D2626" t="s">
        <v>26</v>
      </c>
      <c r="E2626" t="s">
        <v>34</v>
      </c>
      <c r="F2626" t="s">
        <v>51</v>
      </c>
      <c r="G2626" t="s">
        <v>70</v>
      </c>
      <c r="H2626" t="s">
        <v>73</v>
      </c>
      <c r="I2626">
        <v>6</v>
      </c>
      <c r="J2626">
        <v>3383</v>
      </c>
      <c r="K2626">
        <v>0.2</v>
      </c>
      <c r="L2626">
        <v>16238.4</v>
      </c>
      <c r="M2626">
        <v>13084.73</v>
      </c>
      <c r="N2626">
        <v>3153.67</v>
      </c>
      <c r="O2626" t="s">
        <v>78</v>
      </c>
      <c r="P2626" t="s">
        <v>87</v>
      </c>
    </row>
    <row r="2627" spans="1:16" x14ac:dyDescent="0.25">
      <c r="A2627">
        <v>2626</v>
      </c>
      <c r="B2627" s="1">
        <v>45889</v>
      </c>
      <c r="C2627" t="s">
        <v>21</v>
      </c>
      <c r="D2627" t="s">
        <v>24</v>
      </c>
      <c r="E2627" t="s">
        <v>32</v>
      </c>
      <c r="F2627" t="s">
        <v>39</v>
      </c>
      <c r="G2627" t="s">
        <v>70</v>
      </c>
      <c r="H2627" t="s">
        <v>73</v>
      </c>
      <c r="I2627">
        <v>5</v>
      </c>
      <c r="J2627">
        <v>14747</v>
      </c>
      <c r="K2627">
        <v>0.15</v>
      </c>
      <c r="L2627">
        <v>62674.75</v>
      </c>
      <c r="M2627">
        <v>47036.25</v>
      </c>
      <c r="N2627">
        <v>15638.5</v>
      </c>
      <c r="O2627" t="s">
        <v>77</v>
      </c>
      <c r="P2627" t="s">
        <v>86</v>
      </c>
    </row>
    <row r="2628" spans="1:16" x14ac:dyDescent="0.25">
      <c r="A2628">
        <v>2627</v>
      </c>
      <c r="B2628" s="1">
        <v>45883</v>
      </c>
      <c r="C2628" t="s">
        <v>20</v>
      </c>
      <c r="D2628" t="s">
        <v>26</v>
      </c>
      <c r="E2628" t="s">
        <v>31</v>
      </c>
      <c r="F2628" t="s">
        <v>67</v>
      </c>
      <c r="G2628" t="s">
        <v>71</v>
      </c>
      <c r="H2628" t="s">
        <v>75</v>
      </c>
      <c r="I2628">
        <v>1</v>
      </c>
      <c r="J2628">
        <v>1643</v>
      </c>
      <c r="K2628">
        <v>0</v>
      </c>
      <c r="L2628">
        <v>1643</v>
      </c>
      <c r="M2628">
        <v>1249.9100000000001</v>
      </c>
      <c r="N2628">
        <v>393.09</v>
      </c>
      <c r="O2628" t="s">
        <v>76</v>
      </c>
      <c r="P2628" t="s">
        <v>86</v>
      </c>
    </row>
    <row r="2629" spans="1:16" x14ac:dyDescent="0.25">
      <c r="A2629">
        <v>2628</v>
      </c>
      <c r="B2629" s="1">
        <v>45939</v>
      </c>
      <c r="C2629" t="s">
        <v>21</v>
      </c>
      <c r="D2629" t="s">
        <v>24</v>
      </c>
      <c r="E2629" t="s">
        <v>28</v>
      </c>
      <c r="F2629" t="s">
        <v>35</v>
      </c>
      <c r="G2629" t="s">
        <v>70</v>
      </c>
      <c r="H2629" t="s">
        <v>75</v>
      </c>
      <c r="I2629">
        <v>2</v>
      </c>
      <c r="J2629">
        <v>616</v>
      </c>
      <c r="K2629">
        <v>0.1</v>
      </c>
      <c r="L2629">
        <v>1108.8</v>
      </c>
      <c r="M2629">
        <v>794.59</v>
      </c>
      <c r="N2629">
        <v>314.20999999999998</v>
      </c>
      <c r="O2629" t="s">
        <v>76</v>
      </c>
      <c r="P2629" t="s">
        <v>82</v>
      </c>
    </row>
    <row r="2630" spans="1:16" x14ac:dyDescent="0.25">
      <c r="A2630">
        <v>2629</v>
      </c>
      <c r="B2630" s="1">
        <v>45697</v>
      </c>
      <c r="C2630" t="s">
        <v>17</v>
      </c>
      <c r="D2630" t="s">
        <v>25</v>
      </c>
      <c r="E2630" t="s">
        <v>30</v>
      </c>
      <c r="F2630" t="s">
        <v>37</v>
      </c>
      <c r="G2630" t="s">
        <v>70</v>
      </c>
      <c r="H2630" t="s">
        <v>73</v>
      </c>
      <c r="I2630">
        <v>7</v>
      </c>
      <c r="J2630">
        <v>22631</v>
      </c>
      <c r="K2630">
        <v>0.1</v>
      </c>
      <c r="L2630">
        <v>142575.29999999999</v>
      </c>
      <c r="M2630">
        <v>102491.1</v>
      </c>
      <c r="N2630">
        <v>40084.199999999997</v>
      </c>
      <c r="O2630" t="s">
        <v>79</v>
      </c>
      <c r="P2630" t="s">
        <v>88</v>
      </c>
    </row>
    <row r="2631" spans="1:16" x14ac:dyDescent="0.25">
      <c r="A2631">
        <v>2630</v>
      </c>
      <c r="B2631" s="1">
        <v>45991</v>
      </c>
      <c r="C2631" t="s">
        <v>16</v>
      </c>
      <c r="D2631" t="s">
        <v>24</v>
      </c>
      <c r="E2631" t="s">
        <v>34</v>
      </c>
      <c r="F2631" t="s">
        <v>51</v>
      </c>
      <c r="G2631" t="s">
        <v>70</v>
      </c>
      <c r="H2631" t="s">
        <v>75</v>
      </c>
      <c r="I2631">
        <v>4</v>
      </c>
      <c r="J2631">
        <v>2019</v>
      </c>
      <c r="K2631">
        <v>0.05</v>
      </c>
      <c r="L2631">
        <v>7672.2</v>
      </c>
      <c r="M2631">
        <v>4420.08</v>
      </c>
      <c r="N2631">
        <v>3252.12</v>
      </c>
      <c r="O2631" t="s">
        <v>78</v>
      </c>
      <c r="P2631" t="s">
        <v>83</v>
      </c>
    </row>
    <row r="2632" spans="1:16" x14ac:dyDescent="0.25">
      <c r="A2632">
        <v>2631</v>
      </c>
      <c r="B2632" s="1">
        <v>45681</v>
      </c>
      <c r="C2632" t="s">
        <v>23</v>
      </c>
      <c r="D2632" t="s">
        <v>27</v>
      </c>
      <c r="E2632" t="s">
        <v>28</v>
      </c>
      <c r="F2632" t="s">
        <v>54</v>
      </c>
      <c r="G2632" t="s">
        <v>70</v>
      </c>
      <c r="H2632" t="s">
        <v>75</v>
      </c>
      <c r="I2632">
        <v>7</v>
      </c>
      <c r="J2632">
        <v>2154</v>
      </c>
      <c r="K2632">
        <v>0</v>
      </c>
      <c r="L2632">
        <v>15078</v>
      </c>
      <c r="M2632">
        <v>11955.08</v>
      </c>
      <c r="N2632">
        <v>3122.92</v>
      </c>
      <c r="O2632" t="s">
        <v>76</v>
      </c>
      <c r="P2632" t="s">
        <v>88</v>
      </c>
    </row>
    <row r="2633" spans="1:16" x14ac:dyDescent="0.25">
      <c r="A2633">
        <v>2632</v>
      </c>
      <c r="B2633" s="1">
        <v>45730</v>
      </c>
      <c r="C2633" t="s">
        <v>19</v>
      </c>
      <c r="D2633" t="s">
        <v>26</v>
      </c>
      <c r="E2633" t="s">
        <v>32</v>
      </c>
      <c r="F2633" t="s">
        <v>66</v>
      </c>
      <c r="G2633" t="s">
        <v>72</v>
      </c>
      <c r="H2633" t="s">
        <v>73</v>
      </c>
      <c r="I2633">
        <v>7</v>
      </c>
      <c r="J2633">
        <v>14081</v>
      </c>
      <c r="K2633">
        <v>0</v>
      </c>
      <c r="L2633">
        <v>98567</v>
      </c>
      <c r="M2633">
        <v>85880.29</v>
      </c>
      <c r="N2633">
        <v>12686.71</v>
      </c>
      <c r="O2633" t="s">
        <v>76</v>
      </c>
      <c r="P2633" t="s">
        <v>88</v>
      </c>
    </row>
    <row r="2634" spans="1:16" x14ac:dyDescent="0.25">
      <c r="A2634">
        <v>2633</v>
      </c>
      <c r="B2634" s="1">
        <v>45954</v>
      </c>
      <c r="C2634" t="s">
        <v>20</v>
      </c>
      <c r="D2634" t="s">
        <v>26</v>
      </c>
      <c r="E2634" t="s">
        <v>28</v>
      </c>
      <c r="F2634" t="s">
        <v>58</v>
      </c>
      <c r="G2634" t="s">
        <v>70</v>
      </c>
      <c r="H2634" t="s">
        <v>73</v>
      </c>
      <c r="I2634">
        <v>2</v>
      </c>
      <c r="J2634">
        <v>1720</v>
      </c>
      <c r="K2634">
        <v>0.05</v>
      </c>
      <c r="L2634">
        <v>3268</v>
      </c>
      <c r="M2634">
        <v>2775.84</v>
      </c>
      <c r="N2634">
        <v>492.16</v>
      </c>
      <c r="O2634" t="s">
        <v>76</v>
      </c>
      <c r="P2634" t="s">
        <v>86</v>
      </c>
    </row>
    <row r="2635" spans="1:16" x14ac:dyDescent="0.25">
      <c r="A2635">
        <v>2634</v>
      </c>
      <c r="B2635" s="1">
        <v>45762</v>
      </c>
      <c r="C2635" t="s">
        <v>23</v>
      </c>
      <c r="D2635" t="s">
        <v>27</v>
      </c>
      <c r="E2635" t="s">
        <v>32</v>
      </c>
      <c r="F2635" t="s">
        <v>62</v>
      </c>
      <c r="G2635" t="s">
        <v>70</v>
      </c>
      <c r="H2635" t="s">
        <v>74</v>
      </c>
      <c r="I2635">
        <v>8</v>
      </c>
      <c r="J2635">
        <v>1551</v>
      </c>
      <c r="K2635">
        <v>0</v>
      </c>
      <c r="L2635">
        <v>12408</v>
      </c>
      <c r="M2635">
        <v>9450.34</v>
      </c>
      <c r="N2635">
        <v>2957.66</v>
      </c>
      <c r="O2635" t="s">
        <v>80</v>
      </c>
      <c r="P2635" t="s">
        <v>83</v>
      </c>
    </row>
    <row r="2636" spans="1:16" x14ac:dyDescent="0.25">
      <c r="A2636">
        <v>2635</v>
      </c>
      <c r="B2636" s="1">
        <v>45910</v>
      </c>
      <c r="C2636" t="s">
        <v>20</v>
      </c>
      <c r="D2636" t="s">
        <v>26</v>
      </c>
      <c r="E2636" t="s">
        <v>29</v>
      </c>
      <c r="F2636" t="s">
        <v>57</v>
      </c>
      <c r="G2636" t="s">
        <v>71</v>
      </c>
      <c r="H2636" t="s">
        <v>75</v>
      </c>
      <c r="I2636">
        <v>1</v>
      </c>
      <c r="J2636">
        <v>9008</v>
      </c>
      <c r="K2636">
        <v>0.05</v>
      </c>
      <c r="L2636">
        <v>8557.6</v>
      </c>
      <c r="M2636">
        <v>6159.28</v>
      </c>
      <c r="N2636">
        <v>2398.3200000000002</v>
      </c>
      <c r="O2636" t="s">
        <v>80</v>
      </c>
      <c r="P2636" t="s">
        <v>82</v>
      </c>
    </row>
    <row r="2637" spans="1:16" x14ac:dyDescent="0.25">
      <c r="A2637">
        <v>2636</v>
      </c>
      <c r="B2637" s="1">
        <v>45881</v>
      </c>
      <c r="C2637" t="s">
        <v>16</v>
      </c>
      <c r="D2637" t="s">
        <v>24</v>
      </c>
      <c r="E2637" t="s">
        <v>29</v>
      </c>
      <c r="F2637" t="s">
        <v>53</v>
      </c>
      <c r="G2637" t="s">
        <v>71</v>
      </c>
      <c r="H2637" t="s">
        <v>74</v>
      </c>
      <c r="I2637">
        <v>3</v>
      </c>
      <c r="J2637">
        <v>6880</v>
      </c>
      <c r="K2637">
        <v>0</v>
      </c>
      <c r="L2637">
        <v>20640</v>
      </c>
      <c r="M2637">
        <v>11619.44</v>
      </c>
      <c r="N2637">
        <v>9020.56</v>
      </c>
      <c r="O2637" t="s">
        <v>77</v>
      </c>
      <c r="P2637" t="s">
        <v>86</v>
      </c>
    </row>
    <row r="2638" spans="1:16" x14ac:dyDescent="0.25">
      <c r="A2638">
        <v>2637</v>
      </c>
      <c r="B2638" s="1">
        <v>45938</v>
      </c>
      <c r="C2638" t="s">
        <v>23</v>
      </c>
      <c r="D2638" t="s">
        <v>27</v>
      </c>
      <c r="E2638" t="s">
        <v>33</v>
      </c>
      <c r="F2638" t="s">
        <v>46</v>
      </c>
      <c r="G2638" t="s">
        <v>70</v>
      </c>
      <c r="H2638" t="s">
        <v>75</v>
      </c>
      <c r="I2638">
        <v>8</v>
      </c>
      <c r="J2638">
        <v>23002</v>
      </c>
      <c r="K2638">
        <v>0.1</v>
      </c>
      <c r="L2638">
        <v>165614.39999999999</v>
      </c>
      <c r="M2638">
        <v>121269.05</v>
      </c>
      <c r="N2638">
        <v>44345.35</v>
      </c>
      <c r="O2638" t="s">
        <v>78</v>
      </c>
      <c r="P2638" t="s">
        <v>81</v>
      </c>
    </row>
    <row r="2639" spans="1:16" x14ac:dyDescent="0.25">
      <c r="A2639">
        <v>2638</v>
      </c>
      <c r="B2639" s="1">
        <v>45884</v>
      </c>
      <c r="C2639" t="s">
        <v>21</v>
      </c>
      <c r="D2639" t="s">
        <v>24</v>
      </c>
      <c r="E2639" t="s">
        <v>28</v>
      </c>
      <c r="F2639" t="s">
        <v>35</v>
      </c>
      <c r="G2639" t="s">
        <v>72</v>
      </c>
      <c r="H2639" t="s">
        <v>73</v>
      </c>
      <c r="I2639">
        <v>3</v>
      </c>
      <c r="J2639">
        <v>1660</v>
      </c>
      <c r="K2639">
        <v>0</v>
      </c>
      <c r="L2639">
        <v>4980</v>
      </c>
      <c r="M2639">
        <v>3932.05</v>
      </c>
      <c r="N2639">
        <v>1047.95</v>
      </c>
      <c r="O2639" t="s">
        <v>80</v>
      </c>
      <c r="P2639" t="s">
        <v>81</v>
      </c>
    </row>
    <row r="2640" spans="1:16" x14ac:dyDescent="0.25">
      <c r="A2640">
        <v>2639</v>
      </c>
      <c r="B2640" s="1">
        <v>45957</v>
      </c>
      <c r="C2640" t="s">
        <v>20</v>
      </c>
      <c r="D2640" t="s">
        <v>26</v>
      </c>
      <c r="E2640" t="s">
        <v>33</v>
      </c>
      <c r="F2640" t="s">
        <v>60</v>
      </c>
      <c r="G2640" t="s">
        <v>71</v>
      </c>
      <c r="H2640" t="s">
        <v>73</v>
      </c>
      <c r="I2640">
        <v>3</v>
      </c>
      <c r="J2640">
        <v>11623</v>
      </c>
      <c r="K2640">
        <v>0.15</v>
      </c>
      <c r="L2640">
        <v>29638.65</v>
      </c>
      <c r="M2640">
        <v>26071.91</v>
      </c>
      <c r="N2640">
        <v>3566.74</v>
      </c>
      <c r="O2640" t="s">
        <v>78</v>
      </c>
      <c r="P2640" t="s">
        <v>82</v>
      </c>
    </row>
    <row r="2641" spans="1:16" x14ac:dyDescent="0.25">
      <c r="A2641">
        <v>2640</v>
      </c>
      <c r="B2641" s="1">
        <v>45779</v>
      </c>
      <c r="C2641" t="s">
        <v>20</v>
      </c>
      <c r="D2641" t="s">
        <v>26</v>
      </c>
      <c r="E2641" t="s">
        <v>30</v>
      </c>
      <c r="F2641" t="s">
        <v>56</v>
      </c>
      <c r="G2641" t="s">
        <v>71</v>
      </c>
      <c r="H2641" t="s">
        <v>75</v>
      </c>
      <c r="I2641">
        <v>7</v>
      </c>
      <c r="J2641">
        <v>36778</v>
      </c>
      <c r="K2641">
        <v>0.05</v>
      </c>
      <c r="L2641">
        <v>244573.7</v>
      </c>
      <c r="M2641">
        <v>153294.70000000001</v>
      </c>
      <c r="N2641">
        <v>91279</v>
      </c>
      <c r="O2641" t="s">
        <v>78</v>
      </c>
      <c r="P2641" t="s">
        <v>83</v>
      </c>
    </row>
    <row r="2642" spans="1:16" x14ac:dyDescent="0.25">
      <c r="A2642">
        <v>2641</v>
      </c>
      <c r="B2642" s="1">
        <v>45789</v>
      </c>
      <c r="C2642" t="s">
        <v>20</v>
      </c>
      <c r="D2642" t="s">
        <v>26</v>
      </c>
      <c r="E2642" t="s">
        <v>30</v>
      </c>
      <c r="F2642" t="s">
        <v>40</v>
      </c>
      <c r="G2642" t="s">
        <v>71</v>
      </c>
      <c r="H2642" t="s">
        <v>73</v>
      </c>
      <c r="I2642">
        <v>1</v>
      </c>
      <c r="J2642">
        <v>29077</v>
      </c>
      <c r="K2642">
        <v>0.1</v>
      </c>
      <c r="L2642">
        <v>26169.3</v>
      </c>
      <c r="M2642">
        <v>17343.72</v>
      </c>
      <c r="N2642">
        <v>8825.58</v>
      </c>
      <c r="O2642" t="s">
        <v>79</v>
      </c>
      <c r="P2642" t="s">
        <v>83</v>
      </c>
    </row>
    <row r="2643" spans="1:16" x14ac:dyDescent="0.25">
      <c r="A2643">
        <v>2642</v>
      </c>
      <c r="B2643" s="1">
        <v>46006</v>
      </c>
      <c r="C2643" t="s">
        <v>16</v>
      </c>
      <c r="D2643" t="s">
        <v>24</v>
      </c>
      <c r="E2643" t="s">
        <v>30</v>
      </c>
      <c r="F2643" t="s">
        <v>56</v>
      </c>
      <c r="G2643" t="s">
        <v>72</v>
      </c>
      <c r="H2643" t="s">
        <v>75</v>
      </c>
      <c r="I2643">
        <v>1</v>
      </c>
      <c r="J2643">
        <v>27034</v>
      </c>
      <c r="K2643">
        <v>0.15</v>
      </c>
      <c r="L2643">
        <v>22978.9</v>
      </c>
      <c r="M2643">
        <v>17043.419999999998</v>
      </c>
      <c r="N2643">
        <v>5935.48</v>
      </c>
      <c r="O2643" t="s">
        <v>80</v>
      </c>
      <c r="P2643" t="s">
        <v>88</v>
      </c>
    </row>
    <row r="2644" spans="1:16" x14ac:dyDescent="0.25">
      <c r="A2644">
        <v>2643</v>
      </c>
      <c r="B2644" s="1">
        <v>45742</v>
      </c>
      <c r="C2644" t="s">
        <v>19</v>
      </c>
      <c r="D2644" t="s">
        <v>26</v>
      </c>
      <c r="E2644" t="s">
        <v>32</v>
      </c>
      <c r="F2644" t="s">
        <v>49</v>
      </c>
      <c r="G2644" t="s">
        <v>72</v>
      </c>
      <c r="H2644" t="s">
        <v>74</v>
      </c>
      <c r="I2644">
        <v>4</v>
      </c>
      <c r="J2644">
        <v>12529</v>
      </c>
      <c r="K2644">
        <v>0.05</v>
      </c>
      <c r="L2644">
        <v>47610.2</v>
      </c>
      <c r="M2644">
        <v>31458.67</v>
      </c>
      <c r="N2644">
        <v>16151.53</v>
      </c>
      <c r="O2644" t="s">
        <v>80</v>
      </c>
      <c r="P2644" t="s">
        <v>88</v>
      </c>
    </row>
    <row r="2645" spans="1:16" x14ac:dyDescent="0.25">
      <c r="A2645">
        <v>2644</v>
      </c>
      <c r="B2645" s="1">
        <v>45715</v>
      </c>
      <c r="C2645" t="s">
        <v>20</v>
      </c>
      <c r="D2645" t="s">
        <v>26</v>
      </c>
      <c r="E2645" t="s">
        <v>33</v>
      </c>
      <c r="F2645" t="s">
        <v>52</v>
      </c>
      <c r="G2645" t="s">
        <v>72</v>
      </c>
      <c r="H2645" t="s">
        <v>74</v>
      </c>
      <c r="I2645">
        <v>4</v>
      </c>
      <c r="J2645">
        <v>12513</v>
      </c>
      <c r="K2645">
        <v>0.15</v>
      </c>
      <c r="L2645">
        <v>42544.2</v>
      </c>
      <c r="M2645">
        <v>29314.98</v>
      </c>
      <c r="N2645">
        <v>13229.22</v>
      </c>
      <c r="O2645" t="s">
        <v>80</v>
      </c>
      <c r="P2645" t="s">
        <v>81</v>
      </c>
    </row>
    <row r="2646" spans="1:16" x14ac:dyDescent="0.25">
      <c r="A2646">
        <v>2645</v>
      </c>
      <c r="B2646" s="1">
        <v>45952</v>
      </c>
      <c r="C2646" t="s">
        <v>21</v>
      </c>
      <c r="D2646" t="s">
        <v>24</v>
      </c>
      <c r="E2646" t="s">
        <v>31</v>
      </c>
      <c r="F2646" t="s">
        <v>47</v>
      </c>
      <c r="G2646" t="s">
        <v>72</v>
      </c>
      <c r="H2646" t="s">
        <v>73</v>
      </c>
      <c r="I2646">
        <v>3</v>
      </c>
      <c r="J2646">
        <v>1377</v>
      </c>
      <c r="K2646">
        <v>0.05</v>
      </c>
      <c r="L2646">
        <v>3924.45</v>
      </c>
      <c r="M2646">
        <v>3079.04</v>
      </c>
      <c r="N2646">
        <v>845.41</v>
      </c>
      <c r="O2646" t="s">
        <v>77</v>
      </c>
      <c r="P2646" t="s">
        <v>83</v>
      </c>
    </row>
    <row r="2647" spans="1:16" x14ac:dyDescent="0.25">
      <c r="A2647">
        <v>2646</v>
      </c>
      <c r="B2647" s="1">
        <v>45763</v>
      </c>
      <c r="C2647" t="s">
        <v>20</v>
      </c>
      <c r="D2647" t="s">
        <v>26</v>
      </c>
      <c r="E2647" t="s">
        <v>32</v>
      </c>
      <c r="F2647" t="s">
        <v>39</v>
      </c>
      <c r="G2647" t="s">
        <v>70</v>
      </c>
      <c r="H2647" t="s">
        <v>74</v>
      </c>
      <c r="I2647">
        <v>6</v>
      </c>
      <c r="J2647">
        <v>6853</v>
      </c>
      <c r="K2647">
        <v>0.1</v>
      </c>
      <c r="L2647">
        <v>37006.199999999997</v>
      </c>
      <c r="M2647">
        <v>30687.64</v>
      </c>
      <c r="N2647">
        <v>6318.56</v>
      </c>
      <c r="O2647" t="s">
        <v>80</v>
      </c>
      <c r="P2647" t="s">
        <v>84</v>
      </c>
    </row>
    <row r="2648" spans="1:16" x14ac:dyDescent="0.25">
      <c r="A2648">
        <v>2647</v>
      </c>
      <c r="B2648" s="1">
        <v>46007</v>
      </c>
      <c r="C2648" t="s">
        <v>18</v>
      </c>
      <c r="D2648" t="s">
        <v>26</v>
      </c>
      <c r="E2648" t="s">
        <v>34</v>
      </c>
      <c r="F2648" t="s">
        <v>68</v>
      </c>
      <c r="G2648" t="s">
        <v>71</v>
      </c>
      <c r="H2648" t="s">
        <v>75</v>
      </c>
      <c r="I2648">
        <v>3</v>
      </c>
      <c r="J2648">
        <v>3108</v>
      </c>
      <c r="K2648">
        <v>0.05</v>
      </c>
      <c r="L2648">
        <v>8857.7999999999993</v>
      </c>
      <c r="M2648">
        <v>5733.88</v>
      </c>
      <c r="N2648">
        <v>3123.92</v>
      </c>
      <c r="O2648" t="s">
        <v>76</v>
      </c>
      <c r="P2648" t="s">
        <v>88</v>
      </c>
    </row>
    <row r="2649" spans="1:16" x14ac:dyDescent="0.25">
      <c r="A2649">
        <v>2648</v>
      </c>
      <c r="B2649" s="1">
        <v>45875</v>
      </c>
      <c r="C2649" t="s">
        <v>20</v>
      </c>
      <c r="D2649" t="s">
        <v>26</v>
      </c>
      <c r="E2649" t="s">
        <v>31</v>
      </c>
      <c r="F2649" t="s">
        <v>47</v>
      </c>
      <c r="G2649" t="s">
        <v>72</v>
      </c>
      <c r="H2649" t="s">
        <v>75</v>
      </c>
      <c r="I2649">
        <v>4</v>
      </c>
      <c r="J2649">
        <v>524</v>
      </c>
      <c r="K2649">
        <v>0</v>
      </c>
      <c r="L2649">
        <v>2096</v>
      </c>
      <c r="M2649">
        <v>1694.27</v>
      </c>
      <c r="N2649">
        <v>401.73</v>
      </c>
      <c r="O2649" t="s">
        <v>77</v>
      </c>
      <c r="P2649" t="s">
        <v>84</v>
      </c>
    </row>
    <row r="2650" spans="1:16" x14ac:dyDescent="0.25">
      <c r="A2650">
        <v>2649</v>
      </c>
      <c r="B2650" s="1">
        <v>45793</v>
      </c>
      <c r="C2650" t="s">
        <v>23</v>
      </c>
      <c r="D2650" t="s">
        <v>27</v>
      </c>
      <c r="E2650" t="s">
        <v>30</v>
      </c>
      <c r="F2650" t="s">
        <v>64</v>
      </c>
      <c r="G2650" t="s">
        <v>72</v>
      </c>
      <c r="H2650" t="s">
        <v>74</v>
      </c>
      <c r="I2650">
        <v>2</v>
      </c>
      <c r="J2650">
        <v>41130</v>
      </c>
      <c r="K2650">
        <v>0.05</v>
      </c>
      <c r="L2650">
        <v>78147</v>
      </c>
      <c r="M2650">
        <v>66740.42</v>
      </c>
      <c r="N2650">
        <v>11406.58</v>
      </c>
      <c r="O2650" t="s">
        <v>78</v>
      </c>
      <c r="P2650" t="s">
        <v>83</v>
      </c>
    </row>
    <row r="2651" spans="1:16" x14ac:dyDescent="0.25">
      <c r="A2651">
        <v>2650</v>
      </c>
      <c r="B2651" s="1">
        <v>45747</v>
      </c>
      <c r="C2651" t="s">
        <v>23</v>
      </c>
      <c r="D2651" t="s">
        <v>27</v>
      </c>
      <c r="E2651" t="s">
        <v>29</v>
      </c>
      <c r="F2651" t="s">
        <v>53</v>
      </c>
      <c r="G2651" t="s">
        <v>72</v>
      </c>
      <c r="H2651" t="s">
        <v>75</v>
      </c>
      <c r="I2651">
        <v>5</v>
      </c>
      <c r="J2651">
        <v>10133</v>
      </c>
      <c r="K2651">
        <v>0.1</v>
      </c>
      <c r="L2651">
        <v>45598.5</v>
      </c>
      <c r="M2651">
        <v>32640.97</v>
      </c>
      <c r="N2651">
        <v>12957.53</v>
      </c>
      <c r="O2651" t="s">
        <v>77</v>
      </c>
      <c r="P2651" t="s">
        <v>86</v>
      </c>
    </row>
    <row r="2652" spans="1:16" x14ac:dyDescent="0.25">
      <c r="A2652">
        <v>2651</v>
      </c>
      <c r="B2652" s="1">
        <v>45845</v>
      </c>
      <c r="C2652" t="s">
        <v>23</v>
      </c>
      <c r="D2652" t="s">
        <v>27</v>
      </c>
      <c r="E2652" t="s">
        <v>33</v>
      </c>
      <c r="F2652" t="s">
        <v>59</v>
      </c>
      <c r="G2652" t="s">
        <v>70</v>
      </c>
      <c r="H2652" t="s">
        <v>73</v>
      </c>
      <c r="I2652">
        <v>6</v>
      </c>
      <c r="J2652">
        <v>33537</v>
      </c>
      <c r="K2652">
        <v>0.05</v>
      </c>
      <c r="L2652">
        <v>191160.9</v>
      </c>
      <c r="M2652">
        <v>164861.74</v>
      </c>
      <c r="N2652">
        <v>26299.16</v>
      </c>
      <c r="O2652" t="s">
        <v>78</v>
      </c>
      <c r="P2652" t="s">
        <v>87</v>
      </c>
    </row>
    <row r="2653" spans="1:16" x14ac:dyDescent="0.25">
      <c r="A2653">
        <v>2652</v>
      </c>
      <c r="B2653" s="1">
        <v>45937</v>
      </c>
      <c r="C2653" t="s">
        <v>20</v>
      </c>
      <c r="D2653" t="s">
        <v>26</v>
      </c>
      <c r="E2653" t="s">
        <v>33</v>
      </c>
      <c r="F2653" t="s">
        <v>41</v>
      </c>
      <c r="G2653" t="s">
        <v>72</v>
      </c>
      <c r="H2653" t="s">
        <v>74</v>
      </c>
      <c r="I2653">
        <v>6</v>
      </c>
      <c r="J2653">
        <v>44626</v>
      </c>
      <c r="K2653">
        <v>0.15</v>
      </c>
      <c r="L2653">
        <v>227592.6</v>
      </c>
      <c r="M2653">
        <v>148185.81</v>
      </c>
      <c r="N2653">
        <v>79406.789999999994</v>
      </c>
      <c r="O2653" t="s">
        <v>78</v>
      </c>
      <c r="P2653" t="s">
        <v>87</v>
      </c>
    </row>
    <row r="2654" spans="1:16" x14ac:dyDescent="0.25">
      <c r="A2654">
        <v>2653</v>
      </c>
      <c r="B2654" s="1">
        <v>45789</v>
      </c>
      <c r="C2654" t="s">
        <v>17</v>
      </c>
      <c r="D2654" t="s">
        <v>25</v>
      </c>
      <c r="E2654" t="s">
        <v>28</v>
      </c>
      <c r="F2654" t="s">
        <v>58</v>
      </c>
      <c r="G2654" t="s">
        <v>72</v>
      </c>
      <c r="H2654" t="s">
        <v>73</v>
      </c>
      <c r="I2654">
        <v>8</v>
      </c>
      <c r="J2654">
        <v>97</v>
      </c>
      <c r="K2654">
        <v>0</v>
      </c>
      <c r="L2654">
        <v>776</v>
      </c>
      <c r="M2654">
        <v>474.24</v>
      </c>
      <c r="N2654">
        <v>301.76</v>
      </c>
      <c r="O2654" t="s">
        <v>79</v>
      </c>
      <c r="P2654" t="s">
        <v>83</v>
      </c>
    </row>
    <row r="2655" spans="1:16" x14ac:dyDescent="0.25">
      <c r="A2655">
        <v>2654</v>
      </c>
      <c r="B2655" s="1">
        <v>45800</v>
      </c>
      <c r="C2655" t="s">
        <v>22</v>
      </c>
      <c r="D2655" t="s">
        <v>24</v>
      </c>
      <c r="E2655" t="s">
        <v>31</v>
      </c>
      <c r="F2655" t="s">
        <v>38</v>
      </c>
      <c r="G2655" t="s">
        <v>71</v>
      </c>
      <c r="H2655" t="s">
        <v>73</v>
      </c>
      <c r="I2655">
        <v>7</v>
      </c>
      <c r="J2655">
        <v>182</v>
      </c>
      <c r="K2655">
        <v>0.2</v>
      </c>
      <c r="L2655">
        <v>1019.2</v>
      </c>
      <c r="M2655">
        <v>851.68</v>
      </c>
      <c r="N2655">
        <v>167.52</v>
      </c>
      <c r="O2655" t="s">
        <v>80</v>
      </c>
      <c r="P2655" t="s">
        <v>84</v>
      </c>
    </row>
    <row r="2656" spans="1:16" x14ac:dyDescent="0.25">
      <c r="A2656">
        <v>2655</v>
      </c>
      <c r="B2656" s="1">
        <v>45763</v>
      </c>
      <c r="C2656" t="s">
        <v>21</v>
      </c>
      <c r="D2656" t="s">
        <v>24</v>
      </c>
      <c r="E2656" t="s">
        <v>30</v>
      </c>
      <c r="F2656" t="s">
        <v>40</v>
      </c>
      <c r="G2656" t="s">
        <v>70</v>
      </c>
      <c r="H2656" t="s">
        <v>73</v>
      </c>
      <c r="I2656">
        <v>7</v>
      </c>
      <c r="J2656">
        <v>66525</v>
      </c>
      <c r="K2656">
        <v>0</v>
      </c>
      <c r="L2656">
        <v>465675</v>
      </c>
      <c r="M2656">
        <v>349991.31</v>
      </c>
      <c r="N2656">
        <v>115683.69</v>
      </c>
      <c r="O2656" t="s">
        <v>77</v>
      </c>
      <c r="P2656" t="s">
        <v>84</v>
      </c>
    </row>
    <row r="2657" spans="1:16" x14ac:dyDescent="0.25">
      <c r="A2657">
        <v>2656</v>
      </c>
      <c r="B2657" s="1">
        <v>45692</v>
      </c>
      <c r="C2657" t="s">
        <v>21</v>
      </c>
      <c r="D2657" t="s">
        <v>24</v>
      </c>
      <c r="E2657" t="s">
        <v>34</v>
      </c>
      <c r="F2657" t="s">
        <v>43</v>
      </c>
      <c r="G2657" t="s">
        <v>70</v>
      </c>
      <c r="H2657" t="s">
        <v>74</v>
      </c>
      <c r="I2657">
        <v>4</v>
      </c>
      <c r="J2657">
        <v>5833</v>
      </c>
      <c r="K2657">
        <v>0.05</v>
      </c>
      <c r="L2657">
        <v>22165.4</v>
      </c>
      <c r="M2657">
        <v>13066.25</v>
      </c>
      <c r="N2657">
        <v>9099.15</v>
      </c>
      <c r="O2657" t="s">
        <v>79</v>
      </c>
      <c r="P2657" t="s">
        <v>82</v>
      </c>
    </row>
    <row r="2658" spans="1:16" x14ac:dyDescent="0.25">
      <c r="A2658">
        <v>2657</v>
      </c>
      <c r="B2658" s="1">
        <v>45945</v>
      </c>
      <c r="C2658" t="s">
        <v>22</v>
      </c>
      <c r="D2658" t="s">
        <v>24</v>
      </c>
      <c r="E2658" t="s">
        <v>28</v>
      </c>
      <c r="F2658" t="s">
        <v>63</v>
      </c>
      <c r="G2658" t="s">
        <v>72</v>
      </c>
      <c r="H2658" t="s">
        <v>75</v>
      </c>
      <c r="I2658">
        <v>8</v>
      </c>
      <c r="J2658">
        <v>1199</v>
      </c>
      <c r="K2658">
        <v>0.1</v>
      </c>
      <c r="L2658">
        <v>8632.7999999999993</v>
      </c>
      <c r="M2658">
        <v>5602.76</v>
      </c>
      <c r="N2658">
        <v>3030.04</v>
      </c>
      <c r="O2658" t="s">
        <v>76</v>
      </c>
      <c r="P2658" t="s">
        <v>84</v>
      </c>
    </row>
    <row r="2659" spans="1:16" x14ac:dyDescent="0.25">
      <c r="A2659">
        <v>2658</v>
      </c>
      <c r="B2659" s="1">
        <v>45795</v>
      </c>
      <c r="C2659" t="s">
        <v>20</v>
      </c>
      <c r="D2659" t="s">
        <v>26</v>
      </c>
      <c r="E2659" t="s">
        <v>30</v>
      </c>
      <c r="F2659" t="s">
        <v>56</v>
      </c>
      <c r="G2659" t="s">
        <v>71</v>
      </c>
      <c r="H2659" t="s">
        <v>73</v>
      </c>
      <c r="I2659">
        <v>1</v>
      </c>
      <c r="J2659">
        <v>28735</v>
      </c>
      <c r="K2659">
        <v>0.15</v>
      </c>
      <c r="L2659">
        <v>24424.75</v>
      </c>
      <c r="M2659">
        <v>15003.82</v>
      </c>
      <c r="N2659">
        <v>9420.93</v>
      </c>
      <c r="O2659" t="s">
        <v>80</v>
      </c>
      <c r="P2659" t="s">
        <v>81</v>
      </c>
    </row>
    <row r="2660" spans="1:16" x14ac:dyDescent="0.25">
      <c r="A2660">
        <v>2659</v>
      </c>
      <c r="B2660" s="1">
        <v>45950</v>
      </c>
      <c r="C2660" t="s">
        <v>20</v>
      </c>
      <c r="D2660" t="s">
        <v>26</v>
      </c>
      <c r="E2660" t="s">
        <v>31</v>
      </c>
      <c r="F2660" t="s">
        <v>50</v>
      </c>
      <c r="G2660" t="s">
        <v>71</v>
      </c>
      <c r="H2660" t="s">
        <v>75</v>
      </c>
      <c r="I2660">
        <v>8</v>
      </c>
      <c r="J2660">
        <v>415</v>
      </c>
      <c r="K2660">
        <v>0</v>
      </c>
      <c r="L2660">
        <v>3320</v>
      </c>
      <c r="M2660">
        <v>2677.43</v>
      </c>
      <c r="N2660">
        <v>642.57000000000005</v>
      </c>
      <c r="O2660" t="s">
        <v>78</v>
      </c>
      <c r="P2660" t="s">
        <v>85</v>
      </c>
    </row>
    <row r="2661" spans="1:16" x14ac:dyDescent="0.25">
      <c r="A2661">
        <v>2660</v>
      </c>
      <c r="B2661" s="1">
        <v>45993</v>
      </c>
      <c r="C2661" t="s">
        <v>18</v>
      </c>
      <c r="D2661" t="s">
        <v>26</v>
      </c>
      <c r="E2661" t="s">
        <v>28</v>
      </c>
      <c r="F2661" t="s">
        <v>58</v>
      </c>
      <c r="G2661" t="s">
        <v>71</v>
      </c>
      <c r="H2661" t="s">
        <v>74</v>
      </c>
      <c r="I2661">
        <v>7</v>
      </c>
      <c r="J2661">
        <v>2010</v>
      </c>
      <c r="K2661">
        <v>0.1</v>
      </c>
      <c r="L2661">
        <v>12663</v>
      </c>
      <c r="M2661">
        <v>8263.24</v>
      </c>
      <c r="N2661">
        <v>4399.76</v>
      </c>
      <c r="O2661" t="s">
        <v>78</v>
      </c>
      <c r="P2661" t="s">
        <v>83</v>
      </c>
    </row>
    <row r="2662" spans="1:16" x14ac:dyDescent="0.25">
      <c r="A2662">
        <v>2661</v>
      </c>
      <c r="B2662" s="1">
        <v>45881</v>
      </c>
      <c r="C2662" t="s">
        <v>16</v>
      </c>
      <c r="D2662" t="s">
        <v>24</v>
      </c>
      <c r="E2662" t="s">
        <v>28</v>
      </c>
      <c r="F2662" t="s">
        <v>63</v>
      </c>
      <c r="G2662" t="s">
        <v>71</v>
      </c>
      <c r="H2662" t="s">
        <v>75</v>
      </c>
      <c r="I2662">
        <v>7</v>
      </c>
      <c r="J2662">
        <v>1993</v>
      </c>
      <c r="K2662">
        <v>0.1</v>
      </c>
      <c r="L2662">
        <v>12555.9</v>
      </c>
      <c r="M2662">
        <v>7824.22</v>
      </c>
      <c r="N2662">
        <v>4731.68</v>
      </c>
      <c r="O2662" t="s">
        <v>80</v>
      </c>
      <c r="P2662" t="s">
        <v>81</v>
      </c>
    </row>
    <row r="2663" spans="1:16" x14ac:dyDescent="0.25">
      <c r="A2663">
        <v>2662</v>
      </c>
      <c r="B2663" s="1">
        <v>45917</v>
      </c>
      <c r="C2663" t="s">
        <v>23</v>
      </c>
      <c r="D2663" t="s">
        <v>27</v>
      </c>
      <c r="E2663" t="s">
        <v>31</v>
      </c>
      <c r="F2663" t="s">
        <v>50</v>
      </c>
      <c r="G2663" t="s">
        <v>70</v>
      </c>
      <c r="H2663" t="s">
        <v>74</v>
      </c>
      <c r="I2663">
        <v>6</v>
      </c>
      <c r="J2663">
        <v>1045</v>
      </c>
      <c r="K2663">
        <v>0.2</v>
      </c>
      <c r="L2663">
        <v>5016</v>
      </c>
      <c r="M2663">
        <v>3331.1</v>
      </c>
      <c r="N2663">
        <v>1684.9</v>
      </c>
      <c r="O2663" t="s">
        <v>80</v>
      </c>
      <c r="P2663" t="s">
        <v>85</v>
      </c>
    </row>
    <row r="2664" spans="1:16" x14ac:dyDescent="0.25">
      <c r="A2664">
        <v>2663</v>
      </c>
      <c r="B2664" s="1">
        <v>45984</v>
      </c>
      <c r="C2664" t="s">
        <v>19</v>
      </c>
      <c r="D2664" t="s">
        <v>26</v>
      </c>
      <c r="E2664" t="s">
        <v>29</v>
      </c>
      <c r="F2664" t="s">
        <v>42</v>
      </c>
      <c r="G2664" t="s">
        <v>70</v>
      </c>
      <c r="H2664" t="s">
        <v>73</v>
      </c>
      <c r="I2664">
        <v>7</v>
      </c>
      <c r="J2664">
        <v>10369</v>
      </c>
      <c r="K2664">
        <v>0</v>
      </c>
      <c r="L2664">
        <v>72583</v>
      </c>
      <c r="M2664">
        <v>41142.57</v>
      </c>
      <c r="N2664">
        <v>31440.43</v>
      </c>
      <c r="O2664" t="s">
        <v>80</v>
      </c>
      <c r="P2664" t="s">
        <v>88</v>
      </c>
    </row>
    <row r="2665" spans="1:16" x14ac:dyDescent="0.25">
      <c r="A2665">
        <v>2664</v>
      </c>
      <c r="B2665" s="1">
        <v>45670</v>
      </c>
      <c r="C2665" t="s">
        <v>20</v>
      </c>
      <c r="D2665" t="s">
        <v>26</v>
      </c>
      <c r="E2665" t="s">
        <v>34</v>
      </c>
      <c r="F2665" t="s">
        <v>68</v>
      </c>
      <c r="G2665" t="s">
        <v>71</v>
      </c>
      <c r="H2665" t="s">
        <v>74</v>
      </c>
      <c r="I2665">
        <v>2</v>
      </c>
      <c r="J2665">
        <v>3427</v>
      </c>
      <c r="K2665">
        <v>0.05</v>
      </c>
      <c r="L2665">
        <v>6511.3</v>
      </c>
      <c r="M2665">
        <v>5612.41</v>
      </c>
      <c r="N2665">
        <v>898.89</v>
      </c>
      <c r="O2665" t="s">
        <v>79</v>
      </c>
      <c r="P2665" t="s">
        <v>83</v>
      </c>
    </row>
    <row r="2666" spans="1:16" x14ac:dyDescent="0.25">
      <c r="A2666">
        <v>2665</v>
      </c>
      <c r="B2666" s="1">
        <v>45951</v>
      </c>
      <c r="C2666" t="s">
        <v>19</v>
      </c>
      <c r="D2666" t="s">
        <v>26</v>
      </c>
      <c r="E2666" t="s">
        <v>34</v>
      </c>
      <c r="F2666" t="s">
        <v>55</v>
      </c>
      <c r="G2666" t="s">
        <v>70</v>
      </c>
      <c r="H2666" t="s">
        <v>74</v>
      </c>
      <c r="I2666">
        <v>1</v>
      </c>
      <c r="J2666">
        <v>4715</v>
      </c>
      <c r="K2666">
        <v>0</v>
      </c>
      <c r="L2666">
        <v>4715</v>
      </c>
      <c r="M2666">
        <v>2778.39</v>
      </c>
      <c r="N2666">
        <v>1936.61</v>
      </c>
      <c r="O2666" t="s">
        <v>76</v>
      </c>
      <c r="P2666" t="s">
        <v>81</v>
      </c>
    </row>
    <row r="2667" spans="1:16" x14ac:dyDescent="0.25">
      <c r="A2667">
        <v>2666</v>
      </c>
      <c r="B2667" s="1">
        <v>45812</v>
      </c>
      <c r="C2667" t="s">
        <v>18</v>
      </c>
      <c r="D2667" t="s">
        <v>26</v>
      </c>
      <c r="E2667" t="s">
        <v>28</v>
      </c>
      <c r="F2667" t="s">
        <v>61</v>
      </c>
      <c r="G2667" t="s">
        <v>70</v>
      </c>
      <c r="H2667" t="s">
        <v>74</v>
      </c>
      <c r="I2667">
        <v>1</v>
      </c>
      <c r="J2667">
        <v>850</v>
      </c>
      <c r="K2667">
        <v>0.2</v>
      </c>
      <c r="L2667">
        <v>680</v>
      </c>
      <c r="M2667">
        <v>403.02</v>
      </c>
      <c r="N2667">
        <v>276.98</v>
      </c>
      <c r="O2667" t="s">
        <v>76</v>
      </c>
      <c r="P2667" t="s">
        <v>87</v>
      </c>
    </row>
    <row r="2668" spans="1:16" x14ac:dyDescent="0.25">
      <c r="A2668">
        <v>2667</v>
      </c>
      <c r="B2668" s="1">
        <v>45720</v>
      </c>
      <c r="C2668" t="s">
        <v>23</v>
      </c>
      <c r="D2668" t="s">
        <v>27</v>
      </c>
      <c r="E2668" t="s">
        <v>28</v>
      </c>
      <c r="F2668" t="s">
        <v>63</v>
      </c>
      <c r="G2668" t="s">
        <v>71</v>
      </c>
      <c r="H2668" t="s">
        <v>73</v>
      </c>
      <c r="I2668">
        <v>4</v>
      </c>
      <c r="J2668">
        <v>1165</v>
      </c>
      <c r="K2668">
        <v>0.05</v>
      </c>
      <c r="L2668">
        <v>4427</v>
      </c>
      <c r="M2668">
        <v>2469.5700000000002</v>
      </c>
      <c r="N2668">
        <v>1957.43</v>
      </c>
      <c r="O2668" t="s">
        <v>80</v>
      </c>
      <c r="P2668" t="s">
        <v>85</v>
      </c>
    </row>
    <row r="2669" spans="1:16" x14ac:dyDescent="0.25">
      <c r="A2669">
        <v>2668</v>
      </c>
      <c r="B2669" s="1">
        <v>45827</v>
      </c>
      <c r="C2669" t="s">
        <v>23</v>
      </c>
      <c r="D2669" t="s">
        <v>27</v>
      </c>
      <c r="E2669" t="s">
        <v>31</v>
      </c>
      <c r="F2669" t="s">
        <v>47</v>
      </c>
      <c r="G2669" t="s">
        <v>70</v>
      </c>
      <c r="H2669" t="s">
        <v>74</v>
      </c>
      <c r="I2669">
        <v>7</v>
      </c>
      <c r="J2669">
        <v>456</v>
      </c>
      <c r="K2669">
        <v>0.05</v>
      </c>
      <c r="L2669">
        <v>3032.4</v>
      </c>
      <c r="M2669">
        <v>1831.14</v>
      </c>
      <c r="N2669">
        <v>1201.26</v>
      </c>
      <c r="O2669" t="s">
        <v>79</v>
      </c>
      <c r="P2669" t="s">
        <v>84</v>
      </c>
    </row>
    <row r="2670" spans="1:16" x14ac:dyDescent="0.25">
      <c r="A2670">
        <v>2669</v>
      </c>
      <c r="B2670" s="1">
        <v>45883</v>
      </c>
      <c r="C2670" t="s">
        <v>16</v>
      </c>
      <c r="D2670" t="s">
        <v>24</v>
      </c>
      <c r="E2670" t="s">
        <v>28</v>
      </c>
      <c r="F2670" t="s">
        <v>54</v>
      </c>
      <c r="G2670" t="s">
        <v>70</v>
      </c>
      <c r="H2670" t="s">
        <v>75</v>
      </c>
      <c r="I2670">
        <v>3</v>
      </c>
      <c r="J2670">
        <v>1285</v>
      </c>
      <c r="K2670">
        <v>0.1</v>
      </c>
      <c r="L2670">
        <v>3469.5</v>
      </c>
      <c r="M2670">
        <v>2290.6</v>
      </c>
      <c r="N2670">
        <v>1178.9000000000001</v>
      </c>
      <c r="O2670" t="s">
        <v>80</v>
      </c>
      <c r="P2670" t="s">
        <v>87</v>
      </c>
    </row>
    <row r="2671" spans="1:16" x14ac:dyDescent="0.25">
      <c r="A2671">
        <v>2670</v>
      </c>
      <c r="B2671" s="1">
        <v>45802</v>
      </c>
      <c r="C2671" t="s">
        <v>16</v>
      </c>
      <c r="D2671" t="s">
        <v>24</v>
      </c>
      <c r="E2671" t="s">
        <v>34</v>
      </c>
      <c r="F2671" t="s">
        <v>65</v>
      </c>
      <c r="G2671" t="s">
        <v>71</v>
      </c>
      <c r="H2671" t="s">
        <v>74</v>
      </c>
      <c r="I2671">
        <v>2</v>
      </c>
      <c r="J2671">
        <v>3776</v>
      </c>
      <c r="K2671">
        <v>0.05</v>
      </c>
      <c r="L2671">
        <v>7174.4</v>
      </c>
      <c r="M2671">
        <v>5504.64</v>
      </c>
      <c r="N2671">
        <v>1669.76</v>
      </c>
      <c r="O2671" t="s">
        <v>78</v>
      </c>
      <c r="P2671" t="s">
        <v>82</v>
      </c>
    </row>
    <row r="2672" spans="1:16" x14ac:dyDescent="0.25">
      <c r="A2672">
        <v>2671</v>
      </c>
      <c r="B2672" s="1">
        <v>45689</v>
      </c>
      <c r="C2672" t="s">
        <v>20</v>
      </c>
      <c r="D2672" t="s">
        <v>26</v>
      </c>
      <c r="E2672" t="s">
        <v>29</v>
      </c>
      <c r="F2672" t="s">
        <v>45</v>
      </c>
      <c r="G2672" t="s">
        <v>72</v>
      </c>
      <c r="H2672" t="s">
        <v>74</v>
      </c>
      <c r="I2672">
        <v>2</v>
      </c>
      <c r="J2672">
        <v>1634</v>
      </c>
      <c r="K2672">
        <v>0.05</v>
      </c>
      <c r="L2672">
        <v>3104.6</v>
      </c>
      <c r="M2672">
        <v>1949.52</v>
      </c>
      <c r="N2672">
        <v>1155.08</v>
      </c>
      <c r="O2672" t="s">
        <v>78</v>
      </c>
      <c r="P2672" t="s">
        <v>87</v>
      </c>
    </row>
    <row r="2673" spans="1:16" x14ac:dyDescent="0.25">
      <c r="A2673">
        <v>2672</v>
      </c>
      <c r="B2673" s="1">
        <v>45769</v>
      </c>
      <c r="C2673" t="s">
        <v>19</v>
      </c>
      <c r="D2673" t="s">
        <v>26</v>
      </c>
      <c r="E2673" t="s">
        <v>33</v>
      </c>
      <c r="F2673" t="s">
        <v>46</v>
      </c>
      <c r="G2673" t="s">
        <v>71</v>
      </c>
      <c r="H2673" t="s">
        <v>75</v>
      </c>
      <c r="I2673">
        <v>5</v>
      </c>
      <c r="J2673">
        <v>6013</v>
      </c>
      <c r="K2673">
        <v>0.15</v>
      </c>
      <c r="L2673">
        <v>25555.25</v>
      </c>
      <c r="M2673">
        <v>15538.23</v>
      </c>
      <c r="N2673">
        <v>10017.02</v>
      </c>
      <c r="O2673" t="s">
        <v>78</v>
      </c>
      <c r="P2673" t="s">
        <v>82</v>
      </c>
    </row>
    <row r="2674" spans="1:16" x14ac:dyDescent="0.25">
      <c r="A2674">
        <v>2673</v>
      </c>
      <c r="B2674" s="1">
        <v>45982</v>
      </c>
      <c r="C2674" t="s">
        <v>21</v>
      </c>
      <c r="D2674" t="s">
        <v>24</v>
      </c>
      <c r="E2674" t="s">
        <v>28</v>
      </c>
      <c r="F2674" t="s">
        <v>35</v>
      </c>
      <c r="G2674" t="s">
        <v>71</v>
      </c>
      <c r="H2674" t="s">
        <v>75</v>
      </c>
      <c r="I2674">
        <v>5</v>
      </c>
      <c r="J2674">
        <v>1181</v>
      </c>
      <c r="K2674">
        <v>0.15</v>
      </c>
      <c r="L2674">
        <v>5019.25</v>
      </c>
      <c r="M2674">
        <v>2809.87</v>
      </c>
      <c r="N2674">
        <v>2209.38</v>
      </c>
      <c r="O2674" t="s">
        <v>80</v>
      </c>
      <c r="P2674" t="s">
        <v>82</v>
      </c>
    </row>
    <row r="2675" spans="1:16" x14ac:dyDescent="0.25">
      <c r="A2675">
        <v>2674</v>
      </c>
      <c r="B2675" s="1">
        <v>46002</v>
      </c>
      <c r="C2675" t="s">
        <v>20</v>
      </c>
      <c r="D2675" t="s">
        <v>26</v>
      </c>
      <c r="E2675" t="s">
        <v>32</v>
      </c>
      <c r="F2675" t="s">
        <v>62</v>
      </c>
      <c r="G2675" t="s">
        <v>71</v>
      </c>
      <c r="H2675" t="s">
        <v>74</v>
      </c>
      <c r="I2675">
        <v>7</v>
      </c>
      <c r="J2675">
        <v>3333</v>
      </c>
      <c r="K2675">
        <v>0.2</v>
      </c>
      <c r="L2675">
        <v>18664.8</v>
      </c>
      <c r="M2675">
        <v>15588.74</v>
      </c>
      <c r="N2675">
        <v>3076.06</v>
      </c>
      <c r="O2675" t="s">
        <v>78</v>
      </c>
      <c r="P2675" t="s">
        <v>81</v>
      </c>
    </row>
    <row r="2676" spans="1:16" x14ac:dyDescent="0.25">
      <c r="A2676">
        <v>2675</v>
      </c>
      <c r="B2676" s="1">
        <v>45883</v>
      </c>
      <c r="C2676" t="s">
        <v>22</v>
      </c>
      <c r="D2676" t="s">
        <v>24</v>
      </c>
      <c r="E2676" t="s">
        <v>31</v>
      </c>
      <c r="F2676" t="s">
        <v>47</v>
      </c>
      <c r="G2676" t="s">
        <v>71</v>
      </c>
      <c r="H2676" t="s">
        <v>75</v>
      </c>
      <c r="I2676">
        <v>7</v>
      </c>
      <c r="J2676">
        <v>1042</v>
      </c>
      <c r="K2676">
        <v>0.05</v>
      </c>
      <c r="L2676">
        <v>6929.3</v>
      </c>
      <c r="M2676">
        <v>4219.63</v>
      </c>
      <c r="N2676">
        <v>2709.67</v>
      </c>
      <c r="O2676" t="s">
        <v>80</v>
      </c>
      <c r="P2676" t="s">
        <v>83</v>
      </c>
    </row>
    <row r="2677" spans="1:16" x14ac:dyDescent="0.25">
      <c r="A2677">
        <v>2676</v>
      </c>
      <c r="B2677" s="1">
        <v>45714</v>
      </c>
      <c r="C2677" t="s">
        <v>18</v>
      </c>
      <c r="D2677" t="s">
        <v>26</v>
      </c>
      <c r="E2677" t="s">
        <v>29</v>
      </c>
      <c r="F2677" t="s">
        <v>57</v>
      </c>
      <c r="G2677" t="s">
        <v>70</v>
      </c>
      <c r="H2677" t="s">
        <v>74</v>
      </c>
      <c r="I2677">
        <v>2</v>
      </c>
      <c r="J2677">
        <v>7991</v>
      </c>
      <c r="K2677">
        <v>0.15</v>
      </c>
      <c r="L2677">
        <v>13584.7</v>
      </c>
      <c r="M2677">
        <v>10056.540000000001</v>
      </c>
      <c r="N2677">
        <v>3528.16</v>
      </c>
      <c r="O2677" t="s">
        <v>77</v>
      </c>
      <c r="P2677" t="s">
        <v>81</v>
      </c>
    </row>
    <row r="2678" spans="1:16" x14ac:dyDescent="0.25">
      <c r="A2678">
        <v>2677</v>
      </c>
      <c r="B2678" s="1">
        <v>45807</v>
      </c>
      <c r="C2678" t="s">
        <v>23</v>
      </c>
      <c r="D2678" t="s">
        <v>27</v>
      </c>
      <c r="E2678" t="s">
        <v>32</v>
      </c>
      <c r="F2678" t="s">
        <v>49</v>
      </c>
      <c r="G2678" t="s">
        <v>70</v>
      </c>
      <c r="H2678" t="s">
        <v>75</v>
      </c>
      <c r="I2678">
        <v>2</v>
      </c>
      <c r="J2678">
        <v>10973</v>
      </c>
      <c r="K2678">
        <v>0</v>
      </c>
      <c r="L2678">
        <v>21946</v>
      </c>
      <c r="M2678">
        <v>17396.36</v>
      </c>
      <c r="N2678">
        <v>4549.6400000000003</v>
      </c>
      <c r="O2678" t="s">
        <v>78</v>
      </c>
      <c r="P2678" t="s">
        <v>87</v>
      </c>
    </row>
    <row r="2679" spans="1:16" x14ac:dyDescent="0.25">
      <c r="A2679">
        <v>2678</v>
      </c>
      <c r="B2679" s="1">
        <v>45757</v>
      </c>
      <c r="C2679" t="s">
        <v>17</v>
      </c>
      <c r="D2679" t="s">
        <v>25</v>
      </c>
      <c r="E2679" t="s">
        <v>28</v>
      </c>
      <c r="F2679" t="s">
        <v>35</v>
      </c>
      <c r="G2679" t="s">
        <v>70</v>
      </c>
      <c r="H2679" t="s">
        <v>73</v>
      </c>
      <c r="I2679">
        <v>1</v>
      </c>
      <c r="J2679">
        <v>1039</v>
      </c>
      <c r="K2679">
        <v>0.1</v>
      </c>
      <c r="L2679">
        <v>935.1</v>
      </c>
      <c r="M2679">
        <v>675.7</v>
      </c>
      <c r="N2679">
        <v>259.39999999999998</v>
      </c>
      <c r="O2679" t="s">
        <v>78</v>
      </c>
      <c r="P2679" t="s">
        <v>88</v>
      </c>
    </row>
    <row r="2680" spans="1:16" x14ac:dyDescent="0.25">
      <c r="A2680">
        <v>2679</v>
      </c>
      <c r="B2680" s="1">
        <v>45734</v>
      </c>
      <c r="C2680" t="s">
        <v>17</v>
      </c>
      <c r="D2680" t="s">
        <v>25</v>
      </c>
      <c r="E2680" t="s">
        <v>29</v>
      </c>
      <c r="F2680" t="s">
        <v>57</v>
      </c>
      <c r="G2680" t="s">
        <v>70</v>
      </c>
      <c r="H2680" t="s">
        <v>74</v>
      </c>
      <c r="I2680">
        <v>2</v>
      </c>
      <c r="J2680">
        <v>1124</v>
      </c>
      <c r="K2680">
        <v>0.1</v>
      </c>
      <c r="L2680">
        <v>2023.2</v>
      </c>
      <c r="M2680">
        <v>1420.8</v>
      </c>
      <c r="N2680">
        <v>602.4</v>
      </c>
      <c r="O2680" t="s">
        <v>80</v>
      </c>
      <c r="P2680" t="s">
        <v>83</v>
      </c>
    </row>
    <row r="2681" spans="1:16" x14ac:dyDescent="0.25">
      <c r="A2681">
        <v>2680</v>
      </c>
      <c r="B2681" s="1">
        <v>45679</v>
      </c>
      <c r="C2681" t="s">
        <v>16</v>
      </c>
      <c r="D2681" t="s">
        <v>24</v>
      </c>
      <c r="E2681" t="s">
        <v>33</v>
      </c>
      <c r="F2681" t="s">
        <v>59</v>
      </c>
      <c r="G2681" t="s">
        <v>70</v>
      </c>
      <c r="H2681" t="s">
        <v>75</v>
      </c>
      <c r="I2681">
        <v>7</v>
      </c>
      <c r="J2681">
        <v>41727</v>
      </c>
      <c r="K2681">
        <v>0.1</v>
      </c>
      <c r="L2681">
        <v>262880.09999999998</v>
      </c>
      <c r="M2681">
        <v>187906.64</v>
      </c>
      <c r="N2681">
        <v>74973.460000000006</v>
      </c>
      <c r="O2681" t="s">
        <v>78</v>
      </c>
      <c r="P2681" t="s">
        <v>83</v>
      </c>
    </row>
    <row r="2682" spans="1:16" x14ac:dyDescent="0.25">
      <c r="A2682">
        <v>2681</v>
      </c>
      <c r="B2682" s="1">
        <v>45847</v>
      </c>
      <c r="C2682" t="s">
        <v>16</v>
      </c>
      <c r="D2682" t="s">
        <v>24</v>
      </c>
      <c r="E2682" t="s">
        <v>31</v>
      </c>
      <c r="F2682" t="s">
        <v>50</v>
      </c>
      <c r="G2682" t="s">
        <v>72</v>
      </c>
      <c r="H2682" t="s">
        <v>73</v>
      </c>
      <c r="I2682">
        <v>1</v>
      </c>
      <c r="J2682">
        <v>550</v>
      </c>
      <c r="K2682">
        <v>0.2</v>
      </c>
      <c r="L2682">
        <v>440</v>
      </c>
      <c r="M2682">
        <v>302.72000000000003</v>
      </c>
      <c r="N2682">
        <v>137.28</v>
      </c>
      <c r="O2682" t="s">
        <v>80</v>
      </c>
      <c r="P2682" t="s">
        <v>84</v>
      </c>
    </row>
    <row r="2683" spans="1:16" x14ac:dyDescent="0.25">
      <c r="A2683">
        <v>2682</v>
      </c>
      <c r="B2683" s="1">
        <v>45665</v>
      </c>
      <c r="C2683" t="s">
        <v>16</v>
      </c>
      <c r="D2683" t="s">
        <v>24</v>
      </c>
      <c r="E2683" t="s">
        <v>29</v>
      </c>
      <c r="F2683" t="s">
        <v>53</v>
      </c>
      <c r="G2683" t="s">
        <v>71</v>
      </c>
      <c r="H2683" t="s">
        <v>75</v>
      </c>
      <c r="I2683">
        <v>6</v>
      </c>
      <c r="J2683">
        <v>1766</v>
      </c>
      <c r="K2683">
        <v>0</v>
      </c>
      <c r="L2683">
        <v>10596</v>
      </c>
      <c r="M2683">
        <v>7312.53</v>
      </c>
      <c r="N2683">
        <v>3283.47</v>
      </c>
      <c r="O2683" t="s">
        <v>80</v>
      </c>
      <c r="P2683" t="s">
        <v>87</v>
      </c>
    </row>
    <row r="2684" spans="1:16" x14ac:dyDescent="0.25">
      <c r="A2684">
        <v>2683</v>
      </c>
      <c r="B2684" s="1">
        <v>45806</v>
      </c>
      <c r="C2684" t="s">
        <v>22</v>
      </c>
      <c r="D2684" t="s">
        <v>24</v>
      </c>
      <c r="E2684" t="s">
        <v>28</v>
      </c>
      <c r="F2684" t="s">
        <v>63</v>
      </c>
      <c r="G2684" t="s">
        <v>71</v>
      </c>
      <c r="H2684" t="s">
        <v>73</v>
      </c>
      <c r="I2684">
        <v>4</v>
      </c>
      <c r="J2684">
        <v>1582</v>
      </c>
      <c r="K2684">
        <v>0.2</v>
      </c>
      <c r="L2684">
        <v>5062.3999999999996</v>
      </c>
      <c r="M2684">
        <v>4400.32</v>
      </c>
      <c r="N2684">
        <v>662.08</v>
      </c>
      <c r="O2684" t="s">
        <v>77</v>
      </c>
      <c r="P2684" t="s">
        <v>82</v>
      </c>
    </row>
    <row r="2685" spans="1:16" x14ac:dyDescent="0.25">
      <c r="A2685">
        <v>2684</v>
      </c>
      <c r="B2685" s="1">
        <v>45954</v>
      </c>
      <c r="C2685" t="s">
        <v>23</v>
      </c>
      <c r="D2685" t="s">
        <v>27</v>
      </c>
      <c r="E2685" t="s">
        <v>28</v>
      </c>
      <c r="F2685" t="s">
        <v>63</v>
      </c>
      <c r="G2685" t="s">
        <v>70</v>
      </c>
      <c r="H2685" t="s">
        <v>73</v>
      </c>
      <c r="I2685">
        <v>7</v>
      </c>
      <c r="J2685">
        <v>2075</v>
      </c>
      <c r="K2685">
        <v>0.2</v>
      </c>
      <c r="L2685">
        <v>11620</v>
      </c>
      <c r="M2685">
        <v>8729.69</v>
      </c>
      <c r="N2685">
        <v>2890.31</v>
      </c>
      <c r="O2685" t="s">
        <v>77</v>
      </c>
      <c r="P2685" t="s">
        <v>83</v>
      </c>
    </row>
    <row r="2686" spans="1:16" x14ac:dyDescent="0.25">
      <c r="A2686">
        <v>2685</v>
      </c>
      <c r="B2686" s="1">
        <v>45948</v>
      </c>
      <c r="C2686" t="s">
        <v>18</v>
      </c>
      <c r="D2686" t="s">
        <v>26</v>
      </c>
      <c r="E2686" t="s">
        <v>32</v>
      </c>
      <c r="F2686" t="s">
        <v>62</v>
      </c>
      <c r="G2686" t="s">
        <v>70</v>
      </c>
      <c r="H2686" t="s">
        <v>73</v>
      </c>
      <c r="I2686">
        <v>4</v>
      </c>
      <c r="J2686">
        <v>1612</v>
      </c>
      <c r="K2686">
        <v>0.15</v>
      </c>
      <c r="L2686">
        <v>5480.8</v>
      </c>
      <c r="M2686">
        <v>3120.73</v>
      </c>
      <c r="N2686">
        <v>2360.0700000000002</v>
      </c>
      <c r="O2686" t="s">
        <v>80</v>
      </c>
      <c r="P2686" t="s">
        <v>88</v>
      </c>
    </row>
    <row r="2687" spans="1:16" x14ac:dyDescent="0.25">
      <c r="A2687">
        <v>2686</v>
      </c>
      <c r="B2687" s="1">
        <v>45890</v>
      </c>
      <c r="C2687" t="s">
        <v>20</v>
      </c>
      <c r="D2687" t="s">
        <v>26</v>
      </c>
      <c r="E2687" t="s">
        <v>32</v>
      </c>
      <c r="F2687" t="s">
        <v>48</v>
      </c>
      <c r="G2687" t="s">
        <v>70</v>
      </c>
      <c r="H2687" t="s">
        <v>73</v>
      </c>
      <c r="I2687">
        <v>5</v>
      </c>
      <c r="J2687">
        <v>3948</v>
      </c>
      <c r="K2687">
        <v>0.1</v>
      </c>
      <c r="L2687">
        <v>17766</v>
      </c>
      <c r="M2687">
        <v>10991.85</v>
      </c>
      <c r="N2687">
        <v>6774.15</v>
      </c>
      <c r="O2687" t="s">
        <v>80</v>
      </c>
      <c r="P2687" t="s">
        <v>86</v>
      </c>
    </row>
    <row r="2688" spans="1:16" x14ac:dyDescent="0.25">
      <c r="A2688">
        <v>2687</v>
      </c>
      <c r="B2688" s="1">
        <v>46022</v>
      </c>
      <c r="C2688" t="s">
        <v>18</v>
      </c>
      <c r="D2688" t="s">
        <v>26</v>
      </c>
      <c r="E2688" t="s">
        <v>34</v>
      </c>
      <c r="F2688" t="s">
        <v>51</v>
      </c>
      <c r="G2688" t="s">
        <v>71</v>
      </c>
      <c r="H2688" t="s">
        <v>75</v>
      </c>
      <c r="I2688">
        <v>4</v>
      </c>
      <c r="J2688">
        <v>5740</v>
      </c>
      <c r="K2688">
        <v>0.1</v>
      </c>
      <c r="L2688">
        <v>20664</v>
      </c>
      <c r="M2688">
        <v>13514.47</v>
      </c>
      <c r="N2688">
        <v>7149.53</v>
      </c>
      <c r="O2688" t="s">
        <v>76</v>
      </c>
      <c r="P2688" t="s">
        <v>88</v>
      </c>
    </row>
    <row r="2689" spans="1:16" x14ac:dyDescent="0.25">
      <c r="A2689">
        <v>2688</v>
      </c>
      <c r="B2689" s="1">
        <v>45727</v>
      </c>
      <c r="C2689" t="s">
        <v>19</v>
      </c>
      <c r="D2689" t="s">
        <v>26</v>
      </c>
      <c r="E2689" t="s">
        <v>29</v>
      </c>
      <c r="F2689" t="s">
        <v>42</v>
      </c>
      <c r="G2689" t="s">
        <v>70</v>
      </c>
      <c r="H2689" t="s">
        <v>75</v>
      </c>
      <c r="I2689">
        <v>3</v>
      </c>
      <c r="J2689">
        <v>460</v>
      </c>
      <c r="K2689">
        <v>0.05</v>
      </c>
      <c r="L2689">
        <v>1311</v>
      </c>
      <c r="M2689">
        <v>963.88</v>
      </c>
      <c r="N2689">
        <v>347.12</v>
      </c>
      <c r="O2689" t="s">
        <v>77</v>
      </c>
      <c r="P2689" t="s">
        <v>86</v>
      </c>
    </row>
    <row r="2690" spans="1:16" x14ac:dyDescent="0.25">
      <c r="A2690">
        <v>2689</v>
      </c>
      <c r="B2690" s="1">
        <v>45837</v>
      </c>
      <c r="C2690" t="s">
        <v>21</v>
      </c>
      <c r="D2690" t="s">
        <v>24</v>
      </c>
      <c r="E2690" t="s">
        <v>34</v>
      </c>
      <c r="F2690" t="s">
        <v>51</v>
      </c>
      <c r="G2690" t="s">
        <v>71</v>
      </c>
      <c r="H2690" t="s">
        <v>75</v>
      </c>
      <c r="I2690">
        <v>6</v>
      </c>
      <c r="J2690">
        <v>1404</v>
      </c>
      <c r="K2690">
        <v>0.15</v>
      </c>
      <c r="L2690">
        <v>7160.4</v>
      </c>
      <c r="M2690">
        <v>4670.76</v>
      </c>
      <c r="N2690">
        <v>2489.64</v>
      </c>
      <c r="O2690" t="s">
        <v>76</v>
      </c>
      <c r="P2690" t="s">
        <v>83</v>
      </c>
    </row>
    <row r="2691" spans="1:16" x14ac:dyDescent="0.25">
      <c r="A2691">
        <v>2690</v>
      </c>
      <c r="B2691" s="1">
        <v>45758</v>
      </c>
      <c r="C2691" t="s">
        <v>20</v>
      </c>
      <c r="D2691" t="s">
        <v>26</v>
      </c>
      <c r="E2691" t="s">
        <v>28</v>
      </c>
      <c r="F2691" t="s">
        <v>35</v>
      </c>
      <c r="G2691" t="s">
        <v>71</v>
      </c>
      <c r="H2691" t="s">
        <v>73</v>
      </c>
      <c r="I2691">
        <v>1</v>
      </c>
      <c r="J2691">
        <v>500</v>
      </c>
      <c r="K2691">
        <v>0</v>
      </c>
      <c r="L2691">
        <v>500</v>
      </c>
      <c r="M2691">
        <v>338.87</v>
      </c>
      <c r="N2691">
        <v>161.13</v>
      </c>
      <c r="O2691" t="s">
        <v>80</v>
      </c>
      <c r="P2691" t="s">
        <v>81</v>
      </c>
    </row>
    <row r="2692" spans="1:16" x14ac:dyDescent="0.25">
      <c r="A2692">
        <v>2691</v>
      </c>
      <c r="B2692" s="1">
        <v>46010</v>
      </c>
      <c r="C2692" t="s">
        <v>22</v>
      </c>
      <c r="D2692" t="s">
        <v>24</v>
      </c>
      <c r="E2692" t="s">
        <v>31</v>
      </c>
      <c r="F2692" t="s">
        <v>38</v>
      </c>
      <c r="G2692" t="s">
        <v>72</v>
      </c>
      <c r="H2692" t="s">
        <v>75</v>
      </c>
      <c r="I2692">
        <v>4</v>
      </c>
      <c r="J2692">
        <v>521</v>
      </c>
      <c r="K2692">
        <v>0.1</v>
      </c>
      <c r="L2692">
        <v>1875.6</v>
      </c>
      <c r="M2692">
        <v>1461.8</v>
      </c>
      <c r="N2692">
        <v>413.8</v>
      </c>
      <c r="O2692" t="s">
        <v>77</v>
      </c>
      <c r="P2692" t="s">
        <v>85</v>
      </c>
    </row>
    <row r="2693" spans="1:16" x14ac:dyDescent="0.25">
      <c r="A2693">
        <v>2692</v>
      </c>
      <c r="B2693" s="1">
        <v>45937</v>
      </c>
      <c r="C2693" t="s">
        <v>20</v>
      </c>
      <c r="D2693" t="s">
        <v>26</v>
      </c>
      <c r="E2693" t="s">
        <v>31</v>
      </c>
      <c r="F2693" t="s">
        <v>67</v>
      </c>
      <c r="G2693" t="s">
        <v>72</v>
      </c>
      <c r="H2693" t="s">
        <v>74</v>
      </c>
      <c r="I2693">
        <v>8</v>
      </c>
      <c r="J2693">
        <v>1676</v>
      </c>
      <c r="K2693">
        <v>0.1</v>
      </c>
      <c r="L2693">
        <v>12067.2</v>
      </c>
      <c r="M2693">
        <v>7795.12</v>
      </c>
      <c r="N2693">
        <v>4272.08</v>
      </c>
      <c r="O2693" t="s">
        <v>76</v>
      </c>
      <c r="P2693" t="s">
        <v>87</v>
      </c>
    </row>
    <row r="2694" spans="1:16" x14ac:dyDescent="0.25">
      <c r="A2694">
        <v>2693</v>
      </c>
      <c r="B2694" s="1">
        <v>45773</v>
      </c>
      <c r="C2694" t="s">
        <v>21</v>
      </c>
      <c r="D2694" t="s">
        <v>24</v>
      </c>
      <c r="E2694" t="s">
        <v>33</v>
      </c>
      <c r="F2694" t="s">
        <v>41</v>
      </c>
      <c r="G2694" t="s">
        <v>70</v>
      </c>
      <c r="H2694" t="s">
        <v>74</v>
      </c>
      <c r="I2694">
        <v>8</v>
      </c>
      <c r="J2694">
        <v>14418</v>
      </c>
      <c r="K2694">
        <v>0.1</v>
      </c>
      <c r="L2694">
        <v>103809.60000000001</v>
      </c>
      <c r="M2694">
        <v>63368.53</v>
      </c>
      <c r="N2694">
        <v>40441.07</v>
      </c>
      <c r="O2694" t="s">
        <v>79</v>
      </c>
      <c r="P2694" t="s">
        <v>87</v>
      </c>
    </row>
    <row r="2695" spans="1:16" x14ac:dyDescent="0.25">
      <c r="A2695">
        <v>2694</v>
      </c>
      <c r="B2695" s="1">
        <v>45996</v>
      </c>
      <c r="C2695" t="s">
        <v>23</v>
      </c>
      <c r="D2695" t="s">
        <v>27</v>
      </c>
      <c r="E2695" t="s">
        <v>30</v>
      </c>
      <c r="F2695" t="s">
        <v>64</v>
      </c>
      <c r="G2695" t="s">
        <v>72</v>
      </c>
      <c r="H2695" t="s">
        <v>73</v>
      </c>
      <c r="I2695">
        <v>3</v>
      </c>
      <c r="J2695">
        <v>64384</v>
      </c>
      <c r="K2695">
        <v>0</v>
      </c>
      <c r="L2695">
        <v>193152</v>
      </c>
      <c r="M2695">
        <v>140876.9</v>
      </c>
      <c r="N2695">
        <v>52275.1</v>
      </c>
      <c r="O2695" t="s">
        <v>76</v>
      </c>
      <c r="P2695" t="s">
        <v>87</v>
      </c>
    </row>
    <row r="2696" spans="1:16" x14ac:dyDescent="0.25">
      <c r="A2696">
        <v>2695</v>
      </c>
      <c r="B2696" s="1">
        <v>45770</v>
      </c>
      <c r="C2696" t="s">
        <v>20</v>
      </c>
      <c r="D2696" t="s">
        <v>26</v>
      </c>
      <c r="E2696" t="s">
        <v>33</v>
      </c>
      <c r="F2696" t="s">
        <v>52</v>
      </c>
      <c r="G2696" t="s">
        <v>71</v>
      </c>
      <c r="H2696" t="s">
        <v>75</v>
      </c>
      <c r="I2696">
        <v>2</v>
      </c>
      <c r="J2696">
        <v>29307</v>
      </c>
      <c r="K2696">
        <v>0.15</v>
      </c>
      <c r="L2696">
        <v>49821.9</v>
      </c>
      <c r="M2696">
        <v>43321.34</v>
      </c>
      <c r="N2696">
        <v>6500.56</v>
      </c>
      <c r="O2696" t="s">
        <v>80</v>
      </c>
      <c r="P2696" t="s">
        <v>84</v>
      </c>
    </row>
    <row r="2697" spans="1:16" x14ac:dyDescent="0.25">
      <c r="A2697">
        <v>2696</v>
      </c>
      <c r="B2697" s="1">
        <v>45949</v>
      </c>
      <c r="C2697" t="s">
        <v>17</v>
      </c>
      <c r="D2697" t="s">
        <v>25</v>
      </c>
      <c r="E2697" t="s">
        <v>30</v>
      </c>
      <c r="F2697" t="s">
        <v>44</v>
      </c>
      <c r="G2697" t="s">
        <v>71</v>
      </c>
      <c r="H2697" t="s">
        <v>73</v>
      </c>
      <c r="I2697">
        <v>2</v>
      </c>
      <c r="J2697">
        <v>8684</v>
      </c>
      <c r="K2697">
        <v>0</v>
      </c>
      <c r="L2697">
        <v>17368</v>
      </c>
      <c r="M2697">
        <v>10359.549999999999</v>
      </c>
      <c r="N2697">
        <v>7008.45</v>
      </c>
      <c r="O2697" t="s">
        <v>78</v>
      </c>
      <c r="P2697" t="s">
        <v>82</v>
      </c>
    </row>
    <row r="2698" spans="1:16" x14ac:dyDescent="0.25">
      <c r="A2698">
        <v>2697</v>
      </c>
      <c r="B2698" s="1">
        <v>45714</v>
      </c>
      <c r="C2698" t="s">
        <v>19</v>
      </c>
      <c r="D2698" t="s">
        <v>26</v>
      </c>
      <c r="E2698" t="s">
        <v>28</v>
      </c>
      <c r="F2698" t="s">
        <v>35</v>
      </c>
      <c r="G2698" t="s">
        <v>70</v>
      </c>
      <c r="H2698" t="s">
        <v>73</v>
      </c>
      <c r="I2698">
        <v>6</v>
      </c>
      <c r="J2698">
        <v>2391</v>
      </c>
      <c r="K2698">
        <v>0.05</v>
      </c>
      <c r="L2698">
        <v>13628.7</v>
      </c>
      <c r="M2698">
        <v>9319.8700000000008</v>
      </c>
      <c r="N2698">
        <v>4308.83</v>
      </c>
      <c r="O2698" t="s">
        <v>80</v>
      </c>
      <c r="P2698" t="s">
        <v>81</v>
      </c>
    </row>
    <row r="2699" spans="1:16" x14ac:dyDescent="0.25">
      <c r="A2699">
        <v>2698</v>
      </c>
      <c r="B2699" s="1">
        <v>46006</v>
      </c>
      <c r="C2699" t="s">
        <v>16</v>
      </c>
      <c r="D2699" t="s">
        <v>24</v>
      </c>
      <c r="E2699" t="s">
        <v>32</v>
      </c>
      <c r="F2699" t="s">
        <v>48</v>
      </c>
      <c r="G2699" t="s">
        <v>72</v>
      </c>
      <c r="H2699" t="s">
        <v>73</v>
      </c>
      <c r="I2699">
        <v>3</v>
      </c>
      <c r="J2699">
        <v>16338</v>
      </c>
      <c r="K2699">
        <v>0</v>
      </c>
      <c r="L2699">
        <v>49014</v>
      </c>
      <c r="M2699">
        <v>39499.519999999997</v>
      </c>
      <c r="N2699">
        <v>9514.48</v>
      </c>
      <c r="O2699" t="s">
        <v>78</v>
      </c>
      <c r="P2699" t="s">
        <v>88</v>
      </c>
    </row>
    <row r="2700" spans="1:16" x14ac:dyDescent="0.25">
      <c r="A2700">
        <v>2699</v>
      </c>
      <c r="B2700" s="1">
        <v>45823</v>
      </c>
      <c r="C2700" t="s">
        <v>20</v>
      </c>
      <c r="D2700" t="s">
        <v>26</v>
      </c>
      <c r="E2700" t="s">
        <v>34</v>
      </c>
      <c r="F2700" t="s">
        <v>51</v>
      </c>
      <c r="G2700" t="s">
        <v>71</v>
      </c>
      <c r="H2700" t="s">
        <v>74</v>
      </c>
      <c r="I2700">
        <v>3</v>
      </c>
      <c r="J2700">
        <v>1399</v>
      </c>
      <c r="K2700">
        <v>0.15</v>
      </c>
      <c r="L2700">
        <v>3567.45</v>
      </c>
      <c r="M2700">
        <v>3012.27</v>
      </c>
      <c r="N2700">
        <v>555.17999999999995</v>
      </c>
      <c r="O2700" t="s">
        <v>79</v>
      </c>
      <c r="P2700" t="s">
        <v>81</v>
      </c>
    </row>
    <row r="2701" spans="1:16" x14ac:dyDescent="0.25">
      <c r="A2701">
        <v>2700</v>
      </c>
      <c r="B2701" s="1">
        <v>45675</v>
      </c>
      <c r="C2701" t="s">
        <v>22</v>
      </c>
      <c r="D2701" t="s">
        <v>24</v>
      </c>
      <c r="E2701" t="s">
        <v>29</v>
      </c>
      <c r="F2701" t="s">
        <v>45</v>
      </c>
      <c r="G2701" t="s">
        <v>70</v>
      </c>
      <c r="H2701" t="s">
        <v>75</v>
      </c>
      <c r="I2701">
        <v>5</v>
      </c>
      <c r="J2701">
        <v>995</v>
      </c>
      <c r="K2701">
        <v>0</v>
      </c>
      <c r="L2701">
        <v>4975</v>
      </c>
      <c r="M2701">
        <v>4276.7</v>
      </c>
      <c r="N2701">
        <v>698.3</v>
      </c>
      <c r="O2701" t="s">
        <v>79</v>
      </c>
      <c r="P2701" t="s">
        <v>87</v>
      </c>
    </row>
    <row r="2702" spans="1:16" x14ac:dyDescent="0.25">
      <c r="A2702">
        <v>2701</v>
      </c>
      <c r="B2702" s="1">
        <v>45967</v>
      </c>
      <c r="C2702" t="s">
        <v>21</v>
      </c>
      <c r="D2702" t="s">
        <v>24</v>
      </c>
      <c r="E2702" t="s">
        <v>30</v>
      </c>
      <c r="F2702" t="s">
        <v>40</v>
      </c>
      <c r="G2702" t="s">
        <v>72</v>
      </c>
      <c r="H2702" t="s">
        <v>73</v>
      </c>
      <c r="I2702">
        <v>8</v>
      </c>
      <c r="J2702">
        <v>58115</v>
      </c>
      <c r="K2702">
        <v>0.15</v>
      </c>
      <c r="L2702">
        <v>395182</v>
      </c>
      <c r="M2702">
        <v>225574.95</v>
      </c>
      <c r="N2702">
        <v>169607.05</v>
      </c>
      <c r="O2702" t="s">
        <v>77</v>
      </c>
      <c r="P2702" t="s">
        <v>87</v>
      </c>
    </row>
    <row r="2703" spans="1:16" x14ac:dyDescent="0.25">
      <c r="A2703">
        <v>2702</v>
      </c>
      <c r="B2703" s="1">
        <v>45961</v>
      </c>
      <c r="C2703" t="s">
        <v>21</v>
      </c>
      <c r="D2703" t="s">
        <v>24</v>
      </c>
      <c r="E2703" t="s">
        <v>28</v>
      </c>
      <c r="F2703" t="s">
        <v>63</v>
      </c>
      <c r="G2703" t="s">
        <v>72</v>
      </c>
      <c r="H2703" t="s">
        <v>75</v>
      </c>
      <c r="I2703">
        <v>4</v>
      </c>
      <c r="J2703">
        <v>2406</v>
      </c>
      <c r="K2703">
        <v>0</v>
      </c>
      <c r="L2703">
        <v>9624</v>
      </c>
      <c r="M2703">
        <v>7696.51</v>
      </c>
      <c r="N2703">
        <v>1927.49</v>
      </c>
      <c r="O2703" t="s">
        <v>78</v>
      </c>
      <c r="P2703" t="s">
        <v>85</v>
      </c>
    </row>
    <row r="2704" spans="1:16" x14ac:dyDescent="0.25">
      <c r="A2704">
        <v>2703</v>
      </c>
      <c r="B2704" s="1">
        <v>46022</v>
      </c>
      <c r="C2704" t="s">
        <v>23</v>
      </c>
      <c r="D2704" t="s">
        <v>27</v>
      </c>
      <c r="E2704" t="s">
        <v>29</v>
      </c>
      <c r="F2704" t="s">
        <v>45</v>
      </c>
      <c r="G2704" t="s">
        <v>70</v>
      </c>
      <c r="H2704" t="s">
        <v>73</v>
      </c>
      <c r="I2704">
        <v>4</v>
      </c>
      <c r="J2704">
        <v>2819</v>
      </c>
      <c r="K2704">
        <v>0.15</v>
      </c>
      <c r="L2704">
        <v>9584.6</v>
      </c>
      <c r="M2704">
        <v>8344.4599999999991</v>
      </c>
      <c r="N2704">
        <v>1240.1400000000001</v>
      </c>
      <c r="O2704" t="s">
        <v>76</v>
      </c>
      <c r="P2704" t="s">
        <v>88</v>
      </c>
    </row>
    <row r="2705" spans="1:16" x14ac:dyDescent="0.25">
      <c r="A2705">
        <v>2704</v>
      </c>
      <c r="B2705" s="1">
        <v>45838</v>
      </c>
      <c r="C2705" t="s">
        <v>22</v>
      </c>
      <c r="D2705" t="s">
        <v>24</v>
      </c>
      <c r="E2705" t="s">
        <v>28</v>
      </c>
      <c r="F2705" t="s">
        <v>63</v>
      </c>
      <c r="G2705" t="s">
        <v>72</v>
      </c>
      <c r="H2705" t="s">
        <v>73</v>
      </c>
      <c r="I2705">
        <v>1</v>
      </c>
      <c r="J2705">
        <v>877</v>
      </c>
      <c r="K2705">
        <v>0.1</v>
      </c>
      <c r="L2705">
        <v>789.3</v>
      </c>
      <c r="M2705">
        <v>670.85</v>
      </c>
      <c r="N2705">
        <v>118.45</v>
      </c>
      <c r="O2705" t="s">
        <v>76</v>
      </c>
      <c r="P2705" t="s">
        <v>83</v>
      </c>
    </row>
    <row r="2706" spans="1:16" x14ac:dyDescent="0.25">
      <c r="A2706">
        <v>2705</v>
      </c>
      <c r="B2706" s="1">
        <v>45869</v>
      </c>
      <c r="C2706" t="s">
        <v>23</v>
      </c>
      <c r="D2706" t="s">
        <v>27</v>
      </c>
      <c r="E2706" t="s">
        <v>31</v>
      </c>
      <c r="F2706" t="s">
        <v>50</v>
      </c>
      <c r="G2706" t="s">
        <v>71</v>
      </c>
      <c r="H2706" t="s">
        <v>74</v>
      </c>
      <c r="I2706">
        <v>8</v>
      </c>
      <c r="J2706">
        <v>1698</v>
      </c>
      <c r="K2706">
        <v>0.2</v>
      </c>
      <c r="L2706">
        <v>10867.2</v>
      </c>
      <c r="M2706">
        <v>7382.62</v>
      </c>
      <c r="N2706">
        <v>3484.58</v>
      </c>
      <c r="O2706" t="s">
        <v>78</v>
      </c>
      <c r="P2706" t="s">
        <v>87</v>
      </c>
    </row>
    <row r="2707" spans="1:16" x14ac:dyDescent="0.25">
      <c r="A2707">
        <v>2706</v>
      </c>
      <c r="B2707" s="1">
        <v>45923</v>
      </c>
      <c r="C2707" t="s">
        <v>21</v>
      </c>
      <c r="D2707" t="s">
        <v>24</v>
      </c>
      <c r="E2707" t="s">
        <v>34</v>
      </c>
      <c r="F2707" t="s">
        <v>65</v>
      </c>
      <c r="G2707" t="s">
        <v>70</v>
      </c>
      <c r="H2707" t="s">
        <v>74</v>
      </c>
      <c r="I2707">
        <v>3</v>
      </c>
      <c r="J2707">
        <v>828</v>
      </c>
      <c r="K2707">
        <v>0.05</v>
      </c>
      <c r="L2707">
        <v>2359.8000000000002</v>
      </c>
      <c r="M2707">
        <v>1385.97</v>
      </c>
      <c r="N2707">
        <v>973.83</v>
      </c>
      <c r="O2707" t="s">
        <v>80</v>
      </c>
      <c r="P2707" t="s">
        <v>85</v>
      </c>
    </row>
    <row r="2708" spans="1:16" x14ac:dyDescent="0.25">
      <c r="A2708">
        <v>2707</v>
      </c>
      <c r="B2708" s="1">
        <v>45727</v>
      </c>
      <c r="C2708" t="s">
        <v>19</v>
      </c>
      <c r="D2708" t="s">
        <v>26</v>
      </c>
      <c r="E2708" t="s">
        <v>29</v>
      </c>
      <c r="F2708" t="s">
        <v>36</v>
      </c>
      <c r="G2708" t="s">
        <v>72</v>
      </c>
      <c r="H2708" t="s">
        <v>74</v>
      </c>
      <c r="I2708">
        <v>6</v>
      </c>
      <c r="J2708">
        <v>9496</v>
      </c>
      <c r="K2708">
        <v>0.15</v>
      </c>
      <c r="L2708">
        <v>48429.599999999999</v>
      </c>
      <c r="M2708">
        <v>26705.53</v>
      </c>
      <c r="N2708">
        <v>21724.07</v>
      </c>
      <c r="O2708" t="s">
        <v>77</v>
      </c>
      <c r="P2708" t="s">
        <v>87</v>
      </c>
    </row>
    <row r="2709" spans="1:16" x14ac:dyDescent="0.25">
      <c r="A2709">
        <v>2708</v>
      </c>
      <c r="B2709" s="1">
        <v>45876</v>
      </c>
      <c r="C2709" t="s">
        <v>16</v>
      </c>
      <c r="D2709" t="s">
        <v>24</v>
      </c>
      <c r="E2709" t="s">
        <v>30</v>
      </c>
      <c r="F2709" t="s">
        <v>37</v>
      </c>
      <c r="G2709" t="s">
        <v>72</v>
      </c>
      <c r="H2709" t="s">
        <v>74</v>
      </c>
      <c r="I2709">
        <v>3</v>
      </c>
      <c r="J2709">
        <v>13341</v>
      </c>
      <c r="K2709">
        <v>0.1</v>
      </c>
      <c r="L2709">
        <v>36020.699999999997</v>
      </c>
      <c r="M2709">
        <v>30211.15</v>
      </c>
      <c r="N2709">
        <v>5809.55</v>
      </c>
      <c r="O2709" t="s">
        <v>80</v>
      </c>
      <c r="P2709" t="s">
        <v>83</v>
      </c>
    </row>
    <row r="2710" spans="1:16" x14ac:dyDescent="0.25">
      <c r="A2710">
        <v>2709</v>
      </c>
      <c r="B2710" s="1">
        <v>45916</v>
      </c>
      <c r="C2710" t="s">
        <v>23</v>
      </c>
      <c r="D2710" t="s">
        <v>27</v>
      </c>
      <c r="E2710" t="s">
        <v>32</v>
      </c>
      <c r="F2710" t="s">
        <v>39</v>
      </c>
      <c r="G2710" t="s">
        <v>70</v>
      </c>
      <c r="H2710" t="s">
        <v>75</v>
      </c>
      <c r="I2710">
        <v>8</v>
      </c>
      <c r="J2710">
        <v>3274</v>
      </c>
      <c r="K2710">
        <v>0.1</v>
      </c>
      <c r="L2710">
        <v>23572.799999999999</v>
      </c>
      <c r="M2710">
        <v>19595.36</v>
      </c>
      <c r="N2710">
        <v>3977.44</v>
      </c>
      <c r="O2710" t="s">
        <v>78</v>
      </c>
      <c r="P2710" t="s">
        <v>87</v>
      </c>
    </row>
    <row r="2711" spans="1:16" x14ac:dyDescent="0.25">
      <c r="A2711">
        <v>2710</v>
      </c>
      <c r="B2711" s="1">
        <v>45824</v>
      </c>
      <c r="C2711" t="s">
        <v>18</v>
      </c>
      <c r="D2711" t="s">
        <v>26</v>
      </c>
      <c r="E2711" t="s">
        <v>32</v>
      </c>
      <c r="F2711" t="s">
        <v>49</v>
      </c>
      <c r="G2711" t="s">
        <v>71</v>
      </c>
      <c r="H2711" t="s">
        <v>74</v>
      </c>
      <c r="I2711">
        <v>8</v>
      </c>
      <c r="J2711">
        <v>20884</v>
      </c>
      <c r="K2711">
        <v>0.1</v>
      </c>
      <c r="L2711">
        <v>150364.79999999999</v>
      </c>
      <c r="M2711">
        <v>83064.73</v>
      </c>
      <c r="N2711">
        <v>67300.070000000007</v>
      </c>
      <c r="O2711" t="s">
        <v>79</v>
      </c>
      <c r="P2711" t="s">
        <v>83</v>
      </c>
    </row>
    <row r="2712" spans="1:16" x14ac:dyDescent="0.25">
      <c r="A2712">
        <v>2711</v>
      </c>
      <c r="B2712" s="1">
        <v>45668</v>
      </c>
      <c r="C2712" t="s">
        <v>20</v>
      </c>
      <c r="D2712" t="s">
        <v>26</v>
      </c>
      <c r="E2712" t="s">
        <v>34</v>
      </c>
      <c r="F2712" t="s">
        <v>43</v>
      </c>
      <c r="G2712" t="s">
        <v>71</v>
      </c>
      <c r="H2712" t="s">
        <v>75</v>
      </c>
      <c r="I2712">
        <v>2</v>
      </c>
      <c r="J2712">
        <v>800</v>
      </c>
      <c r="K2712">
        <v>0.15</v>
      </c>
      <c r="L2712">
        <v>1360</v>
      </c>
      <c r="M2712">
        <v>1088.6199999999999</v>
      </c>
      <c r="N2712">
        <v>271.38</v>
      </c>
      <c r="O2712" t="s">
        <v>78</v>
      </c>
      <c r="P2712" t="s">
        <v>86</v>
      </c>
    </row>
    <row r="2713" spans="1:16" x14ac:dyDescent="0.25">
      <c r="A2713">
        <v>2712</v>
      </c>
      <c r="B2713" s="1">
        <v>45814</v>
      </c>
      <c r="C2713" t="s">
        <v>21</v>
      </c>
      <c r="D2713" t="s">
        <v>24</v>
      </c>
      <c r="E2713" t="s">
        <v>30</v>
      </c>
      <c r="F2713" t="s">
        <v>40</v>
      </c>
      <c r="G2713" t="s">
        <v>70</v>
      </c>
      <c r="H2713" t="s">
        <v>75</v>
      </c>
      <c r="I2713">
        <v>7</v>
      </c>
      <c r="J2713">
        <v>63324</v>
      </c>
      <c r="K2713">
        <v>0.05</v>
      </c>
      <c r="L2713">
        <v>421104.6</v>
      </c>
      <c r="M2713">
        <v>331280.67</v>
      </c>
      <c r="N2713">
        <v>89823.93</v>
      </c>
      <c r="O2713" t="s">
        <v>76</v>
      </c>
      <c r="P2713" t="s">
        <v>85</v>
      </c>
    </row>
    <row r="2714" spans="1:16" x14ac:dyDescent="0.25">
      <c r="A2714">
        <v>2713</v>
      </c>
      <c r="B2714" s="1">
        <v>45806</v>
      </c>
      <c r="C2714" t="s">
        <v>16</v>
      </c>
      <c r="D2714" t="s">
        <v>24</v>
      </c>
      <c r="E2714" t="s">
        <v>34</v>
      </c>
      <c r="F2714" t="s">
        <v>65</v>
      </c>
      <c r="G2714" t="s">
        <v>71</v>
      </c>
      <c r="H2714" t="s">
        <v>73</v>
      </c>
      <c r="I2714">
        <v>5</v>
      </c>
      <c r="J2714">
        <v>3104</v>
      </c>
      <c r="K2714">
        <v>0.1</v>
      </c>
      <c r="L2714">
        <v>13968</v>
      </c>
      <c r="M2714">
        <v>10378.92</v>
      </c>
      <c r="N2714">
        <v>3589.08</v>
      </c>
      <c r="O2714" t="s">
        <v>78</v>
      </c>
      <c r="P2714" t="s">
        <v>88</v>
      </c>
    </row>
    <row r="2715" spans="1:16" x14ac:dyDescent="0.25">
      <c r="A2715">
        <v>2714</v>
      </c>
      <c r="B2715" s="1">
        <v>45780</v>
      </c>
      <c r="C2715" t="s">
        <v>20</v>
      </c>
      <c r="D2715" t="s">
        <v>26</v>
      </c>
      <c r="E2715" t="s">
        <v>30</v>
      </c>
      <c r="F2715" t="s">
        <v>40</v>
      </c>
      <c r="G2715" t="s">
        <v>71</v>
      </c>
      <c r="H2715" t="s">
        <v>75</v>
      </c>
      <c r="I2715">
        <v>2</v>
      </c>
      <c r="J2715">
        <v>67078</v>
      </c>
      <c r="K2715">
        <v>0.1</v>
      </c>
      <c r="L2715">
        <v>120740.4</v>
      </c>
      <c r="M2715">
        <v>94501.83</v>
      </c>
      <c r="N2715">
        <v>26238.57</v>
      </c>
      <c r="O2715" t="s">
        <v>78</v>
      </c>
      <c r="P2715" t="s">
        <v>83</v>
      </c>
    </row>
    <row r="2716" spans="1:16" x14ac:dyDescent="0.25">
      <c r="A2716">
        <v>2715</v>
      </c>
      <c r="B2716" s="1">
        <v>45659</v>
      </c>
      <c r="C2716" t="s">
        <v>19</v>
      </c>
      <c r="D2716" t="s">
        <v>26</v>
      </c>
      <c r="E2716" t="s">
        <v>33</v>
      </c>
      <c r="F2716" t="s">
        <v>60</v>
      </c>
      <c r="G2716" t="s">
        <v>71</v>
      </c>
      <c r="H2716" t="s">
        <v>73</v>
      </c>
      <c r="I2716">
        <v>2</v>
      </c>
      <c r="J2716">
        <v>32707</v>
      </c>
      <c r="K2716">
        <v>0.1</v>
      </c>
      <c r="L2716">
        <v>58872.6</v>
      </c>
      <c r="M2716">
        <v>42394.06</v>
      </c>
      <c r="N2716">
        <v>16478.54</v>
      </c>
      <c r="O2716" t="s">
        <v>78</v>
      </c>
      <c r="P2716" t="s">
        <v>87</v>
      </c>
    </row>
    <row r="2717" spans="1:16" x14ac:dyDescent="0.25">
      <c r="A2717">
        <v>2716</v>
      </c>
      <c r="B2717" s="1">
        <v>45754</v>
      </c>
      <c r="C2717" t="s">
        <v>23</v>
      </c>
      <c r="D2717" t="s">
        <v>27</v>
      </c>
      <c r="E2717" t="s">
        <v>28</v>
      </c>
      <c r="F2717" t="s">
        <v>63</v>
      </c>
      <c r="G2717" t="s">
        <v>72</v>
      </c>
      <c r="H2717" t="s">
        <v>74</v>
      </c>
      <c r="I2717">
        <v>5</v>
      </c>
      <c r="J2717">
        <v>1842</v>
      </c>
      <c r="K2717">
        <v>0</v>
      </c>
      <c r="L2717">
        <v>9210</v>
      </c>
      <c r="M2717">
        <v>7559.81</v>
      </c>
      <c r="N2717">
        <v>1650.19</v>
      </c>
      <c r="O2717" t="s">
        <v>77</v>
      </c>
      <c r="P2717" t="s">
        <v>82</v>
      </c>
    </row>
    <row r="2718" spans="1:16" x14ac:dyDescent="0.25">
      <c r="A2718">
        <v>2717</v>
      </c>
      <c r="B2718" s="1">
        <v>45795</v>
      </c>
      <c r="C2718" t="s">
        <v>21</v>
      </c>
      <c r="D2718" t="s">
        <v>24</v>
      </c>
      <c r="E2718" t="s">
        <v>30</v>
      </c>
      <c r="F2718" t="s">
        <v>64</v>
      </c>
      <c r="G2718" t="s">
        <v>72</v>
      </c>
      <c r="H2718" t="s">
        <v>73</v>
      </c>
      <c r="I2718">
        <v>4</v>
      </c>
      <c r="J2718">
        <v>5937</v>
      </c>
      <c r="K2718">
        <v>0.1</v>
      </c>
      <c r="L2718">
        <v>21373.200000000001</v>
      </c>
      <c r="M2718">
        <v>14180.7</v>
      </c>
      <c r="N2718">
        <v>7192.5</v>
      </c>
      <c r="O2718" t="s">
        <v>78</v>
      </c>
      <c r="P2718" t="s">
        <v>85</v>
      </c>
    </row>
    <row r="2719" spans="1:16" x14ac:dyDescent="0.25">
      <c r="A2719">
        <v>2718</v>
      </c>
      <c r="B2719" s="1">
        <v>45685</v>
      </c>
      <c r="C2719" t="s">
        <v>21</v>
      </c>
      <c r="D2719" t="s">
        <v>24</v>
      </c>
      <c r="E2719" t="s">
        <v>34</v>
      </c>
      <c r="F2719" t="s">
        <v>55</v>
      </c>
      <c r="G2719" t="s">
        <v>70</v>
      </c>
      <c r="H2719" t="s">
        <v>74</v>
      </c>
      <c r="I2719">
        <v>2</v>
      </c>
      <c r="J2719">
        <v>255</v>
      </c>
      <c r="K2719">
        <v>0.1</v>
      </c>
      <c r="L2719">
        <v>459</v>
      </c>
      <c r="M2719">
        <v>289.63</v>
      </c>
      <c r="N2719">
        <v>169.37</v>
      </c>
      <c r="O2719" t="s">
        <v>79</v>
      </c>
      <c r="P2719" t="s">
        <v>86</v>
      </c>
    </row>
    <row r="2720" spans="1:16" x14ac:dyDescent="0.25">
      <c r="A2720">
        <v>2719</v>
      </c>
      <c r="B2720" s="1">
        <v>45978</v>
      </c>
      <c r="C2720" t="s">
        <v>18</v>
      </c>
      <c r="D2720" t="s">
        <v>26</v>
      </c>
      <c r="E2720" t="s">
        <v>30</v>
      </c>
      <c r="F2720" t="s">
        <v>64</v>
      </c>
      <c r="G2720" t="s">
        <v>71</v>
      </c>
      <c r="H2720" t="s">
        <v>74</v>
      </c>
      <c r="I2720">
        <v>8</v>
      </c>
      <c r="J2720">
        <v>18973</v>
      </c>
      <c r="K2720">
        <v>0.05</v>
      </c>
      <c r="L2720">
        <v>144194.79999999999</v>
      </c>
      <c r="M2720">
        <v>97940.61</v>
      </c>
      <c r="N2720">
        <v>46254.19</v>
      </c>
      <c r="O2720" t="s">
        <v>78</v>
      </c>
      <c r="P2720" t="s">
        <v>88</v>
      </c>
    </row>
    <row r="2721" spans="1:16" x14ac:dyDescent="0.25">
      <c r="A2721">
        <v>2720</v>
      </c>
      <c r="B2721" s="1">
        <v>45678</v>
      </c>
      <c r="C2721" t="s">
        <v>16</v>
      </c>
      <c r="D2721" t="s">
        <v>24</v>
      </c>
      <c r="E2721" t="s">
        <v>28</v>
      </c>
      <c r="F2721" t="s">
        <v>63</v>
      </c>
      <c r="G2721" t="s">
        <v>72</v>
      </c>
      <c r="H2721" t="s">
        <v>75</v>
      </c>
      <c r="I2721">
        <v>6</v>
      </c>
      <c r="J2721">
        <v>2276</v>
      </c>
      <c r="K2721">
        <v>0</v>
      </c>
      <c r="L2721">
        <v>13656</v>
      </c>
      <c r="M2721">
        <v>11005.34</v>
      </c>
      <c r="N2721">
        <v>2650.66</v>
      </c>
      <c r="O2721" t="s">
        <v>80</v>
      </c>
      <c r="P2721" t="s">
        <v>85</v>
      </c>
    </row>
    <row r="2722" spans="1:16" x14ac:dyDescent="0.25">
      <c r="A2722">
        <v>2721</v>
      </c>
      <c r="B2722" s="1">
        <v>45678</v>
      </c>
      <c r="C2722" t="s">
        <v>21</v>
      </c>
      <c r="D2722" t="s">
        <v>24</v>
      </c>
      <c r="E2722" t="s">
        <v>33</v>
      </c>
      <c r="F2722" t="s">
        <v>52</v>
      </c>
      <c r="G2722" t="s">
        <v>70</v>
      </c>
      <c r="H2722" t="s">
        <v>73</v>
      </c>
      <c r="I2722">
        <v>1</v>
      </c>
      <c r="J2722">
        <v>16974</v>
      </c>
      <c r="K2722">
        <v>0</v>
      </c>
      <c r="L2722">
        <v>16974</v>
      </c>
      <c r="M2722">
        <v>9426.26</v>
      </c>
      <c r="N2722">
        <v>7547.74</v>
      </c>
      <c r="O2722" t="s">
        <v>76</v>
      </c>
      <c r="P2722" t="s">
        <v>82</v>
      </c>
    </row>
    <row r="2723" spans="1:16" x14ac:dyDescent="0.25">
      <c r="A2723">
        <v>2722</v>
      </c>
      <c r="B2723" s="1">
        <v>45813</v>
      </c>
      <c r="C2723" t="s">
        <v>23</v>
      </c>
      <c r="D2723" t="s">
        <v>27</v>
      </c>
      <c r="E2723" t="s">
        <v>31</v>
      </c>
      <c r="F2723" t="s">
        <v>50</v>
      </c>
      <c r="G2723" t="s">
        <v>70</v>
      </c>
      <c r="H2723" t="s">
        <v>74</v>
      </c>
      <c r="I2723">
        <v>1</v>
      </c>
      <c r="J2723">
        <v>1658</v>
      </c>
      <c r="K2723">
        <v>0.05</v>
      </c>
      <c r="L2723">
        <v>1575.1</v>
      </c>
      <c r="M2723">
        <v>1037.0899999999999</v>
      </c>
      <c r="N2723">
        <v>538.01</v>
      </c>
      <c r="O2723" t="s">
        <v>77</v>
      </c>
      <c r="P2723" t="s">
        <v>85</v>
      </c>
    </row>
    <row r="2724" spans="1:16" x14ac:dyDescent="0.25">
      <c r="A2724">
        <v>2723</v>
      </c>
      <c r="B2724" s="1">
        <v>45959</v>
      </c>
      <c r="C2724" t="s">
        <v>23</v>
      </c>
      <c r="D2724" t="s">
        <v>27</v>
      </c>
      <c r="E2724" t="s">
        <v>29</v>
      </c>
      <c r="F2724" t="s">
        <v>57</v>
      </c>
      <c r="G2724" t="s">
        <v>71</v>
      </c>
      <c r="H2724" t="s">
        <v>73</v>
      </c>
      <c r="I2724">
        <v>7</v>
      </c>
      <c r="J2724">
        <v>5159</v>
      </c>
      <c r="K2724">
        <v>0.05</v>
      </c>
      <c r="L2724">
        <v>34307.35</v>
      </c>
      <c r="M2724">
        <v>25594.73</v>
      </c>
      <c r="N2724">
        <v>8712.6200000000008</v>
      </c>
      <c r="O2724" t="s">
        <v>80</v>
      </c>
      <c r="P2724" t="s">
        <v>81</v>
      </c>
    </row>
    <row r="2725" spans="1:16" x14ac:dyDescent="0.25">
      <c r="A2725">
        <v>2724</v>
      </c>
      <c r="B2725" s="1">
        <v>45725</v>
      </c>
      <c r="C2725" t="s">
        <v>16</v>
      </c>
      <c r="D2725" t="s">
        <v>24</v>
      </c>
      <c r="E2725" t="s">
        <v>29</v>
      </c>
      <c r="F2725" t="s">
        <v>45</v>
      </c>
      <c r="G2725" t="s">
        <v>70</v>
      </c>
      <c r="H2725" t="s">
        <v>75</v>
      </c>
      <c r="I2725">
        <v>8</v>
      </c>
      <c r="J2725">
        <v>5969</v>
      </c>
      <c r="K2725">
        <v>0.15</v>
      </c>
      <c r="L2725">
        <v>40589.199999999997</v>
      </c>
      <c r="M2725">
        <v>26361.99</v>
      </c>
      <c r="N2725">
        <v>14227.21</v>
      </c>
      <c r="O2725" t="s">
        <v>76</v>
      </c>
      <c r="P2725" t="s">
        <v>82</v>
      </c>
    </row>
    <row r="2726" spans="1:16" x14ac:dyDescent="0.25">
      <c r="A2726">
        <v>2725</v>
      </c>
      <c r="B2726" s="1">
        <v>45820</v>
      </c>
      <c r="C2726" t="s">
        <v>23</v>
      </c>
      <c r="D2726" t="s">
        <v>27</v>
      </c>
      <c r="E2726" t="s">
        <v>31</v>
      </c>
      <c r="F2726" t="s">
        <v>50</v>
      </c>
      <c r="G2726" t="s">
        <v>72</v>
      </c>
      <c r="H2726" t="s">
        <v>73</v>
      </c>
      <c r="I2726">
        <v>1</v>
      </c>
      <c r="J2726">
        <v>667</v>
      </c>
      <c r="K2726">
        <v>0.1</v>
      </c>
      <c r="L2726">
        <v>600.29999999999995</v>
      </c>
      <c r="M2726">
        <v>504.74</v>
      </c>
      <c r="N2726">
        <v>95.56</v>
      </c>
      <c r="O2726" t="s">
        <v>77</v>
      </c>
      <c r="P2726" t="s">
        <v>88</v>
      </c>
    </row>
    <row r="2727" spans="1:16" x14ac:dyDescent="0.25">
      <c r="A2727">
        <v>2726</v>
      </c>
      <c r="B2727" s="1">
        <v>45699</v>
      </c>
      <c r="C2727" t="s">
        <v>22</v>
      </c>
      <c r="D2727" t="s">
        <v>24</v>
      </c>
      <c r="E2727" t="s">
        <v>29</v>
      </c>
      <c r="F2727" t="s">
        <v>42</v>
      </c>
      <c r="G2727" t="s">
        <v>70</v>
      </c>
      <c r="H2727" t="s">
        <v>74</v>
      </c>
      <c r="I2727">
        <v>5</v>
      </c>
      <c r="J2727">
        <v>710</v>
      </c>
      <c r="K2727">
        <v>0</v>
      </c>
      <c r="L2727">
        <v>3550</v>
      </c>
      <c r="M2727">
        <v>2969.09</v>
      </c>
      <c r="N2727">
        <v>580.91</v>
      </c>
      <c r="O2727" t="s">
        <v>76</v>
      </c>
      <c r="P2727" t="s">
        <v>86</v>
      </c>
    </row>
    <row r="2728" spans="1:16" x14ac:dyDescent="0.25">
      <c r="A2728">
        <v>2727</v>
      </c>
      <c r="B2728" s="1">
        <v>45715</v>
      </c>
      <c r="C2728" t="s">
        <v>16</v>
      </c>
      <c r="D2728" t="s">
        <v>24</v>
      </c>
      <c r="E2728" t="s">
        <v>34</v>
      </c>
      <c r="F2728" t="s">
        <v>43</v>
      </c>
      <c r="G2728" t="s">
        <v>71</v>
      </c>
      <c r="H2728" t="s">
        <v>75</v>
      </c>
      <c r="I2728">
        <v>5</v>
      </c>
      <c r="J2728">
        <v>2661</v>
      </c>
      <c r="K2728">
        <v>0.15</v>
      </c>
      <c r="L2728">
        <v>11309.25</v>
      </c>
      <c r="M2728">
        <v>8400.59</v>
      </c>
      <c r="N2728">
        <v>2908.66</v>
      </c>
      <c r="O2728" t="s">
        <v>77</v>
      </c>
      <c r="P2728" t="s">
        <v>82</v>
      </c>
    </row>
    <row r="2729" spans="1:16" x14ac:dyDescent="0.25">
      <c r="A2729">
        <v>2728</v>
      </c>
      <c r="B2729" s="1">
        <v>45725</v>
      </c>
      <c r="C2729" t="s">
        <v>23</v>
      </c>
      <c r="D2729" t="s">
        <v>27</v>
      </c>
      <c r="E2729" t="s">
        <v>32</v>
      </c>
      <c r="F2729" t="s">
        <v>66</v>
      </c>
      <c r="G2729" t="s">
        <v>72</v>
      </c>
      <c r="H2729" t="s">
        <v>73</v>
      </c>
      <c r="I2729">
        <v>8</v>
      </c>
      <c r="J2729">
        <v>2127</v>
      </c>
      <c r="K2729">
        <v>0</v>
      </c>
      <c r="L2729">
        <v>17016</v>
      </c>
      <c r="M2729">
        <v>12073.01</v>
      </c>
      <c r="N2729">
        <v>4942.99</v>
      </c>
      <c r="O2729" t="s">
        <v>77</v>
      </c>
      <c r="P2729" t="s">
        <v>81</v>
      </c>
    </row>
    <row r="2730" spans="1:16" x14ac:dyDescent="0.25">
      <c r="A2730">
        <v>2729</v>
      </c>
      <c r="B2730" s="1">
        <v>45821</v>
      </c>
      <c r="C2730" t="s">
        <v>21</v>
      </c>
      <c r="D2730" t="s">
        <v>24</v>
      </c>
      <c r="E2730" t="s">
        <v>29</v>
      </c>
      <c r="F2730" t="s">
        <v>45</v>
      </c>
      <c r="G2730" t="s">
        <v>70</v>
      </c>
      <c r="H2730" t="s">
        <v>73</v>
      </c>
      <c r="I2730">
        <v>6</v>
      </c>
      <c r="J2730">
        <v>9721</v>
      </c>
      <c r="K2730">
        <v>0.1</v>
      </c>
      <c r="L2730">
        <v>52493.4</v>
      </c>
      <c r="M2730">
        <v>43795.59</v>
      </c>
      <c r="N2730">
        <v>8697.81</v>
      </c>
      <c r="O2730" t="s">
        <v>79</v>
      </c>
      <c r="P2730" t="s">
        <v>87</v>
      </c>
    </row>
    <row r="2731" spans="1:16" x14ac:dyDescent="0.25">
      <c r="A2731">
        <v>2730</v>
      </c>
      <c r="B2731" s="1">
        <v>45831</v>
      </c>
      <c r="C2731" t="s">
        <v>23</v>
      </c>
      <c r="D2731" t="s">
        <v>27</v>
      </c>
      <c r="E2731" t="s">
        <v>30</v>
      </c>
      <c r="F2731" t="s">
        <v>40</v>
      </c>
      <c r="G2731" t="s">
        <v>71</v>
      </c>
      <c r="H2731" t="s">
        <v>75</v>
      </c>
      <c r="I2731">
        <v>7</v>
      </c>
      <c r="J2731">
        <v>8046</v>
      </c>
      <c r="K2731">
        <v>0.1</v>
      </c>
      <c r="L2731">
        <v>50689.8</v>
      </c>
      <c r="M2731">
        <v>28655.64</v>
      </c>
      <c r="N2731">
        <v>22034.16</v>
      </c>
      <c r="O2731" t="s">
        <v>80</v>
      </c>
      <c r="P2731" t="s">
        <v>88</v>
      </c>
    </row>
    <row r="2732" spans="1:16" x14ac:dyDescent="0.25">
      <c r="A2732">
        <v>2731</v>
      </c>
      <c r="B2732" s="1">
        <v>46014</v>
      </c>
      <c r="C2732" t="s">
        <v>20</v>
      </c>
      <c r="D2732" t="s">
        <v>26</v>
      </c>
      <c r="E2732" t="s">
        <v>30</v>
      </c>
      <c r="F2732" t="s">
        <v>44</v>
      </c>
      <c r="G2732" t="s">
        <v>72</v>
      </c>
      <c r="H2732" t="s">
        <v>75</v>
      </c>
      <c r="I2732">
        <v>5</v>
      </c>
      <c r="J2732">
        <v>43648</v>
      </c>
      <c r="K2732">
        <v>0.05</v>
      </c>
      <c r="L2732">
        <v>207328</v>
      </c>
      <c r="M2732">
        <v>117468.99</v>
      </c>
      <c r="N2732">
        <v>89859.01</v>
      </c>
      <c r="O2732" t="s">
        <v>80</v>
      </c>
      <c r="P2732" t="s">
        <v>87</v>
      </c>
    </row>
    <row r="2733" spans="1:16" x14ac:dyDescent="0.25">
      <c r="A2733">
        <v>2732</v>
      </c>
      <c r="B2733" s="1">
        <v>45877</v>
      </c>
      <c r="C2733" t="s">
        <v>20</v>
      </c>
      <c r="D2733" t="s">
        <v>26</v>
      </c>
      <c r="E2733" t="s">
        <v>30</v>
      </c>
      <c r="F2733" t="s">
        <v>40</v>
      </c>
      <c r="G2733" t="s">
        <v>70</v>
      </c>
      <c r="H2733" t="s">
        <v>74</v>
      </c>
      <c r="I2733">
        <v>2</v>
      </c>
      <c r="J2733">
        <v>5005</v>
      </c>
      <c r="K2733">
        <v>0.05</v>
      </c>
      <c r="L2733">
        <v>9509.5</v>
      </c>
      <c r="M2733">
        <v>8141.94</v>
      </c>
      <c r="N2733">
        <v>1367.56</v>
      </c>
      <c r="O2733" t="s">
        <v>76</v>
      </c>
      <c r="P2733" t="s">
        <v>86</v>
      </c>
    </row>
    <row r="2734" spans="1:16" x14ac:dyDescent="0.25">
      <c r="A2734">
        <v>2733</v>
      </c>
      <c r="B2734" s="1">
        <v>45743</v>
      </c>
      <c r="C2734" t="s">
        <v>23</v>
      </c>
      <c r="D2734" t="s">
        <v>27</v>
      </c>
      <c r="E2734" t="s">
        <v>29</v>
      </c>
      <c r="F2734" t="s">
        <v>53</v>
      </c>
      <c r="G2734" t="s">
        <v>71</v>
      </c>
      <c r="H2734" t="s">
        <v>74</v>
      </c>
      <c r="I2734">
        <v>4</v>
      </c>
      <c r="J2734">
        <v>10727</v>
      </c>
      <c r="K2734">
        <v>0</v>
      </c>
      <c r="L2734">
        <v>42908</v>
      </c>
      <c r="M2734">
        <v>31587.51</v>
      </c>
      <c r="N2734">
        <v>11320.49</v>
      </c>
      <c r="O2734" t="s">
        <v>78</v>
      </c>
      <c r="P2734" t="s">
        <v>85</v>
      </c>
    </row>
    <row r="2735" spans="1:16" x14ac:dyDescent="0.25">
      <c r="A2735">
        <v>2734</v>
      </c>
      <c r="B2735" s="1">
        <v>45913</v>
      </c>
      <c r="C2735" t="s">
        <v>18</v>
      </c>
      <c r="D2735" t="s">
        <v>26</v>
      </c>
      <c r="E2735" t="s">
        <v>34</v>
      </c>
      <c r="F2735" t="s">
        <v>55</v>
      </c>
      <c r="G2735" t="s">
        <v>70</v>
      </c>
      <c r="H2735" t="s">
        <v>75</v>
      </c>
      <c r="I2735">
        <v>5</v>
      </c>
      <c r="J2735">
        <v>3065</v>
      </c>
      <c r="K2735">
        <v>0.05</v>
      </c>
      <c r="L2735">
        <v>14558.75</v>
      </c>
      <c r="M2735">
        <v>10049.86</v>
      </c>
      <c r="N2735">
        <v>4508.8900000000003</v>
      </c>
      <c r="O2735" t="s">
        <v>80</v>
      </c>
      <c r="P2735" t="s">
        <v>87</v>
      </c>
    </row>
    <row r="2736" spans="1:16" x14ac:dyDescent="0.25">
      <c r="A2736">
        <v>2735</v>
      </c>
      <c r="B2736" s="1">
        <v>45811</v>
      </c>
      <c r="C2736" t="s">
        <v>21</v>
      </c>
      <c r="D2736" t="s">
        <v>24</v>
      </c>
      <c r="E2736" t="s">
        <v>32</v>
      </c>
      <c r="F2736" t="s">
        <v>66</v>
      </c>
      <c r="G2736" t="s">
        <v>71</v>
      </c>
      <c r="H2736" t="s">
        <v>75</v>
      </c>
      <c r="I2736">
        <v>1</v>
      </c>
      <c r="J2736">
        <v>2363</v>
      </c>
      <c r="K2736">
        <v>0.05</v>
      </c>
      <c r="L2736">
        <v>2244.85</v>
      </c>
      <c r="M2736">
        <v>1575.37</v>
      </c>
      <c r="N2736">
        <v>669.48</v>
      </c>
      <c r="O2736" t="s">
        <v>80</v>
      </c>
      <c r="P2736" t="s">
        <v>83</v>
      </c>
    </row>
    <row r="2737" spans="1:16" x14ac:dyDescent="0.25">
      <c r="A2737">
        <v>2736</v>
      </c>
      <c r="B2737" s="1">
        <v>45806</v>
      </c>
      <c r="C2737" t="s">
        <v>19</v>
      </c>
      <c r="D2737" t="s">
        <v>26</v>
      </c>
      <c r="E2737" t="s">
        <v>28</v>
      </c>
      <c r="F2737" t="s">
        <v>54</v>
      </c>
      <c r="G2737" t="s">
        <v>71</v>
      </c>
      <c r="H2737" t="s">
        <v>73</v>
      </c>
      <c r="I2737">
        <v>4</v>
      </c>
      <c r="J2737">
        <v>773</v>
      </c>
      <c r="K2737">
        <v>0.15</v>
      </c>
      <c r="L2737">
        <v>2628.2</v>
      </c>
      <c r="M2737">
        <v>1844.08</v>
      </c>
      <c r="N2737">
        <v>784.12</v>
      </c>
      <c r="O2737" t="s">
        <v>78</v>
      </c>
      <c r="P2737" t="s">
        <v>88</v>
      </c>
    </row>
    <row r="2738" spans="1:16" x14ac:dyDescent="0.25">
      <c r="A2738">
        <v>2737</v>
      </c>
      <c r="B2738" s="1">
        <v>45743</v>
      </c>
      <c r="C2738" t="s">
        <v>16</v>
      </c>
      <c r="D2738" t="s">
        <v>24</v>
      </c>
      <c r="E2738" t="s">
        <v>29</v>
      </c>
      <c r="F2738" t="s">
        <v>45</v>
      </c>
      <c r="G2738" t="s">
        <v>71</v>
      </c>
      <c r="H2738" t="s">
        <v>75</v>
      </c>
      <c r="I2738">
        <v>7</v>
      </c>
      <c r="J2738">
        <v>2325</v>
      </c>
      <c r="K2738">
        <v>0</v>
      </c>
      <c r="L2738">
        <v>16275</v>
      </c>
      <c r="M2738">
        <v>10976.7</v>
      </c>
      <c r="N2738">
        <v>5298.3</v>
      </c>
      <c r="O2738" t="s">
        <v>77</v>
      </c>
      <c r="P2738" t="s">
        <v>82</v>
      </c>
    </row>
    <row r="2739" spans="1:16" x14ac:dyDescent="0.25">
      <c r="A2739">
        <v>2738</v>
      </c>
      <c r="B2739" s="1">
        <v>45827</v>
      </c>
      <c r="C2739" t="s">
        <v>20</v>
      </c>
      <c r="D2739" t="s">
        <v>26</v>
      </c>
      <c r="E2739" t="s">
        <v>30</v>
      </c>
      <c r="F2739" t="s">
        <v>40</v>
      </c>
      <c r="G2739" t="s">
        <v>72</v>
      </c>
      <c r="H2739" t="s">
        <v>74</v>
      </c>
      <c r="I2739">
        <v>6</v>
      </c>
      <c r="J2739">
        <v>4944</v>
      </c>
      <c r="K2739">
        <v>0.05</v>
      </c>
      <c r="L2739">
        <v>28180.799999999999</v>
      </c>
      <c r="M2739">
        <v>20907.060000000001</v>
      </c>
      <c r="N2739">
        <v>7273.74</v>
      </c>
      <c r="O2739" t="s">
        <v>80</v>
      </c>
      <c r="P2739" t="s">
        <v>88</v>
      </c>
    </row>
    <row r="2740" spans="1:16" x14ac:dyDescent="0.25">
      <c r="A2740">
        <v>2739</v>
      </c>
      <c r="B2740" s="1">
        <v>45900</v>
      </c>
      <c r="C2740" t="s">
        <v>16</v>
      </c>
      <c r="D2740" t="s">
        <v>24</v>
      </c>
      <c r="E2740" t="s">
        <v>31</v>
      </c>
      <c r="F2740" t="s">
        <v>69</v>
      </c>
      <c r="G2740" t="s">
        <v>72</v>
      </c>
      <c r="H2740" t="s">
        <v>73</v>
      </c>
      <c r="I2740">
        <v>8</v>
      </c>
      <c r="J2740">
        <v>2488</v>
      </c>
      <c r="K2740">
        <v>0</v>
      </c>
      <c r="L2740">
        <v>19904</v>
      </c>
      <c r="M2740">
        <v>12117.37</v>
      </c>
      <c r="N2740">
        <v>7786.63</v>
      </c>
      <c r="O2740" t="s">
        <v>78</v>
      </c>
      <c r="P2740" t="s">
        <v>84</v>
      </c>
    </row>
    <row r="2741" spans="1:16" x14ac:dyDescent="0.25">
      <c r="A2741">
        <v>2740</v>
      </c>
      <c r="B2741" s="1">
        <v>45978</v>
      </c>
      <c r="C2741" t="s">
        <v>17</v>
      </c>
      <c r="D2741" t="s">
        <v>25</v>
      </c>
      <c r="E2741" t="s">
        <v>32</v>
      </c>
      <c r="F2741" t="s">
        <v>48</v>
      </c>
      <c r="G2741" t="s">
        <v>71</v>
      </c>
      <c r="H2741" t="s">
        <v>74</v>
      </c>
      <c r="I2741">
        <v>8</v>
      </c>
      <c r="J2741">
        <v>11307</v>
      </c>
      <c r="K2741">
        <v>0.1</v>
      </c>
      <c r="L2741">
        <v>81410.399999999994</v>
      </c>
      <c r="M2741">
        <v>59804.41</v>
      </c>
      <c r="N2741">
        <v>21605.99</v>
      </c>
      <c r="O2741" t="s">
        <v>80</v>
      </c>
      <c r="P2741" t="s">
        <v>82</v>
      </c>
    </row>
    <row r="2742" spans="1:16" x14ac:dyDescent="0.25">
      <c r="A2742">
        <v>2741</v>
      </c>
      <c r="B2742" s="1">
        <v>45775</v>
      </c>
      <c r="C2742" t="s">
        <v>16</v>
      </c>
      <c r="D2742" t="s">
        <v>24</v>
      </c>
      <c r="E2742" t="s">
        <v>32</v>
      </c>
      <c r="F2742" t="s">
        <v>49</v>
      </c>
      <c r="G2742" t="s">
        <v>70</v>
      </c>
      <c r="H2742" t="s">
        <v>75</v>
      </c>
      <c r="I2742">
        <v>7</v>
      </c>
      <c r="J2742">
        <v>4058</v>
      </c>
      <c r="K2742">
        <v>0.05</v>
      </c>
      <c r="L2742">
        <v>26985.7</v>
      </c>
      <c r="M2742">
        <v>21033.39</v>
      </c>
      <c r="N2742">
        <v>5952.31</v>
      </c>
      <c r="O2742" t="s">
        <v>80</v>
      </c>
      <c r="P2742" t="s">
        <v>85</v>
      </c>
    </row>
    <row r="2743" spans="1:16" x14ac:dyDescent="0.25">
      <c r="A2743">
        <v>2742</v>
      </c>
      <c r="B2743" s="1">
        <v>45951</v>
      </c>
      <c r="C2743" t="s">
        <v>23</v>
      </c>
      <c r="D2743" t="s">
        <v>27</v>
      </c>
      <c r="E2743" t="s">
        <v>31</v>
      </c>
      <c r="F2743" t="s">
        <v>50</v>
      </c>
      <c r="G2743" t="s">
        <v>70</v>
      </c>
      <c r="H2743" t="s">
        <v>75</v>
      </c>
      <c r="I2743">
        <v>8</v>
      </c>
      <c r="J2743">
        <v>835</v>
      </c>
      <c r="K2743">
        <v>0.05</v>
      </c>
      <c r="L2743">
        <v>6346</v>
      </c>
      <c r="M2743">
        <v>3792.75</v>
      </c>
      <c r="N2743">
        <v>2553.25</v>
      </c>
      <c r="O2743" t="s">
        <v>76</v>
      </c>
      <c r="P2743" t="s">
        <v>82</v>
      </c>
    </row>
    <row r="2744" spans="1:16" x14ac:dyDescent="0.25">
      <c r="A2744">
        <v>2743</v>
      </c>
      <c r="B2744" s="1">
        <v>45745</v>
      </c>
      <c r="C2744" t="s">
        <v>20</v>
      </c>
      <c r="D2744" t="s">
        <v>26</v>
      </c>
      <c r="E2744" t="s">
        <v>32</v>
      </c>
      <c r="F2744" t="s">
        <v>49</v>
      </c>
      <c r="G2744" t="s">
        <v>71</v>
      </c>
      <c r="H2744" t="s">
        <v>74</v>
      </c>
      <c r="I2744">
        <v>8</v>
      </c>
      <c r="J2744">
        <v>14846</v>
      </c>
      <c r="K2744">
        <v>0.05</v>
      </c>
      <c r="L2744">
        <v>112829.6</v>
      </c>
      <c r="M2744">
        <v>87798.14</v>
      </c>
      <c r="N2744">
        <v>25031.46</v>
      </c>
      <c r="O2744" t="s">
        <v>78</v>
      </c>
      <c r="P2744" t="s">
        <v>87</v>
      </c>
    </row>
    <row r="2745" spans="1:16" x14ac:dyDescent="0.25">
      <c r="A2745">
        <v>2744</v>
      </c>
      <c r="B2745" s="1">
        <v>45663</v>
      </c>
      <c r="C2745" t="s">
        <v>19</v>
      </c>
      <c r="D2745" t="s">
        <v>26</v>
      </c>
      <c r="E2745" t="s">
        <v>30</v>
      </c>
      <c r="F2745" t="s">
        <v>56</v>
      </c>
      <c r="G2745" t="s">
        <v>72</v>
      </c>
      <c r="H2745" t="s">
        <v>74</v>
      </c>
      <c r="I2745">
        <v>1</v>
      </c>
      <c r="J2745">
        <v>12952</v>
      </c>
      <c r="K2745">
        <v>0.1</v>
      </c>
      <c r="L2745">
        <v>11656.8</v>
      </c>
      <c r="M2745">
        <v>8656.91</v>
      </c>
      <c r="N2745">
        <v>2999.89</v>
      </c>
      <c r="O2745" t="s">
        <v>79</v>
      </c>
      <c r="P2745" t="s">
        <v>86</v>
      </c>
    </row>
    <row r="2746" spans="1:16" x14ac:dyDescent="0.25">
      <c r="A2746">
        <v>2745</v>
      </c>
      <c r="B2746" s="1">
        <v>45993</v>
      </c>
      <c r="C2746" t="s">
        <v>17</v>
      </c>
      <c r="D2746" t="s">
        <v>25</v>
      </c>
      <c r="E2746" t="s">
        <v>34</v>
      </c>
      <c r="F2746" t="s">
        <v>43</v>
      </c>
      <c r="G2746" t="s">
        <v>70</v>
      </c>
      <c r="H2746" t="s">
        <v>73</v>
      </c>
      <c r="I2746">
        <v>3</v>
      </c>
      <c r="J2746">
        <v>5473</v>
      </c>
      <c r="K2746">
        <v>0</v>
      </c>
      <c r="L2746">
        <v>16419</v>
      </c>
      <c r="M2746">
        <v>12365.78</v>
      </c>
      <c r="N2746">
        <v>4053.22</v>
      </c>
      <c r="O2746" t="s">
        <v>80</v>
      </c>
      <c r="P2746" t="s">
        <v>83</v>
      </c>
    </row>
    <row r="2747" spans="1:16" x14ac:dyDescent="0.25">
      <c r="A2747">
        <v>2746</v>
      </c>
      <c r="B2747" s="1">
        <v>45965</v>
      </c>
      <c r="C2747" t="s">
        <v>20</v>
      </c>
      <c r="D2747" t="s">
        <v>26</v>
      </c>
      <c r="E2747" t="s">
        <v>31</v>
      </c>
      <c r="F2747" t="s">
        <v>67</v>
      </c>
      <c r="G2747" t="s">
        <v>72</v>
      </c>
      <c r="H2747" t="s">
        <v>74</v>
      </c>
      <c r="I2747">
        <v>5</v>
      </c>
      <c r="J2747">
        <v>2037</v>
      </c>
      <c r="K2747">
        <v>0.1</v>
      </c>
      <c r="L2747">
        <v>9166.5</v>
      </c>
      <c r="M2747">
        <v>7341.97</v>
      </c>
      <c r="N2747">
        <v>1824.53</v>
      </c>
      <c r="O2747" t="s">
        <v>79</v>
      </c>
      <c r="P2747" t="s">
        <v>88</v>
      </c>
    </row>
    <row r="2748" spans="1:16" x14ac:dyDescent="0.25">
      <c r="A2748">
        <v>2747</v>
      </c>
      <c r="B2748" s="1">
        <v>45792</v>
      </c>
      <c r="C2748" t="s">
        <v>20</v>
      </c>
      <c r="D2748" t="s">
        <v>26</v>
      </c>
      <c r="E2748" t="s">
        <v>33</v>
      </c>
      <c r="F2748" t="s">
        <v>41</v>
      </c>
      <c r="G2748" t="s">
        <v>70</v>
      </c>
      <c r="H2748" t="s">
        <v>73</v>
      </c>
      <c r="I2748">
        <v>3</v>
      </c>
      <c r="J2748">
        <v>4896</v>
      </c>
      <c r="K2748">
        <v>0</v>
      </c>
      <c r="L2748">
        <v>14688</v>
      </c>
      <c r="M2748">
        <v>12540.45</v>
      </c>
      <c r="N2748">
        <v>2147.5500000000002</v>
      </c>
      <c r="O2748" t="s">
        <v>80</v>
      </c>
      <c r="P2748" t="s">
        <v>85</v>
      </c>
    </row>
    <row r="2749" spans="1:16" x14ac:dyDescent="0.25">
      <c r="A2749">
        <v>2748</v>
      </c>
      <c r="B2749" s="1">
        <v>45909</v>
      </c>
      <c r="C2749" t="s">
        <v>21</v>
      </c>
      <c r="D2749" t="s">
        <v>24</v>
      </c>
      <c r="E2749" t="s">
        <v>33</v>
      </c>
      <c r="F2749" t="s">
        <v>46</v>
      </c>
      <c r="G2749" t="s">
        <v>70</v>
      </c>
      <c r="H2749" t="s">
        <v>74</v>
      </c>
      <c r="I2749">
        <v>5</v>
      </c>
      <c r="J2749">
        <v>6669</v>
      </c>
      <c r="K2749">
        <v>0.15</v>
      </c>
      <c r="L2749">
        <v>28343.25</v>
      </c>
      <c r="M2749">
        <v>19754.400000000001</v>
      </c>
      <c r="N2749">
        <v>8588.85</v>
      </c>
      <c r="O2749" t="s">
        <v>80</v>
      </c>
      <c r="P2749" t="s">
        <v>82</v>
      </c>
    </row>
    <row r="2750" spans="1:16" x14ac:dyDescent="0.25">
      <c r="A2750">
        <v>2749</v>
      </c>
      <c r="B2750" s="1">
        <v>45754</v>
      </c>
      <c r="C2750" t="s">
        <v>22</v>
      </c>
      <c r="D2750" t="s">
        <v>24</v>
      </c>
      <c r="E2750" t="s">
        <v>28</v>
      </c>
      <c r="F2750" t="s">
        <v>54</v>
      </c>
      <c r="G2750" t="s">
        <v>72</v>
      </c>
      <c r="H2750" t="s">
        <v>73</v>
      </c>
      <c r="I2750">
        <v>5</v>
      </c>
      <c r="J2750">
        <v>177</v>
      </c>
      <c r="K2750">
        <v>0</v>
      </c>
      <c r="L2750">
        <v>885</v>
      </c>
      <c r="M2750">
        <v>733.51</v>
      </c>
      <c r="N2750">
        <v>151.49</v>
      </c>
      <c r="O2750" t="s">
        <v>76</v>
      </c>
      <c r="P2750" t="s">
        <v>88</v>
      </c>
    </row>
    <row r="2751" spans="1:16" x14ac:dyDescent="0.25">
      <c r="A2751">
        <v>2750</v>
      </c>
      <c r="B2751" s="1">
        <v>45824</v>
      </c>
      <c r="C2751" t="s">
        <v>23</v>
      </c>
      <c r="D2751" t="s">
        <v>27</v>
      </c>
      <c r="E2751" t="s">
        <v>34</v>
      </c>
      <c r="F2751" t="s">
        <v>68</v>
      </c>
      <c r="G2751" t="s">
        <v>72</v>
      </c>
      <c r="H2751" t="s">
        <v>74</v>
      </c>
      <c r="I2751">
        <v>4</v>
      </c>
      <c r="J2751">
        <v>4865</v>
      </c>
      <c r="K2751">
        <v>0</v>
      </c>
      <c r="L2751">
        <v>19460</v>
      </c>
      <c r="M2751">
        <v>13137.52</v>
      </c>
      <c r="N2751">
        <v>6322.48</v>
      </c>
      <c r="O2751" t="s">
        <v>77</v>
      </c>
      <c r="P2751" t="s">
        <v>88</v>
      </c>
    </row>
    <row r="2752" spans="1:16" x14ac:dyDescent="0.25">
      <c r="A2752">
        <v>2751</v>
      </c>
      <c r="B2752" s="1">
        <v>45891</v>
      </c>
      <c r="C2752" t="s">
        <v>20</v>
      </c>
      <c r="D2752" t="s">
        <v>26</v>
      </c>
      <c r="E2752" t="s">
        <v>29</v>
      </c>
      <c r="F2752" t="s">
        <v>57</v>
      </c>
      <c r="G2752" t="s">
        <v>71</v>
      </c>
      <c r="H2752" t="s">
        <v>73</v>
      </c>
      <c r="I2752">
        <v>5</v>
      </c>
      <c r="J2752">
        <v>3731</v>
      </c>
      <c r="K2752">
        <v>0.1</v>
      </c>
      <c r="L2752">
        <v>16789.5</v>
      </c>
      <c r="M2752">
        <v>12878.01</v>
      </c>
      <c r="N2752">
        <v>3911.49</v>
      </c>
      <c r="O2752" t="s">
        <v>77</v>
      </c>
      <c r="P2752" t="s">
        <v>84</v>
      </c>
    </row>
    <row r="2753" spans="1:16" x14ac:dyDescent="0.25">
      <c r="A2753">
        <v>2752</v>
      </c>
      <c r="B2753" s="1">
        <v>45994</v>
      </c>
      <c r="C2753" t="s">
        <v>23</v>
      </c>
      <c r="D2753" t="s">
        <v>27</v>
      </c>
      <c r="E2753" t="s">
        <v>30</v>
      </c>
      <c r="F2753" t="s">
        <v>37</v>
      </c>
      <c r="G2753" t="s">
        <v>71</v>
      </c>
      <c r="H2753" t="s">
        <v>74</v>
      </c>
      <c r="I2753">
        <v>1</v>
      </c>
      <c r="J2753">
        <v>54413</v>
      </c>
      <c r="K2753">
        <v>0.1</v>
      </c>
      <c r="L2753">
        <v>48971.7</v>
      </c>
      <c r="M2753">
        <v>27846.43</v>
      </c>
      <c r="N2753">
        <v>21125.27</v>
      </c>
      <c r="O2753" t="s">
        <v>79</v>
      </c>
      <c r="P2753" t="s">
        <v>83</v>
      </c>
    </row>
    <row r="2754" spans="1:16" x14ac:dyDescent="0.25">
      <c r="A2754">
        <v>2753</v>
      </c>
      <c r="B2754" s="1">
        <v>45899</v>
      </c>
      <c r="C2754" t="s">
        <v>16</v>
      </c>
      <c r="D2754" t="s">
        <v>24</v>
      </c>
      <c r="E2754" t="s">
        <v>33</v>
      </c>
      <c r="F2754" t="s">
        <v>41</v>
      </c>
      <c r="G2754" t="s">
        <v>71</v>
      </c>
      <c r="H2754" t="s">
        <v>73</v>
      </c>
      <c r="I2754">
        <v>1</v>
      </c>
      <c r="J2754">
        <v>34654</v>
      </c>
      <c r="K2754">
        <v>0.05</v>
      </c>
      <c r="L2754">
        <v>32921.300000000003</v>
      </c>
      <c r="M2754">
        <v>23300.06</v>
      </c>
      <c r="N2754">
        <v>9621.24</v>
      </c>
      <c r="O2754" t="s">
        <v>76</v>
      </c>
      <c r="P2754" t="s">
        <v>85</v>
      </c>
    </row>
    <row r="2755" spans="1:16" x14ac:dyDescent="0.25">
      <c r="A2755">
        <v>2754</v>
      </c>
      <c r="B2755" s="1">
        <v>45694</v>
      </c>
      <c r="C2755" t="s">
        <v>23</v>
      </c>
      <c r="D2755" t="s">
        <v>27</v>
      </c>
      <c r="E2755" t="s">
        <v>34</v>
      </c>
      <c r="F2755" t="s">
        <v>51</v>
      </c>
      <c r="G2755" t="s">
        <v>72</v>
      </c>
      <c r="H2755" t="s">
        <v>74</v>
      </c>
      <c r="I2755">
        <v>7</v>
      </c>
      <c r="J2755">
        <v>713</v>
      </c>
      <c r="K2755">
        <v>0.15</v>
      </c>
      <c r="L2755">
        <v>4242.3500000000004</v>
      </c>
      <c r="M2755">
        <v>2569.9899999999998</v>
      </c>
      <c r="N2755">
        <v>1672.36</v>
      </c>
      <c r="O2755" t="s">
        <v>77</v>
      </c>
      <c r="P2755" t="s">
        <v>84</v>
      </c>
    </row>
    <row r="2756" spans="1:16" x14ac:dyDescent="0.25">
      <c r="A2756">
        <v>2755</v>
      </c>
      <c r="B2756" s="1">
        <v>45855</v>
      </c>
      <c r="C2756" t="s">
        <v>22</v>
      </c>
      <c r="D2756" t="s">
        <v>24</v>
      </c>
      <c r="E2756" t="s">
        <v>32</v>
      </c>
      <c r="F2756" t="s">
        <v>62</v>
      </c>
      <c r="G2756" t="s">
        <v>72</v>
      </c>
      <c r="H2756" t="s">
        <v>75</v>
      </c>
      <c r="I2756">
        <v>4</v>
      </c>
      <c r="J2756">
        <v>8280</v>
      </c>
      <c r="K2756">
        <v>0</v>
      </c>
      <c r="L2756">
        <v>33120</v>
      </c>
      <c r="M2756">
        <v>22416.07</v>
      </c>
      <c r="N2756">
        <v>10703.93</v>
      </c>
      <c r="O2756" t="s">
        <v>79</v>
      </c>
      <c r="P2756" t="s">
        <v>84</v>
      </c>
    </row>
    <row r="2757" spans="1:16" x14ac:dyDescent="0.25">
      <c r="A2757">
        <v>2756</v>
      </c>
      <c r="B2757" s="1">
        <v>45847</v>
      </c>
      <c r="C2757" t="s">
        <v>17</v>
      </c>
      <c r="D2757" t="s">
        <v>25</v>
      </c>
      <c r="E2757" t="s">
        <v>33</v>
      </c>
      <c r="F2757" t="s">
        <v>60</v>
      </c>
      <c r="G2757" t="s">
        <v>72</v>
      </c>
      <c r="H2757" t="s">
        <v>73</v>
      </c>
      <c r="I2757">
        <v>8</v>
      </c>
      <c r="J2757">
        <v>30908</v>
      </c>
      <c r="K2757">
        <v>0.1</v>
      </c>
      <c r="L2757">
        <v>222537.60000000001</v>
      </c>
      <c r="M2757">
        <v>173752.18</v>
      </c>
      <c r="N2757">
        <v>48785.42</v>
      </c>
      <c r="O2757" t="s">
        <v>78</v>
      </c>
      <c r="P2757" t="s">
        <v>88</v>
      </c>
    </row>
    <row r="2758" spans="1:16" x14ac:dyDescent="0.25">
      <c r="A2758">
        <v>2757</v>
      </c>
      <c r="B2758" s="1">
        <v>45720</v>
      </c>
      <c r="C2758" t="s">
        <v>18</v>
      </c>
      <c r="D2758" t="s">
        <v>26</v>
      </c>
      <c r="E2758" t="s">
        <v>30</v>
      </c>
      <c r="F2758" t="s">
        <v>56</v>
      </c>
      <c r="G2758" t="s">
        <v>71</v>
      </c>
      <c r="H2758" t="s">
        <v>74</v>
      </c>
      <c r="I2758">
        <v>4</v>
      </c>
      <c r="J2758">
        <v>57330</v>
      </c>
      <c r="K2758">
        <v>0</v>
      </c>
      <c r="L2758">
        <v>229320</v>
      </c>
      <c r="M2758">
        <v>167283.35999999999</v>
      </c>
      <c r="N2758">
        <v>62036.639999999999</v>
      </c>
      <c r="O2758" t="s">
        <v>77</v>
      </c>
      <c r="P2758" t="s">
        <v>86</v>
      </c>
    </row>
    <row r="2759" spans="1:16" x14ac:dyDescent="0.25">
      <c r="A2759">
        <v>2758</v>
      </c>
      <c r="B2759" s="1">
        <v>45895</v>
      </c>
      <c r="C2759" t="s">
        <v>20</v>
      </c>
      <c r="D2759" t="s">
        <v>26</v>
      </c>
      <c r="E2759" t="s">
        <v>32</v>
      </c>
      <c r="F2759" t="s">
        <v>48</v>
      </c>
      <c r="G2759" t="s">
        <v>70</v>
      </c>
      <c r="H2759" t="s">
        <v>75</v>
      </c>
      <c r="I2759">
        <v>4</v>
      </c>
      <c r="J2759">
        <v>13055</v>
      </c>
      <c r="K2759">
        <v>0.15</v>
      </c>
      <c r="L2759">
        <v>44387</v>
      </c>
      <c r="M2759">
        <v>31136.400000000001</v>
      </c>
      <c r="N2759">
        <v>13250.6</v>
      </c>
      <c r="O2759" t="s">
        <v>77</v>
      </c>
      <c r="P2759" t="s">
        <v>87</v>
      </c>
    </row>
    <row r="2760" spans="1:16" x14ac:dyDescent="0.25">
      <c r="A2760">
        <v>2759</v>
      </c>
      <c r="B2760" s="1">
        <v>46003</v>
      </c>
      <c r="C2760" t="s">
        <v>23</v>
      </c>
      <c r="D2760" t="s">
        <v>27</v>
      </c>
      <c r="E2760" t="s">
        <v>34</v>
      </c>
      <c r="F2760" t="s">
        <v>55</v>
      </c>
      <c r="G2760" t="s">
        <v>70</v>
      </c>
      <c r="H2760" t="s">
        <v>75</v>
      </c>
      <c r="I2760">
        <v>8</v>
      </c>
      <c r="J2760">
        <v>3047</v>
      </c>
      <c r="K2760">
        <v>0.15</v>
      </c>
      <c r="L2760">
        <v>20719.599999999999</v>
      </c>
      <c r="M2760">
        <v>17535.849999999999</v>
      </c>
      <c r="N2760">
        <v>3183.75</v>
      </c>
      <c r="O2760" t="s">
        <v>79</v>
      </c>
      <c r="P2760" t="s">
        <v>87</v>
      </c>
    </row>
    <row r="2761" spans="1:16" x14ac:dyDescent="0.25">
      <c r="A2761">
        <v>2760</v>
      </c>
      <c r="B2761" s="1">
        <v>45678</v>
      </c>
      <c r="C2761" t="s">
        <v>23</v>
      </c>
      <c r="D2761" t="s">
        <v>27</v>
      </c>
      <c r="E2761" t="s">
        <v>33</v>
      </c>
      <c r="F2761" t="s">
        <v>52</v>
      </c>
      <c r="G2761" t="s">
        <v>72</v>
      </c>
      <c r="H2761" t="s">
        <v>73</v>
      </c>
      <c r="I2761">
        <v>1</v>
      </c>
      <c r="J2761">
        <v>26019</v>
      </c>
      <c r="K2761">
        <v>0</v>
      </c>
      <c r="L2761">
        <v>26019</v>
      </c>
      <c r="M2761">
        <v>21103</v>
      </c>
      <c r="N2761">
        <v>4916</v>
      </c>
      <c r="O2761" t="s">
        <v>79</v>
      </c>
      <c r="P2761" t="s">
        <v>81</v>
      </c>
    </row>
    <row r="2762" spans="1:16" x14ac:dyDescent="0.25">
      <c r="A2762">
        <v>2761</v>
      </c>
      <c r="B2762" s="1">
        <v>45717</v>
      </c>
      <c r="C2762" t="s">
        <v>18</v>
      </c>
      <c r="D2762" t="s">
        <v>26</v>
      </c>
      <c r="E2762" t="s">
        <v>30</v>
      </c>
      <c r="F2762" t="s">
        <v>64</v>
      </c>
      <c r="G2762" t="s">
        <v>70</v>
      </c>
      <c r="H2762" t="s">
        <v>74</v>
      </c>
      <c r="I2762">
        <v>2</v>
      </c>
      <c r="J2762">
        <v>42287</v>
      </c>
      <c r="K2762">
        <v>0.1</v>
      </c>
      <c r="L2762">
        <v>76116.600000000006</v>
      </c>
      <c r="M2762">
        <v>63185.04</v>
      </c>
      <c r="N2762">
        <v>12931.56</v>
      </c>
      <c r="O2762" t="s">
        <v>78</v>
      </c>
      <c r="P2762" t="s">
        <v>86</v>
      </c>
    </row>
    <row r="2763" spans="1:16" x14ac:dyDescent="0.25">
      <c r="A2763">
        <v>2762</v>
      </c>
      <c r="B2763" s="1">
        <v>45700</v>
      </c>
      <c r="C2763" t="s">
        <v>21</v>
      </c>
      <c r="D2763" t="s">
        <v>24</v>
      </c>
      <c r="E2763" t="s">
        <v>30</v>
      </c>
      <c r="F2763" t="s">
        <v>37</v>
      </c>
      <c r="G2763" t="s">
        <v>70</v>
      </c>
      <c r="H2763" t="s">
        <v>74</v>
      </c>
      <c r="I2763">
        <v>7</v>
      </c>
      <c r="J2763">
        <v>14529</v>
      </c>
      <c r="K2763">
        <v>0.1</v>
      </c>
      <c r="L2763">
        <v>91532.7</v>
      </c>
      <c r="M2763">
        <v>76702.48</v>
      </c>
      <c r="N2763">
        <v>14830.22</v>
      </c>
      <c r="O2763" t="s">
        <v>80</v>
      </c>
      <c r="P2763" t="s">
        <v>85</v>
      </c>
    </row>
    <row r="2764" spans="1:16" x14ac:dyDescent="0.25">
      <c r="A2764">
        <v>2763</v>
      </c>
      <c r="B2764" s="1">
        <v>45990</v>
      </c>
      <c r="C2764" t="s">
        <v>20</v>
      </c>
      <c r="D2764" t="s">
        <v>26</v>
      </c>
      <c r="E2764" t="s">
        <v>31</v>
      </c>
      <c r="F2764" t="s">
        <v>47</v>
      </c>
      <c r="G2764" t="s">
        <v>72</v>
      </c>
      <c r="H2764" t="s">
        <v>74</v>
      </c>
      <c r="I2764">
        <v>3</v>
      </c>
      <c r="J2764">
        <v>909</v>
      </c>
      <c r="K2764">
        <v>0.1</v>
      </c>
      <c r="L2764">
        <v>2454.3000000000002</v>
      </c>
      <c r="M2764">
        <v>1439.1</v>
      </c>
      <c r="N2764">
        <v>1015.2</v>
      </c>
      <c r="O2764" t="s">
        <v>79</v>
      </c>
      <c r="P2764" t="s">
        <v>87</v>
      </c>
    </row>
    <row r="2765" spans="1:16" x14ac:dyDescent="0.25">
      <c r="A2765">
        <v>2764</v>
      </c>
      <c r="B2765" s="1">
        <v>45789</v>
      </c>
      <c r="C2765" t="s">
        <v>20</v>
      </c>
      <c r="D2765" t="s">
        <v>26</v>
      </c>
      <c r="E2765" t="s">
        <v>28</v>
      </c>
      <c r="F2765" t="s">
        <v>35</v>
      </c>
      <c r="G2765" t="s">
        <v>71</v>
      </c>
      <c r="H2765" t="s">
        <v>73</v>
      </c>
      <c r="I2765">
        <v>4</v>
      </c>
      <c r="J2765">
        <v>2232</v>
      </c>
      <c r="K2765">
        <v>0</v>
      </c>
      <c r="L2765">
        <v>8928</v>
      </c>
      <c r="M2765">
        <v>5710.21</v>
      </c>
      <c r="N2765">
        <v>3217.79</v>
      </c>
      <c r="O2765" t="s">
        <v>79</v>
      </c>
      <c r="P2765" t="s">
        <v>87</v>
      </c>
    </row>
    <row r="2766" spans="1:16" x14ac:dyDescent="0.25">
      <c r="A2766">
        <v>2765</v>
      </c>
      <c r="B2766" s="1">
        <v>45669</v>
      </c>
      <c r="C2766" t="s">
        <v>21</v>
      </c>
      <c r="D2766" t="s">
        <v>24</v>
      </c>
      <c r="E2766" t="s">
        <v>31</v>
      </c>
      <c r="F2766" t="s">
        <v>67</v>
      </c>
      <c r="G2766" t="s">
        <v>70</v>
      </c>
      <c r="H2766" t="s">
        <v>73</v>
      </c>
      <c r="I2766">
        <v>3</v>
      </c>
      <c r="J2766">
        <v>308</v>
      </c>
      <c r="K2766">
        <v>0</v>
      </c>
      <c r="L2766">
        <v>924</v>
      </c>
      <c r="M2766">
        <v>711.46</v>
      </c>
      <c r="N2766">
        <v>212.54</v>
      </c>
      <c r="O2766" t="s">
        <v>76</v>
      </c>
      <c r="P2766" t="s">
        <v>86</v>
      </c>
    </row>
    <row r="2767" spans="1:16" x14ac:dyDescent="0.25">
      <c r="A2767">
        <v>2766</v>
      </c>
      <c r="B2767" s="1">
        <v>45861</v>
      </c>
      <c r="C2767" t="s">
        <v>21</v>
      </c>
      <c r="D2767" t="s">
        <v>24</v>
      </c>
      <c r="E2767" t="s">
        <v>29</v>
      </c>
      <c r="F2767" t="s">
        <v>53</v>
      </c>
      <c r="G2767" t="s">
        <v>71</v>
      </c>
      <c r="H2767" t="s">
        <v>75</v>
      </c>
      <c r="I2767">
        <v>3</v>
      </c>
      <c r="J2767">
        <v>5938</v>
      </c>
      <c r="K2767">
        <v>0.15</v>
      </c>
      <c r="L2767">
        <v>15141.9</v>
      </c>
      <c r="M2767">
        <v>11725.74</v>
      </c>
      <c r="N2767">
        <v>3416.16</v>
      </c>
      <c r="O2767" t="s">
        <v>78</v>
      </c>
      <c r="P2767" t="s">
        <v>85</v>
      </c>
    </row>
    <row r="2768" spans="1:16" x14ac:dyDescent="0.25">
      <c r="A2768">
        <v>2767</v>
      </c>
      <c r="B2768" s="1">
        <v>45769</v>
      </c>
      <c r="C2768" t="s">
        <v>20</v>
      </c>
      <c r="D2768" t="s">
        <v>26</v>
      </c>
      <c r="E2768" t="s">
        <v>34</v>
      </c>
      <c r="F2768" t="s">
        <v>65</v>
      </c>
      <c r="G2768" t="s">
        <v>70</v>
      </c>
      <c r="H2768" t="s">
        <v>73</v>
      </c>
      <c r="I2768">
        <v>2</v>
      </c>
      <c r="J2768">
        <v>5290</v>
      </c>
      <c r="K2768">
        <v>0.05</v>
      </c>
      <c r="L2768">
        <v>10051</v>
      </c>
      <c r="M2768">
        <v>6639.58</v>
      </c>
      <c r="N2768">
        <v>3411.42</v>
      </c>
      <c r="O2768" t="s">
        <v>76</v>
      </c>
      <c r="P2768" t="s">
        <v>86</v>
      </c>
    </row>
    <row r="2769" spans="1:16" x14ac:dyDescent="0.25">
      <c r="A2769">
        <v>2768</v>
      </c>
      <c r="B2769" s="1">
        <v>45739</v>
      </c>
      <c r="C2769" t="s">
        <v>16</v>
      </c>
      <c r="D2769" t="s">
        <v>24</v>
      </c>
      <c r="E2769" t="s">
        <v>31</v>
      </c>
      <c r="F2769" t="s">
        <v>47</v>
      </c>
      <c r="G2769" t="s">
        <v>71</v>
      </c>
      <c r="H2769" t="s">
        <v>75</v>
      </c>
      <c r="I2769">
        <v>4</v>
      </c>
      <c r="J2769">
        <v>468</v>
      </c>
      <c r="K2769">
        <v>0.05</v>
      </c>
      <c r="L2769">
        <v>1778.4</v>
      </c>
      <c r="M2769">
        <v>1260.3800000000001</v>
      </c>
      <c r="N2769">
        <v>518.02</v>
      </c>
      <c r="O2769" t="s">
        <v>76</v>
      </c>
      <c r="P2769" t="s">
        <v>86</v>
      </c>
    </row>
    <row r="2770" spans="1:16" x14ac:dyDescent="0.25">
      <c r="A2770">
        <v>2769</v>
      </c>
      <c r="B2770" s="1">
        <v>45740</v>
      </c>
      <c r="C2770" t="s">
        <v>21</v>
      </c>
      <c r="D2770" t="s">
        <v>24</v>
      </c>
      <c r="E2770" t="s">
        <v>29</v>
      </c>
      <c r="F2770" t="s">
        <v>57</v>
      </c>
      <c r="G2770" t="s">
        <v>71</v>
      </c>
      <c r="H2770" t="s">
        <v>73</v>
      </c>
      <c r="I2770">
        <v>1</v>
      </c>
      <c r="J2770">
        <v>9050</v>
      </c>
      <c r="K2770">
        <v>0.05</v>
      </c>
      <c r="L2770">
        <v>8597.5</v>
      </c>
      <c r="M2770">
        <v>7534.17</v>
      </c>
      <c r="N2770">
        <v>1063.33</v>
      </c>
      <c r="O2770" t="s">
        <v>80</v>
      </c>
      <c r="P2770" t="s">
        <v>82</v>
      </c>
    </row>
    <row r="2771" spans="1:16" x14ac:dyDescent="0.25">
      <c r="A2771">
        <v>2770</v>
      </c>
      <c r="B2771" s="1">
        <v>45941</v>
      </c>
      <c r="C2771" t="s">
        <v>16</v>
      </c>
      <c r="D2771" t="s">
        <v>24</v>
      </c>
      <c r="E2771" t="s">
        <v>28</v>
      </c>
      <c r="F2771" t="s">
        <v>54</v>
      </c>
      <c r="G2771" t="s">
        <v>70</v>
      </c>
      <c r="H2771" t="s">
        <v>73</v>
      </c>
      <c r="I2771">
        <v>2</v>
      </c>
      <c r="J2771">
        <v>583</v>
      </c>
      <c r="K2771">
        <v>0.1</v>
      </c>
      <c r="L2771">
        <v>1049.4000000000001</v>
      </c>
      <c r="M2771">
        <v>676.42</v>
      </c>
      <c r="N2771">
        <v>372.98</v>
      </c>
      <c r="O2771" t="s">
        <v>80</v>
      </c>
      <c r="P2771" t="s">
        <v>85</v>
      </c>
    </row>
    <row r="2772" spans="1:16" x14ac:dyDescent="0.25">
      <c r="A2772">
        <v>2771</v>
      </c>
      <c r="B2772" s="1">
        <v>45818</v>
      </c>
      <c r="C2772" t="s">
        <v>19</v>
      </c>
      <c r="D2772" t="s">
        <v>26</v>
      </c>
      <c r="E2772" t="s">
        <v>32</v>
      </c>
      <c r="F2772" t="s">
        <v>48</v>
      </c>
      <c r="G2772" t="s">
        <v>71</v>
      </c>
      <c r="H2772" t="s">
        <v>75</v>
      </c>
      <c r="I2772">
        <v>8</v>
      </c>
      <c r="J2772">
        <v>11678</v>
      </c>
      <c r="K2772">
        <v>0.05</v>
      </c>
      <c r="L2772">
        <v>88752.8</v>
      </c>
      <c r="M2772">
        <v>61722.64</v>
      </c>
      <c r="N2772">
        <v>27030.16</v>
      </c>
      <c r="O2772" t="s">
        <v>78</v>
      </c>
      <c r="P2772" t="s">
        <v>83</v>
      </c>
    </row>
    <row r="2773" spans="1:16" x14ac:dyDescent="0.25">
      <c r="A2773">
        <v>2772</v>
      </c>
      <c r="B2773" s="1">
        <v>45789</v>
      </c>
      <c r="C2773" t="s">
        <v>16</v>
      </c>
      <c r="D2773" t="s">
        <v>24</v>
      </c>
      <c r="E2773" t="s">
        <v>30</v>
      </c>
      <c r="F2773" t="s">
        <v>44</v>
      </c>
      <c r="G2773" t="s">
        <v>72</v>
      </c>
      <c r="H2773" t="s">
        <v>74</v>
      </c>
      <c r="I2773">
        <v>2</v>
      </c>
      <c r="J2773">
        <v>15634</v>
      </c>
      <c r="K2773">
        <v>0.05</v>
      </c>
      <c r="L2773">
        <v>29704.6</v>
      </c>
      <c r="M2773">
        <v>20333.990000000002</v>
      </c>
      <c r="N2773">
        <v>9370.61</v>
      </c>
      <c r="O2773" t="s">
        <v>77</v>
      </c>
      <c r="P2773" t="s">
        <v>82</v>
      </c>
    </row>
    <row r="2774" spans="1:16" x14ac:dyDescent="0.25">
      <c r="A2774">
        <v>2773</v>
      </c>
      <c r="B2774" s="1">
        <v>45694</v>
      </c>
      <c r="C2774" t="s">
        <v>16</v>
      </c>
      <c r="D2774" t="s">
        <v>24</v>
      </c>
      <c r="E2774" t="s">
        <v>29</v>
      </c>
      <c r="F2774" t="s">
        <v>42</v>
      </c>
      <c r="G2774" t="s">
        <v>72</v>
      </c>
      <c r="H2774" t="s">
        <v>75</v>
      </c>
      <c r="I2774">
        <v>8</v>
      </c>
      <c r="J2774">
        <v>2811</v>
      </c>
      <c r="K2774">
        <v>0</v>
      </c>
      <c r="L2774">
        <v>22488</v>
      </c>
      <c r="M2774">
        <v>13393.99</v>
      </c>
      <c r="N2774">
        <v>9094.01</v>
      </c>
      <c r="O2774" t="s">
        <v>77</v>
      </c>
      <c r="P2774" t="s">
        <v>83</v>
      </c>
    </row>
    <row r="2775" spans="1:16" x14ac:dyDescent="0.25">
      <c r="A2775">
        <v>2774</v>
      </c>
      <c r="B2775" s="1">
        <v>45812</v>
      </c>
      <c r="C2775" t="s">
        <v>19</v>
      </c>
      <c r="D2775" t="s">
        <v>26</v>
      </c>
      <c r="E2775" t="s">
        <v>30</v>
      </c>
      <c r="F2775" t="s">
        <v>64</v>
      </c>
      <c r="G2775" t="s">
        <v>70</v>
      </c>
      <c r="H2775" t="s">
        <v>73</v>
      </c>
      <c r="I2775">
        <v>7</v>
      </c>
      <c r="J2775">
        <v>6616</v>
      </c>
      <c r="K2775">
        <v>0</v>
      </c>
      <c r="L2775">
        <v>46312</v>
      </c>
      <c r="M2775">
        <v>29869.279999999999</v>
      </c>
      <c r="N2775">
        <v>16442.72</v>
      </c>
      <c r="O2775" t="s">
        <v>76</v>
      </c>
      <c r="P2775" t="s">
        <v>86</v>
      </c>
    </row>
    <row r="2776" spans="1:16" x14ac:dyDescent="0.25">
      <c r="A2776">
        <v>2775</v>
      </c>
      <c r="B2776" s="1">
        <v>46009</v>
      </c>
      <c r="C2776" t="s">
        <v>20</v>
      </c>
      <c r="D2776" t="s">
        <v>26</v>
      </c>
      <c r="E2776" t="s">
        <v>32</v>
      </c>
      <c r="F2776" t="s">
        <v>66</v>
      </c>
      <c r="G2776" t="s">
        <v>71</v>
      </c>
      <c r="H2776" t="s">
        <v>73</v>
      </c>
      <c r="I2776">
        <v>5</v>
      </c>
      <c r="J2776">
        <v>24980</v>
      </c>
      <c r="K2776">
        <v>0.05</v>
      </c>
      <c r="L2776">
        <v>118655</v>
      </c>
      <c r="M2776">
        <v>93395.26</v>
      </c>
      <c r="N2776">
        <v>25259.74</v>
      </c>
      <c r="O2776" t="s">
        <v>76</v>
      </c>
      <c r="P2776" t="s">
        <v>83</v>
      </c>
    </row>
    <row r="2777" spans="1:16" x14ac:dyDescent="0.25">
      <c r="A2777">
        <v>2776</v>
      </c>
      <c r="B2777" s="1">
        <v>45827</v>
      </c>
      <c r="C2777" t="s">
        <v>20</v>
      </c>
      <c r="D2777" t="s">
        <v>26</v>
      </c>
      <c r="E2777" t="s">
        <v>32</v>
      </c>
      <c r="F2777" t="s">
        <v>62</v>
      </c>
      <c r="G2777" t="s">
        <v>71</v>
      </c>
      <c r="H2777" t="s">
        <v>74</v>
      </c>
      <c r="I2777">
        <v>8</v>
      </c>
      <c r="J2777">
        <v>8404</v>
      </c>
      <c r="K2777">
        <v>0.1</v>
      </c>
      <c r="L2777">
        <v>60508.800000000003</v>
      </c>
      <c r="M2777">
        <v>40553.199999999997</v>
      </c>
      <c r="N2777">
        <v>19955.599999999999</v>
      </c>
      <c r="O2777" t="s">
        <v>78</v>
      </c>
      <c r="P2777" t="s">
        <v>86</v>
      </c>
    </row>
    <row r="2778" spans="1:16" x14ac:dyDescent="0.25">
      <c r="A2778">
        <v>2777</v>
      </c>
      <c r="B2778" s="1">
        <v>45762</v>
      </c>
      <c r="C2778" t="s">
        <v>19</v>
      </c>
      <c r="D2778" t="s">
        <v>26</v>
      </c>
      <c r="E2778" t="s">
        <v>33</v>
      </c>
      <c r="F2778" t="s">
        <v>46</v>
      </c>
      <c r="G2778" t="s">
        <v>70</v>
      </c>
      <c r="H2778" t="s">
        <v>75</v>
      </c>
      <c r="I2778">
        <v>5</v>
      </c>
      <c r="J2778">
        <v>11214</v>
      </c>
      <c r="K2778">
        <v>0.2</v>
      </c>
      <c r="L2778">
        <v>44856</v>
      </c>
      <c r="M2778">
        <v>36882.06</v>
      </c>
      <c r="N2778">
        <v>7973.94</v>
      </c>
      <c r="O2778" t="s">
        <v>76</v>
      </c>
      <c r="P2778" t="s">
        <v>85</v>
      </c>
    </row>
    <row r="2779" spans="1:16" x14ac:dyDescent="0.25">
      <c r="A2779">
        <v>2778</v>
      </c>
      <c r="B2779" s="1">
        <v>45996</v>
      </c>
      <c r="C2779" t="s">
        <v>21</v>
      </c>
      <c r="D2779" t="s">
        <v>24</v>
      </c>
      <c r="E2779" t="s">
        <v>32</v>
      </c>
      <c r="F2779" t="s">
        <v>49</v>
      </c>
      <c r="G2779" t="s">
        <v>72</v>
      </c>
      <c r="H2779" t="s">
        <v>73</v>
      </c>
      <c r="I2779">
        <v>2</v>
      </c>
      <c r="J2779">
        <v>24680</v>
      </c>
      <c r="K2779">
        <v>0.05</v>
      </c>
      <c r="L2779">
        <v>46892</v>
      </c>
      <c r="M2779">
        <v>33770.76</v>
      </c>
      <c r="N2779">
        <v>13121.24</v>
      </c>
      <c r="O2779" t="s">
        <v>76</v>
      </c>
      <c r="P2779" t="s">
        <v>82</v>
      </c>
    </row>
    <row r="2780" spans="1:16" x14ac:dyDescent="0.25">
      <c r="A2780">
        <v>2779</v>
      </c>
      <c r="B2780" s="1">
        <v>46000</v>
      </c>
      <c r="C2780" t="s">
        <v>20</v>
      </c>
      <c r="D2780" t="s">
        <v>26</v>
      </c>
      <c r="E2780" t="s">
        <v>32</v>
      </c>
      <c r="F2780" t="s">
        <v>39</v>
      </c>
      <c r="G2780" t="s">
        <v>72</v>
      </c>
      <c r="H2780" t="s">
        <v>75</v>
      </c>
      <c r="I2780">
        <v>3</v>
      </c>
      <c r="J2780">
        <v>5836</v>
      </c>
      <c r="K2780">
        <v>0.05</v>
      </c>
      <c r="L2780">
        <v>16632.599999999999</v>
      </c>
      <c r="M2780">
        <v>10334.34</v>
      </c>
      <c r="N2780">
        <v>6298.26</v>
      </c>
      <c r="O2780" t="s">
        <v>80</v>
      </c>
      <c r="P2780" t="s">
        <v>85</v>
      </c>
    </row>
    <row r="2781" spans="1:16" x14ac:dyDescent="0.25">
      <c r="A2781">
        <v>2780</v>
      </c>
      <c r="B2781" s="1">
        <v>45679</v>
      </c>
      <c r="C2781" t="s">
        <v>20</v>
      </c>
      <c r="D2781" t="s">
        <v>26</v>
      </c>
      <c r="E2781" t="s">
        <v>34</v>
      </c>
      <c r="F2781" t="s">
        <v>68</v>
      </c>
      <c r="G2781" t="s">
        <v>72</v>
      </c>
      <c r="H2781" t="s">
        <v>74</v>
      </c>
      <c r="I2781">
        <v>3</v>
      </c>
      <c r="J2781">
        <v>601</v>
      </c>
      <c r="K2781">
        <v>0.05</v>
      </c>
      <c r="L2781">
        <v>1712.85</v>
      </c>
      <c r="M2781">
        <v>1076.5899999999999</v>
      </c>
      <c r="N2781">
        <v>636.26</v>
      </c>
      <c r="O2781" t="s">
        <v>78</v>
      </c>
      <c r="P2781" t="s">
        <v>81</v>
      </c>
    </row>
    <row r="2782" spans="1:16" x14ac:dyDescent="0.25">
      <c r="A2782">
        <v>2781</v>
      </c>
      <c r="B2782" s="1">
        <v>45888</v>
      </c>
      <c r="C2782" t="s">
        <v>18</v>
      </c>
      <c r="D2782" t="s">
        <v>26</v>
      </c>
      <c r="E2782" t="s">
        <v>29</v>
      </c>
      <c r="F2782" t="s">
        <v>45</v>
      </c>
      <c r="G2782" t="s">
        <v>72</v>
      </c>
      <c r="H2782" t="s">
        <v>74</v>
      </c>
      <c r="I2782">
        <v>8</v>
      </c>
      <c r="J2782">
        <v>7639</v>
      </c>
      <c r="K2782">
        <v>0</v>
      </c>
      <c r="L2782">
        <v>61112</v>
      </c>
      <c r="M2782">
        <v>45956.24</v>
      </c>
      <c r="N2782">
        <v>15155.76</v>
      </c>
      <c r="O2782" t="s">
        <v>77</v>
      </c>
      <c r="P2782" t="s">
        <v>88</v>
      </c>
    </row>
    <row r="2783" spans="1:16" x14ac:dyDescent="0.25">
      <c r="A2783">
        <v>2782</v>
      </c>
      <c r="B2783" s="1">
        <v>45967</v>
      </c>
      <c r="C2783" t="s">
        <v>23</v>
      </c>
      <c r="D2783" t="s">
        <v>27</v>
      </c>
      <c r="E2783" t="s">
        <v>29</v>
      </c>
      <c r="F2783" t="s">
        <v>53</v>
      </c>
      <c r="G2783" t="s">
        <v>70</v>
      </c>
      <c r="H2783" t="s">
        <v>73</v>
      </c>
      <c r="I2783">
        <v>2</v>
      </c>
      <c r="J2783">
        <v>6953</v>
      </c>
      <c r="K2783">
        <v>0</v>
      </c>
      <c r="L2783">
        <v>13906</v>
      </c>
      <c r="M2783">
        <v>9453.2000000000007</v>
      </c>
      <c r="N2783">
        <v>4452.8</v>
      </c>
      <c r="O2783" t="s">
        <v>78</v>
      </c>
      <c r="P2783" t="s">
        <v>85</v>
      </c>
    </row>
    <row r="2784" spans="1:16" x14ac:dyDescent="0.25">
      <c r="A2784">
        <v>2783</v>
      </c>
      <c r="B2784" s="1">
        <v>45702</v>
      </c>
      <c r="C2784" t="s">
        <v>19</v>
      </c>
      <c r="D2784" t="s">
        <v>26</v>
      </c>
      <c r="E2784" t="s">
        <v>29</v>
      </c>
      <c r="F2784" t="s">
        <v>57</v>
      </c>
      <c r="G2784" t="s">
        <v>71</v>
      </c>
      <c r="H2784" t="s">
        <v>75</v>
      </c>
      <c r="I2784">
        <v>3</v>
      </c>
      <c r="J2784">
        <v>9710</v>
      </c>
      <c r="K2784">
        <v>0.15</v>
      </c>
      <c r="L2784">
        <v>24760.5</v>
      </c>
      <c r="M2784">
        <v>20878.22</v>
      </c>
      <c r="N2784">
        <v>3882.28</v>
      </c>
      <c r="O2784" t="s">
        <v>78</v>
      </c>
      <c r="P2784" t="s">
        <v>85</v>
      </c>
    </row>
    <row r="2785" spans="1:16" x14ac:dyDescent="0.25">
      <c r="A2785">
        <v>2784</v>
      </c>
      <c r="B2785" s="1">
        <v>45708</v>
      </c>
      <c r="C2785" t="s">
        <v>17</v>
      </c>
      <c r="D2785" t="s">
        <v>25</v>
      </c>
      <c r="E2785" t="s">
        <v>34</v>
      </c>
      <c r="F2785" t="s">
        <v>43</v>
      </c>
      <c r="G2785" t="s">
        <v>72</v>
      </c>
      <c r="H2785" t="s">
        <v>75</v>
      </c>
      <c r="I2785">
        <v>1</v>
      </c>
      <c r="J2785">
        <v>772</v>
      </c>
      <c r="K2785">
        <v>0.05</v>
      </c>
      <c r="L2785">
        <v>733.4</v>
      </c>
      <c r="M2785">
        <v>457.2</v>
      </c>
      <c r="N2785">
        <v>276.2</v>
      </c>
      <c r="O2785" t="s">
        <v>79</v>
      </c>
      <c r="P2785" t="s">
        <v>85</v>
      </c>
    </row>
    <row r="2786" spans="1:16" x14ac:dyDescent="0.25">
      <c r="A2786">
        <v>2785</v>
      </c>
      <c r="B2786" s="1">
        <v>45716</v>
      </c>
      <c r="C2786" t="s">
        <v>19</v>
      </c>
      <c r="D2786" t="s">
        <v>26</v>
      </c>
      <c r="E2786" t="s">
        <v>33</v>
      </c>
      <c r="F2786" t="s">
        <v>41</v>
      </c>
      <c r="G2786" t="s">
        <v>72</v>
      </c>
      <c r="H2786" t="s">
        <v>73</v>
      </c>
      <c r="I2786">
        <v>7</v>
      </c>
      <c r="J2786">
        <v>48720</v>
      </c>
      <c r="K2786">
        <v>0.1</v>
      </c>
      <c r="L2786">
        <v>306936</v>
      </c>
      <c r="M2786">
        <v>181088.22</v>
      </c>
      <c r="N2786">
        <v>125847.78</v>
      </c>
      <c r="O2786" t="s">
        <v>76</v>
      </c>
      <c r="P2786" t="s">
        <v>88</v>
      </c>
    </row>
    <row r="2787" spans="1:16" x14ac:dyDescent="0.25">
      <c r="A2787">
        <v>2786</v>
      </c>
      <c r="B2787" s="1">
        <v>45735</v>
      </c>
      <c r="C2787" t="s">
        <v>20</v>
      </c>
      <c r="D2787" t="s">
        <v>26</v>
      </c>
      <c r="E2787" t="s">
        <v>34</v>
      </c>
      <c r="F2787" t="s">
        <v>51</v>
      </c>
      <c r="G2787" t="s">
        <v>71</v>
      </c>
      <c r="H2787" t="s">
        <v>74</v>
      </c>
      <c r="I2787">
        <v>4</v>
      </c>
      <c r="J2787">
        <v>501</v>
      </c>
      <c r="K2787">
        <v>0.15</v>
      </c>
      <c r="L2787">
        <v>1703.4</v>
      </c>
      <c r="M2787">
        <v>1058.1300000000001</v>
      </c>
      <c r="N2787">
        <v>645.27</v>
      </c>
      <c r="O2787" t="s">
        <v>77</v>
      </c>
      <c r="P2787" t="s">
        <v>88</v>
      </c>
    </row>
    <row r="2788" spans="1:16" x14ac:dyDescent="0.25">
      <c r="A2788">
        <v>2787</v>
      </c>
      <c r="B2788" s="1">
        <v>45796</v>
      </c>
      <c r="C2788" t="s">
        <v>21</v>
      </c>
      <c r="D2788" t="s">
        <v>24</v>
      </c>
      <c r="E2788" t="s">
        <v>32</v>
      </c>
      <c r="F2788" t="s">
        <v>48</v>
      </c>
      <c r="G2788" t="s">
        <v>72</v>
      </c>
      <c r="H2788" t="s">
        <v>74</v>
      </c>
      <c r="I2788">
        <v>7</v>
      </c>
      <c r="J2788">
        <v>8369</v>
      </c>
      <c r="K2788">
        <v>0.1</v>
      </c>
      <c r="L2788">
        <v>52724.7</v>
      </c>
      <c r="M2788">
        <v>40155.01</v>
      </c>
      <c r="N2788">
        <v>12569.69</v>
      </c>
      <c r="O2788" t="s">
        <v>79</v>
      </c>
      <c r="P2788" t="s">
        <v>86</v>
      </c>
    </row>
    <row r="2789" spans="1:16" x14ac:dyDescent="0.25">
      <c r="A2789">
        <v>2788</v>
      </c>
      <c r="B2789" s="1">
        <v>45753</v>
      </c>
      <c r="C2789" t="s">
        <v>20</v>
      </c>
      <c r="D2789" t="s">
        <v>26</v>
      </c>
      <c r="E2789" t="s">
        <v>33</v>
      </c>
      <c r="F2789" t="s">
        <v>46</v>
      </c>
      <c r="G2789" t="s">
        <v>72</v>
      </c>
      <c r="H2789" t="s">
        <v>73</v>
      </c>
      <c r="I2789">
        <v>8</v>
      </c>
      <c r="J2789">
        <v>9417</v>
      </c>
      <c r="K2789">
        <v>0.1</v>
      </c>
      <c r="L2789">
        <v>67802.399999999994</v>
      </c>
      <c r="M2789">
        <v>39623.96</v>
      </c>
      <c r="N2789">
        <v>28178.44</v>
      </c>
      <c r="O2789" t="s">
        <v>77</v>
      </c>
      <c r="P2789" t="s">
        <v>84</v>
      </c>
    </row>
    <row r="2790" spans="1:16" x14ac:dyDescent="0.25">
      <c r="A2790">
        <v>2789</v>
      </c>
      <c r="B2790" s="1">
        <v>46002</v>
      </c>
      <c r="C2790" t="s">
        <v>21</v>
      </c>
      <c r="D2790" t="s">
        <v>24</v>
      </c>
      <c r="E2790" t="s">
        <v>29</v>
      </c>
      <c r="F2790" t="s">
        <v>53</v>
      </c>
      <c r="G2790" t="s">
        <v>70</v>
      </c>
      <c r="H2790" t="s">
        <v>74</v>
      </c>
      <c r="I2790">
        <v>7</v>
      </c>
      <c r="J2790">
        <v>2299</v>
      </c>
      <c r="K2790">
        <v>0.1</v>
      </c>
      <c r="L2790">
        <v>14483.7</v>
      </c>
      <c r="M2790">
        <v>8243.1299999999992</v>
      </c>
      <c r="N2790">
        <v>6240.57</v>
      </c>
      <c r="O2790" t="s">
        <v>78</v>
      </c>
      <c r="P2790" t="s">
        <v>88</v>
      </c>
    </row>
    <row r="2791" spans="1:16" x14ac:dyDescent="0.25">
      <c r="A2791">
        <v>2790</v>
      </c>
      <c r="B2791" s="1">
        <v>45666</v>
      </c>
      <c r="C2791" t="s">
        <v>17</v>
      </c>
      <c r="D2791" t="s">
        <v>25</v>
      </c>
      <c r="E2791" t="s">
        <v>28</v>
      </c>
      <c r="F2791" t="s">
        <v>35</v>
      </c>
      <c r="G2791" t="s">
        <v>72</v>
      </c>
      <c r="H2791" t="s">
        <v>75</v>
      </c>
      <c r="I2791">
        <v>4</v>
      </c>
      <c r="J2791">
        <v>973</v>
      </c>
      <c r="K2791">
        <v>0.15</v>
      </c>
      <c r="L2791">
        <v>3308.2</v>
      </c>
      <c r="M2791">
        <v>2565.23</v>
      </c>
      <c r="N2791">
        <v>742.97</v>
      </c>
      <c r="O2791" t="s">
        <v>80</v>
      </c>
      <c r="P2791" t="s">
        <v>88</v>
      </c>
    </row>
    <row r="2792" spans="1:16" x14ac:dyDescent="0.25">
      <c r="A2792">
        <v>2791</v>
      </c>
      <c r="B2792" s="1">
        <v>45858</v>
      </c>
      <c r="C2792" t="s">
        <v>20</v>
      </c>
      <c r="D2792" t="s">
        <v>26</v>
      </c>
      <c r="E2792" t="s">
        <v>30</v>
      </c>
      <c r="F2792" t="s">
        <v>40</v>
      </c>
      <c r="G2792" t="s">
        <v>71</v>
      </c>
      <c r="H2792" t="s">
        <v>73</v>
      </c>
      <c r="I2792">
        <v>4</v>
      </c>
      <c r="J2792">
        <v>7165</v>
      </c>
      <c r="K2792">
        <v>0</v>
      </c>
      <c r="L2792">
        <v>28660</v>
      </c>
      <c r="M2792">
        <v>16819.669999999998</v>
      </c>
      <c r="N2792">
        <v>11840.33</v>
      </c>
      <c r="O2792" t="s">
        <v>78</v>
      </c>
      <c r="P2792" t="s">
        <v>84</v>
      </c>
    </row>
    <row r="2793" spans="1:16" x14ac:dyDescent="0.25">
      <c r="A2793">
        <v>2792</v>
      </c>
      <c r="B2793" s="1">
        <v>45985</v>
      </c>
      <c r="C2793" t="s">
        <v>19</v>
      </c>
      <c r="D2793" t="s">
        <v>26</v>
      </c>
      <c r="E2793" t="s">
        <v>29</v>
      </c>
      <c r="F2793" t="s">
        <v>45</v>
      </c>
      <c r="G2793" t="s">
        <v>70</v>
      </c>
      <c r="H2793" t="s">
        <v>74</v>
      </c>
      <c r="I2793">
        <v>3</v>
      </c>
      <c r="J2793">
        <v>5045</v>
      </c>
      <c r="K2793">
        <v>0</v>
      </c>
      <c r="L2793">
        <v>15135</v>
      </c>
      <c r="M2793">
        <v>11919.93</v>
      </c>
      <c r="N2793">
        <v>3215.07</v>
      </c>
      <c r="O2793" t="s">
        <v>78</v>
      </c>
      <c r="P2793" t="s">
        <v>85</v>
      </c>
    </row>
    <row r="2794" spans="1:16" x14ac:dyDescent="0.25">
      <c r="A2794">
        <v>2793</v>
      </c>
      <c r="B2794" s="1">
        <v>45695</v>
      </c>
      <c r="C2794" t="s">
        <v>18</v>
      </c>
      <c r="D2794" t="s">
        <v>26</v>
      </c>
      <c r="E2794" t="s">
        <v>29</v>
      </c>
      <c r="F2794" t="s">
        <v>42</v>
      </c>
      <c r="G2794" t="s">
        <v>70</v>
      </c>
      <c r="H2794" t="s">
        <v>73</v>
      </c>
      <c r="I2794">
        <v>6</v>
      </c>
      <c r="J2794">
        <v>10540</v>
      </c>
      <c r="K2794">
        <v>0</v>
      </c>
      <c r="L2794">
        <v>63240</v>
      </c>
      <c r="M2794">
        <v>52551.65</v>
      </c>
      <c r="N2794">
        <v>10688.35</v>
      </c>
      <c r="O2794" t="s">
        <v>78</v>
      </c>
      <c r="P2794" t="s">
        <v>85</v>
      </c>
    </row>
    <row r="2795" spans="1:16" x14ac:dyDescent="0.25">
      <c r="A2795">
        <v>2794</v>
      </c>
      <c r="B2795" s="1">
        <v>46000</v>
      </c>
      <c r="C2795" t="s">
        <v>19</v>
      </c>
      <c r="D2795" t="s">
        <v>26</v>
      </c>
      <c r="E2795" t="s">
        <v>33</v>
      </c>
      <c r="F2795" t="s">
        <v>60</v>
      </c>
      <c r="G2795" t="s">
        <v>70</v>
      </c>
      <c r="H2795" t="s">
        <v>73</v>
      </c>
      <c r="I2795">
        <v>8</v>
      </c>
      <c r="J2795">
        <v>23407</v>
      </c>
      <c r="K2795">
        <v>0.05</v>
      </c>
      <c r="L2795">
        <v>177893.2</v>
      </c>
      <c r="M2795">
        <v>139814.91</v>
      </c>
      <c r="N2795">
        <v>38078.29</v>
      </c>
      <c r="O2795" t="s">
        <v>77</v>
      </c>
      <c r="P2795" t="s">
        <v>85</v>
      </c>
    </row>
    <row r="2796" spans="1:16" x14ac:dyDescent="0.25">
      <c r="A2796">
        <v>2795</v>
      </c>
      <c r="B2796" s="1">
        <v>45844</v>
      </c>
      <c r="C2796" t="s">
        <v>21</v>
      </c>
      <c r="D2796" t="s">
        <v>24</v>
      </c>
      <c r="E2796" t="s">
        <v>31</v>
      </c>
      <c r="F2796" t="s">
        <v>67</v>
      </c>
      <c r="G2796" t="s">
        <v>70</v>
      </c>
      <c r="H2796" t="s">
        <v>75</v>
      </c>
      <c r="I2796">
        <v>3</v>
      </c>
      <c r="J2796">
        <v>693</v>
      </c>
      <c r="K2796">
        <v>0.1</v>
      </c>
      <c r="L2796">
        <v>1871.1</v>
      </c>
      <c r="M2796">
        <v>1399.09</v>
      </c>
      <c r="N2796">
        <v>472.01</v>
      </c>
      <c r="O2796" t="s">
        <v>77</v>
      </c>
      <c r="P2796" t="s">
        <v>88</v>
      </c>
    </row>
    <row r="2797" spans="1:16" x14ac:dyDescent="0.25">
      <c r="A2797">
        <v>2796</v>
      </c>
      <c r="B2797" s="1">
        <v>45783</v>
      </c>
      <c r="C2797" t="s">
        <v>18</v>
      </c>
      <c r="D2797" t="s">
        <v>26</v>
      </c>
      <c r="E2797" t="s">
        <v>32</v>
      </c>
      <c r="F2797" t="s">
        <v>49</v>
      </c>
      <c r="G2797" t="s">
        <v>72</v>
      </c>
      <c r="H2797" t="s">
        <v>75</v>
      </c>
      <c r="I2797">
        <v>2</v>
      </c>
      <c r="J2797">
        <v>20406</v>
      </c>
      <c r="K2797">
        <v>0.1</v>
      </c>
      <c r="L2797">
        <v>36730.800000000003</v>
      </c>
      <c r="M2797">
        <v>30042.84</v>
      </c>
      <c r="N2797">
        <v>6687.96</v>
      </c>
      <c r="O2797" t="s">
        <v>80</v>
      </c>
      <c r="P2797" t="s">
        <v>88</v>
      </c>
    </row>
    <row r="2798" spans="1:16" x14ac:dyDescent="0.25">
      <c r="A2798">
        <v>2797</v>
      </c>
      <c r="B2798" s="1">
        <v>45789</v>
      </c>
      <c r="C2798" t="s">
        <v>23</v>
      </c>
      <c r="D2798" t="s">
        <v>27</v>
      </c>
      <c r="E2798" t="s">
        <v>28</v>
      </c>
      <c r="F2798" t="s">
        <v>63</v>
      </c>
      <c r="G2798" t="s">
        <v>70</v>
      </c>
      <c r="H2798" t="s">
        <v>74</v>
      </c>
      <c r="I2798">
        <v>1</v>
      </c>
      <c r="J2798">
        <v>688</v>
      </c>
      <c r="K2798">
        <v>0.1</v>
      </c>
      <c r="L2798">
        <v>619.20000000000005</v>
      </c>
      <c r="M2798">
        <v>350.45</v>
      </c>
      <c r="N2798">
        <v>268.75</v>
      </c>
      <c r="O2798" t="s">
        <v>77</v>
      </c>
      <c r="P2798" t="s">
        <v>85</v>
      </c>
    </row>
    <row r="2799" spans="1:16" x14ac:dyDescent="0.25">
      <c r="A2799">
        <v>2798</v>
      </c>
      <c r="B2799" s="1">
        <v>45947</v>
      </c>
      <c r="C2799" t="s">
        <v>23</v>
      </c>
      <c r="D2799" t="s">
        <v>27</v>
      </c>
      <c r="E2799" t="s">
        <v>29</v>
      </c>
      <c r="F2799" t="s">
        <v>42</v>
      </c>
      <c r="G2799" t="s">
        <v>72</v>
      </c>
      <c r="H2799" t="s">
        <v>75</v>
      </c>
      <c r="I2799">
        <v>4</v>
      </c>
      <c r="J2799">
        <v>5521</v>
      </c>
      <c r="K2799">
        <v>0.15</v>
      </c>
      <c r="L2799">
        <v>18771.400000000001</v>
      </c>
      <c r="M2799">
        <v>14189.44</v>
      </c>
      <c r="N2799">
        <v>4581.96</v>
      </c>
      <c r="O2799" t="s">
        <v>78</v>
      </c>
      <c r="P2799" t="s">
        <v>83</v>
      </c>
    </row>
    <row r="2800" spans="1:16" x14ac:dyDescent="0.25">
      <c r="A2800">
        <v>2799</v>
      </c>
      <c r="B2800" s="1">
        <v>45859</v>
      </c>
      <c r="C2800" t="s">
        <v>16</v>
      </c>
      <c r="D2800" t="s">
        <v>24</v>
      </c>
      <c r="E2800" t="s">
        <v>29</v>
      </c>
      <c r="F2800" t="s">
        <v>53</v>
      </c>
      <c r="G2800" t="s">
        <v>71</v>
      </c>
      <c r="H2800" t="s">
        <v>74</v>
      </c>
      <c r="I2800">
        <v>6</v>
      </c>
      <c r="J2800">
        <v>7008</v>
      </c>
      <c r="K2800">
        <v>0.2</v>
      </c>
      <c r="L2800">
        <v>33638.400000000001</v>
      </c>
      <c r="M2800">
        <v>27384.34</v>
      </c>
      <c r="N2800">
        <v>6254.06</v>
      </c>
      <c r="O2800" t="s">
        <v>77</v>
      </c>
      <c r="P2800" t="s">
        <v>86</v>
      </c>
    </row>
    <row r="2801" spans="1:16" x14ac:dyDescent="0.25">
      <c r="A2801">
        <v>2800</v>
      </c>
      <c r="B2801" s="1">
        <v>45703</v>
      </c>
      <c r="C2801" t="s">
        <v>21</v>
      </c>
      <c r="D2801" t="s">
        <v>24</v>
      </c>
      <c r="E2801" t="s">
        <v>28</v>
      </c>
      <c r="F2801" t="s">
        <v>35</v>
      </c>
      <c r="G2801" t="s">
        <v>72</v>
      </c>
      <c r="H2801" t="s">
        <v>74</v>
      </c>
      <c r="I2801">
        <v>3</v>
      </c>
      <c r="J2801">
        <v>1505</v>
      </c>
      <c r="K2801">
        <v>0</v>
      </c>
      <c r="L2801">
        <v>4515</v>
      </c>
      <c r="M2801">
        <v>3642.37</v>
      </c>
      <c r="N2801">
        <v>872.63</v>
      </c>
      <c r="O2801" t="s">
        <v>79</v>
      </c>
      <c r="P2801" t="s">
        <v>84</v>
      </c>
    </row>
    <row r="2802" spans="1:16" x14ac:dyDescent="0.25">
      <c r="A2802">
        <v>2801</v>
      </c>
      <c r="B2802" s="1">
        <v>45952</v>
      </c>
      <c r="C2802" t="s">
        <v>19</v>
      </c>
      <c r="D2802" t="s">
        <v>26</v>
      </c>
      <c r="E2802" t="s">
        <v>29</v>
      </c>
      <c r="F2802" t="s">
        <v>36</v>
      </c>
      <c r="G2802" t="s">
        <v>70</v>
      </c>
      <c r="H2802" t="s">
        <v>75</v>
      </c>
      <c r="I2802">
        <v>7</v>
      </c>
      <c r="J2802">
        <v>3360</v>
      </c>
      <c r="K2802">
        <v>0.05</v>
      </c>
      <c r="L2802">
        <v>22344</v>
      </c>
      <c r="M2802">
        <v>16055.54</v>
      </c>
      <c r="N2802">
        <v>6288.46</v>
      </c>
      <c r="O2802" t="s">
        <v>77</v>
      </c>
      <c r="P2802" t="s">
        <v>86</v>
      </c>
    </row>
    <row r="2803" spans="1:16" x14ac:dyDescent="0.25">
      <c r="A2803">
        <v>2802</v>
      </c>
      <c r="B2803" s="1">
        <v>45847</v>
      </c>
      <c r="C2803" t="s">
        <v>20</v>
      </c>
      <c r="D2803" t="s">
        <v>26</v>
      </c>
      <c r="E2803" t="s">
        <v>32</v>
      </c>
      <c r="F2803" t="s">
        <v>48</v>
      </c>
      <c r="G2803" t="s">
        <v>72</v>
      </c>
      <c r="H2803" t="s">
        <v>73</v>
      </c>
      <c r="I2803">
        <v>6</v>
      </c>
      <c r="J2803">
        <v>11236</v>
      </c>
      <c r="K2803">
        <v>0.15</v>
      </c>
      <c r="L2803">
        <v>57303.6</v>
      </c>
      <c r="M2803">
        <v>34988.559999999998</v>
      </c>
      <c r="N2803">
        <v>22315.040000000001</v>
      </c>
      <c r="O2803" t="s">
        <v>80</v>
      </c>
      <c r="P2803" t="s">
        <v>84</v>
      </c>
    </row>
    <row r="2804" spans="1:16" x14ac:dyDescent="0.25">
      <c r="A2804">
        <v>2803</v>
      </c>
      <c r="B2804" s="1">
        <v>45840</v>
      </c>
      <c r="C2804" t="s">
        <v>19</v>
      </c>
      <c r="D2804" t="s">
        <v>26</v>
      </c>
      <c r="E2804" t="s">
        <v>33</v>
      </c>
      <c r="F2804" t="s">
        <v>41</v>
      </c>
      <c r="G2804" t="s">
        <v>72</v>
      </c>
      <c r="H2804" t="s">
        <v>73</v>
      </c>
      <c r="I2804">
        <v>3</v>
      </c>
      <c r="J2804">
        <v>29313</v>
      </c>
      <c r="K2804">
        <v>0</v>
      </c>
      <c r="L2804">
        <v>87939</v>
      </c>
      <c r="M2804">
        <v>64131.81</v>
      </c>
      <c r="N2804">
        <v>23807.19</v>
      </c>
      <c r="O2804" t="s">
        <v>80</v>
      </c>
      <c r="P2804" t="s">
        <v>85</v>
      </c>
    </row>
    <row r="2805" spans="1:16" x14ac:dyDescent="0.25">
      <c r="A2805">
        <v>2804</v>
      </c>
      <c r="B2805" s="1">
        <v>45852</v>
      </c>
      <c r="C2805" t="s">
        <v>18</v>
      </c>
      <c r="D2805" t="s">
        <v>26</v>
      </c>
      <c r="E2805" t="s">
        <v>30</v>
      </c>
      <c r="F2805" t="s">
        <v>40</v>
      </c>
      <c r="G2805" t="s">
        <v>71</v>
      </c>
      <c r="H2805" t="s">
        <v>74</v>
      </c>
      <c r="I2805">
        <v>6</v>
      </c>
      <c r="J2805">
        <v>28007</v>
      </c>
      <c r="K2805">
        <v>0</v>
      </c>
      <c r="L2805">
        <v>168042</v>
      </c>
      <c r="M2805">
        <v>137213.53</v>
      </c>
      <c r="N2805">
        <v>30828.47</v>
      </c>
      <c r="O2805" t="s">
        <v>79</v>
      </c>
      <c r="P2805" t="s">
        <v>84</v>
      </c>
    </row>
    <row r="2806" spans="1:16" x14ac:dyDescent="0.25">
      <c r="A2806">
        <v>2805</v>
      </c>
      <c r="B2806" s="1">
        <v>45878</v>
      </c>
      <c r="C2806" t="s">
        <v>20</v>
      </c>
      <c r="D2806" t="s">
        <v>26</v>
      </c>
      <c r="E2806" t="s">
        <v>33</v>
      </c>
      <c r="F2806" t="s">
        <v>46</v>
      </c>
      <c r="G2806" t="s">
        <v>70</v>
      </c>
      <c r="H2806" t="s">
        <v>74</v>
      </c>
      <c r="I2806">
        <v>1</v>
      </c>
      <c r="J2806">
        <v>48368</v>
      </c>
      <c r="K2806">
        <v>0.05</v>
      </c>
      <c r="L2806">
        <v>45949.599999999999</v>
      </c>
      <c r="M2806">
        <v>34467.93</v>
      </c>
      <c r="N2806">
        <v>11481.67</v>
      </c>
      <c r="O2806" t="s">
        <v>76</v>
      </c>
      <c r="P2806" t="s">
        <v>83</v>
      </c>
    </row>
    <row r="2807" spans="1:16" x14ac:dyDescent="0.25">
      <c r="A2807">
        <v>2806</v>
      </c>
      <c r="B2807" s="1">
        <v>45768</v>
      </c>
      <c r="C2807" t="s">
        <v>22</v>
      </c>
      <c r="D2807" t="s">
        <v>24</v>
      </c>
      <c r="E2807" t="s">
        <v>30</v>
      </c>
      <c r="F2807" t="s">
        <v>44</v>
      </c>
      <c r="G2807" t="s">
        <v>72</v>
      </c>
      <c r="H2807" t="s">
        <v>73</v>
      </c>
      <c r="I2807">
        <v>5</v>
      </c>
      <c r="J2807">
        <v>14208</v>
      </c>
      <c r="K2807">
        <v>0</v>
      </c>
      <c r="L2807">
        <v>71040</v>
      </c>
      <c r="M2807">
        <v>62322.7</v>
      </c>
      <c r="N2807">
        <v>8717.2999999999993</v>
      </c>
      <c r="O2807" t="s">
        <v>76</v>
      </c>
      <c r="P2807" t="s">
        <v>88</v>
      </c>
    </row>
    <row r="2808" spans="1:16" x14ac:dyDescent="0.25">
      <c r="A2808">
        <v>2807</v>
      </c>
      <c r="B2808" s="1">
        <v>45948</v>
      </c>
      <c r="C2808" t="s">
        <v>23</v>
      </c>
      <c r="D2808" t="s">
        <v>27</v>
      </c>
      <c r="E2808" t="s">
        <v>33</v>
      </c>
      <c r="F2808" t="s">
        <v>46</v>
      </c>
      <c r="G2808" t="s">
        <v>70</v>
      </c>
      <c r="H2808" t="s">
        <v>75</v>
      </c>
      <c r="I2808">
        <v>2</v>
      </c>
      <c r="J2808">
        <v>36907</v>
      </c>
      <c r="K2808">
        <v>0.1</v>
      </c>
      <c r="L2808">
        <v>66432.600000000006</v>
      </c>
      <c r="M2808">
        <v>43230.53</v>
      </c>
      <c r="N2808">
        <v>23202.07</v>
      </c>
      <c r="O2808" t="s">
        <v>76</v>
      </c>
      <c r="P2808" t="s">
        <v>85</v>
      </c>
    </row>
    <row r="2809" spans="1:16" x14ac:dyDescent="0.25">
      <c r="A2809">
        <v>2808</v>
      </c>
      <c r="B2809" s="1">
        <v>45814</v>
      </c>
      <c r="C2809" t="s">
        <v>18</v>
      </c>
      <c r="D2809" t="s">
        <v>26</v>
      </c>
      <c r="E2809" t="s">
        <v>31</v>
      </c>
      <c r="F2809" t="s">
        <v>69</v>
      </c>
      <c r="G2809" t="s">
        <v>71</v>
      </c>
      <c r="H2809" t="s">
        <v>75</v>
      </c>
      <c r="I2809">
        <v>3</v>
      </c>
      <c r="J2809">
        <v>505</v>
      </c>
      <c r="K2809">
        <v>0.1</v>
      </c>
      <c r="L2809">
        <v>1363.5</v>
      </c>
      <c r="M2809">
        <v>1076.51</v>
      </c>
      <c r="N2809">
        <v>286.99</v>
      </c>
      <c r="O2809" t="s">
        <v>76</v>
      </c>
      <c r="P2809" t="s">
        <v>81</v>
      </c>
    </row>
    <row r="2810" spans="1:16" x14ac:dyDescent="0.25">
      <c r="A2810">
        <v>2809</v>
      </c>
      <c r="B2810" s="1">
        <v>45975</v>
      </c>
      <c r="C2810" t="s">
        <v>20</v>
      </c>
      <c r="D2810" t="s">
        <v>26</v>
      </c>
      <c r="E2810" t="s">
        <v>29</v>
      </c>
      <c r="F2810" t="s">
        <v>45</v>
      </c>
      <c r="G2810" t="s">
        <v>71</v>
      </c>
      <c r="H2810" t="s">
        <v>74</v>
      </c>
      <c r="I2810">
        <v>1</v>
      </c>
      <c r="J2810">
        <v>11680</v>
      </c>
      <c r="K2810">
        <v>0.2</v>
      </c>
      <c r="L2810">
        <v>9344</v>
      </c>
      <c r="M2810">
        <v>5293.29</v>
      </c>
      <c r="N2810">
        <v>4050.71</v>
      </c>
      <c r="O2810" t="s">
        <v>78</v>
      </c>
      <c r="P2810" t="s">
        <v>84</v>
      </c>
    </row>
    <row r="2811" spans="1:16" x14ac:dyDescent="0.25">
      <c r="A2811">
        <v>2810</v>
      </c>
      <c r="B2811" s="1">
        <v>45902</v>
      </c>
      <c r="C2811" t="s">
        <v>17</v>
      </c>
      <c r="D2811" t="s">
        <v>25</v>
      </c>
      <c r="E2811" t="s">
        <v>33</v>
      </c>
      <c r="F2811" t="s">
        <v>46</v>
      </c>
      <c r="G2811" t="s">
        <v>72</v>
      </c>
      <c r="H2811" t="s">
        <v>73</v>
      </c>
      <c r="I2811">
        <v>1</v>
      </c>
      <c r="J2811">
        <v>16334</v>
      </c>
      <c r="K2811">
        <v>0.05</v>
      </c>
      <c r="L2811">
        <v>15517.3</v>
      </c>
      <c r="M2811">
        <v>10984.18</v>
      </c>
      <c r="N2811">
        <v>4533.12</v>
      </c>
      <c r="O2811" t="s">
        <v>76</v>
      </c>
      <c r="P2811" t="s">
        <v>85</v>
      </c>
    </row>
    <row r="2812" spans="1:16" x14ac:dyDescent="0.25">
      <c r="A2812">
        <v>2811</v>
      </c>
      <c r="B2812" s="1">
        <v>45682</v>
      </c>
      <c r="C2812" t="s">
        <v>16</v>
      </c>
      <c r="D2812" t="s">
        <v>24</v>
      </c>
      <c r="E2812" t="s">
        <v>30</v>
      </c>
      <c r="F2812" t="s">
        <v>56</v>
      </c>
      <c r="G2812" t="s">
        <v>70</v>
      </c>
      <c r="H2812" t="s">
        <v>73</v>
      </c>
      <c r="I2812">
        <v>8</v>
      </c>
      <c r="J2812">
        <v>43395</v>
      </c>
      <c r="K2812">
        <v>0</v>
      </c>
      <c r="L2812">
        <v>347160</v>
      </c>
      <c r="M2812">
        <v>239482.18</v>
      </c>
      <c r="N2812">
        <v>107677.82</v>
      </c>
      <c r="O2812" t="s">
        <v>80</v>
      </c>
      <c r="P2812" t="s">
        <v>86</v>
      </c>
    </row>
    <row r="2813" spans="1:16" x14ac:dyDescent="0.25">
      <c r="A2813">
        <v>2812</v>
      </c>
      <c r="B2813" s="1">
        <v>45722</v>
      </c>
      <c r="C2813" t="s">
        <v>22</v>
      </c>
      <c r="D2813" t="s">
        <v>24</v>
      </c>
      <c r="E2813" t="s">
        <v>30</v>
      </c>
      <c r="F2813" t="s">
        <v>56</v>
      </c>
      <c r="G2813" t="s">
        <v>72</v>
      </c>
      <c r="H2813" t="s">
        <v>75</v>
      </c>
      <c r="I2813">
        <v>8</v>
      </c>
      <c r="J2813">
        <v>67259</v>
      </c>
      <c r="K2813">
        <v>0.05</v>
      </c>
      <c r="L2813">
        <v>511168.4</v>
      </c>
      <c r="M2813">
        <v>435660.55</v>
      </c>
      <c r="N2813">
        <v>75507.850000000006</v>
      </c>
      <c r="O2813" t="s">
        <v>76</v>
      </c>
      <c r="P2813" t="s">
        <v>84</v>
      </c>
    </row>
    <row r="2814" spans="1:16" x14ac:dyDescent="0.25">
      <c r="A2814">
        <v>2813</v>
      </c>
      <c r="B2814" s="1">
        <v>46007</v>
      </c>
      <c r="C2814" t="s">
        <v>17</v>
      </c>
      <c r="D2814" t="s">
        <v>25</v>
      </c>
      <c r="E2814" t="s">
        <v>34</v>
      </c>
      <c r="F2814" t="s">
        <v>65</v>
      </c>
      <c r="G2814" t="s">
        <v>72</v>
      </c>
      <c r="H2814" t="s">
        <v>74</v>
      </c>
      <c r="I2814">
        <v>1</v>
      </c>
      <c r="J2814">
        <v>2514</v>
      </c>
      <c r="K2814">
        <v>0</v>
      </c>
      <c r="L2814">
        <v>2514</v>
      </c>
      <c r="M2814">
        <v>2173.58</v>
      </c>
      <c r="N2814">
        <v>340.42</v>
      </c>
      <c r="O2814" t="s">
        <v>76</v>
      </c>
      <c r="P2814" t="s">
        <v>87</v>
      </c>
    </row>
    <row r="2815" spans="1:16" x14ac:dyDescent="0.25">
      <c r="A2815">
        <v>2814</v>
      </c>
      <c r="B2815" s="1">
        <v>45775</v>
      </c>
      <c r="C2815" t="s">
        <v>21</v>
      </c>
      <c r="D2815" t="s">
        <v>24</v>
      </c>
      <c r="E2815" t="s">
        <v>33</v>
      </c>
      <c r="F2815" t="s">
        <v>46</v>
      </c>
      <c r="G2815" t="s">
        <v>72</v>
      </c>
      <c r="H2815" t="s">
        <v>74</v>
      </c>
      <c r="I2815">
        <v>1</v>
      </c>
      <c r="J2815">
        <v>40343</v>
      </c>
      <c r="K2815">
        <v>0.1</v>
      </c>
      <c r="L2815">
        <v>36308.699999999997</v>
      </c>
      <c r="M2815">
        <v>25934.94</v>
      </c>
      <c r="N2815">
        <v>10373.76</v>
      </c>
      <c r="O2815" t="s">
        <v>78</v>
      </c>
      <c r="P2815" t="s">
        <v>81</v>
      </c>
    </row>
    <row r="2816" spans="1:16" x14ac:dyDescent="0.25">
      <c r="A2816">
        <v>2815</v>
      </c>
      <c r="B2816" s="1">
        <v>45933</v>
      </c>
      <c r="C2816" t="s">
        <v>18</v>
      </c>
      <c r="D2816" t="s">
        <v>26</v>
      </c>
      <c r="E2816" t="s">
        <v>34</v>
      </c>
      <c r="F2816" t="s">
        <v>43</v>
      </c>
      <c r="G2816" t="s">
        <v>71</v>
      </c>
      <c r="H2816" t="s">
        <v>73</v>
      </c>
      <c r="I2816">
        <v>7</v>
      </c>
      <c r="J2816">
        <v>1385</v>
      </c>
      <c r="K2816">
        <v>0</v>
      </c>
      <c r="L2816">
        <v>9695</v>
      </c>
      <c r="M2816">
        <v>6675.88</v>
      </c>
      <c r="N2816">
        <v>3019.12</v>
      </c>
      <c r="O2816" t="s">
        <v>80</v>
      </c>
      <c r="P2816" t="s">
        <v>84</v>
      </c>
    </row>
    <row r="2817" spans="1:16" x14ac:dyDescent="0.25">
      <c r="A2817">
        <v>2816</v>
      </c>
      <c r="B2817" s="1">
        <v>46002</v>
      </c>
      <c r="C2817" t="s">
        <v>20</v>
      </c>
      <c r="D2817" t="s">
        <v>26</v>
      </c>
      <c r="E2817" t="s">
        <v>32</v>
      </c>
      <c r="F2817" t="s">
        <v>66</v>
      </c>
      <c r="G2817" t="s">
        <v>71</v>
      </c>
      <c r="H2817" t="s">
        <v>73</v>
      </c>
      <c r="I2817">
        <v>2</v>
      </c>
      <c r="J2817">
        <v>20366</v>
      </c>
      <c r="K2817">
        <v>0.1</v>
      </c>
      <c r="L2817">
        <v>36658.800000000003</v>
      </c>
      <c r="M2817">
        <v>21241.5</v>
      </c>
      <c r="N2817">
        <v>15417.3</v>
      </c>
      <c r="O2817" t="s">
        <v>77</v>
      </c>
      <c r="P2817" t="s">
        <v>86</v>
      </c>
    </row>
    <row r="2818" spans="1:16" x14ac:dyDescent="0.25">
      <c r="A2818">
        <v>2817</v>
      </c>
      <c r="B2818" s="1">
        <v>45711</v>
      </c>
      <c r="C2818" t="s">
        <v>20</v>
      </c>
      <c r="D2818" t="s">
        <v>26</v>
      </c>
      <c r="E2818" t="s">
        <v>33</v>
      </c>
      <c r="F2818" t="s">
        <v>60</v>
      </c>
      <c r="G2818" t="s">
        <v>70</v>
      </c>
      <c r="H2818" t="s">
        <v>73</v>
      </c>
      <c r="I2818">
        <v>1</v>
      </c>
      <c r="J2818">
        <v>2793</v>
      </c>
      <c r="K2818">
        <v>0</v>
      </c>
      <c r="L2818">
        <v>2793</v>
      </c>
      <c r="M2818">
        <v>2150.79</v>
      </c>
      <c r="N2818">
        <v>642.21</v>
      </c>
      <c r="O2818" t="s">
        <v>77</v>
      </c>
      <c r="P2818" t="s">
        <v>81</v>
      </c>
    </row>
    <row r="2819" spans="1:16" x14ac:dyDescent="0.25">
      <c r="A2819">
        <v>2818</v>
      </c>
      <c r="B2819" s="1">
        <v>45965</v>
      </c>
      <c r="C2819" t="s">
        <v>20</v>
      </c>
      <c r="D2819" t="s">
        <v>26</v>
      </c>
      <c r="E2819" t="s">
        <v>32</v>
      </c>
      <c r="F2819" t="s">
        <v>66</v>
      </c>
      <c r="G2819" t="s">
        <v>72</v>
      </c>
      <c r="H2819" t="s">
        <v>75</v>
      </c>
      <c r="I2819">
        <v>7</v>
      </c>
      <c r="J2819">
        <v>11703</v>
      </c>
      <c r="K2819">
        <v>0.1</v>
      </c>
      <c r="L2819">
        <v>73728.899999999994</v>
      </c>
      <c r="M2819">
        <v>60520.160000000003</v>
      </c>
      <c r="N2819">
        <v>13208.74</v>
      </c>
      <c r="O2819" t="s">
        <v>79</v>
      </c>
      <c r="P2819" t="s">
        <v>87</v>
      </c>
    </row>
    <row r="2820" spans="1:16" x14ac:dyDescent="0.25">
      <c r="A2820">
        <v>2819</v>
      </c>
      <c r="B2820" s="1">
        <v>45681</v>
      </c>
      <c r="C2820" t="s">
        <v>23</v>
      </c>
      <c r="D2820" t="s">
        <v>27</v>
      </c>
      <c r="E2820" t="s">
        <v>33</v>
      </c>
      <c r="F2820" t="s">
        <v>60</v>
      </c>
      <c r="G2820" t="s">
        <v>72</v>
      </c>
      <c r="H2820" t="s">
        <v>73</v>
      </c>
      <c r="I2820">
        <v>5</v>
      </c>
      <c r="J2820">
        <v>13232</v>
      </c>
      <c r="K2820">
        <v>0.15</v>
      </c>
      <c r="L2820">
        <v>56236</v>
      </c>
      <c r="M2820">
        <v>48203.6</v>
      </c>
      <c r="N2820">
        <v>8032.4</v>
      </c>
      <c r="O2820" t="s">
        <v>76</v>
      </c>
      <c r="P2820" t="s">
        <v>81</v>
      </c>
    </row>
    <row r="2821" spans="1:16" x14ac:dyDescent="0.25">
      <c r="A2821">
        <v>2820</v>
      </c>
      <c r="B2821" s="1">
        <v>45670</v>
      </c>
      <c r="C2821" t="s">
        <v>23</v>
      </c>
      <c r="D2821" t="s">
        <v>27</v>
      </c>
      <c r="E2821" t="s">
        <v>29</v>
      </c>
      <c r="F2821" t="s">
        <v>45</v>
      </c>
      <c r="G2821" t="s">
        <v>70</v>
      </c>
      <c r="H2821" t="s">
        <v>75</v>
      </c>
      <c r="I2821">
        <v>4</v>
      </c>
      <c r="J2821">
        <v>9051</v>
      </c>
      <c r="K2821">
        <v>0.1</v>
      </c>
      <c r="L2821">
        <v>32583.599999999999</v>
      </c>
      <c r="M2821">
        <v>22486.240000000002</v>
      </c>
      <c r="N2821">
        <v>10097.36</v>
      </c>
      <c r="O2821" t="s">
        <v>78</v>
      </c>
      <c r="P2821" t="s">
        <v>86</v>
      </c>
    </row>
    <row r="2822" spans="1:16" x14ac:dyDescent="0.25">
      <c r="A2822">
        <v>2821</v>
      </c>
      <c r="B2822" s="1">
        <v>45825</v>
      </c>
      <c r="C2822" t="s">
        <v>23</v>
      </c>
      <c r="D2822" t="s">
        <v>27</v>
      </c>
      <c r="E2822" t="s">
        <v>28</v>
      </c>
      <c r="F2822" t="s">
        <v>58</v>
      </c>
      <c r="G2822" t="s">
        <v>72</v>
      </c>
      <c r="H2822" t="s">
        <v>73</v>
      </c>
      <c r="I2822">
        <v>2</v>
      </c>
      <c r="J2822">
        <v>2440</v>
      </c>
      <c r="K2822">
        <v>0</v>
      </c>
      <c r="L2822">
        <v>4880</v>
      </c>
      <c r="M2822">
        <v>4281.53</v>
      </c>
      <c r="N2822">
        <v>598.47</v>
      </c>
      <c r="O2822" t="s">
        <v>80</v>
      </c>
      <c r="P2822" t="s">
        <v>81</v>
      </c>
    </row>
    <row r="2823" spans="1:16" x14ac:dyDescent="0.25">
      <c r="A2823">
        <v>2822</v>
      </c>
      <c r="B2823" s="1">
        <v>45985</v>
      </c>
      <c r="C2823" t="s">
        <v>20</v>
      </c>
      <c r="D2823" t="s">
        <v>26</v>
      </c>
      <c r="E2823" t="s">
        <v>32</v>
      </c>
      <c r="F2823" t="s">
        <v>48</v>
      </c>
      <c r="G2823" t="s">
        <v>70</v>
      </c>
      <c r="H2823" t="s">
        <v>73</v>
      </c>
      <c r="I2823">
        <v>2</v>
      </c>
      <c r="J2823">
        <v>17204</v>
      </c>
      <c r="K2823">
        <v>0.1</v>
      </c>
      <c r="L2823">
        <v>30967.200000000001</v>
      </c>
      <c r="M2823">
        <v>23722.799999999999</v>
      </c>
      <c r="N2823">
        <v>7244.4</v>
      </c>
      <c r="O2823" t="s">
        <v>79</v>
      </c>
      <c r="P2823" t="s">
        <v>82</v>
      </c>
    </row>
    <row r="2824" spans="1:16" x14ac:dyDescent="0.25">
      <c r="A2824">
        <v>2823</v>
      </c>
      <c r="B2824" s="1">
        <v>45937</v>
      </c>
      <c r="C2824" t="s">
        <v>18</v>
      </c>
      <c r="D2824" t="s">
        <v>26</v>
      </c>
      <c r="E2824" t="s">
        <v>30</v>
      </c>
      <c r="F2824" t="s">
        <v>37</v>
      </c>
      <c r="G2824" t="s">
        <v>70</v>
      </c>
      <c r="H2824" t="s">
        <v>74</v>
      </c>
      <c r="I2824">
        <v>3</v>
      </c>
      <c r="J2824">
        <v>37333</v>
      </c>
      <c r="K2824">
        <v>0.05</v>
      </c>
      <c r="L2824">
        <v>106399.05</v>
      </c>
      <c r="M2824">
        <v>68565.899999999994</v>
      </c>
      <c r="N2824">
        <v>37833.15</v>
      </c>
      <c r="O2824" t="s">
        <v>79</v>
      </c>
      <c r="P2824" t="s">
        <v>88</v>
      </c>
    </row>
    <row r="2825" spans="1:16" x14ac:dyDescent="0.25">
      <c r="A2825">
        <v>2824</v>
      </c>
      <c r="B2825" s="1">
        <v>45817</v>
      </c>
      <c r="C2825" t="s">
        <v>19</v>
      </c>
      <c r="D2825" t="s">
        <v>26</v>
      </c>
      <c r="E2825" t="s">
        <v>30</v>
      </c>
      <c r="F2825" t="s">
        <v>44</v>
      </c>
      <c r="G2825" t="s">
        <v>70</v>
      </c>
      <c r="H2825" t="s">
        <v>73</v>
      </c>
      <c r="I2825">
        <v>1</v>
      </c>
      <c r="J2825">
        <v>6978</v>
      </c>
      <c r="K2825">
        <v>0.05</v>
      </c>
      <c r="L2825">
        <v>6629.1</v>
      </c>
      <c r="M2825">
        <v>3901.15</v>
      </c>
      <c r="N2825">
        <v>2727.95</v>
      </c>
      <c r="O2825" t="s">
        <v>77</v>
      </c>
      <c r="P2825" t="s">
        <v>85</v>
      </c>
    </row>
    <row r="2826" spans="1:16" x14ac:dyDescent="0.25">
      <c r="A2826">
        <v>2825</v>
      </c>
      <c r="B2826" s="1">
        <v>45870</v>
      </c>
      <c r="C2826" t="s">
        <v>18</v>
      </c>
      <c r="D2826" t="s">
        <v>26</v>
      </c>
      <c r="E2826" t="s">
        <v>32</v>
      </c>
      <c r="F2826" t="s">
        <v>62</v>
      </c>
      <c r="G2826" t="s">
        <v>72</v>
      </c>
      <c r="H2826" t="s">
        <v>75</v>
      </c>
      <c r="I2826">
        <v>7</v>
      </c>
      <c r="J2826">
        <v>22733</v>
      </c>
      <c r="K2826">
        <v>0.1</v>
      </c>
      <c r="L2826">
        <v>143217.9</v>
      </c>
      <c r="M2826">
        <v>110757.21</v>
      </c>
      <c r="N2826">
        <v>32460.69</v>
      </c>
      <c r="O2826" t="s">
        <v>78</v>
      </c>
      <c r="P2826" t="s">
        <v>88</v>
      </c>
    </row>
    <row r="2827" spans="1:16" x14ac:dyDescent="0.25">
      <c r="A2827">
        <v>2826</v>
      </c>
      <c r="B2827" s="1">
        <v>45837</v>
      </c>
      <c r="C2827" t="s">
        <v>18</v>
      </c>
      <c r="D2827" t="s">
        <v>26</v>
      </c>
      <c r="E2827" t="s">
        <v>31</v>
      </c>
      <c r="F2827" t="s">
        <v>67</v>
      </c>
      <c r="G2827" t="s">
        <v>71</v>
      </c>
      <c r="H2827" t="s">
        <v>74</v>
      </c>
      <c r="I2827">
        <v>1</v>
      </c>
      <c r="J2827">
        <v>2422</v>
      </c>
      <c r="K2827">
        <v>0.1</v>
      </c>
      <c r="L2827">
        <v>2179.8000000000002</v>
      </c>
      <c r="M2827">
        <v>1425.65</v>
      </c>
      <c r="N2827">
        <v>754.15</v>
      </c>
      <c r="O2827" t="s">
        <v>76</v>
      </c>
      <c r="P2827" t="s">
        <v>87</v>
      </c>
    </row>
    <row r="2828" spans="1:16" x14ac:dyDescent="0.25">
      <c r="A2828">
        <v>2827</v>
      </c>
      <c r="B2828" s="1">
        <v>45821</v>
      </c>
      <c r="C2828" t="s">
        <v>18</v>
      </c>
      <c r="D2828" t="s">
        <v>26</v>
      </c>
      <c r="E2828" t="s">
        <v>28</v>
      </c>
      <c r="F2828" t="s">
        <v>35</v>
      </c>
      <c r="G2828" t="s">
        <v>72</v>
      </c>
      <c r="H2828" t="s">
        <v>75</v>
      </c>
      <c r="I2828">
        <v>3</v>
      </c>
      <c r="J2828">
        <v>1870</v>
      </c>
      <c r="K2828">
        <v>0.05</v>
      </c>
      <c r="L2828">
        <v>5329.5</v>
      </c>
      <c r="M2828">
        <v>3833.77</v>
      </c>
      <c r="N2828">
        <v>1495.73</v>
      </c>
      <c r="O2828" t="s">
        <v>77</v>
      </c>
      <c r="P2828" t="s">
        <v>85</v>
      </c>
    </row>
    <row r="2829" spans="1:16" x14ac:dyDescent="0.25">
      <c r="A2829">
        <v>2828</v>
      </c>
      <c r="B2829" s="1">
        <v>45847</v>
      </c>
      <c r="C2829" t="s">
        <v>19</v>
      </c>
      <c r="D2829" t="s">
        <v>26</v>
      </c>
      <c r="E2829" t="s">
        <v>31</v>
      </c>
      <c r="F2829" t="s">
        <v>67</v>
      </c>
      <c r="G2829" t="s">
        <v>72</v>
      </c>
      <c r="H2829" t="s">
        <v>75</v>
      </c>
      <c r="I2829">
        <v>8</v>
      </c>
      <c r="J2829">
        <v>1856</v>
      </c>
      <c r="K2829">
        <v>0.1</v>
      </c>
      <c r="L2829">
        <v>13363.2</v>
      </c>
      <c r="M2829">
        <v>7955.53</v>
      </c>
      <c r="N2829">
        <v>5407.67</v>
      </c>
      <c r="O2829" t="s">
        <v>80</v>
      </c>
      <c r="P2829" t="s">
        <v>85</v>
      </c>
    </row>
    <row r="2830" spans="1:16" x14ac:dyDescent="0.25">
      <c r="A2830">
        <v>2829</v>
      </c>
      <c r="B2830" s="1">
        <v>45785</v>
      </c>
      <c r="C2830" t="s">
        <v>23</v>
      </c>
      <c r="D2830" t="s">
        <v>27</v>
      </c>
      <c r="E2830" t="s">
        <v>33</v>
      </c>
      <c r="F2830" t="s">
        <v>46</v>
      </c>
      <c r="G2830" t="s">
        <v>71</v>
      </c>
      <c r="H2830" t="s">
        <v>74</v>
      </c>
      <c r="I2830">
        <v>5</v>
      </c>
      <c r="J2830">
        <v>28098</v>
      </c>
      <c r="K2830">
        <v>0</v>
      </c>
      <c r="L2830">
        <v>140490</v>
      </c>
      <c r="M2830">
        <v>92032.97</v>
      </c>
      <c r="N2830">
        <v>48457.03</v>
      </c>
      <c r="O2830" t="s">
        <v>80</v>
      </c>
      <c r="P2830" t="s">
        <v>85</v>
      </c>
    </row>
    <row r="2831" spans="1:16" x14ac:dyDescent="0.25">
      <c r="A2831">
        <v>2830</v>
      </c>
      <c r="B2831" s="1">
        <v>45712</v>
      </c>
      <c r="C2831" t="s">
        <v>23</v>
      </c>
      <c r="D2831" t="s">
        <v>27</v>
      </c>
      <c r="E2831" t="s">
        <v>34</v>
      </c>
      <c r="F2831" t="s">
        <v>43</v>
      </c>
      <c r="G2831" t="s">
        <v>70</v>
      </c>
      <c r="H2831" t="s">
        <v>73</v>
      </c>
      <c r="I2831">
        <v>4</v>
      </c>
      <c r="J2831">
        <v>649</v>
      </c>
      <c r="K2831">
        <v>0.2</v>
      </c>
      <c r="L2831">
        <v>2076.8000000000002</v>
      </c>
      <c r="M2831">
        <v>1634.88</v>
      </c>
      <c r="N2831">
        <v>441.92</v>
      </c>
      <c r="O2831" t="s">
        <v>77</v>
      </c>
      <c r="P2831" t="s">
        <v>85</v>
      </c>
    </row>
    <row r="2832" spans="1:16" x14ac:dyDescent="0.25">
      <c r="A2832">
        <v>2831</v>
      </c>
      <c r="B2832" s="1">
        <v>45866</v>
      </c>
      <c r="C2832" t="s">
        <v>20</v>
      </c>
      <c r="D2832" t="s">
        <v>26</v>
      </c>
      <c r="E2832" t="s">
        <v>32</v>
      </c>
      <c r="F2832" t="s">
        <v>39</v>
      </c>
      <c r="G2832" t="s">
        <v>70</v>
      </c>
      <c r="H2832" t="s">
        <v>75</v>
      </c>
      <c r="I2832">
        <v>1</v>
      </c>
      <c r="J2832">
        <v>19190</v>
      </c>
      <c r="K2832">
        <v>0.1</v>
      </c>
      <c r="L2832">
        <v>17271</v>
      </c>
      <c r="M2832">
        <v>12449.96</v>
      </c>
      <c r="N2832">
        <v>4821.04</v>
      </c>
      <c r="O2832" t="s">
        <v>76</v>
      </c>
      <c r="P2832" t="s">
        <v>85</v>
      </c>
    </row>
    <row r="2833" spans="1:16" x14ac:dyDescent="0.25">
      <c r="A2833">
        <v>2832</v>
      </c>
      <c r="B2833" s="1">
        <v>45949</v>
      </c>
      <c r="C2833" t="s">
        <v>20</v>
      </c>
      <c r="D2833" t="s">
        <v>26</v>
      </c>
      <c r="E2833" t="s">
        <v>30</v>
      </c>
      <c r="F2833" t="s">
        <v>40</v>
      </c>
      <c r="G2833" t="s">
        <v>70</v>
      </c>
      <c r="H2833" t="s">
        <v>73</v>
      </c>
      <c r="I2833">
        <v>2</v>
      </c>
      <c r="J2833">
        <v>33428</v>
      </c>
      <c r="K2833">
        <v>0</v>
      </c>
      <c r="L2833">
        <v>66856</v>
      </c>
      <c r="M2833">
        <v>53382.89</v>
      </c>
      <c r="N2833">
        <v>13473.11</v>
      </c>
      <c r="O2833" t="s">
        <v>79</v>
      </c>
      <c r="P2833" t="s">
        <v>84</v>
      </c>
    </row>
    <row r="2834" spans="1:16" x14ac:dyDescent="0.25">
      <c r="A2834">
        <v>2833</v>
      </c>
      <c r="B2834" s="1">
        <v>45687</v>
      </c>
      <c r="C2834" t="s">
        <v>22</v>
      </c>
      <c r="D2834" t="s">
        <v>24</v>
      </c>
      <c r="E2834" t="s">
        <v>28</v>
      </c>
      <c r="F2834" t="s">
        <v>63</v>
      </c>
      <c r="G2834" t="s">
        <v>72</v>
      </c>
      <c r="H2834" t="s">
        <v>73</v>
      </c>
      <c r="I2834">
        <v>3</v>
      </c>
      <c r="J2834">
        <v>1962</v>
      </c>
      <c r="K2834">
        <v>0.1</v>
      </c>
      <c r="L2834">
        <v>5297.4</v>
      </c>
      <c r="M2834">
        <v>4479.76</v>
      </c>
      <c r="N2834">
        <v>817.64</v>
      </c>
      <c r="O2834" t="s">
        <v>78</v>
      </c>
      <c r="P2834" t="s">
        <v>88</v>
      </c>
    </row>
    <row r="2835" spans="1:16" x14ac:dyDescent="0.25">
      <c r="A2835">
        <v>2834</v>
      </c>
      <c r="B2835" s="1">
        <v>45776</v>
      </c>
      <c r="C2835" t="s">
        <v>21</v>
      </c>
      <c r="D2835" t="s">
        <v>24</v>
      </c>
      <c r="E2835" t="s">
        <v>30</v>
      </c>
      <c r="F2835" t="s">
        <v>64</v>
      </c>
      <c r="G2835" t="s">
        <v>70</v>
      </c>
      <c r="H2835" t="s">
        <v>74</v>
      </c>
      <c r="I2835">
        <v>1</v>
      </c>
      <c r="J2835">
        <v>42376</v>
      </c>
      <c r="K2835">
        <v>0</v>
      </c>
      <c r="L2835">
        <v>42376</v>
      </c>
      <c r="M2835">
        <v>27294.78</v>
      </c>
      <c r="N2835">
        <v>15081.22</v>
      </c>
      <c r="O2835" t="s">
        <v>77</v>
      </c>
      <c r="P2835" t="s">
        <v>88</v>
      </c>
    </row>
    <row r="2836" spans="1:16" x14ac:dyDescent="0.25">
      <c r="A2836">
        <v>2835</v>
      </c>
      <c r="B2836" s="1">
        <v>45700</v>
      </c>
      <c r="C2836" t="s">
        <v>17</v>
      </c>
      <c r="D2836" t="s">
        <v>25</v>
      </c>
      <c r="E2836" t="s">
        <v>28</v>
      </c>
      <c r="F2836" t="s">
        <v>63</v>
      </c>
      <c r="G2836" t="s">
        <v>71</v>
      </c>
      <c r="H2836" t="s">
        <v>75</v>
      </c>
      <c r="I2836">
        <v>8</v>
      </c>
      <c r="J2836">
        <v>1475</v>
      </c>
      <c r="K2836">
        <v>0.15</v>
      </c>
      <c r="L2836">
        <v>10030</v>
      </c>
      <c r="M2836">
        <v>8218.75</v>
      </c>
      <c r="N2836">
        <v>1811.25</v>
      </c>
      <c r="O2836" t="s">
        <v>79</v>
      </c>
      <c r="P2836" t="s">
        <v>83</v>
      </c>
    </row>
    <row r="2837" spans="1:16" x14ac:dyDescent="0.25">
      <c r="A2837">
        <v>2836</v>
      </c>
      <c r="B2837" s="1">
        <v>45821</v>
      </c>
      <c r="C2837" t="s">
        <v>19</v>
      </c>
      <c r="D2837" t="s">
        <v>26</v>
      </c>
      <c r="E2837" t="s">
        <v>34</v>
      </c>
      <c r="F2837" t="s">
        <v>51</v>
      </c>
      <c r="G2837" t="s">
        <v>71</v>
      </c>
      <c r="H2837" t="s">
        <v>75</v>
      </c>
      <c r="I2837">
        <v>6</v>
      </c>
      <c r="J2837">
        <v>4955</v>
      </c>
      <c r="K2837">
        <v>0</v>
      </c>
      <c r="L2837">
        <v>29730</v>
      </c>
      <c r="M2837">
        <v>17991.2</v>
      </c>
      <c r="N2837">
        <v>11738.8</v>
      </c>
      <c r="O2837" t="s">
        <v>79</v>
      </c>
      <c r="P2837" t="s">
        <v>88</v>
      </c>
    </row>
    <row r="2838" spans="1:16" x14ac:dyDescent="0.25">
      <c r="A2838">
        <v>2837</v>
      </c>
      <c r="B2838" s="1">
        <v>45706</v>
      </c>
      <c r="C2838" t="s">
        <v>18</v>
      </c>
      <c r="D2838" t="s">
        <v>26</v>
      </c>
      <c r="E2838" t="s">
        <v>34</v>
      </c>
      <c r="F2838" t="s">
        <v>55</v>
      </c>
      <c r="G2838" t="s">
        <v>71</v>
      </c>
      <c r="H2838" t="s">
        <v>74</v>
      </c>
      <c r="I2838">
        <v>7</v>
      </c>
      <c r="J2838">
        <v>5831</v>
      </c>
      <c r="K2838">
        <v>0.15</v>
      </c>
      <c r="L2838">
        <v>34694.449999999997</v>
      </c>
      <c r="M2838">
        <v>28196.93</v>
      </c>
      <c r="N2838">
        <v>6497.52</v>
      </c>
      <c r="O2838" t="s">
        <v>80</v>
      </c>
      <c r="P2838" t="s">
        <v>84</v>
      </c>
    </row>
    <row r="2839" spans="1:16" x14ac:dyDescent="0.25">
      <c r="A2839">
        <v>2838</v>
      </c>
      <c r="B2839" s="1">
        <v>45972</v>
      </c>
      <c r="C2839" t="s">
        <v>17</v>
      </c>
      <c r="D2839" t="s">
        <v>25</v>
      </c>
      <c r="E2839" t="s">
        <v>31</v>
      </c>
      <c r="F2839" t="s">
        <v>69</v>
      </c>
      <c r="G2839" t="s">
        <v>71</v>
      </c>
      <c r="H2839" t="s">
        <v>74</v>
      </c>
      <c r="I2839">
        <v>4</v>
      </c>
      <c r="J2839">
        <v>1371</v>
      </c>
      <c r="K2839">
        <v>0.1</v>
      </c>
      <c r="L2839">
        <v>4935.6000000000004</v>
      </c>
      <c r="M2839">
        <v>3454.22</v>
      </c>
      <c r="N2839">
        <v>1481.38</v>
      </c>
      <c r="O2839" t="s">
        <v>77</v>
      </c>
      <c r="P2839" t="s">
        <v>82</v>
      </c>
    </row>
    <row r="2840" spans="1:16" x14ac:dyDescent="0.25">
      <c r="A2840">
        <v>2839</v>
      </c>
      <c r="B2840" s="1">
        <v>45995</v>
      </c>
      <c r="C2840" t="s">
        <v>22</v>
      </c>
      <c r="D2840" t="s">
        <v>24</v>
      </c>
      <c r="E2840" t="s">
        <v>34</v>
      </c>
      <c r="F2840" t="s">
        <v>55</v>
      </c>
      <c r="G2840" t="s">
        <v>71</v>
      </c>
      <c r="H2840" t="s">
        <v>74</v>
      </c>
      <c r="I2840">
        <v>4</v>
      </c>
      <c r="J2840">
        <v>525</v>
      </c>
      <c r="K2840">
        <v>0.05</v>
      </c>
      <c r="L2840">
        <v>1995</v>
      </c>
      <c r="M2840">
        <v>1526.85</v>
      </c>
      <c r="N2840">
        <v>468.15</v>
      </c>
      <c r="O2840" t="s">
        <v>79</v>
      </c>
      <c r="P2840" t="s">
        <v>84</v>
      </c>
    </row>
    <row r="2841" spans="1:16" x14ac:dyDescent="0.25">
      <c r="A2841">
        <v>2840</v>
      </c>
      <c r="B2841" s="1">
        <v>45894</v>
      </c>
      <c r="C2841" t="s">
        <v>20</v>
      </c>
      <c r="D2841" t="s">
        <v>26</v>
      </c>
      <c r="E2841" t="s">
        <v>30</v>
      </c>
      <c r="F2841" t="s">
        <v>40</v>
      </c>
      <c r="G2841" t="s">
        <v>72</v>
      </c>
      <c r="H2841" t="s">
        <v>73</v>
      </c>
      <c r="I2841">
        <v>4</v>
      </c>
      <c r="J2841">
        <v>64591</v>
      </c>
      <c r="K2841">
        <v>0.1</v>
      </c>
      <c r="L2841">
        <v>232527.6</v>
      </c>
      <c r="M2841">
        <v>190297.03</v>
      </c>
      <c r="N2841">
        <v>42230.57</v>
      </c>
      <c r="O2841" t="s">
        <v>78</v>
      </c>
      <c r="P2841" t="s">
        <v>84</v>
      </c>
    </row>
    <row r="2842" spans="1:16" x14ac:dyDescent="0.25">
      <c r="A2842">
        <v>2841</v>
      </c>
      <c r="B2842" s="1">
        <v>45908</v>
      </c>
      <c r="C2842" t="s">
        <v>18</v>
      </c>
      <c r="D2842" t="s">
        <v>26</v>
      </c>
      <c r="E2842" t="s">
        <v>34</v>
      </c>
      <c r="F2842" t="s">
        <v>43</v>
      </c>
      <c r="G2842" t="s">
        <v>71</v>
      </c>
      <c r="H2842" t="s">
        <v>74</v>
      </c>
      <c r="I2842">
        <v>2</v>
      </c>
      <c r="J2842">
        <v>2749</v>
      </c>
      <c r="K2842">
        <v>0.1</v>
      </c>
      <c r="L2842">
        <v>4948.2</v>
      </c>
      <c r="M2842">
        <v>3890.18</v>
      </c>
      <c r="N2842">
        <v>1058.02</v>
      </c>
      <c r="O2842" t="s">
        <v>76</v>
      </c>
      <c r="P2842" t="s">
        <v>88</v>
      </c>
    </row>
    <row r="2843" spans="1:16" x14ac:dyDescent="0.25">
      <c r="A2843">
        <v>2842</v>
      </c>
      <c r="B2843" s="1">
        <v>45991</v>
      </c>
      <c r="C2843" t="s">
        <v>17</v>
      </c>
      <c r="D2843" t="s">
        <v>25</v>
      </c>
      <c r="E2843" t="s">
        <v>28</v>
      </c>
      <c r="F2843" t="s">
        <v>58</v>
      </c>
      <c r="G2843" t="s">
        <v>70</v>
      </c>
      <c r="H2843" t="s">
        <v>73</v>
      </c>
      <c r="I2843">
        <v>7</v>
      </c>
      <c r="J2843">
        <v>2101</v>
      </c>
      <c r="K2843">
        <v>0.1</v>
      </c>
      <c r="L2843">
        <v>13236.3</v>
      </c>
      <c r="M2843">
        <v>11536.51</v>
      </c>
      <c r="N2843">
        <v>1699.79</v>
      </c>
      <c r="O2843" t="s">
        <v>79</v>
      </c>
      <c r="P2843" t="s">
        <v>88</v>
      </c>
    </row>
    <row r="2844" spans="1:16" x14ac:dyDescent="0.25">
      <c r="A2844">
        <v>2843</v>
      </c>
      <c r="B2844" s="1">
        <v>45856</v>
      </c>
      <c r="C2844" t="s">
        <v>21</v>
      </c>
      <c r="D2844" t="s">
        <v>24</v>
      </c>
      <c r="E2844" t="s">
        <v>28</v>
      </c>
      <c r="F2844" t="s">
        <v>54</v>
      </c>
      <c r="G2844" t="s">
        <v>72</v>
      </c>
      <c r="H2844" t="s">
        <v>74</v>
      </c>
      <c r="I2844">
        <v>2</v>
      </c>
      <c r="J2844">
        <v>1830</v>
      </c>
      <c r="K2844">
        <v>0.1</v>
      </c>
      <c r="L2844">
        <v>3294</v>
      </c>
      <c r="M2844">
        <v>2872.5</v>
      </c>
      <c r="N2844">
        <v>421.5</v>
      </c>
      <c r="O2844" t="s">
        <v>80</v>
      </c>
      <c r="P2844" t="s">
        <v>87</v>
      </c>
    </row>
    <row r="2845" spans="1:16" x14ac:dyDescent="0.25">
      <c r="A2845">
        <v>2844</v>
      </c>
      <c r="B2845" s="1">
        <v>45697</v>
      </c>
      <c r="C2845" t="s">
        <v>21</v>
      </c>
      <c r="D2845" t="s">
        <v>24</v>
      </c>
      <c r="E2845" t="s">
        <v>30</v>
      </c>
      <c r="F2845" t="s">
        <v>64</v>
      </c>
      <c r="G2845" t="s">
        <v>71</v>
      </c>
      <c r="H2845" t="s">
        <v>75</v>
      </c>
      <c r="I2845">
        <v>1</v>
      </c>
      <c r="J2845">
        <v>19061</v>
      </c>
      <c r="K2845">
        <v>0.05</v>
      </c>
      <c r="L2845">
        <v>18107.95</v>
      </c>
      <c r="M2845">
        <v>15500.29</v>
      </c>
      <c r="N2845">
        <v>2607.66</v>
      </c>
      <c r="O2845" t="s">
        <v>79</v>
      </c>
      <c r="P2845" t="s">
        <v>85</v>
      </c>
    </row>
    <row r="2846" spans="1:16" x14ac:dyDescent="0.25">
      <c r="A2846">
        <v>2845</v>
      </c>
      <c r="B2846" s="1">
        <v>45836</v>
      </c>
      <c r="C2846" t="s">
        <v>21</v>
      </c>
      <c r="D2846" t="s">
        <v>24</v>
      </c>
      <c r="E2846" t="s">
        <v>34</v>
      </c>
      <c r="F2846" t="s">
        <v>65</v>
      </c>
      <c r="G2846" t="s">
        <v>70</v>
      </c>
      <c r="H2846" t="s">
        <v>74</v>
      </c>
      <c r="I2846">
        <v>4</v>
      </c>
      <c r="J2846">
        <v>737</v>
      </c>
      <c r="K2846">
        <v>0</v>
      </c>
      <c r="L2846">
        <v>2948</v>
      </c>
      <c r="M2846">
        <v>2228.84</v>
      </c>
      <c r="N2846">
        <v>719.16</v>
      </c>
      <c r="O2846" t="s">
        <v>79</v>
      </c>
      <c r="P2846" t="s">
        <v>87</v>
      </c>
    </row>
    <row r="2847" spans="1:16" x14ac:dyDescent="0.25">
      <c r="A2847">
        <v>2846</v>
      </c>
      <c r="B2847" s="1">
        <v>45662</v>
      </c>
      <c r="C2847" t="s">
        <v>23</v>
      </c>
      <c r="D2847" t="s">
        <v>27</v>
      </c>
      <c r="E2847" t="s">
        <v>29</v>
      </c>
      <c r="F2847" t="s">
        <v>45</v>
      </c>
      <c r="G2847" t="s">
        <v>70</v>
      </c>
      <c r="H2847" t="s">
        <v>73</v>
      </c>
      <c r="I2847">
        <v>5</v>
      </c>
      <c r="J2847">
        <v>7736</v>
      </c>
      <c r="K2847">
        <v>0.05</v>
      </c>
      <c r="L2847">
        <v>36746</v>
      </c>
      <c r="M2847">
        <v>22077.62</v>
      </c>
      <c r="N2847">
        <v>14668.38</v>
      </c>
      <c r="O2847" t="s">
        <v>79</v>
      </c>
      <c r="P2847" t="s">
        <v>84</v>
      </c>
    </row>
    <row r="2848" spans="1:16" x14ac:dyDescent="0.25">
      <c r="A2848">
        <v>2847</v>
      </c>
      <c r="B2848" s="1">
        <v>45856</v>
      </c>
      <c r="C2848" t="s">
        <v>21</v>
      </c>
      <c r="D2848" t="s">
        <v>24</v>
      </c>
      <c r="E2848" t="s">
        <v>32</v>
      </c>
      <c r="F2848" t="s">
        <v>48</v>
      </c>
      <c r="G2848" t="s">
        <v>70</v>
      </c>
      <c r="H2848" t="s">
        <v>74</v>
      </c>
      <c r="I2848">
        <v>8</v>
      </c>
      <c r="J2848">
        <v>15271</v>
      </c>
      <c r="K2848">
        <v>0.1</v>
      </c>
      <c r="L2848">
        <v>109951.2</v>
      </c>
      <c r="M2848">
        <v>82076.44</v>
      </c>
      <c r="N2848">
        <v>27874.76</v>
      </c>
      <c r="O2848" t="s">
        <v>77</v>
      </c>
      <c r="P2848" t="s">
        <v>86</v>
      </c>
    </row>
    <row r="2849" spans="1:16" x14ac:dyDescent="0.25">
      <c r="A2849">
        <v>2848</v>
      </c>
      <c r="B2849" s="1">
        <v>45966</v>
      </c>
      <c r="C2849" t="s">
        <v>20</v>
      </c>
      <c r="D2849" t="s">
        <v>26</v>
      </c>
      <c r="E2849" t="s">
        <v>31</v>
      </c>
      <c r="F2849" t="s">
        <v>69</v>
      </c>
      <c r="G2849" t="s">
        <v>71</v>
      </c>
      <c r="H2849" t="s">
        <v>74</v>
      </c>
      <c r="I2849">
        <v>6</v>
      </c>
      <c r="J2849">
        <v>732</v>
      </c>
      <c r="K2849">
        <v>0.15</v>
      </c>
      <c r="L2849">
        <v>3733.2</v>
      </c>
      <c r="M2849">
        <v>2863.3</v>
      </c>
      <c r="N2849">
        <v>869.9</v>
      </c>
      <c r="O2849" t="s">
        <v>79</v>
      </c>
      <c r="P2849" t="s">
        <v>82</v>
      </c>
    </row>
    <row r="2850" spans="1:16" x14ac:dyDescent="0.25">
      <c r="A2850">
        <v>2849</v>
      </c>
      <c r="B2850" s="1">
        <v>45970</v>
      </c>
      <c r="C2850" t="s">
        <v>20</v>
      </c>
      <c r="D2850" t="s">
        <v>26</v>
      </c>
      <c r="E2850" t="s">
        <v>30</v>
      </c>
      <c r="F2850" t="s">
        <v>40</v>
      </c>
      <c r="G2850" t="s">
        <v>72</v>
      </c>
      <c r="H2850" t="s">
        <v>75</v>
      </c>
      <c r="I2850">
        <v>5</v>
      </c>
      <c r="J2850">
        <v>28717</v>
      </c>
      <c r="K2850">
        <v>0</v>
      </c>
      <c r="L2850">
        <v>143585</v>
      </c>
      <c r="M2850">
        <v>111418.79</v>
      </c>
      <c r="N2850">
        <v>32166.21</v>
      </c>
      <c r="O2850" t="s">
        <v>76</v>
      </c>
      <c r="P2850" t="s">
        <v>85</v>
      </c>
    </row>
    <row r="2851" spans="1:16" x14ac:dyDescent="0.25">
      <c r="A2851">
        <v>2850</v>
      </c>
      <c r="B2851" s="1">
        <v>46002</v>
      </c>
      <c r="C2851" t="s">
        <v>23</v>
      </c>
      <c r="D2851" t="s">
        <v>27</v>
      </c>
      <c r="E2851" t="s">
        <v>28</v>
      </c>
      <c r="F2851" t="s">
        <v>35</v>
      </c>
      <c r="G2851" t="s">
        <v>72</v>
      </c>
      <c r="H2851" t="s">
        <v>75</v>
      </c>
      <c r="I2851">
        <v>2</v>
      </c>
      <c r="J2851">
        <v>2313</v>
      </c>
      <c r="K2851">
        <v>0.05</v>
      </c>
      <c r="L2851">
        <v>4394.7</v>
      </c>
      <c r="M2851">
        <v>3233.34</v>
      </c>
      <c r="N2851">
        <v>1161.3599999999999</v>
      </c>
      <c r="O2851" t="s">
        <v>77</v>
      </c>
      <c r="P2851" t="s">
        <v>87</v>
      </c>
    </row>
    <row r="2852" spans="1:16" x14ac:dyDescent="0.25">
      <c r="A2852">
        <v>2851</v>
      </c>
      <c r="B2852" s="1">
        <v>45804</v>
      </c>
      <c r="C2852" t="s">
        <v>20</v>
      </c>
      <c r="D2852" t="s">
        <v>26</v>
      </c>
      <c r="E2852" t="s">
        <v>30</v>
      </c>
      <c r="F2852" t="s">
        <v>64</v>
      </c>
      <c r="G2852" t="s">
        <v>70</v>
      </c>
      <c r="H2852" t="s">
        <v>74</v>
      </c>
      <c r="I2852">
        <v>2</v>
      </c>
      <c r="J2852">
        <v>55096</v>
      </c>
      <c r="K2852">
        <v>0.1</v>
      </c>
      <c r="L2852">
        <v>99172.800000000003</v>
      </c>
      <c r="M2852">
        <v>76442.16</v>
      </c>
      <c r="N2852">
        <v>22730.639999999999</v>
      </c>
      <c r="O2852" t="s">
        <v>77</v>
      </c>
      <c r="P2852" t="s">
        <v>87</v>
      </c>
    </row>
    <row r="2853" spans="1:16" x14ac:dyDescent="0.25">
      <c r="A2853">
        <v>2852</v>
      </c>
      <c r="B2853" s="1">
        <v>45951</v>
      </c>
      <c r="C2853" t="s">
        <v>20</v>
      </c>
      <c r="D2853" t="s">
        <v>26</v>
      </c>
      <c r="E2853" t="s">
        <v>30</v>
      </c>
      <c r="F2853" t="s">
        <v>64</v>
      </c>
      <c r="G2853" t="s">
        <v>70</v>
      </c>
      <c r="H2853" t="s">
        <v>74</v>
      </c>
      <c r="I2853">
        <v>7</v>
      </c>
      <c r="J2853">
        <v>47753</v>
      </c>
      <c r="K2853">
        <v>0.05</v>
      </c>
      <c r="L2853">
        <v>317557.45</v>
      </c>
      <c r="M2853">
        <v>181150.5</v>
      </c>
      <c r="N2853">
        <v>136406.95000000001</v>
      </c>
      <c r="O2853" t="s">
        <v>79</v>
      </c>
      <c r="P2853" t="s">
        <v>81</v>
      </c>
    </row>
    <row r="2854" spans="1:16" x14ac:dyDescent="0.25">
      <c r="A2854">
        <v>2853</v>
      </c>
      <c r="B2854" s="1">
        <v>45942</v>
      </c>
      <c r="C2854" t="s">
        <v>18</v>
      </c>
      <c r="D2854" t="s">
        <v>26</v>
      </c>
      <c r="E2854" t="s">
        <v>28</v>
      </c>
      <c r="F2854" t="s">
        <v>35</v>
      </c>
      <c r="G2854" t="s">
        <v>72</v>
      </c>
      <c r="H2854" t="s">
        <v>73</v>
      </c>
      <c r="I2854">
        <v>4</v>
      </c>
      <c r="J2854">
        <v>163</v>
      </c>
      <c r="K2854">
        <v>0.05</v>
      </c>
      <c r="L2854">
        <v>619.4</v>
      </c>
      <c r="M2854">
        <v>409.67</v>
      </c>
      <c r="N2854">
        <v>209.73</v>
      </c>
      <c r="O2854" t="s">
        <v>77</v>
      </c>
      <c r="P2854" t="s">
        <v>83</v>
      </c>
    </row>
    <row r="2855" spans="1:16" x14ac:dyDescent="0.25">
      <c r="A2855">
        <v>2854</v>
      </c>
      <c r="B2855" s="1">
        <v>45782</v>
      </c>
      <c r="C2855" t="s">
        <v>18</v>
      </c>
      <c r="D2855" t="s">
        <v>26</v>
      </c>
      <c r="E2855" t="s">
        <v>29</v>
      </c>
      <c r="F2855" t="s">
        <v>53</v>
      </c>
      <c r="G2855" t="s">
        <v>70</v>
      </c>
      <c r="H2855" t="s">
        <v>74</v>
      </c>
      <c r="I2855">
        <v>8</v>
      </c>
      <c r="J2855">
        <v>7223</v>
      </c>
      <c r="K2855">
        <v>0.1</v>
      </c>
      <c r="L2855">
        <v>52005.599999999999</v>
      </c>
      <c r="M2855">
        <v>28752.92</v>
      </c>
      <c r="N2855">
        <v>23252.68</v>
      </c>
      <c r="O2855" t="s">
        <v>79</v>
      </c>
      <c r="P2855" t="s">
        <v>88</v>
      </c>
    </row>
    <row r="2856" spans="1:16" x14ac:dyDescent="0.25">
      <c r="A2856">
        <v>2855</v>
      </c>
      <c r="B2856" s="1">
        <v>45659</v>
      </c>
      <c r="C2856" t="s">
        <v>21</v>
      </c>
      <c r="D2856" t="s">
        <v>24</v>
      </c>
      <c r="E2856" t="s">
        <v>29</v>
      </c>
      <c r="F2856" t="s">
        <v>57</v>
      </c>
      <c r="G2856" t="s">
        <v>71</v>
      </c>
      <c r="H2856" t="s">
        <v>74</v>
      </c>
      <c r="I2856">
        <v>8</v>
      </c>
      <c r="J2856">
        <v>10920</v>
      </c>
      <c r="K2856">
        <v>0.15</v>
      </c>
      <c r="L2856">
        <v>74256</v>
      </c>
      <c r="M2856">
        <v>47697.4</v>
      </c>
      <c r="N2856">
        <v>26558.6</v>
      </c>
      <c r="O2856" t="s">
        <v>78</v>
      </c>
      <c r="P2856" t="s">
        <v>87</v>
      </c>
    </row>
    <row r="2857" spans="1:16" x14ac:dyDescent="0.25">
      <c r="A2857">
        <v>2856</v>
      </c>
      <c r="B2857" s="1">
        <v>45807</v>
      </c>
      <c r="C2857" t="s">
        <v>23</v>
      </c>
      <c r="D2857" t="s">
        <v>27</v>
      </c>
      <c r="E2857" t="s">
        <v>33</v>
      </c>
      <c r="F2857" t="s">
        <v>46</v>
      </c>
      <c r="G2857" t="s">
        <v>71</v>
      </c>
      <c r="H2857" t="s">
        <v>74</v>
      </c>
      <c r="I2857">
        <v>3</v>
      </c>
      <c r="J2857">
        <v>28285</v>
      </c>
      <c r="K2857">
        <v>0</v>
      </c>
      <c r="L2857">
        <v>84855</v>
      </c>
      <c r="M2857">
        <v>50192.51</v>
      </c>
      <c r="N2857">
        <v>34662.49</v>
      </c>
      <c r="O2857" t="s">
        <v>79</v>
      </c>
      <c r="P2857" t="s">
        <v>88</v>
      </c>
    </row>
    <row r="2858" spans="1:16" x14ac:dyDescent="0.25">
      <c r="A2858">
        <v>2857</v>
      </c>
      <c r="B2858" s="1">
        <v>46009</v>
      </c>
      <c r="C2858" t="s">
        <v>20</v>
      </c>
      <c r="D2858" t="s">
        <v>26</v>
      </c>
      <c r="E2858" t="s">
        <v>30</v>
      </c>
      <c r="F2858" t="s">
        <v>44</v>
      </c>
      <c r="G2858" t="s">
        <v>71</v>
      </c>
      <c r="H2858" t="s">
        <v>74</v>
      </c>
      <c r="I2858">
        <v>5</v>
      </c>
      <c r="J2858">
        <v>49472</v>
      </c>
      <c r="K2858">
        <v>0.1</v>
      </c>
      <c r="L2858">
        <v>222624</v>
      </c>
      <c r="M2858">
        <v>129390.62</v>
      </c>
      <c r="N2858">
        <v>93233.38</v>
      </c>
      <c r="O2858" t="s">
        <v>76</v>
      </c>
      <c r="P2858" t="s">
        <v>81</v>
      </c>
    </row>
    <row r="2859" spans="1:16" x14ac:dyDescent="0.25">
      <c r="A2859">
        <v>2858</v>
      </c>
      <c r="B2859" s="1">
        <v>45947</v>
      </c>
      <c r="C2859" t="s">
        <v>21</v>
      </c>
      <c r="D2859" t="s">
        <v>24</v>
      </c>
      <c r="E2859" t="s">
        <v>29</v>
      </c>
      <c r="F2859" t="s">
        <v>45</v>
      </c>
      <c r="G2859" t="s">
        <v>72</v>
      </c>
      <c r="H2859" t="s">
        <v>74</v>
      </c>
      <c r="I2859">
        <v>6</v>
      </c>
      <c r="J2859">
        <v>5028</v>
      </c>
      <c r="K2859">
        <v>0</v>
      </c>
      <c r="L2859">
        <v>30168</v>
      </c>
      <c r="M2859">
        <v>23735.51</v>
      </c>
      <c r="N2859">
        <v>6432.49</v>
      </c>
      <c r="O2859" t="s">
        <v>80</v>
      </c>
      <c r="P2859" t="s">
        <v>88</v>
      </c>
    </row>
    <row r="2860" spans="1:16" x14ac:dyDescent="0.25">
      <c r="A2860">
        <v>2859</v>
      </c>
      <c r="B2860" s="1">
        <v>45843</v>
      </c>
      <c r="C2860" t="s">
        <v>18</v>
      </c>
      <c r="D2860" t="s">
        <v>26</v>
      </c>
      <c r="E2860" t="s">
        <v>28</v>
      </c>
      <c r="F2860" t="s">
        <v>54</v>
      </c>
      <c r="G2860" t="s">
        <v>72</v>
      </c>
      <c r="H2860" t="s">
        <v>73</v>
      </c>
      <c r="I2860">
        <v>2</v>
      </c>
      <c r="J2860">
        <v>659</v>
      </c>
      <c r="K2860">
        <v>0.1</v>
      </c>
      <c r="L2860">
        <v>1186.2</v>
      </c>
      <c r="M2860">
        <v>1023.13</v>
      </c>
      <c r="N2860">
        <v>163.07</v>
      </c>
      <c r="O2860" t="s">
        <v>77</v>
      </c>
      <c r="P2860" t="s">
        <v>82</v>
      </c>
    </row>
    <row r="2861" spans="1:16" x14ac:dyDescent="0.25">
      <c r="A2861">
        <v>2860</v>
      </c>
      <c r="B2861" s="1">
        <v>45815</v>
      </c>
      <c r="C2861" t="s">
        <v>20</v>
      </c>
      <c r="D2861" t="s">
        <v>26</v>
      </c>
      <c r="E2861" t="s">
        <v>29</v>
      </c>
      <c r="F2861" t="s">
        <v>53</v>
      </c>
      <c r="G2861" t="s">
        <v>72</v>
      </c>
      <c r="H2861" t="s">
        <v>74</v>
      </c>
      <c r="I2861">
        <v>2</v>
      </c>
      <c r="J2861">
        <v>7635</v>
      </c>
      <c r="K2861">
        <v>0.05</v>
      </c>
      <c r="L2861">
        <v>14506.5</v>
      </c>
      <c r="M2861">
        <v>9674.69</v>
      </c>
      <c r="N2861">
        <v>4831.8100000000004</v>
      </c>
      <c r="O2861" t="s">
        <v>80</v>
      </c>
      <c r="P2861" t="s">
        <v>88</v>
      </c>
    </row>
    <row r="2862" spans="1:16" x14ac:dyDescent="0.25">
      <c r="A2862">
        <v>2861</v>
      </c>
      <c r="B2862" s="1">
        <v>45986</v>
      </c>
      <c r="C2862" t="s">
        <v>16</v>
      </c>
      <c r="D2862" t="s">
        <v>24</v>
      </c>
      <c r="E2862" t="s">
        <v>31</v>
      </c>
      <c r="F2862" t="s">
        <v>47</v>
      </c>
      <c r="G2862" t="s">
        <v>70</v>
      </c>
      <c r="H2862" t="s">
        <v>75</v>
      </c>
      <c r="I2862">
        <v>8</v>
      </c>
      <c r="J2862">
        <v>1596</v>
      </c>
      <c r="K2862">
        <v>0.1</v>
      </c>
      <c r="L2862">
        <v>11491.2</v>
      </c>
      <c r="M2862">
        <v>8552.15</v>
      </c>
      <c r="N2862">
        <v>2939.05</v>
      </c>
      <c r="O2862" t="s">
        <v>77</v>
      </c>
      <c r="P2862" t="s">
        <v>84</v>
      </c>
    </row>
    <row r="2863" spans="1:16" x14ac:dyDescent="0.25">
      <c r="A2863">
        <v>2862</v>
      </c>
      <c r="B2863" s="1">
        <v>45742</v>
      </c>
      <c r="C2863" t="s">
        <v>22</v>
      </c>
      <c r="D2863" t="s">
        <v>24</v>
      </c>
      <c r="E2863" t="s">
        <v>29</v>
      </c>
      <c r="F2863" t="s">
        <v>36</v>
      </c>
      <c r="G2863" t="s">
        <v>71</v>
      </c>
      <c r="H2863" t="s">
        <v>74</v>
      </c>
      <c r="I2863">
        <v>4</v>
      </c>
      <c r="J2863">
        <v>4884</v>
      </c>
      <c r="K2863">
        <v>0</v>
      </c>
      <c r="L2863">
        <v>19536</v>
      </c>
      <c r="M2863">
        <v>10771.1</v>
      </c>
      <c r="N2863">
        <v>8764.9</v>
      </c>
      <c r="O2863" t="s">
        <v>80</v>
      </c>
      <c r="P2863" t="s">
        <v>85</v>
      </c>
    </row>
    <row r="2864" spans="1:16" x14ac:dyDescent="0.25">
      <c r="A2864">
        <v>2863</v>
      </c>
      <c r="B2864" s="1">
        <v>45754</v>
      </c>
      <c r="C2864" t="s">
        <v>18</v>
      </c>
      <c r="D2864" t="s">
        <v>26</v>
      </c>
      <c r="E2864" t="s">
        <v>31</v>
      </c>
      <c r="F2864" t="s">
        <v>50</v>
      </c>
      <c r="G2864" t="s">
        <v>71</v>
      </c>
      <c r="H2864" t="s">
        <v>75</v>
      </c>
      <c r="I2864">
        <v>2</v>
      </c>
      <c r="J2864">
        <v>737</v>
      </c>
      <c r="K2864">
        <v>0.1</v>
      </c>
      <c r="L2864">
        <v>1326.6</v>
      </c>
      <c r="M2864">
        <v>955.83</v>
      </c>
      <c r="N2864">
        <v>370.77</v>
      </c>
      <c r="O2864" t="s">
        <v>76</v>
      </c>
      <c r="P2864" t="s">
        <v>88</v>
      </c>
    </row>
    <row r="2865" spans="1:16" x14ac:dyDescent="0.25">
      <c r="A2865">
        <v>2864</v>
      </c>
      <c r="B2865" s="1">
        <v>45950</v>
      </c>
      <c r="C2865" t="s">
        <v>18</v>
      </c>
      <c r="D2865" t="s">
        <v>26</v>
      </c>
      <c r="E2865" t="s">
        <v>34</v>
      </c>
      <c r="F2865" t="s">
        <v>51</v>
      </c>
      <c r="G2865" t="s">
        <v>72</v>
      </c>
      <c r="H2865" t="s">
        <v>73</v>
      </c>
      <c r="I2865">
        <v>5</v>
      </c>
      <c r="J2865">
        <v>3364</v>
      </c>
      <c r="K2865">
        <v>0</v>
      </c>
      <c r="L2865">
        <v>16820</v>
      </c>
      <c r="M2865">
        <v>11938.3</v>
      </c>
      <c r="N2865">
        <v>4881.7</v>
      </c>
      <c r="O2865" t="s">
        <v>77</v>
      </c>
      <c r="P2865" t="s">
        <v>83</v>
      </c>
    </row>
    <row r="2866" spans="1:16" x14ac:dyDescent="0.25">
      <c r="A2866">
        <v>2865</v>
      </c>
      <c r="B2866" s="1">
        <v>45888</v>
      </c>
      <c r="C2866" t="s">
        <v>22</v>
      </c>
      <c r="D2866" t="s">
        <v>24</v>
      </c>
      <c r="E2866" t="s">
        <v>33</v>
      </c>
      <c r="F2866" t="s">
        <v>41</v>
      </c>
      <c r="G2866" t="s">
        <v>70</v>
      </c>
      <c r="H2866" t="s">
        <v>73</v>
      </c>
      <c r="I2866">
        <v>4</v>
      </c>
      <c r="J2866">
        <v>26171</v>
      </c>
      <c r="K2866">
        <v>0.1</v>
      </c>
      <c r="L2866">
        <v>94215.6</v>
      </c>
      <c r="M2866">
        <v>80216.31</v>
      </c>
      <c r="N2866">
        <v>13999.29</v>
      </c>
      <c r="O2866" t="s">
        <v>80</v>
      </c>
      <c r="P2866" t="s">
        <v>88</v>
      </c>
    </row>
    <row r="2867" spans="1:16" x14ac:dyDescent="0.25">
      <c r="A2867">
        <v>2866</v>
      </c>
      <c r="B2867" s="1">
        <v>45928</v>
      </c>
      <c r="C2867" t="s">
        <v>22</v>
      </c>
      <c r="D2867" t="s">
        <v>24</v>
      </c>
      <c r="E2867" t="s">
        <v>34</v>
      </c>
      <c r="F2867" t="s">
        <v>65</v>
      </c>
      <c r="G2867" t="s">
        <v>70</v>
      </c>
      <c r="H2867" t="s">
        <v>73</v>
      </c>
      <c r="I2867">
        <v>5</v>
      </c>
      <c r="J2867">
        <v>4422</v>
      </c>
      <c r="K2867">
        <v>0</v>
      </c>
      <c r="L2867">
        <v>22110</v>
      </c>
      <c r="M2867">
        <v>14713.05</v>
      </c>
      <c r="N2867">
        <v>7396.95</v>
      </c>
      <c r="O2867" t="s">
        <v>76</v>
      </c>
      <c r="P2867" t="s">
        <v>83</v>
      </c>
    </row>
    <row r="2868" spans="1:16" x14ac:dyDescent="0.25">
      <c r="A2868">
        <v>2867</v>
      </c>
      <c r="B2868" s="1">
        <v>45771</v>
      </c>
      <c r="C2868" t="s">
        <v>18</v>
      </c>
      <c r="D2868" t="s">
        <v>26</v>
      </c>
      <c r="E2868" t="s">
        <v>31</v>
      </c>
      <c r="F2868" t="s">
        <v>38</v>
      </c>
      <c r="G2868" t="s">
        <v>70</v>
      </c>
      <c r="H2868" t="s">
        <v>75</v>
      </c>
      <c r="I2868">
        <v>2</v>
      </c>
      <c r="J2868">
        <v>1134</v>
      </c>
      <c r="K2868">
        <v>0.1</v>
      </c>
      <c r="L2868">
        <v>2041.2</v>
      </c>
      <c r="M2868">
        <v>1429.66</v>
      </c>
      <c r="N2868">
        <v>611.54</v>
      </c>
      <c r="O2868" t="s">
        <v>76</v>
      </c>
      <c r="P2868" t="s">
        <v>82</v>
      </c>
    </row>
    <row r="2869" spans="1:16" x14ac:dyDescent="0.25">
      <c r="A2869">
        <v>2868</v>
      </c>
      <c r="B2869" s="1">
        <v>45975</v>
      </c>
      <c r="C2869" t="s">
        <v>22</v>
      </c>
      <c r="D2869" t="s">
        <v>24</v>
      </c>
      <c r="E2869" t="s">
        <v>34</v>
      </c>
      <c r="F2869" t="s">
        <v>68</v>
      </c>
      <c r="G2869" t="s">
        <v>70</v>
      </c>
      <c r="H2869" t="s">
        <v>75</v>
      </c>
      <c r="I2869">
        <v>7</v>
      </c>
      <c r="J2869">
        <v>5424</v>
      </c>
      <c r="K2869">
        <v>0.15</v>
      </c>
      <c r="L2869">
        <v>32272.799999999999</v>
      </c>
      <c r="M2869">
        <v>28240.49</v>
      </c>
      <c r="N2869">
        <v>4032.31</v>
      </c>
      <c r="O2869" t="s">
        <v>80</v>
      </c>
      <c r="P2869" t="s">
        <v>88</v>
      </c>
    </row>
    <row r="2870" spans="1:16" x14ac:dyDescent="0.25">
      <c r="A2870">
        <v>2869</v>
      </c>
      <c r="B2870" s="1">
        <v>45810</v>
      </c>
      <c r="C2870" t="s">
        <v>20</v>
      </c>
      <c r="D2870" t="s">
        <v>26</v>
      </c>
      <c r="E2870" t="s">
        <v>32</v>
      </c>
      <c r="F2870" t="s">
        <v>39</v>
      </c>
      <c r="G2870" t="s">
        <v>72</v>
      </c>
      <c r="H2870" t="s">
        <v>75</v>
      </c>
      <c r="I2870">
        <v>4</v>
      </c>
      <c r="J2870">
        <v>18765</v>
      </c>
      <c r="K2870">
        <v>0</v>
      </c>
      <c r="L2870">
        <v>75060</v>
      </c>
      <c r="M2870">
        <v>65357.05</v>
      </c>
      <c r="N2870">
        <v>9702.9500000000007</v>
      </c>
      <c r="O2870" t="s">
        <v>76</v>
      </c>
      <c r="P2870" t="s">
        <v>85</v>
      </c>
    </row>
    <row r="2871" spans="1:16" x14ac:dyDescent="0.25">
      <c r="A2871">
        <v>2870</v>
      </c>
      <c r="B2871" s="1">
        <v>45900</v>
      </c>
      <c r="C2871" t="s">
        <v>18</v>
      </c>
      <c r="D2871" t="s">
        <v>26</v>
      </c>
      <c r="E2871" t="s">
        <v>34</v>
      </c>
      <c r="F2871" t="s">
        <v>68</v>
      </c>
      <c r="G2871" t="s">
        <v>72</v>
      </c>
      <c r="H2871" t="s">
        <v>75</v>
      </c>
      <c r="I2871">
        <v>3</v>
      </c>
      <c r="J2871">
        <v>396</v>
      </c>
      <c r="K2871">
        <v>0.05</v>
      </c>
      <c r="L2871">
        <v>1128.5999999999999</v>
      </c>
      <c r="M2871">
        <v>988.23</v>
      </c>
      <c r="N2871">
        <v>140.37</v>
      </c>
      <c r="O2871" t="s">
        <v>79</v>
      </c>
      <c r="P2871" t="s">
        <v>87</v>
      </c>
    </row>
    <row r="2872" spans="1:16" x14ac:dyDescent="0.25">
      <c r="A2872">
        <v>2871</v>
      </c>
      <c r="B2872" s="1">
        <v>45673</v>
      </c>
      <c r="C2872" t="s">
        <v>18</v>
      </c>
      <c r="D2872" t="s">
        <v>26</v>
      </c>
      <c r="E2872" t="s">
        <v>32</v>
      </c>
      <c r="F2872" t="s">
        <v>62</v>
      </c>
      <c r="G2872" t="s">
        <v>72</v>
      </c>
      <c r="H2872" t="s">
        <v>75</v>
      </c>
      <c r="I2872">
        <v>3</v>
      </c>
      <c r="J2872">
        <v>12455</v>
      </c>
      <c r="K2872">
        <v>0.1</v>
      </c>
      <c r="L2872">
        <v>33628.5</v>
      </c>
      <c r="M2872">
        <v>21049.23</v>
      </c>
      <c r="N2872">
        <v>12579.27</v>
      </c>
      <c r="O2872" t="s">
        <v>80</v>
      </c>
      <c r="P2872" t="s">
        <v>87</v>
      </c>
    </row>
    <row r="2873" spans="1:16" x14ac:dyDescent="0.25">
      <c r="A2873">
        <v>2872</v>
      </c>
      <c r="B2873" s="1">
        <v>45667</v>
      </c>
      <c r="C2873" t="s">
        <v>20</v>
      </c>
      <c r="D2873" t="s">
        <v>26</v>
      </c>
      <c r="E2873" t="s">
        <v>32</v>
      </c>
      <c r="F2873" t="s">
        <v>39</v>
      </c>
      <c r="G2873" t="s">
        <v>71</v>
      </c>
      <c r="H2873" t="s">
        <v>74</v>
      </c>
      <c r="I2873">
        <v>8</v>
      </c>
      <c r="J2873">
        <v>4424</v>
      </c>
      <c r="K2873">
        <v>0.1</v>
      </c>
      <c r="L2873">
        <v>31852.799999999999</v>
      </c>
      <c r="M2873">
        <v>19953.060000000001</v>
      </c>
      <c r="N2873">
        <v>11899.74</v>
      </c>
      <c r="O2873" t="s">
        <v>77</v>
      </c>
      <c r="P2873" t="s">
        <v>82</v>
      </c>
    </row>
    <row r="2874" spans="1:16" x14ac:dyDescent="0.25">
      <c r="A2874">
        <v>2873</v>
      </c>
      <c r="B2874" s="1">
        <v>45968</v>
      </c>
      <c r="C2874" t="s">
        <v>20</v>
      </c>
      <c r="D2874" t="s">
        <v>26</v>
      </c>
      <c r="E2874" t="s">
        <v>28</v>
      </c>
      <c r="F2874" t="s">
        <v>54</v>
      </c>
      <c r="G2874" t="s">
        <v>71</v>
      </c>
      <c r="H2874" t="s">
        <v>75</v>
      </c>
      <c r="I2874">
        <v>2</v>
      </c>
      <c r="J2874">
        <v>1026</v>
      </c>
      <c r="K2874">
        <v>0</v>
      </c>
      <c r="L2874">
        <v>2052</v>
      </c>
      <c r="M2874">
        <v>1391.26</v>
      </c>
      <c r="N2874">
        <v>660.74</v>
      </c>
      <c r="O2874" t="s">
        <v>76</v>
      </c>
      <c r="P2874" t="s">
        <v>87</v>
      </c>
    </row>
    <row r="2875" spans="1:16" x14ac:dyDescent="0.25">
      <c r="A2875">
        <v>2874</v>
      </c>
      <c r="B2875" s="1">
        <v>45678</v>
      </c>
      <c r="C2875" t="s">
        <v>20</v>
      </c>
      <c r="D2875" t="s">
        <v>26</v>
      </c>
      <c r="E2875" t="s">
        <v>29</v>
      </c>
      <c r="F2875" t="s">
        <v>57</v>
      </c>
      <c r="G2875" t="s">
        <v>72</v>
      </c>
      <c r="H2875" t="s">
        <v>75</v>
      </c>
      <c r="I2875">
        <v>7</v>
      </c>
      <c r="J2875">
        <v>835</v>
      </c>
      <c r="K2875">
        <v>0.15</v>
      </c>
      <c r="L2875">
        <v>4968.25</v>
      </c>
      <c r="M2875">
        <v>4300.51</v>
      </c>
      <c r="N2875">
        <v>667.74</v>
      </c>
      <c r="O2875" t="s">
        <v>76</v>
      </c>
      <c r="P2875" t="s">
        <v>81</v>
      </c>
    </row>
    <row r="2876" spans="1:16" x14ac:dyDescent="0.25">
      <c r="A2876">
        <v>2875</v>
      </c>
      <c r="B2876" s="1">
        <v>45956</v>
      </c>
      <c r="C2876" t="s">
        <v>18</v>
      </c>
      <c r="D2876" t="s">
        <v>26</v>
      </c>
      <c r="E2876" t="s">
        <v>30</v>
      </c>
      <c r="F2876" t="s">
        <v>44</v>
      </c>
      <c r="G2876" t="s">
        <v>70</v>
      </c>
      <c r="H2876" t="s">
        <v>73</v>
      </c>
      <c r="I2876">
        <v>5</v>
      </c>
      <c r="J2876">
        <v>49486</v>
      </c>
      <c r="K2876">
        <v>0.15</v>
      </c>
      <c r="L2876">
        <v>210315.5</v>
      </c>
      <c r="M2876">
        <v>137258.45000000001</v>
      </c>
      <c r="N2876">
        <v>73057.05</v>
      </c>
      <c r="O2876" t="s">
        <v>76</v>
      </c>
      <c r="P2876" t="s">
        <v>82</v>
      </c>
    </row>
    <row r="2877" spans="1:16" x14ac:dyDescent="0.25">
      <c r="A2877">
        <v>2876</v>
      </c>
      <c r="B2877" s="1">
        <v>45953</v>
      </c>
      <c r="C2877" t="s">
        <v>20</v>
      </c>
      <c r="D2877" t="s">
        <v>26</v>
      </c>
      <c r="E2877" t="s">
        <v>33</v>
      </c>
      <c r="F2877" t="s">
        <v>59</v>
      </c>
      <c r="G2877" t="s">
        <v>70</v>
      </c>
      <c r="H2877" t="s">
        <v>74</v>
      </c>
      <c r="I2877">
        <v>2</v>
      </c>
      <c r="J2877">
        <v>28916</v>
      </c>
      <c r="K2877">
        <v>0.2</v>
      </c>
      <c r="L2877">
        <v>46265.599999999999</v>
      </c>
      <c r="M2877">
        <v>38082.550000000003</v>
      </c>
      <c r="N2877">
        <v>8183.05</v>
      </c>
      <c r="O2877" t="s">
        <v>79</v>
      </c>
      <c r="P2877" t="s">
        <v>85</v>
      </c>
    </row>
    <row r="2878" spans="1:16" x14ac:dyDescent="0.25">
      <c r="A2878">
        <v>2877</v>
      </c>
      <c r="B2878" s="1">
        <v>45767</v>
      </c>
      <c r="C2878" t="s">
        <v>20</v>
      </c>
      <c r="D2878" t="s">
        <v>26</v>
      </c>
      <c r="E2878" t="s">
        <v>31</v>
      </c>
      <c r="F2878" t="s">
        <v>67</v>
      </c>
      <c r="G2878" t="s">
        <v>70</v>
      </c>
      <c r="H2878" t="s">
        <v>73</v>
      </c>
      <c r="I2878">
        <v>4</v>
      </c>
      <c r="J2878">
        <v>448</v>
      </c>
      <c r="K2878">
        <v>0.05</v>
      </c>
      <c r="L2878">
        <v>1702.4</v>
      </c>
      <c r="M2878">
        <v>1112.8</v>
      </c>
      <c r="N2878">
        <v>589.6</v>
      </c>
      <c r="O2878" t="s">
        <v>78</v>
      </c>
      <c r="P2878" t="s">
        <v>83</v>
      </c>
    </row>
    <row r="2879" spans="1:16" x14ac:dyDescent="0.25">
      <c r="A2879">
        <v>2878</v>
      </c>
      <c r="B2879" s="1">
        <v>45710</v>
      </c>
      <c r="C2879" t="s">
        <v>22</v>
      </c>
      <c r="D2879" t="s">
        <v>24</v>
      </c>
      <c r="E2879" t="s">
        <v>33</v>
      </c>
      <c r="F2879" t="s">
        <v>59</v>
      </c>
      <c r="G2879" t="s">
        <v>71</v>
      </c>
      <c r="H2879" t="s">
        <v>74</v>
      </c>
      <c r="I2879">
        <v>3</v>
      </c>
      <c r="J2879">
        <v>21906</v>
      </c>
      <c r="K2879">
        <v>0.1</v>
      </c>
      <c r="L2879">
        <v>59146.2</v>
      </c>
      <c r="M2879">
        <v>34772.160000000003</v>
      </c>
      <c r="N2879">
        <v>24374.04</v>
      </c>
      <c r="O2879" t="s">
        <v>77</v>
      </c>
      <c r="P2879" t="s">
        <v>81</v>
      </c>
    </row>
    <row r="2880" spans="1:16" x14ac:dyDescent="0.25">
      <c r="A2880">
        <v>2879</v>
      </c>
      <c r="B2880" s="1">
        <v>45936</v>
      </c>
      <c r="C2880" t="s">
        <v>19</v>
      </c>
      <c r="D2880" t="s">
        <v>26</v>
      </c>
      <c r="E2880" t="s">
        <v>28</v>
      </c>
      <c r="F2880" t="s">
        <v>63</v>
      </c>
      <c r="G2880" t="s">
        <v>70</v>
      </c>
      <c r="H2880" t="s">
        <v>75</v>
      </c>
      <c r="I2880">
        <v>1</v>
      </c>
      <c r="J2880">
        <v>2200</v>
      </c>
      <c r="K2880">
        <v>0.1</v>
      </c>
      <c r="L2880">
        <v>1980</v>
      </c>
      <c r="M2880">
        <v>1408.2</v>
      </c>
      <c r="N2880">
        <v>571.79999999999995</v>
      </c>
      <c r="O2880" t="s">
        <v>79</v>
      </c>
      <c r="P2880" t="s">
        <v>88</v>
      </c>
    </row>
    <row r="2881" spans="1:16" x14ac:dyDescent="0.25">
      <c r="A2881">
        <v>2880</v>
      </c>
      <c r="B2881" s="1">
        <v>45796</v>
      </c>
      <c r="C2881" t="s">
        <v>18</v>
      </c>
      <c r="D2881" t="s">
        <v>26</v>
      </c>
      <c r="E2881" t="s">
        <v>28</v>
      </c>
      <c r="F2881" t="s">
        <v>35</v>
      </c>
      <c r="G2881" t="s">
        <v>70</v>
      </c>
      <c r="H2881" t="s">
        <v>74</v>
      </c>
      <c r="I2881">
        <v>6</v>
      </c>
      <c r="J2881">
        <v>156</v>
      </c>
      <c r="K2881">
        <v>0.05</v>
      </c>
      <c r="L2881">
        <v>889.2</v>
      </c>
      <c r="M2881">
        <v>737.66</v>
      </c>
      <c r="N2881">
        <v>151.54</v>
      </c>
      <c r="O2881" t="s">
        <v>76</v>
      </c>
      <c r="P2881" t="s">
        <v>87</v>
      </c>
    </row>
    <row r="2882" spans="1:16" x14ac:dyDescent="0.25">
      <c r="A2882">
        <v>2881</v>
      </c>
      <c r="B2882" s="1">
        <v>46020</v>
      </c>
      <c r="C2882" t="s">
        <v>21</v>
      </c>
      <c r="D2882" t="s">
        <v>24</v>
      </c>
      <c r="E2882" t="s">
        <v>34</v>
      </c>
      <c r="F2882" t="s">
        <v>51</v>
      </c>
      <c r="G2882" t="s">
        <v>71</v>
      </c>
      <c r="H2882" t="s">
        <v>75</v>
      </c>
      <c r="I2882">
        <v>6</v>
      </c>
      <c r="J2882">
        <v>2544</v>
      </c>
      <c r="K2882">
        <v>0.1</v>
      </c>
      <c r="L2882">
        <v>13737.6</v>
      </c>
      <c r="M2882">
        <v>11086.16</v>
      </c>
      <c r="N2882">
        <v>2651.44</v>
      </c>
      <c r="O2882" t="s">
        <v>77</v>
      </c>
      <c r="P2882" t="s">
        <v>83</v>
      </c>
    </row>
    <row r="2883" spans="1:16" x14ac:dyDescent="0.25">
      <c r="A2883">
        <v>2882</v>
      </c>
      <c r="B2883" s="1">
        <v>45768</v>
      </c>
      <c r="C2883" t="s">
        <v>20</v>
      </c>
      <c r="D2883" t="s">
        <v>26</v>
      </c>
      <c r="E2883" t="s">
        <v>28</v>
      </c>
      <c r="F2883" t="s">
        <v>54</v>
      </c>
      <c r="G2883" t="s">
        <v>70</v>
      </c>
      <c r="H2883" t="s">
        <v>73</v>
      </c>
      <c r="I2883">
        <v>8</v>
      </c>
      <c r="J2883">
        <v>591</v>
      </c>
      <c r="K2883">
        <v>0</v>
      </c>
      <c r="L2883">
        <v>4728</v>
      </c>
      <c r="M2883">
        <v>4123.91</v>
      </c>
      <c r="N2883">
        <v>604.09</v>
      </c>
      <c r="O2883" t="s">
        <v>77</v>
      </c>
      <c r="P2883" t="s">
        <v>82</v>
      </c>
    </row>
    <row r="2884" spans="1:16" x14ac:dyDescent="0.25">
      <c r="A2884">
        <v>2883</v>
      </c>
      <c r="B2884" s="1">
        <v>45872</v>
      </c>
      <c r="C2884" t="s">
        <v>21</v>
      </c>
      <c r="D2884" t="s">
        <v>24</v>
      </c>
      <c r="E2884" t="s">
        <v>34</v>
      </c>
      <c r="F2884" t="s">
        <v>55</v>
      </c>
      <c r="G2884" t="s">
        <v>71</v>
      </c>
      <c r="H2884" t="s">
        <v>74</v>
      </c>
      <c r="I2884">
        <v>4</v>
      </c>
      <c r="J2884">
        <v>5886</v>
      </c>
      <c r="K2884">
        <v>0.1</v>
      </c>
      <c r="L2884">
        <v>21189.599999999999</v>
      </c>
      <c r="M2884">
        <v>15071.44</v>
      </c>
      <c r="N2884">
        <v>6118.16</v>
      </c>
      <c r="O2884" t="s">
        <v>76</v>
      </c>
      <c r="P2884" t="s">
        <v>85</v>
      </c>
    </row>
    <row r="2885" spans="1:16" x14ac:dyDescent="0.25">
      <c r="A2885">
        <v>2884</v>
      </c>
      <c r="B2885" s="1">
        <v>45964</v>
      </c>
      <c r="C2885" t="s">
        <v>23</v>
      </c>
      <c r="D2885" t="s">
        <v>27</v>
      </c>
      <c r="E2885" t="s">
        <v>32</v>
      </c>
      <c r="F2885" t="s">
        <v>49</v>
      </c>
      <c r="G2885" t="s">
        <v>72</v>
      </c>
      <c r="H2885" t="s">
        <v>75</v>
      </c>
      <c r="I2885">
        <v>1</v>
      </c>
      <c r="J2885">
        <v>9342</v>
      </c>
      <c r="K2885">
        <v>0.1</v>
      </c>
      <c r="L2885">
        <v>8407.7999999999993</v>
      </c>
      <c r="M2885">
        <v>4669.21</v>
      </c>
      <c r="N2885">
        <v>3738.59</v>
      </c>
      <c r="O2885" t="s">
        <v>76</v>
      </c>
      <c r="P2885" t="s">
        <v>81</v>
      </c>
    </row>
    <row r="2886" spans="1:16" x14ac:dyDescent="0.25">
      <c r="A2886">
        <v>2885</v>
      </c>
      <c r="B2886" s="1">
        <v>45752</v>
      </c>
      <c r="C2886" t="s">
        <v>22</v>
      </c>
      <c r="D2886" t="s">
        <v>24</v>
      </c>
      <c r="E2886" t="s">
        <v>31</v>
      </c>
      <c r="F2886" t="s">
        <v>67</v>
      </c>
      <c r="G2886" t="s">
        <v>70</v>
      </c>
      <c r="H2886" t="s">
        <v>73</v>
      </c>
      <c r="I2886">
        <v>1</v>
      </c>
      <c r="J2886">
        <v>2489</v>
      </c>
      <c r="K2886">
        <v>0</v>
      </c>
      <c r="L2886">
        <v>2489</v>
      </c>
      <c r="M2886">
        <v>1373.24</v>
      </c>
      <c r="N2886">
        <v>1115.76</v>
      </c>
      <c r="O2886" t="s">
        <v>76</v>
      </c>
      <c r="P2886" t="s">
        <v>86</v>
      </c>
    </row>
    <row r="2887" spans="1:16" x14ac:dyDescent="0.25">
      <c r="A2887">
        <v>2886</v>
      </c>
      <c r="B2887" s="1">
        <v>45857</v>
      </c>
      <c r="C2887" t="s">
        <v>18</v>
      </c>
      <c r="D2887" t="s">
        <v>26</v>
      </c>
      <c r="E2887" t="s">
        <v>33</v>
      </c>
      <c r="F2887" t="s">
        <v>41</v>
      </c>
      <c r="G2887" t="s">
        <v>72</v>
      </c>
      <c r="H2887" t="s">
        <v>75</v>
      </c>
      <c r="I2887">
        <v>1</v>
      </c>
      <c r="J2887">
        <v>31620</v>
      </c>
      <c r="K2887">
        <v>0.05</v>
      </c>
      <c r="L2887">
        <v>30039</v>
      </c>
      <c r="M2887">
        <v>23689.81</v>
      </c>
      <c r="N2887">
        <v>6349.19</v>
      </c>
      <c r="O2887" t="s">
        <v>76</v>
      </c>
      <c r="P2887" t="s">
        <v>88</v>
      </c>
    </row>
    <row r="2888" spans="1:16" x14ac:dyDescent="0.25">
      <c r="A2888">
        <v>2887</v>
      </c>
      <c r="B2888" s="1">
        <v>45975</v>
      </c>
      <c r="C2888" t="s">
        <v>18</v>
      </c>
      <c r="D2888" t="s">
        <v>26</v>
      </c>
      <c r="E2888" t="s">
        <v>30</v>
      </c>
      <c r="F2888" t="s">
        <v>64</v>
      </c>
      <c r="G2888" t="s">
        <v>71</v>
      </c>
      <c r="H2888" t="s">
        <v>74</v>
      </c>
      <c r="I2888">
        <v>2</v>
      </c>
      <c r="J2888">
        <v>59885</v>
      </c>
      <c r="K2888">
        <v>0.05</v>
      </c>
      <c r="L2888">
        <v>113781.5</v>
      </c>
      <c r="M2888">
        <v>65337.24</v>
      </c>
      <c r="N2888">
        <v>48444.26</v>
      </c>
      <c r="O2888" t="s">
        <v>80</v>
      </c>
      <c r="P2888" t="s">
        <v>86</v>
      </c>
    </row>
    <row r="2889" spans="1:16" x14ac:dyDescent="0.25">
      <c r="A2889">
        <v>2888</v>
      </c>
      <c r="B2889" s="1">
        <v>45906</v>
      </c>
      <c r="C2889" t="s">
        <v>18</v>
      </c>
      <c r="D2889" t="s">
        <v>26</v>
      </c>
      <c r="E2889" t="s">
        <v>31</v>
      </c>
      <c r="F2889" t="s">
        <v>38</v>
      </c>
      <c r="G2889" t="s">
        <v>70</v>
      </c>
      <c r="H2889" t="s">
        <v>73</v>
      </c>
      <c r="I2889">
        <v>6</v>
      </c>
      <c r="J2889">
        <v>668</v>
      </c>
      <c r="K2889">
        <v>0.1</v>
      </c>
      <c r="L2889">
        <v>3607.2</v>
      </c>
      <c r="M2889">
        <v>2986.54</v>
      </c>
      <c r="N2889">
        <v>620.66</v>
      </c>
      <c r="O2889" t="s">
        <v>77</v>
      </c>
      <c r="P2889" t="s">
        <v>85</v>
      </c>
    </row>
    <row r="2890" spans="1:16" x14ac:dyDescent="0.25">
      <c r="A2890">
        <v>2889</v>
      </c>
      <c r="B2890" s="1">
        <v>45850</v>
      </c>
      <c r="C2890" t="s">
        <v>16</v>
      </c>
      <c r="D2890" t="s">
        <v>24</v>
      </c>
      <c r="E2890" t="s">
        <v>30</v>
      </c>
      <c r="F2890" t="s">
        <v>56</v>
      </c>
      <c r="G2890" t="s">
        <v>72</v>
      </c>
      <c r="H2890" t="s">
        <v>75</v>
      </c>
      <c r="I2890">
        <v>6</v>
      </c>
      <c r="J2890">
        <v>5525</v>
      </c>
      <c r="K2890">
        <v>0.05</v>
      </c>
      <c r="L2890">
        <v>31492.5</v>
      </c>
      <c r="M2890">
        <v>20990.240000000002</v>
      </c>
      <c r="N2890">
        <v>10502.26</v>
      </c>
      <c r="O2890" t="s">
        <v>76</v>
      </c>
      <c r="P2890" t="s">
        <v>87</v>
      </c>
    </row>
    <row r="2891" spans="1:16" x14ac:dyDescent="0.25">
      <c r="A2891">
        <v>2890</v>
      </c>
      <c r="B2891" s="1">
        <v>45978</v>
      </c>
      <c r="C2891" t="s">
        <v>17</v>
      </c>
      <c r="D2891" t="s">
        <v>25</v>
      </c>
      <c r="E2891" t="s">
        <v>34</v>
      </c>
      <c r="F2891" t="s">
        <v>51</v>
      </c>
      <c r="G2891" t="s">
        <v>72</v>
      </c>
      <c r="H2891" t="s">
        <v>73</v>
      </c>
      <c r="I2891">
        <v>1</v>
      </c>
      <c r="J2891">
        <v>5261</v>
      </c>
      <c r="K2891">
        <v>0.15</v>
      </c>
      <c r="L2891">
        <v>4471.8500000000004</v>
      </c>
      <c r="M2891">
        <v>3493.48</v>
      </c>
      <c r="N2891">
        <v>978.37</v>
      </c>
      <c r="O2891" t="s">
        <v>77</v>
      </c>
      <c r="P2891" t="s">
        <v>86</v>
      </c>
    </row>
    <row r="2892" spans="1:16" x14ac:dyDescent="0.25">
      <c r="A2892">
        <v>2891</v>
      </c>
      <c r="B2892" s="1">
        <v>45840</v>
      </c>
      <c r="C2892" t="s">
        <v>21</v>
      </c>
      <c r="D2892" t="s">
        <v>24</v>
      </c>
      <c r="E2892" t="s">
        <v>28</v>
      </c>
      <c r="F2892" t="s">
        <v>63</v>
      </c>
      <c r="G2892" t="s">
        <v>72</v>
      </c>
      <c r="H2892" t="s">
        <v>75</v>
      </c>
      <c r="I2892">
        <v>7</v>
      </c>
      <c r="J2892">
        <v>2206</v>
      </c>
      <c r="K2892">
        <v>0.15</v>
      </c>
      <c r="L2892">
        <v>13125.7</v>
      </c>
      <c r="M2892">
        <v>10550.61</v>
      </c>
      <c r="N2892">
        <v>2575.09</v>
      </c>
      <c r="O2892" t="s">
        <v>78</v>
      </c>
      <c r="P2892" t="s">
        <v>84</v>
      </c>
    </row>
    <row r="2893" spans="1:16" x14ac:dyDescent="0.25">
      <c r="A2893">
        <v>2892</v>
      </c>
      <c r="B2893" s="1">
        <v>45827</v>
      </c>
      <c r="C2893" t="s">
        <v>19</v>
      </c>
      <c r="D2893" t="s">
        <v>26</v>
      </c>
      <c r="E2893" t="s">
        <v>34</v>
      </c>
      <c r="F2893" t="s">
        <v>51</v>
      </c>
      <c r="G2893" t="s">
        <v>70</v>
      </c>
      <c r="H2893" t="s">
        <v>73</v>
      </c>
      <c r="I2893">
        <v>4</v>
      </c>
      <c r="J2893">
        <v>211</v>
      </c>
      <c r="K2893">
        <v>0</v>
      </c>
      <c r="L2893">
        <v>844</v>
      </c>
      <c r="M2893">
        <v>574.82000000000005</v>
      </c>
      <c r="N2893">
        <v>269.18</v>
      </c>
      <c r="O2893" t="s">
        <v>80</v>
      </c>
      <c r="P2893" t="s">
        <v>84</v>
      </c>
    </row>
    <row r="2894" spans="1:16" x14ac:dyDescent="0.25">
      <c r="A2894">
        <v>2893</v>
      </c>
      <c r="B2894" s="1">
        <v>45698</v>
      </c>
      <c r="C2894" t="s">
        <v>20</v>
      </c>
      <c r="D2894" t="s">
        <v>26</v>
      </c>
      <c r="E2894" t="s">
        <v>30</v>
      </c>
      <c r="F2894" t="s">
        <v>56</v>
      </c>
      <c r="G2894" t="s">
        <v>70</v>
      </c>
      <c r="H2894" t="s">
        <v>75</v>
      </c>
      <c r="I2894">
        <v>6</v>
      </c>
      <c r="J2894">
        <v>41528</v>
      </c>
      <c r="K2894">
        <v>0.15</v>
      </c>
      <c r="L2894">
        <v>211792.8</v>
      </c>
      <c r="M2894">
        <v>121739.91</v>
      </c>
      <c r="N2894">
        <v>90052.89</v>
      </c>
      <c r="O2894" t="s">
        <v>78</v>
      </c>
      <c r="P2894" t="s">
        <v>87</v>
      </c>
    </row>
    <row r="2895" spans="1:16" x14ac:dyDescent="0.25">
      <c r="A2895">
        <v>2894</v>
      </c>
      <c r="B2895" s="1">
        <v>45815</v>
      </c>
      <c r="C2895" t="s">
        <v>23</v>
      </c>
      <c r="D2895" t="s">
        <v>27</v>
      </c>
      <c r="E2895" t="s">
        <v>31</v>
      </c>
      <c r="F2895" t="s">
        <v>47</v>
      </c>
      <c r="G2895" t="s">
        <v>72</v>
      </c>
      <c r="H2895" t="s">
        <v>74</v>
      </c>
      <c r="I2895">
        <v>6</v>
      </c>
      <c r="J2895">
        <v>615</v>
      </c>
      <c r="K2895">
        <v>0.15</v>
      </c>
      <c r="L2895">
        <v>3136.5</v>
      </c>
      <c r="M2895">
        <v>2263.41</v>
      </c>
      <c r="N2895">
        <v>873.09</v>
      </c>
      <c r="O2895" t="s">
        <v>77</v>
      </c>
      <c r="P2895" t="s">
        <v>82</v>
      </c>
    </row>
    <row r="2896" spans="1:16" x14ac:dyDescent="0.25">
      <c r="A2896">
        <v>2895</v>
      </c>
      <c r="B2896" s="1">
        <v>45795</v>
      </c>
      <c r="C2896" t="s">
        <v>21</v>
      </c>
      <c r="D2896" t="s">
        <v>24</v>
      </c>
      <c r="E2896" t="s">
        <v>32</v>
      </c>
      <c r="F2896" t="s">
        <v>39</v>
      </c>
      <c r="G2896" t="s">
        <v>70</v>
      </c>
      <c r="H2896" t="s">
        <v>73</v>
      </c>
      <c r="I2896">
        <v>1</v>
      </c>
      <c r="J2896">
        <v>19988</v>
      </c>
      <c r="K2896">
        <v>0.1</v>
      </c>
      <c r="L2896">
        <v>17989.2</v>
      </c>
      <c r="M2896">
        <v>14692.85</v>
      </c>
      <c r="N2896">
        <v>3296.35</v>
      </c>
      <c r="O2896" t="s">
        <v>76</v>
      </c>
      <c r="P2896" t="s">
        <v>84</v>
      </c>
    </row>
    <row r="2897" spans="1:16" x14ac:dyDescent="0.25">
      <c r="A2897">
        <v>2896</v>
      </c>
      <c r="B2897" s="1">
        <v>45685</v>
      </c>
      <c r="C2897" t="s">
        <v>21</v>
      </c>
      <c r="D2897" t="s">
        <v>24</v>
      </c>
      <c r="E2897" t="s">
        <v>33</v>
      </c>
      <c r="F2897" t="s">
        <v>60</v>
      </c>
      <c r="G2897" t="s">
        <v>70</v>
      </c>
      <c r="H2897" t="s">
        <v>74</v>
      </c>
      <c r="I2897">
        <v>7</v>
      </c>
      <c r="J2897">
        <v>32967</v>
      </c>
      <c r="K2897">
        <v>0.1</v>
      </c>
      <c r="L2897">
        <v>207692.1</v>
      </c>
      <c r="M2897">
        <v>143615.22</v>
      </c>
      <c r="N2897">
        <v>64076.88</v>
      </c>
      <c r="O2897" t="s">
        <v>79</v>
      </c>
      <c r="P2897" t="s">
        <v>88</v>
      </c>
    </row>
    <row r="2898" spans="1:16" x14ac:dyDescent="0.25">
      <c r="A2898">
        <v>2897</v>
      </c>
      <c r="B2898" s="1">
        <v>45996</v>
      </c>
      <c r="C2898" t="s">
        <v>20</v>
      </c>
      <c r="D2898" t="s">
        <v>26</v>
      </c>
      <c r="E2898" t="s">
        <v>33</v>
      </c>
      <c r="F2898" t="s">
        <v>41</v>
      </c>
      <c r="G2898" t="s">
        <v>71</v>
      </c>
      <c r="H2898" t="s">
        <v>73</v>
      </c>
      <c r="I2898">
        <v>7</v>
      </c>
      <c r="J2898">
        <v>34267</v>
      </c>
      <c r="K2898">
        <v>0.1</v>
      </c>
      <c r="L2898">
        <v>215882.1</v>
      </c>
      <c r="M2898">
        <v>136292.18</v>
      </c>
      <c r="N2898">
        <v>79589.919999999998</v>
      </c>
      <c r="O2898" t="s">
        <v>77</v>
      </c>
      <c r="P2898" t="s">
        <v>83</v>
      </c>
    </row>
    <row r="2899" spans="1:16" x14ac:dyDescent="0.25">
      <c r="A2899">
        <v>2898</v>
      </c>
      <c r="B2899" s="1">
        <v>45804</v>
      </c>
      <c r="C2899" t="s">
        <v>21</v>
      </c>
      <c r="D2899" t="s">
        <v>24</v>
      </c>
      <c r="E2899" t="s">
        <v>34</v>
      </c>
      <c r="F2899" t="s">
        <v>43</v>
      </c>
      <c r="G2899" t="s">
        <v>70</v>
      </c>
      <c r="H2899" t="s">
        <v>75</v>
      </c>
      <c r="I2899">
        <v>3</v>
      </c>
      <c r="J2899">
        <v>265</v>
      </c>
      <c r="K2899">
        <v>0.1</v>
      </c>
      <c r="L2899">
        <v>715.5</v>
      </c>
      <c r="M2899">
        <v>547.41999999999996</v>
      </c>
      <c r="N2899">
        <v>168.08</v>
      </c>
      <c r="O2899" t="s">
        <v>80</v>
      </c>
      <c r="P2899" t="s">
        <v>81</v>
      </c>
    </row>
    <row r="2900" spans="1:16" x14ac:dyDescent="0.25">
      <c r="A2900">
        <v>2899</v>
      </c>
      <c r="B2900" s="1">
        <v>45815</v>
      </c>
      <c r="C2900" t="s">
        <v>22</v>
      </c>
      <c r="D2900" t="s">
        <v>24</v>
      </c>
      <c r="E2900" t="s">
        <v>28</v>
      </c>
      <c r="F2900" t="s">
        <v>58</v>
      </c>
      <c r="G2900" t="s">
        <v>72</v>
      </c>
      <c r="H2900" t="s">
        <v>75</v>
      </c>
      <c r="I2900">
        <v>7</v>
      </c>
      <c r="J2900">
        <v>1988</v>
      </c>
      <c r="K2900">
        <v>0</v>
      </c>
      <c r="L2900">
        <v>13916</v>
      </c>
      <c r="M2900">
        <v>11886.24</v>
      </c>
      <c r="N2900">
        <v>2029.76</v>
      </c>
      <c r="O2900" t="s">
        <v>79</v>
      </c>
      <c r="P2900" t="s">
        <v>84</v>
      </c>
    </row>
    <row r="2901" spans="1:16" x14ac:dyDescent="0.25">
      <c r="A2901">
        <v>2900</v>
      </c>
      <c r="B2901" s="1">
        <v>45875</v>
      </c>
      <c r="C2901" t="s">
        <v>23</v>
      </c>
      <c r="D2901" t="s">
        <v>27</v>
      </c>
      <c r="E2901" t="s">
        <v>30</v>
      </c>
      <c r="F2901" t="s">
        <v>64</v>
      </c>
      <c r="G2901" t="s">
        <v>71</v>
      </c>
      <c r="H2901" t="s">
        <v>74</v>
      </c>
      <c r="I2901">
        <v>6</v>
      </c>
      <c r="J2901">
        <v>54049</v>
      </c>
      <c r="K2901">
        <v>0.1</v>
      </c>
      <c r="L2901">
        <v>291864.59999999998</v>
      </c>
      <c r="M2901">
        <v>245087.41</v>
      </c>
      <c r="N2901">
        <v>46777.19</v>
      </c>
      <c r="O2901" t="s">
        <v>80</v>
      </c>
      <c r="P2901" t="s">
        <v>87</v>
      </c>
    </row>
    <row r="2902" spans="1:16" x14ac:dyDescent="0.25">
      <c r="A2902">
        <v>2901</v>
      </c>
      <c r="B2902" s="1">
        <v>45972</v>
      </c>
      <c r="C2902" t="s">
        <v>17</v>
      </c>
      <c r="D2902" t="s">
        <v>25</v>
      </c>
      <c r="E2902" t="s">
        <v>32</v>
      </c>
      <c r="F2902" t="s">
        <v>62</v>
      </c>
      <c r="G2902" t="s">
        <v>71</v>
      </c>
      <c r="H2902" t="s">
        <v>74</v>
      </c>
      <c r="I2902">
        <v>8</v>
      </c>
      <c r="J2902">
        <v>3161</v>
      </c>
      <c r="K2902">
        <v>0.05</v>
      </c>
      <c r="L2902">
        <v>24023.599999999999</v>
      </c>
      <c r="M2902">
        <v>17677.419999999998</v>
      </c>
      <c r="N2902">
        <v>6346.18</v>
      </c>
      <c r="O2902" t="s">
        <v>80</v>
      </c>
      <c r="P2902" t="s">
        <v>82</v>
      </c>
    </row>
    <row r="2903" spans="1:16" x14ac:dyDescent="0.25">
      <c r="A2903">
        <v>2902</v>
      </c>
      <c r="B2903" s="1">
        <v>45801</v>
      </c>
      <c r="C2903" t="s">
        <v>21</v>
      </c>
      <c r="D2903" t="s">
        <v>24</v>
      </c>
      <c r="E2903" t="s">
        <v>29</v>
      </c>
      <c r="F2903" t="s">
        <v>45</v>
      </c>
      <c r="G2903" t="s">
        <v>72</v>
      </c>
      <c r="H2903" t="s">
        <v>73</v>
      </c>
      <c r="I2903">
        <v>5</v>
      </c>
      <c r="J2903">
        <v>11104</v>
      </c>
      <c r="K2903">
        <v>0.1</v>
      </c>
      <c r="L2903">
        <v>49968</v>
      </c>
      <c r="M2903">
        <v>31308.85</v>
      </c>
      <c r="N2903">
        <v>18659.150000000001</v>
      </c>
      <c r="O2903" t="s">
        <v>79</v>
      </c>
      <c r="P2903" t="s">
        <v>81</v>
      </c>
    </row>
    <row r="2904" spans="1:16" x14ac:dyDescent="0.25">
      <c r="A2904">
        <v>2903</v>
      </c>
      <c r="B2904" s="1">
        <v>45900</v>
      </c>
      <c r="C2904" t="s">
        <v>20</v>
      </c>
      <c r="D2904" t="s">
        <v>26</v>
      </c>
      <c r="E2904" t="s">
        <v>30</v>
      </c>
      <c r="F2904" t="s">
        <v>40</v>
      </c>
      <c r="G2904" t="s">
        <v>70</v>
      </c>
      <c r="H2904" t="s">
        <v>75</v>
      </c>
      <c r="I2904">
        <v>7</v>
      </c>
      <c r="J2904">
        <v>49965</v>
      </c>
      <c r="K2904">
        <v>0.15</v>
      </c>
      <c r="L2904">
        <v>297291.75</v>
      </c>
      <c r="M2904">
        <v>232704.35</v>
      </c>
      <c r="N2904">
        <v>64587.4</v>
      </c>
      <c r="O2904" t="s">
        <v>76</v>
      </c>
      <c r="P2904" t="s">
        <v>81</v>
      </c>
    </row>
    <row r="2905" spans="1:16" x14ac:dyDescent="0.25">
      <c r="A2905">
        <v>2904</v>
      </c>
      <c r="B2905" s="1">
        <v>45697</v>
      </c>
      <c r="C2905" t="s">
        <v>20</v>
      </c>
      <c r="D2905" t="s">
        <v>26</v>
      </c>
      <c r="E2905" t="s">
        <v>29</v>
      </c>
      <c r="F2905" t="s">
        <v>36</v>
      </c>
      <c r="G2905" t="s">
        <v>72</v>
      </c>
      <c r="H2905" t="s">
        <v>75</v>
      </c>
      <c r="I2905">
        <v>7</v>
      </c>
      <c r="J2905">
        <v>9580</v>
      </c>
      <c r="K2905">
        <v>0.1</v>
      </c>
      <c r="L2905">
        <v>60354</v>
      </c>
      <c r="M2905">
        <v>44280.31</v>
      </c>
      <c r="N2905">
        <v>16073.69</v>
      </c>
      <c r="O2905" t="s">
        <v>80</v>
      </c>
      <c r="P2905" t="s">
        <v>88</v>
      </c>
    </row>
    <row r="2906" spans="1:16" x14ac:dyDescent="0.25">
      <c r="A2906">
        <v>2905</v>
      </c>
      <c r="B2906" s="1">
        <v>45956</v>
      </c>
      <c r="C2906" t="s">
        <v>19</v>
      </c>
      <c r="D2906" t="s">
        <v>26</v>
      </c>
      <c r="E2906" t="s">
        <v>32</v>
      </c>
      <c r="F2906" t="s">
        <v>49</v>
      </c>
      <c r="G2906" t="s">
        <v>71</v>
      </c>
      <c r="H2906" t="s">
        <v>73</v>
      </c>
      <c r="I2906">
        <v>8</v>
      </c>
      <c r="J2906">
        <v>9156</v>
      </c>
      <c r="K2906">
        <v>0</v>
      </c>
      <c r="L2906">
        <v>73248</v>
      </c>
      <c r="M2906">
        <v>47678.76</v>
      </c>
      <c r="N2906">
        <v>25569.24</v>
      </c>
      <c r="O2906" t="s">
        <v>79</v>
      </c>
      <c r="P2906" t="s">
        <v>83</v>
      </c>
    </row>
    <row r="2907" spans="1:16" x14ac:dyDescent="0.25">
      <c r="A2907">
        <v>2906</v>
      </c>
      <c r="B2907" s="1">
        <v>45752</v>
      </c>
      <c r="C2907" t="s">
        <v>18</v>
      </c>
      <c r="D2907" t="s">
        <v>26</v>
      </c>
      <c r="E2907" t="s">
        <v>33</v>
      </c>
      <c r="F2907" t="s">
        <v>60</v>
      </c>
      <c r="G2907" t="s">
        <v>72</v>
      </c>
      <c r="H2907" t="s">
        <v>74</v>
      </c>
      <c r="I2907">
        <v>1</v>
      </c>
      <c r="J2907">
        <v>45709</v>
      </c>
      <c r="K2907">
        <v>0.15</v>
      </c>
      <c r="L2907">
        <v>38852.65</v>
      </c>
      <c r="M2907">
        <v>33325.4</v>
      </c>
      <c r="N2907">
        <v>5527.25</v>
      </c>
      <c r="O2907" t="s">
        <v>77</v>
      </c>
      <c r="P2907" t="s">
        <v>82</v>
      </c>
    </row>
    <row r="2908" spans="1:16" x14ac:dyDescent="0.25">
      <c r="A2908">
        <v>2907</v>
      </c>
      <c r="B2908" s="1">
        <v>45793</v>
      </c>
      <c r="C2908" t="s">
        <v>21</v>
      </c>
      <c r="D2908" t="s">
        <v>24</v>
      </c>
      <c r="E2908" t="s">
        <v>33</v>
      </c>
      <c r="F2908" t="s">
        <v>60</v>
      </c>
      <c r="G2908" t="s">
        <v>71</v>
      </c>
      <c r="H2908" t="s">
        <v>73</v>
      </c>
      <c r="I2908">
        <v>3</v>
      </c>
      <c r="J2908">
        <v>46523</v>
      </c>
      <c r="K2908">
        <v>0.05</v>
      </c>
      <c r="L2908">
        <v>132590.54999999999</v>
      </c>
      <c r="M2908">
        <v>113509.57</v>
      </c>
      <c r="N2908">
        <v>19080.98</v>
      </c>
      <c r="O2908" t="s">
        <v>80</v>
      </c>
      <c r="P2908" t="s">
        <v>82</v>
      </c>
    </row>
    <row r="2909" spans="1:16" x14ac:dyDescent="0.25">
      <c r="A2909">
        <v>2908</v>
      </c>
      <c r="B2909" s="1">
        <v>45706</v>
      </c>
      <c r="C2909" t="s">
        <v>16</v>
      </c>
      <c r="D2909" t="s">
        <v>24</v>
      </c>
      <c r="E2909" t="s">
        <v>33</v>
      </c>
      <c r="F2909" t="s">
        <v>52</v>
      </c>
      <c r="G2909" t="s">
        <v>72</v>
      </c>
      <c r="H2909" t="s">
        <v>75</v>
      </c>
      <c r="I2909">
        <v>5</v>
      </c>
      <c r="J2909">
        <v>21105</v>
      </c>
      <c r="K2909">
        <v>0.15</v>
      </c>
      <c r="L2909">
        <v>89696.25</v>
      </c>
      <c r="M2909">
        <v>52664.84</v>
      </c>
      <c r="N2909">
        <v>37031.410000000003</v>
      </c>
      <c r="O2909" t="s">
        <v>78</v>
      </c>
      <c r="P2909" t="s">
        <v>87</v>
      </c>
    </row>
    <row r="2910" spans="1:16" x14ac:dyDescent="0.25">
      <c r="A2910">
        <v>2909</v>
      </c>
      <c r="B2910" s="1">
        <v>46008</v>
      </c>
      <c r="C2910" t="s">
        <v>18</v>
      </c>
      <c r="D2910" t="s">
        <v>26</v>
      </c>
      <c r="E2910" t="s">
        <v>34</v>
      </c>
      <c r="F2910" t="s">
        <v>43</v>
      </c>
      <c r="G2910" t="s">
        <v>71</v>
      </c>
      <c r="H2910" t="s">
        <v>74</v>
      </c>
      <c r="I2910">
        <v>3</v>
      </c>
      <c r="J2910">
        <v>4863</v>
      </c>
      <c r="K2910">
        <v>0.1</v>
      </c>
      <c r="L2910">
        <v>13130.1</v>
      </c>
      <c r="M2910">
        <v>7570.05</v>
      </c>
      <c r="N2910">
        <v>5560.05</v>
      </c>
      <c r="O2910" t="s">
        <v>77</v>
      </c>
      <c r="P2910" t="s">
        <v>87</v>
      </c>
    </row>
    <row r="2911" spans="1:16" x14ac:dyDescent="0.25">
      <c r="A2911">
        <v>2910</v>
      </c>
      <c r="B2911" s="1">
        <v>45869</v>
      </c>
      <c r="C2911" t="s">
        <v>18</v>
      </c>
      <c r="D2911" t="s">
        <v>26</v>
      </c>
      <c r="E2911" t="s">
        <v>30</v>
      </c>
      <c r="F2911" t="s">
        <v>56</v>
      </c>
      <c r="G2911" t="s">
        <v>71</v>
      </c>
      <c r="H2911" t="s">
        <v>73</v>
      </c>
      <c r="I2911">
        <v>2</v>
      </c>
      <c r="J2911">
        <v>10780</v>
      </c>
      <c r="K2911">
        <v>0</v>
      </c>
      <c r="L2911">
        <v>21560</v>
      </c>
      <c r="M2911">
        <v>12456.54</v>
      </c>
      <c r="N2911">
        <v>9103.4599999999991</v>
      </c>
      <c r="O2911" t="s">
        <v>79</v>
      </c>
      <c r="P2911" t="s">
        <v>88</v>
      </c>
    </row>
    <row r="2912" spans="1:16" x14ac:dyDescent="0.25">
      <c r="A2912">
        <v>2911</v>
      </c>
      <c r="B2912" s="1">
        <v>45667</v>
      </c>
      <c r="C2912" t="s">
        <v>22</v>
      </c>
      <c r="D2912" t="s">
        <v>24</v>
      </c>
      <c r="E2912" t="s">
        <v>29</v>
      </c>
      <c r="F2912" t="s">
        <v>36</v>
      </c>
      <c r="G2912" t="s">
        <v>70</v>
      </c>
      <c r="H2912" t="s">
        <v>74</v>
      </c>
      <c r="I2912">
        <v>5</v>
      </c>
      <c r="J2912">
        <v>3607</v>
      </c>
      <c r="K2912">
        <v>0.05</v>
      </c>
      <c r="L2912">
        <v>17133.25</v>
      </c>
      <c r="M2912">
        <v>13206.21</v>
      </c>
      <c r="N2912">
        <v>3927.04</v>
      </c>
      <c r="O2912" t="s">
        <v>78</v>
      </c>
      <c r="P2912" t="s">
        <v>87</v>
      </c>
    </row>
    <row r="2913" spans="1:16" x14ac:dyDescent="0.25">
      <c r="A2913">
        <v>2912</v>
      </c>
      <c r="B2913" s="1">
        <v>45971</v>
      </c>
      <c r="C2913" t="s">
        <v>16</v>
      </c>
      <c r="D2913" t="s">
        <v>24</v>
      </c>
      <c r="E2913" t="s">
        <v>31</v>
      </c>
      <c r="F2913" t="s">
        <v>38</v>
      </c>
      <c r="G2913" t="s">
        <v>72</v>
      </c>
      <c r="H2913" t="s">
        <v>74</v>
      </c>
      <c r="I2913">
        <v>8</v>
      </c>
      <c r="J2913">
        <v>1740</v>
      </c>
      <c r="K2913">
        <v>0</v>
      </c>
      <c r="L2913">
        <v>13920</v>
      </c>
      <c r="M2913">
        <v>11265.91</v>
      </c>
      <c r="N2913">
        <v>2654.09</v>
      </c>
      <c r="O2913" t="s">
        <v>78</v>
      </c>
      <c r="P2913" t="s">
        <v>86</v>
      </c>
    </row>
    <row r="2914" spans="1:16" x14ac:dyDescent="0.25">
      <c r="A2914">
        <v>2913</v>
      </c>
      <c r="B2914" s="1">
        <v>45721</v>
      </c>
      <c r="C2914" t="s">
        <v>20</v>
      </c>
      <c r="D2914" t="s">
        <v>26</v>
      </c>
      <c r="E2914" t="s">
        <v>31</v>
      </c>
      <c r="F2914" t="s">
        <v>47</v>
      </c>
      <c r="G2914" t="s">
        <v>70</v>
      </c>
      <c r="H2914" t="s">
        <v>75</v>
      </c>
      <c r="I2914">
        <v>2</v>
      </c>
      <c r="J2914">
        <v>322</v>
      </c>
      <c r="K2914">
        <v>0.15</v>
      </c>
      <c r="L2914">
        <v>547.4</v>
      </c>
      <c r="M2914">
        <v>444.22</v>
      </c>
      <c r="N2914">
        <v>103.18</v>
      </c>
      <c r="O2914" t="s">
        <v>78</v>
      </c>
      <c r="P2914" t="s">
        <v>88</v>
      </c>
    </row>
    <row r="2915" spans="1:16" x14ac:dyDescent="0.25">
      <c r="A2915">
        <v>2914</v>
      </c>
      <c r="B2915" s="1">
        <v>45762</v>
      </c>
      <c r="C2915" t="s">
        <v>22</v>
      </c>
      <c r="D2915" t="s">
        <v>24</v>
      </c>
      <c r="E2915" t="s">
        <v>33</v>
      </c>
      <c r="F2915" t="s">
        <v>46</v>
      </c>
      <c r="G2915" t="s">
        <v>70</v>
      </c>
      <c r="H2915" t="s">
        <v>75</v>
      </c>
      <c r="I2915">
        <v>2</v>
      </c>
      <c r="J2915">
        <v>9460</v>
      </c>
      <c r="K2915">
        <v>0.05</v>
      </c>
      <c r="L2915">
        <v>17974</v>
      </c>
      <c r="M2915">
        <v>10482.34</v>
      </c>
      <c r="N2915">
        <v>7491.66</v>
      </c>
      <c r="O2915" t="s">
        <v>77</v>
      </c>
      <c r="P2915" t="s">
        <v>86</v>
      </c>
    </row>
    <row r="2916" spans="1:16" x14ac:dyDescent="0.25">
      <c r="A2916">
        <v>2915</v>
      </c>
      <c r="B2916" s="1">
        <v>46013</v>
      </c>
      <c r="C2916" t="s">
        <v>21</v>
      </c>
      <c r="D2916" t="s">
        <v>24</v>
      </c>
      <c r="E2916" t="s">
        <v>33</v>
      </c>
      <c r="F2916" t="s">
        <v>41</v>
      </c>
      <c r="G2916" t="s">
        <v>70</v>
      </c>
      <c r="H2916" t="s">
        <v>74</v>
      </c>
      <c r="I2916">
        <v>5</v>
      </c>
      <c r="J2916">
        <v>36817</v>
      </c>
      <c r="K2916">
        <v>0</v>
      </c>
      <c r="L2916">
        <v>184085</v>
      </c>
      <c r="M2916">
        <v>153024.06</v>
      </c>
      <c r="N2916">
        <v>31060.94</v>
      </c>
      <c r="O2916" t="s">
        <v>78</v>
      </c>
      <c r="P2916" t="s">
        <v>85</v>
      </c>
    </row>
    <row r="2917" spans="1:16" x14ac:dyDescent="0.25">
      <c r="A2917">
        <v>2916</v>
      </c>
      <c r="B2917" s="1">
        <v>45727</v>
      </c>
      <c r="C2917" t="s">
        <v>23</v>
      </c>
      <c r="D2917" t="s">
        <v>27</v>
      </c>
      <c r="E2917" t="s">
        <v>32</v>
      </c>
      <c r="F2917" t="s">
        <v>39</v>
      </c>
      <c r="G2917" t="s">
        <v>70</v>
      </c>
      <c r="H2917" t="s">
        <v>73</v>
      </c>
      <c r="I2917">
        <v>8</v>
      </c>
      <c r="J2917">
        <v>9581</v>
      </c>
      <c r="K2917">
        <v>0.05</v>
      </c>
      <c r="L2917">
        <v>72815.600000000006</v>
      </c>
      <c r="M2917">
        <v>44436.34</v>
      </c>
      <c r="N2917">
        <v>28379.26</v>
      </c>
      <c r="O2917" t="s">
        <v>78</v>
      </c>
      <c r="P2917" t="s">
        <v>85</v>
      </c>
    </row>
    <row r="2918" spans="1:16" x14ac:dyDescent="0.25">
      <c r="A2918">
        <v>2917</v>
      </c>
      <c r="B2918" s="1">
        <v>45913</v>
      </c>
      <c r="C2918" t="s">
        <v>16</v>
      </c>
      <c r="D2918" t="s">
        <v>24</v>
      </c>
      <c r="E2918" t="s">
        <v>32</v>
      </c>
      <c r="F2918" t="s">
        <v>48</v>
      </c>
      <c r="G2918" t="s">
        <v>72</v>
      </c>
      <c r="H2918" t="s">
        <v>74</v>
      </c>
      <c r="I2918">
        <v>6</v>
      </c>
      <c r="J2918">
        <v>6062</v>
      </c>
      <c r="K2918">
        <v>0.05</v>
      </c>
      <c r="L2918">
        <v>34553.4</v>
      </c>
      <c r="M2918">
        <v>25465.03</v>
      </c>
      <c r="N2918">
        <v>9088.3700000000008</v>
      </c>
      <c r="O2918" t="s">
        <v>76</v>
      </c>
      <c r="P2918" t="s">
        <v>86</v>
      </c>
    </row>
    <row r="2919" spans="1:16" x14ac:dyDescent="0.25">
      <c r="A2919">
        <v>2918</v>
      </c>
      <c r="B2919" s="1">
        <v>45658</v>
      </c>
      <c r="C2919" t="s">
        <v>21</v>
      </c>
      <c r="D2919" t="s">
        <v>24</v>
      </c>
      <c r="E2919" t="s">
        <v>32</v>
      </c>
      <c r="F2919" t="s">
        <v>62</v>
      </c>
      <c r="G2919" t="s">
        <v>72</v>
      </c>
      <c r="H2919" t="s">
        <v>75</v>
      </c>
      <c r="I2919">
        <v>3</v>
      </c>
      <c r="J2919">
        <v>10601</v>
      </c>
      <c r="K2919">
        <v>0.15</v>
      </c>
      <c r="L2919">
        <v>27032.55</v>
      </c>
      <c r="M2919">
        <v>18199.400000000001</v>
      </c>
      <c r="N2919">
        <v>8833.15</v>
      </c>
      <c r="O2919" t="s">
        <v>80</v>
      </c>
      <c r="P2919" t="s">
        <v>84</v>
      </c>
    </row>
    <row r="2920" spans="1:16" x14ac:dyDescent="0.25">
      <c r="A2920">
        <v>2919</v>
      </c>
      <c r="B2920" s="1">
        <v>45941</v>
      </c>
      <c r="C2920" t="s">
        <v>18</v>
      </c>
      <c r="D2920" t="s">
        <v>26</v>
      </c>
      <c r="E2920" t="s">
        <v>32</v>
      </c>
      <c r="F2920" t="s">
        <v>48</v>
      </c>
      <c r="G2920" t="s">
        <v>71</v>
      </c>
      <c r="H2920" t="s">
        <v>75</v>
      </c>
      <c r="I2920">
        <v>7</v>
      </c>
      <c r="J2920">
        <v>20922</v>
      </c>
      <c r="K2920">
        <v>0.1</v>
      </c>
      <c r="L2920">
        <v>131808.6</v>
      </c>
      <c r="M2920">
        <v>89398.14</v>
      </c>
      <c r="N2920">
        <v>42410.46</v>
      </c>
      <c r="O2920" t="s">
        <v>78</v>
      </c>
      <c r="P2920" t="s">
        <v>86</v>
      </c>
    </row>
    <row r="2921" spans="1:16" x14ac:dyDescent="0.25">
      <c r="A2921">
        <v>2920</v>
      </c>
      <c r="B2921" s="1">
        <v>45707</v>
      </c>
      <c r="C2921" t="s">
        <v>19</v>
      </c>
      <c r="D2921" t="s">
        <v>26</v>
      </c>
      <c r="E2921" t="s">
        <v>33</v>
      </c>
      <c r="F2921" t="s">
        <v>59</v>
      </c>
      <c r="G2921" t="s">
        <v>72</v>
      </c>
      <c r="H2921" t="s">
        <v>75</v>
      </c>
      <c r="I2921">
        <v>1</v>
      </c>
      <c r="J2921">
        <v>16899</v>
      </c>
      <c r="K2921">
        <v>0.05</v>
      </c>
      <c r="L2921">
        <v>16054.05</v>
      </c>
      <c r="M2921">
        <v>13250.96</v>
      </c>
      <c r="N2921">
        <v>2803.09</v>
      </c>
      <c r="O2921" t="s">
        <v>80</v>
      </c>
      <c r="P2921" t="s">
        <v>81</v>
      </c>
    </row>
    <row r="2922" spans="1:16" x14ac:dyDescent="0.25">
      <c r="A2922">
        <v>2921</v>
      </c>
      <c r="B2922" s="1">
        <v>45722</v>
      </c>
      <c r="C2922" t="s">
        <v>19</v>
      </c>
      <c r="D2922" t="s">
        <v>26</v>
      </c>
      <c r="E2922" t="s">
        <v>33</v>
      </c>
      <c r="F2922" t="s">
        <v>59</v>
      </c>
      <c r="G2922" t="s">
        <v>72</v>
      </c>
      <c r="H2922" t="s">
        <v>73</v>
      </c>
      <c r="I2922">
        <v>7</v>
      </c>
      <c r="J2922">
        <v>8096</v>
      </c>
      <c r="K2922">
        <v>0.05</v>
      </c>
      <c r="L2922">
        <v>53838.400000000001</v>
      </c>
      <c r="M2922">
        <v>45188.31</v>
      </c>
      <c r="N2922">
        <v>8650.09</v>
      </c>
      <c r="O2922" t="s">
        <v>77</v>
      </c>
      <c r="P2922" t="s">
        <v>86</v>
      </c>
    </row>
    <row r="2923" spans="1:16" x14ac:dyDescent="0.25">
      <c r="A2923">
        <v>2922</v>
      </c>
      <c r="B2923" s="1">
        <v>45758</v>
      </c>
      <c r="C2923" t="s">
        <v>19</v>
      </c>
      <c r="D2923" t="s">
        <v>26</v>
      </c>
      <c r="E2923" t="s">
        <v>32</v>
      </c>
      <c r="F2923" t="s">
        <v>39</v>
      </c>
      <c r="G2923" t="s">
        <v>71</v>
      </c>
      <c r="H2923" t="s">
        <v>74</v>
      </c>
      <c r="I2923">
        <v>6</v>
      </c>
      <c r="J2923">
        <v>24455</v>
      </c>
      <c r="K2923">
        <v>0.1</v>
      </c>
      <c r="L2923">
        <v>132057</v>
      </c>
      <c r="M2923">
        <v>75722.289999999994</v>
      </c>
      <c r="N2923">
        <v>56334.71</v>
      </c>
      <c r="O2923" t="s">
        <v>80</v>
      </c>
      <c r="P2923" t="s">
        <v>85</v>
      </c>
    </row>
    <row r="2924" spans="1:16" x14ac:dyDescent="0.25">
      <c r="A2924">
        <v>2923</v>
      </c>
      <c r="B2924" s="1">
        <v>45977</v>
      </c>
      <c r="C2924" t="s">
        <v>21</v>
      </c>
      <c r="D2924" t="s">
        <v>24</v>
      </c>
      <c r="E2924" t="s">
        <v>29</v>
      </c>
      <c r="F2924" t="s">
        <v>36</v>
      </c>
      <c r="G2924" t="s">
        <v>70</v>
      </c>
      <c r="H2924" t="s">
        <v>75</v>
      </c>
      <c r="I2924">
        <v>7</v>
      </c>
      <c r="J2924">
        <v>9586</v>
      </c>
      <c r="K2924">
        <v>0</v>
      </c>
      <c r="L2924">
        <v>67102</v>
      </c>
      <c r="M2924">
        <v>42688.81</v>
      </c>
      <c r="N2924">
        <v>24413.19</v>
      </c>
      <c r="O2924" t="s">
        <v>76</v>
      </c>
      <c r="P2924" t="s">
        <v>87</v>
      </c>
    </row>
    <row r="2925" spans="1:16" x14ac:dyDescent="0.25">
      <c r="A2925">
        <v>2924</v>
      </c>
      <c r="B2925" s="1">
        <v>45837</v>
      </c>
      <c r="C2925" t="s">
        <v>16</v>
      </c>
      <c r="D2925" t="s">
        <v>24</v>
      </c>
      <c r="E2925" t="s">
        <v>32</v>
      </c>
      <c r="F2925" t="s">
        <v>48</v>
      </c>
      <c r="G2925" t="s">
        <v>72</v>
      </c>
      <c r="H2925" t="s">
        <v>75</v>
      </c>
      <c r="I2925">
        <v>5</v>
      </c>
      <c r="J2925">
        <v>10028</v>
      </c>
      <c r="K2925">
        <v>0.15</v>
      </c>
      <c r="L2925">
        <v>42619</v>
      </c>
      <c r="M2925">
        <v>24930.45</v>
      </c>
      <c r="N2925">
        <v>17688.55</v>
      </c>
      <c r="O2925" t="s">
        <v>80</v>
      </c>
      <c r="P2925" t="s">
        <v>88</v>
      </c>
    </row>
    <row r="2926" spans="1:16" x14ac:dyDescent="0.25">
      <c r="A2926">
        <v>2925</v>
      </c>
      <c r="B2926" s="1">
        <v>45901</v>
      </c>
      <c r="C2926" t="s">
        <v>17</v>
      </c>
      <c r="D2926" t="s">
        <v>25</v>
      </c>
      <c r="E2926" t="s">
        <v>28</v>
      </c>
      <c r="F2926" t="s">
        <v>58</v>
      </c>
      <c r="G2926" t="s">
        <v>71</v>
      </c>
      <c r="H2926" t="s">
        <v>75</v>
      </c>
      <c r="I2926">
        <v>6</v>
      </c>
      <c r="J2926">
        <v>440</v>
      </c>
      <c r="K2926">
        <v>0.05</v>
      </c>
      <c r="L2926">
        <v>2508</v>
      </c>
      <c r="M2926">
        <v>1440.12</v>
      </c>
      <c r="N2926">
        <v>1067.8800000000001</v>
      </c>
      <c r="O2926" t="s">
        <v>78</v>
      </c>
      <c r="P2926" t="s">
        <v>81</v>
      </c>
    </row>
    <row r="2927" spans="1:16" x14ac:dyDescent="0.25">
      <c r="A2927">
        <v>2926</v>
      </c>
      <c r="B2927" s="1">
        <v>45728</v>
      </c>
      <c r="C2927" t="s">
        <v>16</v>
      </c>
      <c r="D2927" t="s">
        <v>24</v>
      </c>
      <c r="E2927" t="s">
        <v>30</v>
      </c>
      <c r="F2927" t="s">
        <v>56</v>
      </c>
      <c r="G2927" t="s">
        <v>70</v>
      </c>
      <c r="H2927" t="s">
        <v>73</v>
      </c>
      <c r="I2927">
        <v>1</v>
      </c>
      <c r="J2927">
        <v>7670</v>
      </c>
      <c r="K2927">
        <v>0.1</v>
      </c>
      <c r="L2927">
        <v>6903</v>
      </c>
      <c r="M2927">
        <v>4069.3</v>
      </c>
      <c r="N2927">
        <v>2833.7</v>
      </c>
      <c r="O2927" t="s">
        <v>77</v>
      </c>
      <c r="P2927" t="s">
        <v>87</v>
      </c>
    </row>
    <row r="2928" spans="1:16" x14ac:dyDescent="0.25">
      <c r="A2928">
        <v>2927</v>
      </c>
      <c r="B2928" s="1">
        <v>45794</v>
      </c>
      <c r="C2928" t="s">
        <v>21</v>
      </c>
      <c r="D2928" t="s">
        <v>24</v>
      </c>
      <c r="E2928" t="s">
        <v>28</v>
      </c>
      <c r="F2928" t="s">
        <v>54</v>
      </c>
      <c r="G2928" t="s">
        <v>71</v>
      </c>
      <c r="H2928" t="s">
        <v>73</v>
      </c>
      <c r="I2928">
        <v>5</v>
      </c>
      <c r="J2928">
        <v>344</v>
      </c>
      <c r="K2928">
        <v>0</v>
      </c>
      <c r="L2928">
        <v>1720</v>
      </c>
      <c r="M2928">
        <v>1318.58</v>
      </c>
      <c r="N2928">
        <v>401.42</v>
      </c>
      <c r="O2928" t="s">
        <v>76</v>
      </c>
      <c r="P2928" t="s">
        <v>88</v>
      </c>
    </row>
    <row r="2929" spans="1:16" x14ac:dyDescent="0.25">
      <c r="A2929">
        <v>2928</v>
      </c>
      <c r="B2929" s="1">
        <v>45848</v>
      </c>
      <c r="C2929" t="s">
        <v>18</v>
      </c>
      <c r="D2929" t="s">
        <v>26</v>
      </c>
      <c r="E2929" t="s">
        <v>32</v>
      </c>
      <c r="F2929" t="s">
        <v>62</v>
      </c>
      <c r="G2929" t="s">
        <v>72</v>
      </c>
      <c r="H2929" t="s">
        <v>73</v>
      </c>
      <c r="I2929">
        <v>3</v>
      </c>
      <c r="J2929">
        <v>20977</v>
      </c>
      <c r="K2929">
        <v>0</v>
      </c>
      <c r="L2929">
        <v>62931</v>
      </c>
      <c r="M2929">
        <v>39979.599999999999</v>
      </c>
      <c r="N2929">
        <v>22951.4</v>
      </c>
      <c r="O2929" t="s">
        <v>76</v>
      </c>
      <c r="P2929" t="s">
        <v>86</v>
      </c>
    </row>
    <row r="2930" spans="1:16" x14ac:dyDescent="0.25">
      <c r="A2930">
        <v>2929</v>
      </c>
      <c r="B2930" s="1">
        <v>45948</v>
      </c>
      <c r="C2930" t="s">
        <v>17</v>
      </c>
      <c r="D2930" t="s">
        <v>25</v>
      </c>
      <c r="E2930" t="s">
        <v>34</v>
      </c>
      <c r="F2930" t="s">
        <v>68</v>
      </c>
      <c r="G2930" t="s">
        <v>71</v>
      </c>
      <c r="H2930" t="s">
        <v>75</v>
      </c>
      <c r="I2930">
        <v>1</v>
      </c>
      <c r="J2930">
        <v>599</v>
      </c>
      <c r="K2930">
        <v>0.2</v>
      </c>
      <c r="L2930">
        <v>479.2</v>
      </c>
      <c r="M2930">
        <v>280.83</v>
      </c>
      <c r="N2930">
        <v>198.37</v>
      </c>
      <c r="O2930" t="s">
        <v>79</v>
      </c>
      <c r="P2930" t="s">
        <v>88</v>
      </c>
    </row>
    <row r="2931" spans="1:16" x14ac:dyDescent="0.25">
      <c r="A2931">
        <v>2930</v>
      </c>
      <c r="B2931" s="1">
        <v>45892</v>
      </c>
      <c r="C2931" t="s">
        <v>18</v>
      </c>
      <c r="D2931" t="s">
        <v>26</v>
      </c>
      <c r="E2931" t="s">
        <v>33</v>
      </c>
      <c r="F2931" t="s">
        <v>59</v>
      </c>
      <c r="G2931" t="s">
        <v>71</v>
      </c>
      <c r="H2931" t="s">
        <v>73</v>
      </c>
      <c r="I2931">
        <v>2</v>
      </c>
      <c r="J2931">
        <v>41178</v>
      </c>
      <c r="K2931">
        <v>0.1</v>
      </c>
      <c r="L2931">
        <v>74120.399999999994</v>
      </c>
      <c r="M2931">
        <v>64865.19</v>
      </c>
      <c r="N2931">
        <v>9255.2099999999991</v>
      </c>
      <c r="O2931" t="s">
        <v>79</v>
      </c>
      <c r="P2931" t="s">
        <v>83</v>
      </c>
    </row>
    <row r="2932" spans="1:16" x14ac:dyDescent="0.25">
      <c r="A2932">
        <v>2931</v>
      </c>
      <c r="B2932" s="1">
        <v>45708</v>
      </c>
      <c r="C2932" t="s">
        <v>23</v>
      </c>
      <c r="D2932" t="s">
        <v>27</v>
      </c>
      <c r="E2932" t="s">
        <v>28</v>
      </c>
      <c r="F2932" t="s">
        <v>63</v>
      </c>
      <c r="G2932" t="s">
        <v>72</v>
      </c>
      <c r="H2932" t="s">
        <v>74</v>
      </c>
      <c r="I2932">
        <v>6</v>
      </c>
      <c r="J2932">
        <v>1832</v>
      </c>
      <c r="K2932">
        <v>0</v>
      </c>
      <c r="L2932">
        <v>10992</v>
      </c>
      <c r="M2932">
        <v>6389.44</v>
      </c>
      <c r="N2932">
        <v>4602.5600000000004</v>
      </c>
      <c r="O2932" t="s">
        <v>76</v>
      </c>
      <c r="P2932" t="s">
        <v>85</v>
      </c>
    </row>
    <row r="2933" spans="1:16" x14ac:dyDescent="0.25">
      <c r="A2933">
        <v>2932</v>
      </c>
      <c r="B2933" s="1">
        <v>45983</v>
      </c>
      <c r="C2933" t="s">
        <v>19</v>
      </c>
      <c r="D2933" t="s">
        <v>26</v>
      </c>
      <c r="E2933" t="s">
        <v>31</v>
      </c>
      <c r="F2933" t="s">
        <v>47</v>
      </c>
      <c r="G2933" t="s">
        <v>72</v>
      </c>
      <c r="H2933" t="s">
        <v>75</v>
      </c>
      <c r="I2933">
        <v>1</v>
      </c>
      <c r="J2933">
        <v>1025</v>
      </c>
      <c r="K2933">
        <v>0.1</v>
      </c>
      <c r="L2933">
        <v>922.5</v>
      </c>
      <c r="M2933">
        <v>595.07000000000005</v>
      </c>
      <c r="N2933">
        <v>327.43</v>
      </c>
      <c r="O2933" t="s">
        <v>77</v>
      </c>
      <c r="P2933" t="s">
        <v>88</v>
      </c>
    </row>
    <row r="2934" spans="1:16" x14ac:dyDescent="0.25">
      <c r="A2934">
        <v>2933</v>
      </c>
      <c r="B2934" s="1">
        <v>45916</v>
      </c>
      <c r="C2934" t="s">
        <v>21</v>
      </c>
      <c r="D2934" t="s">
        <v>24</v>
      </c>
      <c r="E2934" t="s">
        <v>31</v>
      </c>
      <c r="F2934" t="s">
        <v>47</v>
      </c>
      <c r="G2934" t="s">
        <v>72</v>
      </c>
      <c r="H2934" t="s">
        <v>75</v>
      </c>
      <c r="I2934">
        <v>1</v>
      </c>
      <c r="J2934">
        <v>709</v>
      </c>
      <c r="K2934">
        <v>0.2</v>
      </c>
      <c r="L2934">
        <v>567.20000000000005</v>
      </c>
      <c r="M2934">
        <v>322.32</v>
      </c>
      <c r="N2934">
        <v>244.88</v>
      </c>
      <c r="O2934" t="s">
        <v>78</v>
      </c>
      <c r="P2934" t="s">
        <v>83</v>
      </c>
    </row>
    <row r="2935" spans="1:16" x14ac:dyDescent="0.25">
      <c r="A2935">
        <v>2934</v>
      </c>
      <c r="B2935" s="1">
        <v>45941</v>
      </c>
      <c r="C2935" t="s">
        <v>21</v>
      </c>
      <c r="D2935" t="s">
        <v>24</v>
      </c>
      <c r="E2935" t="s">
        <v>29</v>
      </c>
      <c r="F2935" t="s">
        <v>53</v>
      </c>
      <c r="G2935" t="s">
        <v>71</v>
      </c>
      <c r="H2935" t="s">
        <v>74</v>
      </c>
      <c r="I2935">
        <v>7</v>
      </c>
      <c r="J2935">
        <v>9933</v>
      </c>
      <c r="K2935">
        <v>0</v>
      </c>
      <c r="L2935">
        <v>69531</v>
      </c>
      <c r="M2935">
        <v>47023.93</v>
      </c>
      <c r="N2935">
        <v>22507.07</v>
      </c>
      <c r="O2935" t="s">
        <v>80</v>
      </c>
      <c r="P2935" t="s">
        <v>84</v>
      </c>
    </row>
    <row r="2936" spans="1:16" x14ac:dyDescent="0.25">
      <c r="A2936">
        <v>2935</v>
      </c>
      <c r="B2936" s="1">
        <v>45734</v>
      </c>
      <c r="C2936" t="s">
        <v>20</v>
      </c>
      <c r="D2936" t="s">
        <v>26</v>
      </c>
      <c r="E2936" t="s">
        <v>28</v>
      </c>
      <c r="F2936" t="s">
        <v>58</v>
      </c>
      <c r="G2936" t="s">
        <v>70</v>
      </c>
      <c r="H2936" t="s">
        <v>74</v>
      </c>
      <c r="I2936">
        <v>8</v>
      </c>
      <c r="J2936">
        <v>1109</v>
      </c>
      <c r="K2936">
        <v>0</v>
      </c>
      <c r="L2936">
        <v>8872</v>
      </c>
      <c r="M2936">
        <v>7611.5</v>
      </c>
      <c r="N2936">
        <v>1260.5</v>
      </c>
      <c r="O2936" t="s">
        <v>80</v>
      </c>
      <c r="P2936" t="s">
        <v>87</v>
      </c>
    </row>
    <row r="2937" spans="1:16" x14ac:dyDescent="0.25">
      <c r="A2937">
        <v>2936</v>
      </c>
      <c r="B2937" s="1">
        <v>45830</v>
      </c>
      <c r="C2937" t="s">
        <v>20</v>
      </c>
      <c r="D2937" t="s">
        <v>26</v>
      </c>
      <c r="E2937" t="s">
        <v>29</v>
      </c>
      <c r="F2937" t="s">
        <v>45</v>
      </c>
      <c r="G2937" t="s">
        <v>70</v>
      </c>
      <c r="H2937" t="s">
        <v>75</v>
      </c>
      <c r="I2937">
        <v>4</v>
      </c>
      <c r="J2937">
        <v>2777</v>
      </c>
      <c r="K2937">
        <v>0.1</v>
      </c>
      <c r="L2937">
        <v>9997.2000000000007</v>
      </c>
      <c r="M2937">
        <v>6359.88</v>
      </c>
      <c r="N2937">
        <v>3637.32</v>
      </c>
      <c r="O2937" t="s">
        <v>77</v>
      </c>
      <c r="P2937" t="s">
        <v>85</v>
      </c>
    </row>
    <row r="2938" spans="1:16" x14ac:dyDescent="0.25">
      <c r="A2938">
        <v>2937</v>
      </c>
      <c r="B2938" s="1">
        <v>45795</v>
      </c>
      <c r="C2938" t="s">
        <v>17</v>
      </c>
      <c r="D2938" t="s">
        <v>25</v>
      </c>
      <c r="E2938" t="s">
        <v>32</v>
      </c>
      <c r="F2938" t="s">
        <v>49</v>
      </c>
      <c r="G2938" t="s">
        <v>71</v>
      </c>
      <c r="H2938" t="s">
        <v>75</v>
      </c>
      <c r="I2938">
        <v>6</v>
      </c>
      <c r="J2938">
        <v>9248</v>
      </c>
      <c r="K2938">
        <v>0.1</v>
      </c>
      <c r="L2938">
        <v>49939.199999999997</v>
      </c>
      <c r="M2938">
        <v>39383.599999999999</v>
      </c>
      <c r="N2938">
        <v>10555.6</v>
      </c>
      <c r="O2938" t="s">
        <v>79</v>
      </c>
      <c r="P2938" t="s">
        <v>86</v>
      </c>
    </row>
    <row r="2939" spans="1:16" x14ac:dyDescent="0.25">
      <c r="A2939">
        <v>2938</v>
      </c>
      <c r="B2939" s="1">
        <v>45666</v>
      </c>
      <c r="C2939" t="s">
        <v>21</v>
      </c>
      <c r="D2939" t="s">
        <v>24</v>
      </c>
      <c r="E2939" t="s">
        <v>34</v>
      </c>
      <c r="F2939" t="s">
        <v>68</v>
      </c>
      <c r="G2939" t="s">
        <v>70</v>
      </c>
      <c r="H2939" t="s">
        <v>73</v>
      </c>
      <c r="I2939">
        <v>1</v>
      </c>
      <c r="J2939">
        <v>819</v>
      </c>
      <c r="K2939">
        <v>0.05</v>
      </c>
      <c r="L2939">
        <v>778.05</v>
      </c>
      <c r="M2939">
        <v>504.88</v>
      </c>
      <c r="N2939">
        <v>273.17</v>
      </c>
      <c r="O2939" t="s">
        <v>80</v>
      </c>
      <c r="P2939" t="s">
        <v>84</v>
      </c>
    </row>
    <row r="2940" spans="1:16" x14ac:dyDescent="0.25">
      <c r="A2940">
        <v>2939</v>
      </c>
      <c r="B2940" s="1">
        <v>45658</v>
      </c>
      <c r="C2940" t="s">
        <v>23</v>
      </c>
      <c r="D2940" t="s">
        <v>27</v>
      </c>
      <c r="E2940" t="s">
        <v>30</v>
      </c>
      <c r="F2940" t="s">
        <v>44</v>
      </c>
      <c r="G2940" t="s">
        <v>70</v>
      </c>
      <c r="H2940" t="s">
        <v>75</v>
      </c>
      <c r="I2940">
        <v>7</v>
      </c>
      <c r="J2940">
        <v>55525</v>
      </c>
      <c r="K2940">
        <v>0.15</v>
      </c>
      <c r="L2940">
        <v>330373.75</v>
      </c>
      <c r="M2940">
        <v>232240.7</v>
      </c>
      <c r="N2940">
        <v>98133.05</v>
      </c>
      <c r="O2940" t="s">
        <v>80</v>
      </c>
      <c r="P2940" t="s">
        <v>82</v>
      </c>
    </row>
    <row r="2941" spans="1:16" x14ac:dyDescent="0.25">
      <c r="A2941">
        <v>2940</v>
      </c>
      <c r="B2941" s="1">
        <v>45962</v>
      </c>
      <c r="C2941" t="s">
        <v>18</v>
      </c>
      <c r="D2941" t="s">
        <v>26</v>
      </c>
      <c r="E2941" t="s">
        <v>28</v>
      </c>
      <c r="F2941" t="s">
        <v>58</v>
      </c>
      <c r="G2941" t="s">
        <v>70</v>
      </c>
      <c r="H2941" t="s">
        <v>75</v>
      </c>
      <c r="I2941">
        <v>1</v>
      </c>
      <c r="J2941">
        <v>1164</v>
      </c>
      <c r="K2941">
        <v>0.05</v>
      </c>
      <c r="L2941">
        <v>1105.8</v>
      </c>
      <c r="M2941">
        <v>897.17</v>
      </c>
      <c r="N2941">
        <v>208.63</v>
      </c>
      <c r="O2941" t="s">
        <v>78</v>
      </c>
      <c r="P2941" t="s">
        <v>88</v>
      </c>
    </row>
    <row r="2942" spans="1:16" x14ac:dyDescent="0.25">
      <c r="A2942">
        <v>2941</v>
      </c>
      <c r="B2942" s="1">
        <v>45725</v>
      </c>
      <c r="C2942" t="s">
        <v>22</v>
      </c>
      <c r="D2942" t="s">
        <v>24</v>
      </c>
      <c r="E2942" t="s">
        <v>33</v>
      </c>
      <c r="F2942" t="s">
        <v>60</v>
      </c>
      <c r="G2942" t="s">
        <v>70</v>
      </c>
      <c r="H2942" t="s">
        <v>73</v>
      </c>
      <c r="I2942">
        <v>3</v>
      </c>
      <c r="J2942">
        <v>44791</v>
      </c>
      <c r="K2942">
        <v>0</v>
      </c>
      <c r="L2942">
        <v>134373</v>
      </c>
      <c r="M2942">
        <v>105184.01</v>
      </c>
      <c r="N2942">
        <v>29188.99</v>
      </c>
      <c r="O2942" t="s">
        <v>80</v>
      </c>
      <c r="P2942" t="s">
        <v>82</v>
      </c>
    </row>
    <row r="2943" spans="1:16" x14ac:dyDescent="0.25">
      <c r="A2943">
        <v>2942</v>
      </c>
      <c r="B2943" s="1">
        <v>45852</v>
      </c>
      <c r="C2943" t="s">
        <v>21</v>
      </c>
      <c r="D2943" t="s">
        <v>24</v>
      </c>
      <c r="E2943" t="s">
        <v>31</v>
      </c>
      <c r="F2943" t="s">
        <v>67</v>
      </c>
      <c r="G2943" t="s">
        <v>72</v>
      </c>
      <c r="H2943" t="s">
        <v>74</v>
      </c>
      <c r="I2943">
        <v>4</v>
      </c>
      <c r="J2943">
        <v>729</v>
      </c>
      <c r="K2943">
        <v>0.15</v>
      </c>
      <c r="L2943">
        <v>2478.6</v>
      </c>
      <c r="M2943">
        <v>2156.5700000000002</v>
      </c>
      <c r="N2943">
        <v>322.02999999999997</v>
      </c>
      <c r="O2943" t="s">
        <v>78</v>
      </c>
      <c r="P2943" t="s">
        <v>84</v>
      </c>
    </row>
    <row r="2944" spans="1:16" x14ac:dyDescent="0.25">
      <c r="A2944">
        <v>2943</v>
      </c>
      <c r="B2944" s="1">
        <v>45915</v>
      </c>
      <c r="C2944" t="s">
        <v>22</v>
      </c>
      <c r="D2944" t="s">
        <v>24</v>
      </c>
      <c r="E2944" t="s">
        <v>32</v>
      </c>
      <c r="F2944" t="s">
        <v>62</v>
      </c>
      <c r="G2944" t="s">
        <v>70</v>
      </c>
      <c r="H2944" t="s">
        <v>73</v>
      </c>
      <c r="I2944">
        <v>4</v>
      </c>
      <c r="J2944">
        <v>14952</v>
      </c>
      <c r="K2944">
        <v>0.1</v>
      </c>
      <c r="L2944">
        <v>53827.199999999997</v>
      </c>
      <c r="M2944">
        <v>31097.94</v>
      </c>
      <c r="N2944">
        <v>22729.26</v>
      </c>
      <c r="O2944" t="s">
        <v>77</v>
      </c>
      <c r="P2944" t="s">
        <v>85</v>
      </c>
    </row>
    <row r="2945" spans="1:16" x14ac:dyDescent="0.25">
      <c r="A2945">
        <v>2944</v>
      </c>
      <c r="B2945" s="1">
        <v>45794</v>
      </c>
      <c r="C2945" t="s">
        <v>20</v>
      </c>
      <c r="D2945" t="s">
        <v>26</v>
      </c>
      <c r="E2945" t="s">
        <v>34</v>
      </c>
      <c r="F2945" t="s">
        <v>51</v>
      </c>
      <c r="G2945" t="s">
        <v>70</v>
      </c>
      <c r="H2945" t="s">
        <v>74</v>
      </c>
      <c r="I2945">
        <v>5</v>
      </c>
      <c r="J2945">
        <v>929</v>
      </c>
      <c r="K2945">
        <v>0.05</v>
      </c>
      <c r="L2945">
        <v>4412.75</v>
      </c>
      <c r="M2945">
        <v>3812.59</v>
      </c>
      <c r="N2945">
        <v>600.16</v>
      </c>
      <c r="O2945" t="s">
        <v>79</v>
      </c>
      <c r="P2945" t="s">
        <v>83</v>
      </c>
    </row>
    <row r="2946" spans="1:16" x14ac:dyDescent="0.25">
      <c r="A2946">
        <v>2945</v>
      </c>
      <c r="B2946" s="1">
        <v>45925</v>
      </c>
      <c r="C2946" t="s">
        <v>20</v>
      </c>
      <c r="D2946" t="s">
        <v>26</v>
      </c>
      <c r="E2946" t="s">
        <v>28</v>
      </c>
      <c r="F2946" t="s">
        <v>35</v>
      </c>
      <c r="G2946" t="s">
        <v>72</v>
      </c>
      <c r="H2946" t="s">
        <v>73</v>
      </c>
      <c r="I2946">
        <v>8</v>
      </c>
      <c r="J2946">
        <v>1142</v>
      </c>
      <c r="K2946">
        <v>0.15</v>
      </c>
      <c r="L2946">
        <v>7765.6</v>
      </c>
      <c r="M2946">
        <v>6607.11</v>
      </c>
      <c r="N2946">
        <v>1158.49</v>
      </c>
      <c r="O2946" t="s">
        <v>78</v>
      </c>
      <c r="P2946" t="s">
        <v>84</v>
      </c>
    </row>
    <row r="2947" spans="1:16" x14ac:dyDescent="0.25">
      <c r="A2947">
        <v>2946</v>
      </c>
      <c r="B2947" s="1">
        <v>45850</v>
      </c>
      <c r="C2947" t="s">
        <v>19</v>
      </c>
      <c r="D2947" t="s">
        <v>26</v>
      </c>
      <c r="E2947" t="s">
        <v>28</v>
      </c>
      <c r="F2947" t="s">
        <v>54</v>
      </c>
      <c r="G2947" t="s">
        <v>72</v>
      </c>
      <c r="H2947" t="s">
        <v>74</v>
      </c>
      <c r="I2947">
        <v>2</v>
      </c>
      <c r="J2947">
        <v>492</v>
      </c>
      <c r="K2947">
        <v>0.05</v>
      </c>
      <c r="L2947">
        <v>934.8</v>
      </c>
      <c r="M2947">
        <v>599.69000000000005</v>
      </c>
      <c r="N2947">
        <v>335.11</v>
      </c>
      <c r="O2947" t="s">
        <v>77</v>
      </c>
      <c r="P2947" t="s">
        <v>87</v>
      </c>
    </row>
    <row r="2948" spans="1:16" x14ac:dyDescent="0.25">
      <c r="A2948">
        <v>2947</v>
      </c>
      <c r="B2948" s="1">
        <v>45803</v>
      </c>
      <c r="C2948" t="s">
        <v>19</v>
      </c>
      <c r="D2948" t="s">
        <v>26</v>
      </c>
      <c r="E2948" t="s">
        <v>34</v>
      </c>
      <c r="F2948" t="s">
        <v>65</v>
      </c>
      <c r="G2948" t="s">
        <v>71</v>
      </c>
      <c r="H2948" t="s">
        <v>73</v>
      </c>
      <c r="I2948">
        <v>8</v>
      </c>
      <c r="J2948">
        <v>5965</v>
      </c>
      <c r="K2948">
        <v>0.15</v>
      </c>
      <c r="L2948">
        <v>40562</v>
      </c>
      <c r="M2948">
        <v>24601.64</v>
      </c>
      <c r="N2948">
        <v>15960.36</v>
      </c>
      <c r="O2948" t="s">
        <v>80</v>
      </c>
      <c r="P2948" t="s">
        <v>81</v>
      </c>
    </row>
    <row r="2949" spans="1:16" x14ac:dyDescent="0.25">
      <c r="A2949">
        <v>2948</v>
      </c>
      <c r="B2949" s="1">
        <v>45954</v>
      </c>
      <c r="C2949" t="s">
        <v>17</v>
      </c>
      <c r="D2949" t="s">
        <v>25</v>
      </c>
      <c r="E2949" t="s">
        <v>32</v>
      </c>
      <c r="F2949" t="s">
        <v>62</v>
      </c>
      <c r="G2949" t="s">
        <v>71</v>
      </c>
      <c r="H2949" t="s">
        <v>74</v>
      </c>
      <c r="I2949">
        <v>6</v>
      </c>
      <c r="J2949">
        <v>7749</v>
      </c>
      <c r="K2949">
        <v>0.1</v>
      </c>
      <c r="L2949">
        <v>41844.6</v>
      </c>
      <c r="M2949">
        <v>28766.79</v>
      </c>
      <c r="N2949">
        <v>13077.81</v>
      </c>
      <c r="O2949" t="s">
        <v>78</v>
      </c>
      <c r="P2949" t="s">
        <v>86</v>
      </c>
    </row>
    <row r="2950" spans="1:16" x14ac:dyDescent="0.25">
      <c r="A2950">
        <v>2949</v>
      </c>
      <c r="B2950" s="1">
        <v>45791</v>
      </c>
      <c r="C2950" t="s">
        <v>16</v>
      </c>
      <c r="D2950" t="s">
        <v>24</v>
      </c>
      <c r="E2950" t="s">
        <v>28</v>
      </c>
      <c r="F2950" t="s">
        <v>54</v>
      </c>
      <c r="G2950" t="s">
        <v>70</v>
      </c>
      <c r="H2950" t="s">
        <v>75</v>
      </c>
      <c r="I2950">
        <v>8</v>
      </c>
      <c r="J2950">
        <v>1930</v>
      </c>
      <c r="K2950">
        <v>0</v>
      </c>
      <c r="L2950">
        <v>15440</v>
      </c>
      <c r="M2950">
        <v>10400.719999999999</v>
      </c>
      <c r="N2950">
        <v>5039.28</v>
      </c>
      <c r="O2950" t="s">
        <v>79</v>
      </c>
      <c r="P2950" t="s">
        <v>86</v>
      </c>
    </row>
    <row r="2951" spans="1:16" x14ac:dyDescent="0.25">
      <c r="A2951">
        <v>2950</v>
      </c>
      <c r="B2951" s="1">
        <v>45747</v>
      </c>
      <c r="C2951" t="s">
        <v>20</v>
      </c>
      <c r="D2951" t="s">
        <v>26</v>
      </c>
      <c r="E2951" t="s">
        <v>34</v>
      </c>
      <c r="F2951" t="s">
        <v>55</v>
      </c>
      <c r="G2951" t="s">
        <v>70</v>
      </c>
      <c r="H2951" t="s">
        <v>75</v>
      </c>
      <c r="I2951">
        <v>4</v>
      </c>
      <c r="J2951">
        <v>3733</v>
      </c>
      <c r="K2951">
        <v>0.1</v>
      </c>
      <c r="L2951">
        <v>13438.8</v>
      </c>
      <c r="M2951">
        <v>7883.22</v>
      </c>
      <c r="N2951">
        <v>5555.58</v>
      </c>
      <c r="O2951" t="s">
        <v>78</v>
      </c>
      <c r="P2951" t="s">
        <v>81</v>
      </c>
    </row>
    <row r="2952" spans="1:16" x14ac:dyDescent="0.25">
      <c r="A2952">
        <v>2951</v>
      </c>
      <c r="B2952" s="1">
        <v>45938</v>
      </c>
      <c r="C2952" t="s">
        <v>16</v>
      </c>
      <c r="D2952" t="s">
        <v>24</v>
      </c>
      <c r="E2952" t="s">
        <v>28</v>
      </c>
      <c r="F2952" t="s">
        <v>58</v>
      </c>
      <c r="G2952" t="s">
        <v>70</v>
      </c>
      <c r="H2952" t="s">
        <v>75</v>
      </c>
      <c r="I2952">
        <v>6</v>
      </c>
      <c r="J2952">
        <v>289</v>
      </c>
      <c r="K2952">
        <v>0</v>
      </c>
      <c r="L2952">
        <v>1734</v>
      </c>
      <c r="M2952">
        <v>1167.71</v>
      </c>
      <c r="N2952">
        <v>566.29</v>
      </c>
      <c r="O2952" t="s">
        <v>76</v>
      </c>
      <c r="P2952" t="s">
        <v>84</v>
      </c>
    </row>
    <row r="2953" spans="1:16" x14ac:dyDescent="0.25">
      <c r="A2953">
        <v>2952</v>
      </c>
      <c r="B2953" s="1">
        <v>45664</v>
      </c>
      <c r="C2953" t="s">
        <v>20</v>
      </c>
      <c r="D2953" t="s">
        <v>26</v>
      </c>
      <c r="E2953" t="s">
        <v>34</v>
      </c>
      <c r="F2953" t="s">
        <v>43</v>
      </c>
      <c r="G2953" t="s">
        <v>70</v>
      </c>
      <c r="H2953" t="s">
        <v>73</v>
      </c>
      <c r="I2953">
        <v>6</v>
      </c>
      <c r="J2953">
        <v>740</v>
      </c>
      <c r="K2953">
        <v>0.1</v>
      </c>
      <c r="L2953">
        <v>3996</v>
      </c>
      <c r="M2953">
        <v>2296.31</v>
      </c>
      <c r="N2953">
        <v>1699.69</v>
      </c>
      <c r="O2953" t="s">
        <v>76</v>
      </c>
      <c r="P2953" t="s">
        <v>86</v>
      </c>
    </row>
    <row r="2954" spans="1:16" x14ac:dyDescent="0.25">
      <c r="A2954">
        <v>2953</v>
      </c>
      <c r="B2954" s="1">
        <v>45774</v>
      </c>
      <c r="C2954" t="s">
        <v>17</v>
      </c>
      <c r="D2954" t="s">
        <v>25</v>
      </c>
      <c r="E2954" t="s">
        <v>30</v>
      </c>
      <c r="F2954" t="s">
        <v>37</v>
      </c>
      <c r="G2954" t="s">
        <v>70</v>
      </c>
      <c r="H2954" t="s">
        <v>73</v>
      </c>
      <c r="I2954">
        <v>2</v>
      </c>
      <c r="J2954">
        <v>25959</v>
      </c>
      <c r="K2954">
        <v>0.05</v>
      </c>
      <c r="L2954">
        <v>49322.1</v>
      </c>
      <c r="M2954">
        <v>38912.29</v>
      </c>
      <c r="N2954">
        <v>10409.81</v>
      </c>
      <c r="O2954" t="s">
        <v>79</v>
      </c>
      <c r="P2954" t="s">
        <v>84</v>
      </c>
    </row>
    <row r="2955" spans="1:16" x14ac:dyDescent="0.25">
      <c r="A2955">
        <v>2954</v>
      </c>
      <c r="B2955" s="1">
        <v>45918</v>
      </c>
      <c r="C2955" t="s">
        <v>20</v>
      </c>
      <c r="D2955" t="s">
        <v>26</v>
      </c>
      <c r="E2955" t="s">
        <v>31</v>
      </c>
      <c r="F2955" t="s">
        <v>38</v>
      </c>
      <c r="G2955" t="s">
        <v>71</v>
      </c>
      <c r="H2955" t="s">
        <v>73</v>
      </c>
      <c r="I2955">
        <v>3</v>
      </c>
      <c r="J2955">
        <v>1440</v>
      </c>
      <c r="K2955">
        <v>0.1</v>
      </c>
      <c r="L2955">
        <v>3888</v>
      </c>
      <c r="M2955">
        <v>2296.89</v>
      </c>
      <c r="N2955">
        <v>1591.11</v>
      </c>
      <c r="O2955" t="s">
        <v>79</v>
      </c>
      <c r="P2955" t="s">
        <v>88</v>
      </c>
    </row>
    <row r="2956" spans="1:16" x14ac:dyDescent="0.25">
      <c r="A2956">
        <v>2955</v>
      </c>
      <c r="B2956" s="1">
        <v>46009</v>
      </c>
      <c r="C2956" t="s">
        <v>20</v>
      </c>
      <c r="D2956" t="s">
        <v>26</v>
      </c>
      <c r="E2956" t="s">
        <v>28</v>
      </c>
      <c r="F2956" t="s">
        <v>58</v>
      </c>
      <c r="G2956" t="s">
        <v>71</v>
      </c>
      <c r="H2956" t="s">
        <v>73</v>
      </c>
      <c r="I2956">
        <v>4</v>
      </c>
      <c r="J2956">
        <v>321</v>
      </c>
      <c r="K2956">
        <v>0</v>
      </c>
      <c r="L2956">
        <v>1284</v>
      </c>
      <c r="M2956">
        <v>1017.61</v>
      </c>
      <c r="N2956">
        <v>266.39</v>
      </c>
      <c r="O2956" t="s">
        <v>77</v>
      </c>
      <c r="P2956" t="s">
        <v>83</v>
      </c>
    </row>
    <row r="2957" spans="1:16" x14ac:dyDescent="0.25">
      <c r="A2957">
        <v>2956</v>
      </c>
      <c r="B2957" s="1">
        <v>45964</v>
      </c>
      <c r="C2957" t="s">
        <v>19</v>
      </c>
      <c r="D2957" t="s">
        <v>26</v>
      </c>
      <c r="E2957" t="s">
        <v>33</v>
      </c>
      <c r="F2957" t="s">
        <v>59</v>
      </c>
      <c r="G2957" t="s">
        <v>71</v>
      </c>
      <c r="H2957" t="s">
        <v>75</v>
      </c>
      <c r="I2957">
        <v>1</v>
      </c>
      <c r="J2957">
        <v>20286</v>
      </c>
      <c r="K2957">
        <v>0.05</v>
      </c>
      <c r="L2957">
        <v>19271.7</v>
      </c>
      <c r="M2957">
        <v>14720.01</v>
      </c>
      <c r="N2957">
        <v>4551.6899999999996</v>
      </c>
      <c r="O2957" t="s">
        <v>79</v>
      </c>
      <c r="P2957" t="s">
        <v>87</v>
      </c>
    </row>
    <row r="2958" spans="1:16" x14ac:dyDescent="0.25">
      <c r="A2958">
        <v>2957</v>
      </c>
      <c r="B2958" s="1">
        <v>45907</v>
      </c>
      <c r="C2958" t="s">
        <v>22</v>
      </c>
      <c r="D2958" t="s">
        <v>24</v>
      </c>
      <c r="E2958" t="s">
        <v>34</v>
      </c>
      <c r="F2958" t="s">
        <v>51</v>
      </c>
      <c r="G2958" t="s">
        <v>72</v>
      </c>
      <c r="H2958" t="s">
        <v>74</v>
      </c>
      <c r="I2958">
        <v>7</v>
      </c>
      <c r="J2958">
        <v>5083</v>
      </c>
      <c r="K2958">
        <v>0.2</v>
      </c>
      <c r="L2958">
        <v>28464.799999999999</v>
      </c>
      <c r="M2958">
        <v>23614.5</v>
      </c>
      <c r="N2958">
        <v>4850.3</v>
      </c>
      <c r="O2958" t="s">
        <v>80</v>
      </c>
      <c r="P2958" t="s">
        <v>86</v>
      </c>
    </row>
    <row r="2959" spans="1:16" x14ac:dyDescent="0.25">
      <c r="A2959">
        <v>2958</v>
      </c>
      <c r="B2959" s="1">
        <v>45900</v>
      </c>
      <c r="C2959" t="s">
        <v>21</v>
      </c>
      <c r="D2959" t="s">
        <v>24</v>
      </c>
      <c r="E2959" t="s">
        <v>28</v>
      </c>
      <c r="F2959" t="s">
        <v>63</v>
      </c>
      <c r="G2959" t="s">
        <v>72</v>
      </c>
      <c r="H2959" t="s">
        <v>75</v>
      </c>
      <c r="I2959">
        <v>6</v>
      </c>
      <c r="J2959">
        <v>2450</v>
      </c>
      <c r="K2959">
        <v>0.2</v>
      </c>
      <c r="L2959">
        <v>11760</v>
      </c>
      <c r="M2959">
        <v>9666.99</v>
      </c>
      <c r="N2959">
        <v>2093.0100000000002</v>
      </c>
      <c r="O2959" t="s">
        <v>80</v>
      </c>
      <c r="P2959" t="s">
        <v>88</v>
      </c>
    </row>
    <row r="2960" spans="1:16" x14ac:dyDescent="0.25">
      <c r="A2960">
        <v>2959</v>
      </c>
      <c r="B2960" s="1">
        <v>45842</v>
      </c>
      <c r="C2960" t="s">
        <v>18</v>
      </c>
      <c r="D2960" t="s">
        <v>26</v>
      </c>
      <c r="E2960" t="s">
        <v>34</v>
      </c>
      <c r="F2960" t="s">
        <v>68</v>
      </c>
      <c r="G2960" t="s">
        <v>71</v>
      </c>
      <c r="H2960" t="s">
        <v>73</v>
      </c>
      <c r="I2960">
        <v>3</v>
      </c>
      <c r="J2960">
        <v>3437</v>
      </c>
      <c r="K2960">
        <v>0.1</v>
      </c>
      <c r="L2960">
        <v>9279.9</v>
      </c>
      <c r="M2960">
        <v>5434.89</v>
      </c>
      <c r="N2960">
        <v>3845.01</v>
      </c>
      <c r="O2960" t="s">
        <v>79</v>
      </c>
      <c r="P2960" t="s">
        <v>88</v>
      </c>
    </row>
    <row r="2961" spans="1:16" x14ac:dyDescent="0.25">
      <c r="A2961">
        <v>2960</v>
      </c>
      <c r="B2961" s="1">
        <v>46011</v>
      </c>
      <c r="C2961" t="s">
        <v>17</v>
      </c>
      <c r="D2961" t="s">
        <v>25</v>
      </c>
      <c r="E2961" t="s">
        <v>28</v>
      </c>
      <c r="F2961" t="s">
        <v>58</v>
      </c>
      <c r="G2961" t="s">
        <v>72</v>
      </c>
      <c r="H2961" t="s">
        <v>73</v>
      </c>
      <c r="I2961">
        <v>3</v>
      </c>
      <c r="J2961">
        <v>950</v>
      </c>
      <c r="K2961">
        <v>0.05</v>
      </c>
      <c r="L2961">
        <v>2707.5</v>
      </c>
      <c r="M2961">
        <v>1686.88</v>
      </c>
      <c r="N2961">
        <v>1020.62</v>
      </c>
      <c r="O2961" t="s">
        <v>80</v>
      </c>
      <c r="P2961" t="s">
        <v>86</v>
      </c>
    </row>
    <row r="2962" spans="1:16" x14ac:dyDescent="0.25">
      <c r="A2962">
        <v>2961</v>
      </c>
      <c r="B2962" s="1">
        <v>45699</v>
      </c>
      <c r="C2962" t="s">
        <v>21</v>
      </c>
      <c r="D2962" t="s">
        <v>24</v>
      </c>
      <c r="E2962" t="s">
        <v>34</v>
      </c>
      <c r="F2962" t="s">
        <v>43</v>
      </c>
      <c r="G2962" t="s">
        <v>70</v>
      </c>
      <c r="H2962" t="s">
        <v>74</v>
      </c>
      <c r="I2962">
        <v>2</v>
      </c>
      <c r="J2962">
        <v>1816</v>
      </c>
      <c r="K2962">
        <v>0.05</v>
      </c>
      <c r="L2962">
        <v>3450.4</v>
      </c>
      <c r="M2962">
        <v>2741.58</v>
      </c>
      <c r="N2962">
        <v>708.82</v>
      </c>
      <c r="O2962" t="s">
        <v>78</v>
      </c>
      <c r="P2962" t="s">
        <v>81</v>
      </c>
    </row>
    <row r="2963" spans="1:16" x14ac:dyDescent="0.25">
      <c r="A2963">
        <v>2962</v>
      </c>
      <c r="B2963" s="1">
        <v>45718</v>
      </c>
      <c r="C2963" t="s">
        <v>20</v>
      </c>
      <c r="D2963" t="s">
        <v>26</v>
      </c>
      <c r="E2963" t="s">
        <v>30</v>
      </c>
      <c r="F2963" t="s">
        <v>37</v>
      </c>
      <c r="G2963" t="s">
        <v>72</v>
      </c>
      <c r="H2963" t="s">
        <v>75</v>
      </c>
      <c r="I2963">
        <v>8</v>
      </c>
      <c r="J2963">
        <v>40134</v>
      </c>
      <c r="K2963">
        <v>0.1</v>
      </c>
      <c r="L2963">
        <v>288964.8</v>
      </c>
      <c r="M2963">
        <v>160699.04</v>
      </c>
      <c r="N2963">
        <v>128265.76</v>
      </c>
      <c r="O2963" t="s">
        <v>77</v>
      </c>
      <c r="P2963" t="s">
        <v>85</v>
      </c>
    </row>
    <row r="2964" spans="1:16" x14ac:dyDescent="0.25">
      <c r="A2964">
        <v>2963</v>
      </c>
      <c r="B2964" s="1">
        <v>45858</v>
      </c>
      <c r="C2964" t="s">
        <v>21</v>
      </c>
      <c r="D2964" t="s">
        <v>24</v>
      </c>
      <c r="E2964" t="s">
        <v>31</v>
      </c>
      <c r="F2964" t="s">
        <v>67</v>
      </c>
      <c r="G2964" t="s">
        <v>70</v>
      </c>
      <c r="H2964" t="s">
        <v>74</v>
      </c>
      <c r="I2964">
        <v>8</v>
      </c>
      <c r="J2964">
        <v>1742</v>
      </c>
      <c r="K2964">
        <v>0.05</v>
      </c>
      <c r="L2964">
        <v>13239.2</v>
      </c>
      <c r="M2964">
        <v>9891.51</v>
      </c>
      <c r="N2964">
        <v>3347.69</v>
      </c>
      <c r="O2964" t="s">
        <v>79</v>
      </c>
      <c r="P2964" t="s">
        <v>87</v>
      </c>
    </row>
    <row r="2965" spans="1:16" x14ac:dyDescent="0.25">
      <c r="A2965">
        <v>2964</v>
      </c>
      <c r="B2965" s="1">
        <v>45845</v>
      </c>
      <c r="C2965" t="s">
        <v>22</v>
      </c>
      <c r="D2965" t="s">
        <v>24</v>
      </c>
      <c r="E2965" t="s">
        <v>29</v>
      </c>
      <c r="F2965" t="s">
        <v>36</v>
      </c>
      <c r="G2965" t="s">
        <v>70</v>
      </c>
      <c r="H2965" t="s">
        <v>73</v>
      </c>
      <c r="I2965">
        <v>3</v>
      </c>
      <c r="J2965">
        <v>2906</v>
      </c>
      <c r="K2965">
        <v>0.15</v>
      </c>
      <c r="L2965">
        <v>7410.3</v>
      </c>
      <c r="M2965">
        <v>4828.22</v>
      </c>
      <c r="N2965">
        <v>2582.08</v>
      </c>
      <c r="O2965" t="s">
        <v>76</v>
      </c>
      <c r="P2965" t="s">
        <v>87</v>
      </c>
    </row>
    <row r="2966" spans="1:16" x14ac:dyDescent="0.25">
      <c r="A2966">
        <v>2965</v>
      </c>
      <c r="B2966" s="1">
        <v>45876</v>
      </c>
      <c r="C2966" t="s">
        <v>23</v>
      </c>
      <c r="D2966" t="s">
        <v>27</v>
      </c>
      <c r="E2966" t="s">
        <v>29</v>
      </c>
      <c r="F2966" t="s">
        <v>45</v>
      </c>
      <c r="G2966" t="s">
        <v>72</v>
      </c>
      <c r="H2966" t="s">
        <v>74</v>
      </c>
      <c r="I2966">
        <v>3</v>
      </c>
      <c r="J2966">
        <v>6078</v>
      </c>
      <c r="K2966">
        <v>0.05</v>
      </c>
      <c r="L2966">
        <v>17322.3</v>
      </c>
      <c r="M2966">
        <v>13937.96</v>
      </c>
      <c r="N2966">
        <v>3384.34</v>
      </c>
      <c r="O2966" t="s">
        <v>76</v>
      </c>
      <c r="P2966" t="s">
        <v>86</v>
      </c>
    </row>
    <row r="2967" spans="1:16" x14ac:dyDescent="0.25">
      <c r="A2967">
        <v>2966</v>
      </c>
      <c r="B2967" s="1">
        <v>45904</v>
      </c>
      <c r="C2967" t="s">
        <v>17</v>
      </c>
      <c r="D2967" t="s">
        <v>25</v>
      </c>
      <c r="E2967" t="s">
        <v>33</v>
      </c>
      <c r="F2967" t="s">
        <v>60</v>
      </c>
      <c r="G2967" t="s">
        <v>71</v>
      </c>
      <c r="H2967" t="s">
        <v>73</v>
      </c>
      <c r="I2967">
        <v>2</v>
      </c>
      <c r="J2967">
        <v>32788</v>
      </c>
      <c r="K2967">
        <v>0</v>
      </c>
      <c r="L2967">
        <v>65576</v>
      </c>
      <c r="M2967">
        <v>39246.76</v>
      </c>
      <c r="N2967">
        <v>26329.24</v>
      </c>
      <c r="O2967" t="s">
        <v>77</v>
      </c>
      <c r="P2967" t="s">
        <v>81</v>
      </c>
    </row>
    <row r="2968" spans="1:16" x14ac:dyDescent="0.25">
      <c r="A2968">
        <v>2967</v>
      </c>
      <c r="B2968" s="1">
        <v>45763</v>
      </c>
      <c r="C2968" t="s">
        <v>22</v>
      </c>
      <c r="D2968" t="s">
        <v>24</v>
      </c>
      <c r="E2968" t="s">
        <v>30</v>
      </c>
      <c r="F2968" t="s">
        <v>56</v>
      </c>
      <c r="G2968" t="s">
        <v>71</v>
      </c>
      <c r="H2968" t="s">
        <v>73</v>
      </c>
      <c r="I2968">
        <v>4</v>
      </c>
      <c r="J2968">
        <v>11081</v>
      </c>
      <c r="K2968">
        <v>0</v>
      </c>
      <c r="L2968">
        <v>44324</v>
      </c>
      <c r="M2968">
        <v>38212.29</v>
      </c>
      <c r="N2968">
        <v>6111.71</v>
      </c>
      <c r="O2968" t="s">
        <v>76</v>
      </c>
      <c r="P2968" t="s">
        <v>84</v>
      </c>
    </row>
    <row r="2969" spans="1:16" x14ac:dyDescent="0.25">
      <c r="A2969">
        <v>2968</v>
      </c>
      <c r="B2969" s="1">
        <v>45955</v>
      </c>
      <c r="C2969" t="s">
        <v>20</v>
      </c>
      <c r="D2969" t="s">
        <v>26</v>
      </c>
      <c r="E2969" t="s">
        <v>34</v>
      </c>
      <c r="F2969" t="s">
        <v>43</v>
      </c>
      <c r="G2969" t="s">
        <v>70</v>
      </c>
      <c r="H2969" t="s">
        <v>73</v>
      </c>
      <c r="I2969">
        <v>7</v>
      </c>
      <c r="J2969">
        <v>5232</v>
      </c>
      <c r="K2969">
        <v>0</v>
      </c>
      <c r="L2969">
        <v>36624</v>
      </c>
      <c r="M2969">
        <v>29082.03</v>
      </c>
      <c r="N2969">
        <v>7541.97</v>
      </c>
      <c r="O2969" t="s">
        <v>76</v>
      </c>
      <c r="P2969" t="s">
        <v>85</v>
      </c>
    </row>
    <row r="2970" spans="1:16" x14ac:dyDescent="0.25">
      <c r="A2970">
        <v>2969</v>
      </c>
      <c r="B2970" s="1">
        <v>45712</v>
      </c>
      <c r="C2970" t="s">
        <v>18</v>
      </c>
      <c r="D2970" t="s">
        <v>26</v>
      </c>
      <c r="E2970" t="s">
        <v>33</v>
      </c>
      <c r="F2970" t="s">
        <v>60</v>
      </c>
      <c r="G2970" t="s">
        <v>71</v>
      </c>
      <c r="H2970" t="s">
        <v>74</v>
      </c>
      <c r="I2970">
        <v>1</v>
      </c>
      <c r="J2970">
        <v>6155</v>
      </c>
      <c r="K2970">
        <v>0.2</v>
      </c>
      <c r="L2970">
        <v>4924</v>
      </c>
      <c r="M2970">
        <v>3942.7</v>
      </c>
      <c r="N2970">
        <v>981.3</v>
      </c>
      <c r="O2970" t="s">
        <v>79</v>
      </c>
      <c r="P2970" t="s">
        <v>88</v>
      </c>
    </row>
    <row r="2971" spans="1:16" x14ac:dyDescent="0.25">
      <c r="A2971">
        <v>2970</v>
      </c>
      <c r="B2971" s="1">
        <v>45715</v>
      </c>
      <c r="C2971" t="s">
        <v>21</v>
      </c>
      <c r="D2971" t="s">
        <v>24</v>
      </c>
      <c r="E2971" t="s">
        <v>33</v>
      </c>
      <c r="F2971" t="s">
        <v>52</v>
      </c>
      <c r="G2971" t="s">
        <v>71</v>
      </c>
      <c r="H2971" t="s">
        <v>74</v>
      </c>
      <c r="I2971">
        <v>2</v>
      </c>
      <c r="J2971">
        <v>42037</v>
      </c>
      <c r="K2971">
        <v>0.1</v>
      </c>
      <c r="L2971">
        <v>75666.600000000006</v>
      </c>
      <c r="M2971">
        <v>43039.77</v>
      </c>
      <c r="N2971">
        <v>32626.83</v>
      </c>
      <c r="O2971" t="s">
        <v>80</v>
      </c>
      <c r="P2971" t="s">
        <v>81</v>
      </c>
    </row>
    <row r="2972" spans="1:16" x14ac:dyDescent="0.25">
      <c r="A2972">
        <v>2971</v>
      </c>
      <c r="B2972" s="1">
        <v>45908</v>
      </c>
      <c r="C2972" t="s">
        <v>23</v>
      </c>
      <c r="D2972" t="s">
        <v>27</v>
      </c>
      <c r="E2972" t="s">
        <v>30</v>
      </c>
      <c r="F2972" t="s">
        <v>56</v>
      </c>
      <c r="G2972" t="s">
        <v>70</v>
      </c>
      <c r="H2972" t="s">
        <v>75</v>
      </c>
      <c r="I2972">
        <v>6</v>
      </c>
      <c r="J2972">
        <v>62741</v>
      </c>
      <c r="K2972">
        <v>0.05</v>
      </c>
      <c r="L2972">
        <v>357623.7</v>
      </c>
      <c r="M2972">
        <v>292191.69</v>
      </c>
      <c r="N2972">
        <v>65432.01</v>
      </c>
      <c r="O2972" t="s">
        <v>79</v>
      </c>
      <c r="P2972" t="s">
        <v>85</v>
      </c>
    </row>
    <row r="2973" spans="1:16" x14ac:dyDescent="0.25">
      <c r="A2973">
        <v>2972</v>
      </c>
      <c r="B2973" s="1">
        <v>45728</v>
      </c>
      <c r="C2973" t="s">
        <v>16</v>
      </c>
      <c r="D2973" t="s">
        <v>24</v>
      </c>
      <c r="E2973" t="s">
        <v>30</v>
      </c>
      <c r="F2973" t="s">
        <v>44</v>
      </c>
      <c r="G2973" t="s">
        <v>72</v>
      </c>
      <c r="H2973" t="s">
        <v>73</v>
      </c>
      <c r="I2973">
        <v>1</v>
      </c>
      <c r="J2973">
        <v>62897</v>
      </c>
      <c r="K2973">
        <v>0.05</v>
      </c>
      <c r="L2973">
        <v>59752.15</v>
      </c>
      <c r="M2973">
        <v>41676.17</v>
      </c>
      <c r="N2973">
        <v>18075.98</v>
      </c>
      <c r="O2973" t="s">
        <v>79</v>
      </c>
      <c r="P2973" t="s">
        <v>86</v>
      </c>
    </row>
    <row r="2974" spans="1:16" x14ac:dyDescent="0.25">
      <c r="A2974">
        <v>2973</v>
      </c>
      <c r="B2974" s="1">
        <v>45679</v>
      </c>
      <c r="C2974" t="s">
        <v>20</v>
      </c>
      <c r="D2974" t="s">
        <v>26</v>
      </c>
      <c r="E2974" t="s">
        <v>29</v>
      </c>
      <c r="F2974" t="s">
        <v>42</v>
      </c>
      <c r="G2974" t="s">
        <v>72</v>
      </c>
      <c r="H2974" t="s">
        <v>73</v>
      </c>
      <c r="I2974">
        <v>3</v>
      </c>
      <c r="J2974">
        <v>6504</v>
      </c>
      <c r="K2974">
        <v>0.2</v>
      </c>
      <c r="L2974">
        <v>15609.6</v>
      </c>
      <c r="M2974">
        <v>11867.89</v>
      </c>
      <c r="N2974">
        <v>3741.71</v>
      </c>
      <c r="O2974" t="s">
        <v>78</v>
      </c>
      <c r="P2974" t="s">
        <v>82</v>
      </c>
    </row>
    <row r="2975" spans="1:16" x14ac:dyDescent="0.25">
      <c r="A2975">
        <v>2974</v>
      </c>
      <c r="B2975" s="1">
        <v>45762</v>
      </c>
      <c r="C2975" t="s">
        <v>23</v>
      </c>
      <c r="D2975" t="s">
        <v>27</v>
      </c>
      <c r="E2975" t="s">
        <v>33</v>
      </c>
      <c r="F2975" t="s">
        <v>41</v>
      </c>
      <c r="G2975" t="s">
        <v>70</v>
      </c>
      <c r="H2975" t="s">
        <v>73</v>
      </c>
      <c r="I2975">
        <v>7</v>
      </c>
      <c r="J2975">
        <v>6723</v>
      </c>
      <c r="K2975">
        <v>0</v>
      </c>
      <c r="L2975">
        <v>47061</v>
      </c>
      <c r="M2975">
        <v>34258.26</v>
      </c>
      <c r="N2975">
        <v>12802.74</v>
      </c>
      <c r="O2975" t="s">
        <v>77</v>
      </c>
      <c r="P2975" t="s">
        <v>88</v>
      </c>
    </row>
    <row r="2976" spans="1:16" x14ac:dyDescent="0.25">
      <c r="A2976">
        <v>2975</v>
      </c>
      <c r="B2976" s="1">
        <v>45702</v>
      </c>
      <c r="C2976" t="s">
        <v>23</v>
      </c>
      <c r="D2976" t="s">
        <v>27</v>
      </c>
      <c r="E2976" t="s">
        <v>30</v>
      </c>
      <c r="F2976" t="s">
        <v>64</v>
      </c>
      <c r="G2976" t="s">
        <v>70</v>
      </c>
      <c r="H2976" t="s">
        <v>73</v>
      </c>
      <c r="I2976">
        <v>3</v>
      </c>
      <c r="J2976">
        <v>51444</v>
      </c>
      <c r="K2976">
        <v>0.05</v>
      </c>
      <c r="L2976">
        <v>146615.4</v>
      </c>
      <c r="M2976">
        <v>100482.2</v>
      </c>
      <c r="N2976">
        <v>46133.2</v>
      </c>
      <c r="O2976" t="s">
        <v>78</v>
      </c>
      <c r="P2976" t="s">
        <v>83</v>
      </c>
    </row>
    <row r="2977" spans="1:16" x14ac:dyDescent="0.25">
      <c r="A2977">
        <v>2976</v>
      </c>
      <c r="B2977" s="1">
        <v>45914</v>
      </c>
      <c r="C2977" t="s">
        <v>21</v>
      </c>
      <c r="D2977" t="s">
        <v>24</v>
      </c>
      <c r="E2977" t="s">
        <v>33</v>
      </c>
      <c r="F2977" t="s">
        <v>59</v>
      </c>
      <c r="G2977" t="s">
        <v>72</v>
      </c>
      <c r="H2977" t="s">
        <v>74</v>
      </c>
      <c r="I2977">
        <v>6</v>
      </c>
      <c r="J2977">
        <v>42043</v>
      </c>
      <c r="K2977">
        <v>0</v>
      </c>
      <c r="L2977">
        <v>252258</v>
      </c>
      <c r="M2977">
        <v>159772.76999999999</v>
      </c>
      <c r="N2977">
        <v>92485.23</v>
      </c>
      <c r="O2977" t="s">
        <v>77</v>
      </c>
      <c r="P2977" t="s">
        <v>88</v>
      </c>
    </row>
    <row r="2978" spans="1:16" x14ac:dyDescent="0.25">
      <c r="A2978">
        <v>2977</v>
      </c>
      <c r="B2978" s="1">
        <v>45718</v>
      </c>
      <c r="C2978" t="s">
        <v>19</v>
      </c>
      <c r="D2978" t="s">
        <v>26</v>
      </c>
      <c r="E2978" t="s">
        <v>29</v>
      </c>
      <c r="F2978" t="s">
        <v>42</v>
      </c>
      <c r="G2978" t="s">
        <v>70</v>
      </c>
      <c r="H2978" t="s">
        <v>75</v>
      </c>
      <c r="I2978">
        <v>7</v>
      </c>
      <c r="J2978">
        <v>1632</v>
      </c>
      <c r="K2978">
        <v>0.05</v>
      </c>
      <c r="L2978">
        <v>10852.8</v>
      </c>
      <c r="M2978">
        <v>8030.14</v>
      </c>
      <c r="N2978">
        <v>2822.66</v>
      </c>
      <c r="O2978" t="s">
        <v>79</v>
      </c>
      <c r="P2978" t="s">
        <v>88</v>
      </c>
    </row>
    <row r="2979" spans="1:16" x14ac:dyDescent="0.25">
      <c r="A2979">
        <v>2978</v>
      </c>
      <c r="B2979" s="1">
        <v>46015</v>
      </c>
      <c r="C2979" t="s">
        <v>22</v>
      </c>
      <c r="D2979" t="s">
        <v>24</v>
      </c>
      <c r="E2979" t="s">
        <v>31</v>
      </c>
      <c r="F2979" t="s">
        <v>69</v>
      </c>
      <c r="G2979" t="s">
        <v>70</v>
      </c>
      <c r="H2979" t="s">
        <v>73</v>
      </c>
      <c r="I2979">
        <v>6</v>
      </c>
      <c r="J2979">
        <v>2290</v>
      </c>
      <c r="K2979">
        <v>0.2</v>
      </c>
      <c r="L2979">
        <v>10992</v>
      </c>
      <c r="M2979">
        <v>9513.74</v>
      </c>
      <c r="N2979">
        <v>1478.26</v>
      </c>
      <c r="O2979" t="s">
        <v>78</v>
      </c>
      <c r="P2979" t="s">
        <v>87</v>
      </c>
    </row>
    <row r="2980" spans="1:16" x14ac:dyDescent="0.25">
      <c r="A2980">
        <v>2979</v>
      </c>
      <c r="B2980" s="1">
        <v>45748</v>
      </c>
      <c r="C2980" t="s">
        <v>23</v>
      </c>
      <c r="D2980" t="s">
        <v>27</v>
      </c>
      <c r="E2980" t="s">
        <v>31</v>
      </c>
      <c r="F2980" t="s">
        <v>47</v>
      </c>
      <c r="G2980" t="s">
        <v>70</v>
      </c>
      <c r="H2980" t="s">
        <v>74</v>
      </c>
      <c r="I2980">
        <v>8</v>
      </c>
      <c r="J2980">
        <v>839</v>
      </c>
      <c r="K2980">
        <v>0.1</v>
      </c>
      <c r="L2980">
        <v>6040.8</v>
      </c>
      <c r="M2980">
        <v>3747.48</v>
      </c>
      <c r="N2980">
        <v>2293.3200000000002</v>
      </c>
      <c r="O2980" t="s">
        <v>80</v>
      </c>
      <c r="P2980" t="s">
        <v>82</v>
      </c>
    </row>
    <row r="2981" spans="1:16" x14ac:dyDescent="0.25">
      <c r="A2981">
        <v>2980</v>
      </c>
      <c r="B2981" s="1">
        <v>45719</v>
      </c>
      <c r="C2981" t="s">
        <v>20</v>
      </c>
      <c r="D2981" t="s">
        <v>26</v>
      </c>
      <c r="E2981" t="s">
        <v>29</v>
      </c>
      <c r="F2981" t="s">
        <v>57</v>
      </c>
      <c r="G2981" t="s">
        <v>70</v>
      </c>
      <c r="H2981" t="s">
        <v>74</v>
      </c>
      <c r="I2981">
        <v>6</v>
      </c>
      <c r="J2981">
        <v>6076</v>
      </c>
      <c r="K2981">
        <v>0.1</v>
      </c>
      <c r="L2981">
        <v>32810.400000000001</v>
      </c>
      <c r="M2981">
        <v>21811.67</v>
      </c>
      <c r="N2981">
        <v>10998.73</v>
      </c>
      <c r="O2981" t="s">
        <v>76</v>
      </c>
      <c r="P2981" t="s">
        <v>81</v>
      </c>
    </row>
    <row r="2982" spans="1:16" x14ac:dyDescent="0.25">
      <c r="A2982">
        <v>2981</v>
      </c>
      <c r="B2982" s="1">
        <v>46007</v>
      </c>
      <c r="C2982" t="s">
        <v>18</v>
      </c>
      <c r="D2982" t="s">
        <v>26</v>
      </c>
      <c r="E2982" t="s">
        <v>33</v>
      </c>
      <c r="F2982" t="s">
        <v>41</v>
      </c>
      <c r="G2982" t="s">
        <v>71</v>
      </c>
      <c r="H2982" t="s">
        <v>74</v>
      </c>
      <c r="I2982">
        <v>5</v>
      </c>
      <c r="J2982">
        <v>42458</v>
      </c>
      <c r="K2982">
        <v>0.15</v>
      </c>
      <c r="L2982">
        <v>180446.5</v>
      </c>
      <c r="M2982">
        <v>114249.25</v>
      </c>
      <c r="N2982">
        <v>66197.25</v>
      </c>
      <c r="O2982" t="s">
        <v>76</v>
      </c>
      <c r="P2982" t="s">
        <v>88</v>
      </c>
    </row>
    <row r="2983" spans="1:16" x14ac:dyDescent="0.25">
      <c r="A2983">
        <v>2982</v>
      </c>
      <c r="B2983" s="1">
        <v>45981</v>
      </c>
      <c r="C2983" t="s">
        <v>23</v>
      </c>
      <c r="D2983" t="s">
        <v>27</v>
      </c>
      <c r="E2983" t="s">
        <v>30</v>
      </c>
      <c r="F2983" t="s">
        <v>56</v>
      </c>
      <c r="G2983" t="s">
        <v>71</v>
      </c>
      <c r="H2983" t="s">
        <v>73</v>
      </c>
      <c r="I2983">
        <v>8</v>
      </c>
      <c r="J2983">
        <v>24827</v>
      </c>
      <c r="K2983">
        <v>0.15</v>
      </c>
      <c r="L2983">
        <v>168823.6</v>
      </c>
      <c r="M2983">
        <v>146201.67000000001</v>
      </c>
      <c r="N2983">
        <v>22621.93</v>
      </c>
      <c r="O2983" t="s">
        <v>78</v>
      </c>
      <c r="P2983" t="s">
        <v>84</v>
      </c>
    </row>
    <row r="2984" spans="1:16" x14ac:dyDescent="0.25">
      <c r="A2984">
        <v>2983</v>
      </c>
      <c r="B2984" s="1">
        <v>45863</v>
      </c>
      <c r="C2984" t="s">
        <v>17</v>
      </c>
      <c r="D2984" t="s">
        <v>25</v>
      </c>
      <c r="E2984" t="s">
        <v>34</v>
      </c>
      <c r="F2984" t="s">
        <v>55</v>
      </c>
      <c r="G2984" t="s">
        <v>70</v>
      </c>
      <c r="H2984" t="s">
        <v>73</v>
      </c>
      <c r="I2984">
        <v>7</v>
      </c>
      <c r="J2984">
        <v>4769</v>
      </c>
      <c r="K2984">
        <v>0.05</v>
      </c>
      <c r="L2984">
        <v>31713.85</v>
      </c>
      <c r="M2984">
        <v>23836.97</v>
      </c>
      <c r="N2984">
        <v>7876.88</v>
      </c>
      <c r="O2984" t="s">
        <v>77</v>
      </c>
      <c r="P2984" t="s">
        <v>88</v>
      </c>
    </row>
    <row r="2985" spans="1:16" x14ac:dyDescent="0.25">
      <c r="A2985">
        <v>2984</v>
      </c>
      <c r="B2985" s="1">
        <v>45951</v>
      </c>
      <c r="C2985" t="s">
        <v>16</v>
      </c>
      <c r="D2985" t="s">
        <v>24</v>
      </c>
      <c r="E2985" t="s">
        <v>32</v>
      </c>
      <c r="F2985" t="s">
        <v>66</v>
      </c>
      <c r="G2985" t="s">
        <v>72</v>
      </c>
      <c r="H2985" t="s">
        <v>75</v>
      </c>
      <c r="I2985">
        <v>1</v>
      </c>
      <c r="J2985">
        <v>21654</v>
      </c>
      <c r="K2985">
        <v>0.1</v>
      </c>
      <c r="L2985">
        <v>19488.599999999999</v>
      </c>
      <c r="M2985">
        <v>16036.96</v>
      </c>
      <c r="N2985">
        <v>3451.64</v>
      </c>
      <c r="O2985" t="s">
        <v>80</v>
      </c>
      <c r="P2985" t="s">
        <v>85</v>
      </c>
    </row>
    <row r="2986" spans="1:16" x14ac:dyDescent="0.25">
      <c r="A2986">
        <v>2985</v>
      </c>
      <c r="B2986" s="1">
        <v>45759</v>
      </c>
      <c r="C2986" t="s">
        <v>19</v>
      </c>
      <c r="D2986" t="s">
        <v>26</v>
      </c>
      <c r="E2986" t="s">
        <v>32</v>
      </c>
      <c r="F2986" t="s">
        <v>48</v>
      </c>
      <c r="G2986" t="s">
        <v>70</v>
      </c>
      <c r="H2986" t="s">
        <v>75</v>
      </c>
      <c r="I2986">
        <v>8</v>
      </c>
      <c r="J2986">
        <v>10769</v>
      </c>
      <c r="K2986">
        <v>0</v>
      </c>
      <c r="L2986">
        <v>86152</v>
      </c>
      <c r="M2986">
        <v>47947.51</v>
      </c>
      <c r="N2986">
        <v>38204.49</v>
      </c>
      <c r="O2986" t="s">
        <v>76</v>
      </c>
      <c r="P2986" t="s">
        <v>86</v>
      </c>
    </row>
    <row r="2987" spans="1:16" x14ac:dyDescent="0.25">
      <c r="A2987">
        <v>2986</v>
      </c>
      <c r="B2987" s="1">
        <v>45709</v>
      </c>
      <c r="C2987" t="s">
        <v>20</v>
      </c>
      <c r="D2987" t="s">
        <v>26</v>
      </c>
      <c r="E2987" t="s">
        <v>33</v>
      </c>
      <c r="F2987" t="s">
        <v>52</v>
      </c>
      <c r="G2987" t="s">
        <v>71</v>
      </c>
      <c r="H2987" t="s">
        <v>73</v>
      </c>
      <c r="I2987">
        <v>6</v>
      </c>
      <c r="J2987">
        <v>24837</v>
      </c>
      <c r="K2987">
        <v>0.1</v>
      </c>
      <c r="L2987">
        <v>134119.79999999999</v>
      </c>
      <c r="M2987">
        <v>115053.39</v>
      </c>
      <c r="N2987">
        <v>19066.41</v>
      </c>
      <c r="O2987" t="s">
        <v>79</v>
      </c>
      <c r="P2987" t="s">
        <v>84</v>
      </c>
    </row>
    <row r="2988" spans="1:16" x14ac:dyDescent="0.25">
      <c r="A2988">
        <v>2987</v>
      </c>
      <c r="B2988" s="1">
        <v>45739</v>
      </c>
      <c r="C2988" t="s">
        <v>21</v>
      </c>
      <c r="D2988" t="s">
        <v>24</v>
      </c>
      <c r="E2988" t="s">
        <v>33</v>
      </c>
      <c r="F2988" t="s">
        <v>46</v>
      </c>
      <c r="G2988" t="s">
        <v>72</v>
      </c>
      <c r="H2988" t="s">
        <v>74</v>
      </c>
      <c r="I2988">
        <v>6</v>
      </c>
      <c r="J2988">
        <v>27341</v>
      </c>
      <c r="K2988">
        <v>0</v>
      </c>
      <c r="L2988">
        <v>164046</v>
      </c>
      <c r="M2988">
        <v>102857.09</v>
      </c>
      <c r="N2988">
        <v>61188.91</v>
      </c>
      <c r="O2988" t="s">
        <v>79</v>
      </c>
      <c r="P2988" t="s">
        <v>84</v>
      </c>
    </row>
    <row r="2989" spans="1:16" x14ac:dyDescent="0.25">
      <c r="A2989">
        <v>2988</v>
      </c>
      <c r="B2989" s="1">
        <v>45709</v>
      </c>
      <c r="C2989" t="s">
        <v>20</v>
      </c>
      <c r="D2989" t="s">
        <v>26</v>
      </c>
      <c r="E2989" t="s">
        <v>31</v>
      </c>
      <c r="F2989" t="s">
        <v>50</v>
      </c>
      <c r="G2989" t="s">
        <v>71</v>
      </c>
      <c r="H2989" t="s">
        <v>74</v>
      </c>
      <c r="I2989">
        <v>3</v>
      </c>
      <c r="J2989">
        <v>2217</v>
      </c>
      <c r="K2989">
        <v>0</v>
      </c>
      <c r="L2989">
        <v>6651</v>
      </c>
      <c r="M2989">
        <v>5119.54</v>
      </c>
      <c r="N2989">
        <v>1531.46</v>
      </c>
      <c r="O2989" t="s">
        <v>76</v>
      </c>
      <c r="P2989" t="s">
        <v>88</v>
      </c>
    </row>
    <row r="2990" spans="1:16" x14ac:dyDescent="0.25">
      <c r="A2990">
        <v>2989</v>
      </c>
      <c r="B2990" s="1">
        <v>45837</v>
      </c>
      <c r="C2990" t="s">
        <v>19</v>
      </c>
      <c r="D2990" t="s">
        <v>26</v>
      </c>
      <c r="E2990" t="s">
        <v>33</v>
      </c>
      <c r="F2990" t="s">
        <v>60</v>
      </c>
      <c r="G2990" t="s">
        <v>72</v>
      </c>
      <c r="H2990" t="s">
        <v>75</v>
      </c>
      <c r="I2990">
        <v>1</v>
      </c>
      <c r="J2990">
        <v>6175</v>
      </c>
      <c r="K2990">
        <v>0.05</v>
      </c>
      <c r="L2990">
        <v>5866.25</v>
      </c>
      <c r="M2990">
        <v>3291.61</v>
      </c>
      <c r="N2990">
        <v>2574.64</v>
      </c>
      <c r="O2990" t="s">
        <v>77</v>
      </c>
      <c r="P2990" t="s">
        <v>82</v>
      </c>
    </row>
    <row r="2991" spans="1:16" x14ac:dyDescent="0.25">
      <c r="A2991">
        <v>2990</v>
      </c>
      <c r="B2991" s="1">
        <v>45902</v>
      </c>
      <c r="C2991" t="s">
        <v>19</v>
      </c>
      <c r="D2991" t="s">
        <v>26</v>
      </c>
      <c r="E2991" t="s">
        <v>33</v>
      </c>
      <c r="F2991" t="s">
        <v>41</v>
      </c>
      <c r="G2991" t="s">
        <v>71</v>
      </c>
      <c r="H2991" t="s">
        <v>75</v>
      </c>
      <c r="I2991">
        <v>8</v>
      </c>
      <c r="J2991">
        <v>36697</v>
      </c>
      <c r="K2991">
        <v>0.1</v>
      </c>
      <c r="L2991">
        <v>264218.40000000002</v>
      </c>
      <c r="M2991">
        <v>205908.39</v>
      </c>
      <c r="N2991">
        <v>58310.01</v>
      </c>
      <c r="O2991" t="s">
        <v>80</v>
      </c>
      <c r="P2991" t="s">
        <v>82</v>
      </c>
    </row>
    <row r="2992" spans="1:16" x14ac:dyDescent="0.25">
      <c r="A2992">
        <v>2991</v>
      </c>
      <c r="B2992" s="1">
        <v>45732</v>
      </c>
      <c r="C2992" t="s">
        <v>21</v>
      </c>
      <c r="D2992" t="s">
        <v>24</v>
      </c>
      <c r="E2992" t="s">
        <v>32</v>
      </c>
      <c r="F2992" t="s">
        <v>48</v>
      </c>
      <c r="G2992" t="s">
        <v>72</v>
      </c>
      <c r="H2992" t="s">
        <v>74</v>
      </c>
      <c r="I2992">
        <v>1</v>
      </c>
      <c r="J2992">
        <v>15166</v>
      </c>
      <c r="K2992">
        <v>0</v>
      </c>
      <c r="L2992">
        <v>15166</v>
      </c>
      <c r="M2992">
        <v>8875.81</v>
      </c>
      <c r="N2992">
        <v>6290.19</v>
      </c>
      <c r="O2992" t="s">
        <v>77</v>
      </c>
      <c r="P2992" t="s">
        <v>81</v>
      </c>
    </row>
    <row r="2993" spans="1:16" x14ac:dyDescent="0.25">
      <c r="A2993">
        <v>2992</v>
      </c>
      <c r="B2993" s="1">
        <v>45974</v>
      </c>
      <c r="C2993" t="s">
        <v>23</v>
      </c>
      <c r="D2993" t="s">
        <v>27</v>
      </c>
      <c r="E2993" t="s">
        <v>34</v>
      </c>
      <c r="F2993" t="s">
        <v>43</v>
      </c>
      <c r="G2993" t="s">
        <v>72</v>
      </c>
      <c r="H2993" t="s">
        <v>75</v>
      </c>
      <c r="I2993">
        <v>1</v>
      </c>
      <c r="J2993">
        <v>3262</v>
      </c>
      <c r="K2993">
        <v>0.15</v>
      </c>
      <c r="L2993">
        <v>2772.7</v>
      </c>
      <c r="M2993">
        <v>2023.8</v>
      </c>
      <c r="N2993">
        <v>748.9</v>
      </c>
      <c r="O2993" t="s">
        <v>79</v>
      </c>
      <c r="P2993" t="s">
        <v>87</v>
      </c>
    </row>
    <row r="2994" spans="1:16" x14ac:dyDescent="0.25">
      <c r="A2994">
        <v>2993</v>
      </c>
      <c r="B2994" s="1">
        <v>45724</v>
      </c>
      <c r="C2994" t="s">
        <v>17</v>
      </c>
      <c r="D2994" t="s">
        <v>25</v>
      </c>
      <c r="E2994" t="s">
        <v>32</v>
      </c>
      <c r="F2994" t="s">
        <v>48</v>
      </c>
      <c r="G2994" t="s">
        <v>72</v>
      </c>
      <c r="H2994" t="s">
        <v>75</v>
      </c>
      <c r="I2994">
        <v>1</v>
      </c>
      <c r="J2994">
        <v>1256</v>
      </c>
      <c r="K2994">
        <v>0</v>
      </c>
      <c r="L2994">
        <v>1256</v>
      </c>
      <c r="M2994">
        <v>832.07</v>
      </c>
      <c r="N2994">
        <v>423.93</v>
      </c>
      <c r="O2994" t="s">
        <v>80</v>
      </c>
      <c r="P2994" t="s">
        <v>88</v>
      </c>
    </row>
    <row r="2995" spans="1:16" x14ac:dyDescent="0.25">
      <c r="A2995">
        <v>2994</v>
      </c>
      <c r="B2995" s="1">
        <v>45789</v>
      </c>
      <c r="C2995" t="s">
        <v>23</v>
      </c>
      <c r="D2995" t="s">
        <v>27</v>
      </c>
      <c r="E2995" t="s">
        <v>31</v>
      </c>
      <c r="F2995" t="s">
        <v>50</v>
      </c>
      <c r="G2995" t="s">
        <v>72</v>
      </c>
      <c r="H2995" t="s">
        <v>73</v>
      </c>
      <c r="I2995">
        <v>6</v>
      </c>
      <c r="J2995">
        <v>795</v>
      </c>
      <c r="K2995">
        <v>0.05</v>
      </c>
      <c r="L2995">
        <v>4531.5</v>
      </c>
      <c r="M2995">
        <v>2631.99</v>
      </c>
      <c r="N2995">
        <v>1899.51</v>
      </c>
      <c r="O2995" t="s">
        <v>76</v>
      </c>
      <c r="P2995" t="s">
        <v>82</v>
      </c>
    </row>
    <row r="2996" spans="1:16" x14ac:dyDescent="0.25">
      <c r="A2996">
        <v>2995</v>
      </c>
      <c r="B2996" s="1">
        <v>45783</v>
      </c>
      <c r="C2996" t="s">
        <v>20</v>
      </c>
      <c r="D2996" t="s">
        <v>26</v>
      </c>
      <c r="E2996" t="s">
        <v>29</v>
      </c>
      <c r="F2996" t="s">
        <v>42</v>
      </c>
      <c r="G2996" t="s">
        <v>72</v>
      </c>
      <c r="H2996" t="s">
        <v>75</v>
      </c>
      <c r="I2996">
        <v>7</v>
      </c>
      <c r="J2996">
        <v>4933</v>
      </c>
      <c r="K2996">
        <v>0</v>
      </c>
      <c r="L2996">
        <v>34531</v>
      </c>
      <c r="M2996">
        <v>20312.349999999999</v>
      </c>
      <c r="N2996">
        <v>14218.65</v>
      </c>
      <c r="O2996" t="s">
        <v>78</v>
      </c>
      <c r="P2996" t="s">
        <v>87</v>
      </c>
    </row>
    <row r="2997" spans="1:16" x14ac:dyDescent="0.25">
      <c r="A2997">
        <v>2996</v>
      </c>
      <c r="B2997" s="1">
        <v>45718</v>
      </c>
      <c r="C2997" t="s">
        <v>23</v>
      </c>
      <c r="D2997" t="s">
        <v>27</v>
      </c>
      <c r="E2997" t="s">
        <v>33</v>
      </c>
      <c r="F2997" t="s">
        <v>60</v>
      </c>
      <c r="G2997" t="s">
        <v>70</v>
      </c>
      <c r="H2997" t="s">
        <v>73</v>
      </c>
      <c r="I2997">
        <v>7</v>
      </c>
      <c r="J2997">
        <v>8210</v>
      </c>
      <c r="K2997">
        <v>0.15</v>
      </c>
      <c r="L2997">
        <v>48849.5</v>
      </c>
      <c r="M2997">
        <v>37677.839999999997</v>
      </c>
      <c r="N2997">
        <v>11171.66</v>
      </c>
      <c r="O2997" t="s">
        <v>80</v>
      </c>
      <c r="P2997" t="s">
        <v>87</v>
      </c>
    </row>
    <row r="2998" spans="1:16" x14ac:dyDescent="0.25">
      <c r="A2998">
        <v>2997</v>
      </c>
      <c r="B2998" s="1">
        <v>45700</v>
      </c>
      <c r="C2998" t="s">
        <v>22</v>
      </c>
      <c r="D2998" t="s">
        <v>24</v>
      </c>
      <c r="E2998" t="s">
        <v>32</v>
      </c>
      <c r="F2998" t="s">
        <v>62</v>
      </c>
      <c r="G2998" t="s">
        <v>72</v>
      </c>
      <c r="H2998" t="s">
        <v>73</v>
      </c>
      <c r="I2998">
        <v>7</v>
      </c>
      <c r="J2998">
        <v>9684</v>
      </c>
      <c r="K2998">
        <v>0</v>
      </c>
      <c r="L2998">
        <v>67788</v>
      </c>
      <c r="M2998">
        <v>41846.06</v>
      </c>
      <c r="N2998">
        <v>25941.94</v>
      </c>
      <c r="O2998" t="s">
        <v>77</v>
      </c>
      <c r="P2998" t="s">
        <v>87</v>
      </c>
    </row>
    <row r="2999" spans="1:16" x14ac:dyDescent="0.25">
      <c r="A2999">
        <v>2998</v>
      </c>
      <c r="B2999" s="1">
        <v>45839</v>
      </c>
      <c r="C2999" t="s">
        <v>19</v>
      </c>
      <c r="D2999" t="s">
        <v>26</v>
      </c>
      <c r="E2999" t="s">
        <v>34</v>
      </c>
      <c r="F2999" t="s">
        <v>65</v>
      </c>
      <c r="G2999" t="s">
        <v>72</v>
      </c>
      <c r="H2999" t="s">
        <v>73</v>
      </c>
      <c r="I2999">
        <v>5</v>
      </c>
      <c r="J2999">
        <v>4331</v>
      </c>
      <c r="K2999">
        <v>0</v>
      </c>
      <c r="L2999">
        <v>21655</v>
      </c>
      <c r="M2999">
        <v>16803.05</v>
      </c>
      <c r="N2999">
        <v>4851.95</v>
      </c>
      <c r="O2999" t="s">
        <v>79</v>
      </c>
      <c r="P2999" t="s">
        <v>84</v>
      </c>
    </row>
    <row r="3000" spans="1:16" x14ac:dyDescent="0.25">
      <c r="A3000">
        <v>2999</v>
      </c>
      <c r="B3000" s="1">
        <v>45856</v>
      </c>
      <c r="C3000" t="s">
        <v>23</v>
      </c>
      <c r="D3000" t="s">
        <v>27</v>
      </c>
      <c r="E3000" t="s">
        <v>29</v>
      </c>
      <c r="F3000" t="s">
        <v>45</v>
      </c>
      <c r="G3000" t="s">
        <v>70</v>
      </c>
      <c r="H3000" t="s">
        <v>75</v>
      </c>
      <c r="I3000">
        <v>6</v>
      </c>
      <c r="J3000">
        <v>4922</v>
      </c>
      <c r="K3000">
        <v>0.1</v>
      </c>
      <c r="L3000">
        <v>26578.799999999999</v>
      </c>
      <c r="M3000">
        <v>20290.86</v>
      </c>
      <c r="N3000">
        <v>6287.94</v>
      </c>
      <c r="O3000" t="s">
        <v>77</v>
      </c>
      <c r="P3000" t="s">
        <v>88</v>
      </c>
    </row>
    <row r="3001" spans="1:16" x14ac:dyDescent="0.25">
      <c r="A3001">
        <v>3000</v>
      </c>
      <c r="B3001" s="1">
        <v>45678</v>
      </c>
      <c r="C3001" t="s">
        <v>18</v>
      </c>
      <c r="D3001" t="s">
        <v>26</v>
      </c>
      <c r="E3001" t="s">
        <v>32</v>
      </c>
      <c r="F3001" t="s">
        <v>49</v>
      </c>
      <c r="G3001" t="s">
        <v>72</v>
      </c>
      <c r="H3001" t="s">
        <v>73</v>
      </c>
      <c r="I3001">
        <v>4</v>
      </c>
      <c r="J3001">
        <v>21566</v>
      </c>
      <c r="K3001">
        <v>0.2</v>
      </c>
      <c r="L3001">
        <v>69011.199999999997</v>
      </c>
      <c r="M3001">
        <v>60027.61</v>
      </c>
      <c r="N3001">
        <v>8983.59</v>
      </c>
      <c r="O3001" t="s">
        <v>78</v>
      </c>
      <c r="P3001" t="s">
        <v>88</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11C49-CA7E-4E8C-B8EA-9D2BFBA99C7F}">
  <dimension ref="A1:Q5"/>
  <sheetViews>
    <sheetView showGridLines="0" tabSelected="1" zoomScaleNormal="100" workbookViewId="0">
      <selection activeCell="A3" sqref="A1:A1048576"/>
    </sheetView>
  </sheetViews>
  <sheetFormatPr defaultRowHeight="15" x14ac:dyDescent="0.25"/>
  <cols>
    <col min="1" max="1" width="26.7109375" style="7" customWidth="1"/>
    <col min="2" max="2" width="10.42578125" style="7" customWidth="1"/>
    <col min="3" max="3" width="24.5703125" style="7" customWidth="1"/>
    <col min="4" max="4" width="8.42578125" style="7" customWidth="1"/>
    <col min="5" max="5" width="23.5703125" style="7" bestFit="1" customWidth="1"/>
    <col min="6" max="6" width="9.140625" style="7"/>
    <col min="7" max="7" width="28.7109375" style="7" customWidth="1"/>
    <col min="8" max="8" width="9.140625" style="7"/>
    <col min="9" max="9" width="25.42578125" style="7" customWidth="1"/>
    <col min="10" max="16384" width="9.140625" style="7"/>
  </cols>
  <sheetData>
    <row r="1" spans="1:17" x14ac:dyDescent="0.25">
      <c r="A1" s="31" t="s">
        <v>111</v>
      </c>
      <c r="B1" s="32"/>
      <c r="C1" s="32"/>
      <c r="D1" s="32"/>
      <c r="E1" s="32"/>
      <c r="F1" s="32"/>
      <c r="G1" s="32"/>
      <c r="H1" s="32"/>
      <c r="I1" s="32"/>
      <c r="J1" s="32"/>
      <c r="K1" s="32"/>
      <c r="L1" s="32"/>
      <c r="M1" s="32"/>
      <c r="N1" s="32"/>
      <c r="O1" s="32"/>
      <c r="P1" s="32"/>
      <c r="Q1" s="32"/>
    </row>
    <row r="2" spans="1:17" ht="33" customHeight="1" x14ac:dyDescent="0.25">
      <c r="A2" s="33"/>
      <c r="B2" s="33"/>
      <c r="C2" s="33"/>
      <c r="D2" s="33"/>
      <c r="E2" s="33"/>
      <c r="F2" s="33"/>
      <c r="G2" s="33"/>
      <c r="H2" s="33"/>
      <c r="I2" s="33"/>
      <c r="J2" s="33"/>
      <c r="K2" s="33"/>
      <c r="L2" s="33"/>
      <c r="M2" s="33"/>
      <c r="N2" s="33"/>
      <c r="O2" s="33"/>
      <c r="P2" s="33"/>
      <c r="Q2" s="33"/>
    </row>
    <row r="3" spans="1:17" ht="34.5" customHeight="1" x14ac:dyDescent="0.4">
      <c r="A3" s="16" t="s">
        <v>92</v>
      </c>
      <c r="B3" s="12"/>
      <c r="C3" s="17" t="s">
        <v>93</v>
      </c>
      <c r="D3" s="12"/>
      <c r="E3" s="19" t="s">
        <v>94</v>
      </c>
      <c r="F3" s="23"/>
      <c r="G3" s="15" t="s">
        <v>95</v>
      </c>
      <c r="H3" s="24"/>
      <c r="I3" s="26" t="s">
        <v>96</v>
      </c>
      <c r="J3" s="27"/>
      <c r="L3" s="18"/>
      <c r="M3" s="18"/>
      <c r="N3" s="18"/>
      <c r="O3" s="18"/>
    </row>
    <row r="4" spans="1:17" ht="21" x14ac:dyDescent="0.35">
      <c r="A4" s="11">
        <f>SUM(Table2[Revenue])</f>
        <v>153735736.34999979</v>
      </c>
      <c r="B4" s="13"/>
      <c r="C4" s="14">
        <f>SUM(Table2[Profit])</f>
        <v>43267859.029999867</v>
      </c>
      <c r="D4" s="13"/>
      <c r="E4" s="20">
        <f>COUNT(Table2[Order_ID])</f>
        <v>3000</v>
      </c>
      <c r="F4" s="28"/>
      <c r="G4" s="22">
        <f>SUM(Table2[Quantity])</f>
        <v>13473</v>
      </c>
      <c r="H4" s="21"/>
      <c r="I4" s="25">
        <f>(C4/A4)</f>
        <v>0.28144307925578765</v>
      </c>
      <c r="J4" s="21"/>
      <c r="L4" s="8"/>
      <c r="M4" s="8"/>
      <c r="N4" s="8"/>
      <c r="O4" s="9"/>
    </row>
    <row r="5" spans="1:17" x14ac:dyDescent="0.25">
      <c r="I5" s="10"/>
    </row>
  </sheetData>
  <mergeCells count="1">
    <mergeCell ref="A1:Q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164B7-30FC-489D-80D7-520AB2734FC9}">
  <dimension ref="A1"/>
  <sheetViews>
    <sheetView topLeftCell="A2" workbookViewId="0">
      <selection activeCell="D5" sqref="D5"/>
    </sheetView>
  </sheetViews>
  <sheetFormatPr defaultRowHeight="15" x14ac:dyDescent="0.25"/>
  <cols>
    <col min="1" max="1" width="2.140625" customWidth="1"/>
    <col min="2" max="2" width="16.7109375" customWidth="1"/>
    <col min="3" max="3" width="2.140625"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Sheet6</vt:lpstr>
      <vt:lpstr>Sheet7</vt:lpstr>
      <vt:lpstr>Sheet8</vt:lpstr>
      <vt:lpstr>Sheet9</vt:lpstr>
      <vt:lpstr>Sheet1</vt:lpstr>
      <vt:lpstr>Sheet2</vt:lpstr>
      <vt:lpstr>Sheet5</vt:lpstr>
      <vt:lpstr>Sheet4</vt:lpstr>
      <vt:lpstr>Raw_Data</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Noumaan Shaikh</cp:lastModifiedBy>
  <cp:lastPrinted>2026-09-10T09:40:45Z</cp:lastPrinted>
  <dcterms:created xsi:type="dcterms:W3CDTF">2026-09-10T06:41:01Z</dcterms:created>
  <dcterms:modified xsi:type="dcterms:W3CDTF">2026-09-28T09:45:25Z</dcterms:modified>
</cp:coreProperties>
</file>